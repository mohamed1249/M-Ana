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F:\python\projects\ML\stock markets\"/>
    </mc:Choice>
  </mc:AlternateContent>
  <bookViews>
    <workbookView xWindow="0" yWindow="0" windowWidth="23040" windowHeight="8940" activeTab="3"/>
  </bookViews>
  <sheets>
    <sheet name="google" sheetId="1" r:id="rId1"/>
    <sheet name="microsoft" sheetId="5" r:id="rId2"/>
    <sheet name="apple" sheetId="4" r:id="rId3"/>
    <sheet name="tesla" sheetId="3" r:id="rId4"/>
    <sheet name="amazon" sheetId="2" r:id="rId5"/>
  </sheets>
  <calcPr calcId="162913"/>
</workbook>
</file>

<file path=xl/calcChain.xml><?xml version="1.0" encoding="utf-8"?>
<calcChain xmlns="http://schemas.openxmlformats.org/spreadsheetml/2006/main">
  <c r="A1" i="5" l="1"/>
  <c r="B4450" i="5"/>
  <c r="A4450" i="5"/>
  <c r="B4449" i="5"/>
  <c r="B4443" i="5"/>
  <c r="B4437" i="5"/>
  <c r="B4431" i="5"/>
  <c r="B4425" i="5"/>
  <c r="B4419" i="5"/>
  <c r="B4413" i="5"/>
  <c r="B4407" i="5"/>
  <c r="B4401" i="5"/>
  <c r="B4395" i="5"/>
  <c r="B4389" i="5"/>
  <c r="B4383" i="5"/>
  <c r="B4377" i="5"/>
  <c r="B4371" i="5"/>
  <c r="B4365" i="5"/>
  <c r="B4359" i="5"/>
  <c r="B4353" i="5"/>
  <c r="B4347" i="5"/>
  <c r="B4341" i="5"/>
  <c r="B4335" i="5"/>
  <c r="B4329" i="5"/>
  <c r="B4323" i="5"/>
  <c r="B4317" i="5"/>
  <c r="B4311" i="5"/>
  <c r="B4305" i="5"/>
  <c r="B4299" i="5"/>
  <c r="B4293" i="5"/>
  <c r="B4287" i="5"/>
  <c r="B4281" i="5"/>
  <c r="B4275" i="5"/>
  <c r="B4269" i="5"/>
  <c r="B4263" i="5"/>
  <c r="B4257" i="5"/>
  <c r="B4251" i="5"/>
  <c r="B4245" i="5"/>
  <c r="B4239" i="5"/>
  <c r="B4233" i="5"/>
  <c r="B4227" i="5"/>
  <c r="B4221" i="5"/>
  <c r="B4215" i="5"/>
  <c r="B4209" i="5"/>
  <c r="B4203" i="5"/>
  <c r="B4197" i="5"/>
  <c r="B4191" i="5"/>
  <c r="B4185" i="5"/>
  <c r="B4179" i="5"/>
  <c r="B4173" i="5"/>
  <c r="B4167" i="5"/>
  <c r="B4161" i="5"/>
  <c r="B4155" i="5"/>
  <c r="B4149" i="5"/>
  <c r="B4143" i="5"/>
  <c r="B4137" i="5"/>
  <c r="B4131" i="5"/>
  <c r="B4125" i="5"/>
  <c r="B4119" i="5"/>
  <c r="B4113" i="5"/>
  <c r="B4107" i="5"/>
  <c r="B4101" i="5"/>
  <c r="B4095" i="5"/>
  <c r="B4089" i="5"/>
  <c r="B4083" i="5"/>
  <c r="B4077" i="5"/>
  <c r="B4071" i="5"/>
  <c r="B4065" i="5"/>
  <c r="B4059" i="5"/>
  <c r="B4053" i="5"/>
  <c r="B4047" i="5"/>
  <c r="B4041" i="5"/>
  <c r="B4035" i="5"/>
  <c r="B4029" i="5"/>
  <c r="B4023" i="5"/>
  <c r="B4017" i="5"/>
  <c r="B4011" i="5"/>
  <c r="B4005" i="5"/>
  <c r="B3999" i="5"/>
  <c r="B3993" i="5"/>
  <c r="B3987" i="5"/>
  <c r="B3981" i="5"/>
  <c r="B3975" i="5"/>
  <c r="B3969" i="5"/>
  <c r="B3963" i="5"/>
  <c r="B3957" i="5"/>
  <c r="B3951" i="5"/>
  <c r="B3945" i="5"/>
  <c r="B3939" i="5"/>
  <c r="B3933" i="5"/>
  <c r="B3927" i="5"/>
  <c r="B3921" i="5"/>
  <c r="B3915" i="5"/>
  <c r="B3909" i="5"/>
  <c r="B3903" i="5"/>
  <c r="B3897" i="5"/>
  <c r="B3891" i="5"/>
  <c r="B3885" i="5"/>
  <c r="B3879" i="5"/>
  <c r="B3873" i="5"/>
  <c r="B3867" i="5"/>
  <c r="B3861" i="5"/>
  <c r="B3855" i="5"/>
  <c r="B3849" i="5"/>
  <c r="B3843" i="5"/>
  <c r="B3837" i="5"/>
  <c r="B3831" i="5"/>
  <c r="B3825" i="5"/>
  <c r="B3819" i="5"/>
  <c r="B3813" i="5"/>
  <c r="B3807" i="5"/>
  <c r="A4449" i="5"/>
  <c r="B4448" i="5"/>
  <c r="B4442" i="5"/>
  <c r="B4436" i="5"/>
  <c r="B4430" i="5"/>
  <c r="B4424" i="5"/>
  <c r="B4418" i="5"/>
  <c r="B4412" i="5"/>
  <c r="B4406" i="5"/>
  <c r="B4400" i="5"/>
  <c r="B4394" i="5"/>
  <c r="B4388" i="5"/>
  <c r="B4382" i="5"/>
  <c r="B4376" i="5"/>
  <c r="B4370" i="5"/>
  <c r="B4364" i="5"/>
  <c r="B4358" i="5"/>
  <c r="B4352" i="5"/>
  <c r="B4346" i="5"/>
  <c r="B4340" i="5"/>
  <c r="B4334" i="5"/>
  <c r="B4328" i="5"/>
  <c r="B4322" i="5"/>
  <c r="B4316" i="5"/>
  <c r="B4310" i="5"/>
  <c r="B4304" i="5"/>
  <c r="B4298" i="5"/>
  <c r="B4292" i="5"/>
  <c r="B4286" i="5"/>
  <c r="B4280" i="5"/>
  <c r="B4274" i="5"/>
  <c r="B4268" i="5"/>
  <c r="B4262" i="5"/>
  <c r="B4256" i="5"/>
  <c r="B4250" i="5"/>
  <c r="B4244" i="5"/>
  <c r="B4238" i="5"/>
  <c r="B4232" i="5"/>
  <c r="B4226" i="5"/>
  <c r="B4220" i="5"/>
  <c r="B4214" i="5"/>
  <c r="B4208" i="5"/>
  <c r="B4202" i="5"/>
  <c r="B4196" i="5"/>
  <c r="B4190" i="5"/>
  <c r="B4184" i="5"/>
  <c r="B4178" i="5"/>
  <c r="B4172" i="5"/>
  <c r="B4166" i="5"/>
  <c r="B4160" i="5"/>
  <c r="B4154" i="5"/>
  <c r="B4148" i="5"/>
  <c r="B4142" i="5"/>
  <c r="B4136" i="5"/>
  <c r="B4130" i="5"/>
  <c r="B4124" i="5"/>
  <c r="B4118" i="5"/>
  <c r="B4112" i="5"/>
  <c r="B4106" i="5"/>
  <c r="B4100" i="5"/>
  <c r="B4094" i="5"/>
  <c r="B4088" i="5"/>
  <c r="B4082" i="5"/>
  <c r="B4076" i="5"/>
  <c r="B4070" i="5"/>
  <c r="B4064" i="5"/>
  <c r="B4058" i="5"/>
  <c r="B4052" i="5"/>
  <c r="B4046" i="5"/>
  <c r="B4040" i="5"/>
  <c r="B4034" i="5"/>
  <c r="B4028" i="5"/>
  <c r="B4022" i="5"/>
  <c r="B4016" i="5"/>
  <c r="B4010" i="5"/>
  <c r="B4004" i="5"/>
  <c r="B3998" i="5"/>
  <c r="B3992" i="5"/>
  <c r="B3986" i="5"/>
  <c r="B3980" i="5"/>
  <c r="B3974" i="5"/>
  <c r="B3968" i="5"/>
  <c r="B3962" i="5"/>
  <c r="B3956" i="5"/>
  <c r="B3950" i="5"/>
  <c r="B3944" i="5"/>
  <c r="B3938" i="5"/>
  <c r="B3932" i="5"/>
  <c r="B3926" i="5"/>
  <c r="B3920" i="5"/>
  <c r="B3914" i="5"/>
  <c r="B3908" i="5"/>
  <c r="B3902" i="5"/>
  <c r="B3896" i="5"/>
  <c r="B3890" i="5"/>
  <c r="B3884" i="5"/>
  <c r="B3878" i="5"/>
  <c r="B3872" i="5"/>
  <c r="B3866" i="5"/>
  <c r="B3860" i="5"/>
  <c r="B3854" i="5"/>
  <c r="B3848" i="5"/>
  <c r="B3842" i="5"/>
  <c r="B3836" i="5"/>
  <c r="B3830" i="5"/>
  <c r="B3824" i="5"/>
  <c r="B3818" i="5"/>
  <c r="B3812" i="5"/>
  <c r="B3806" i="5"/>
  <c r="B3800" i="5"/>
  <c r="B3794" i="5"/>
  <c r="B3788" i="5"/>
  <c r="B3782" i="5"/>
  <c r="B3776" i="5"/>
  <c r="B3770" i="5"/>
  <c r="B3764" i="5"/>
  <c r="B3758" i="5"/>
  <c r="B3752" i="5"/>
  <c r="B3746" i="5"/>
  <c r="B3740" i="5"/>
  <c r="B3734" i="5"/>
  <c r="B3728" i="5"/>
  <c r="B3722" i="5"/>
  <c r="B3716" i="5"/>
  <c r="B3710" i="5"/>
  <c r="B3704" i="5"/>
  <c r="B3698" i="5"/>
  <c r="B3692" i="5"/>
  <c r="A4448" i="5"/>
  <c r="A4442" i="5"/>
  <c r="A4436" i="5"/>
  <c r="A4430" i="5"/>
  <c r="A4424" i="5"/>
  <c r="A4418" i="5"/>
  <c r="A4412" i="5"/>
  <c r="A4406" i="5"/>
  <c r="A4400" i="5"/>
  <c r="A4394" i="5"/>
  <c r="A4388" i="5"/>
  <c r="A4382" i="5"/>
  <c r="A4376" i="5"/>
  <c r="A4370" i="5"/>
  <c r="A4364" i="5"/>
  <c r="A4358" i="5"/>
  <c r="A4352" i="5"/>
  <c r="A4346" i="5"/>
  <c r="A4340" i="5"/>
  <c r="A4334" i="5"/>
  <c r="A4328" i="5"/>
  <c r="A4322" i="5"/>
  <c r="A4316" i="5"/>
  <c r="A4310" i="5"/>
  <c r="A4304" i="5"/>
  <c r="A4298" i="5"/>
  <c r="A4292" i="5"/>
  <c r="A4286" i="5"/>
  <c r="A4280" i="5"/>
  <c r="A4274" i="5"/>
  <c r="A4268" i="5"/>
  <c r="A4262" i="5"/>
  <c r="A4256" i="5"/>
  <c r="A4250" i="5"/>
  <c r="A4244" i="5"/>
  <c r="A4238" i="5"/>
  <c r="A4232" i="5"/>
  <c r="A4226" i="5"/>
  <c r="A4220" i="5"/>
  <c r="A4214" i="5"/>
  <c r="A4208" i="5"/>
  <c r="A4202" i="5"/>
  <c r="A4196" i="5"/>
  <c r="A4190" i="5"/>
  <c r="A4184" i="5"/>
  <c r="A4178" i="5"/>
  <c r="A4172" i="5"/>
  <c r="A4166" i="5"/>
  <c r="A4160" i="5"/>
  <c r="A4154" i="5"/>
  <c r="A4148" i="5"/>
  <c r="A4142" i="5"/>
  <c r="A4136" i="5"/>
  <c r="A4130" i="5"/>
  <c r="A4124" i="5"/>
  <c r="A4118" i="5"/>
  <c r="A4112" i="5"/>
  <c r="A4106" i="5"/>
  <c r="A4100" i="5"/>
  <c r="A4094" i="5"/>
  <c r="A4088" i="5"/>
  <c r="A4082" i="5"/>
  <c r="A4076" i="5"/>
  <c r="A4070" i="5"/>
  <c r="A4064" i="5"/>
  <c r="A4058" i="5"/>
  <c r="A4052" i="5"/>
  <c r="A4046" i="5"/>
  <c r="A4040" i="5"/>
  <c r="A4034" i="5"/>
  <c r="A4028" i="5"/>
  <c r="A4022" i="5"/>
  <c r="A4016" i="5"/>
  <c r="A4010" i="5"/>
  <c r="A4004" i="5"/>
  <c r="A3998" i="5"/>
  <c r="A3992" i="5"/>
  <c r="A3986" i="5"/>
  <c r="A3980" i="5"/>
  <c r="A3974" i="5"/>
  <c r="A3968" i="5"/>
  <c r="A3962" i="5"/>
  <c r="A3956" i="5"/>
  <c r="A3950" i="5"/>
  <c r="A3944" i="5"/>
  <c r="A3938" i="5"/>
  <c r="A3932" i="5"/>
  <c r="A3926" i="5"/>
  <c r="A3920" i="5"/>
  <c r="A3914" i="5"/>
  <c r="A3908" i="5"/>
  <c r="A3902" i="5"/>
  <c r="A3896" i="5"/>
  <c r="A3890" i="5"/>
  <c r="A3884" i="5"/>
  <c r="A3878" i="5"/>
  <c r="A3872" i="5"/>
  <c r="A3866" i="5"/>
  <c r="A3860" i="5"/>
  <c r="A3854" i="5"/>
  <c r="A3848" i="5"/>
  <c r="A3842" i="5"/>
  <c r="A3836" i="5"/>
  <c r="A3830" i="5"/>
  <c r="A3824" i="5"/>
  <c r="A3818" i="5"/>
  <c r="A3812" i="5"/>
  <c r="B4447" i="5"/>
  <c r="A4447" i="5"/>
  <c r="A4441" i="5"/>
  <c r="A4435" i="5"/>
  <c r="A4429" i="5"/>
  <c r="A4423" i="5"/>
  <c r="A4417" i="5"/>
  <c r="A4411" i="5"/>
  <c r="A4405" i="5"/>
  <c r="A4399" i="5"/>
  <c r="A4393" i="5"/>
  <c r="A4387" i="5"/>
  <c r="A4381" i="5"/>
  <c r="A4375" i="5"/>
  <c r="A4369" i="5"/>
  <c r="A4363" i="5"/>
  <c r="A4357" i="5"/>
  <c r="A4351" i="5"/>
  <c r="A4345" i="5"/>
  <c r="A4339" i="5"/>
  <c r="A4333" i="5"/>
  <c r="A4327" i="5"/>
  <c r="A4321" i="5"/>
  <c r="A4315" i="5"/>
  <c r="A4309" i="5"/>
  <c r="A4303" i="5"/>
  <c r="A4297" i="5"/>
  <c r="A4291" i="5"/>
  <c r="A4285" i="5"/>
  <c r="A4279" i="5"/>
  <c r="A4273" i="5"/>
  <c r="A4267" i="5"/>
  <c r="A4261" i="5"/>
  <c r="A4255" i="5"/>
  <c r="A4249" i="5"/>
  <c r="A4243" i="5"/>
  <c r="A4237" i="5"/>
  <c r="A4231" i="5"/>
  <c r="A4225" i="5"/>
  <c r="A4219" i="5"/>
  <c r="A4213" i="5"/>
  <c r="A4207" i="5"/>
  <c r="A4201" i="5"/>
  <c r="A4195" i="5"/>
  <c r="A4189" i="5"/>
  <c r="A4183" i="5"/>
  <c r="A4177" i="5"/>
  <c r="A4171" i="5"/>
  <c r="A4165" i="5"/>
  <c r="A4159" i="5"/>
  <c r="A4153" i="5"/>
  <c r="A4147" i="5"/>
  <c r="A4141" i="5"/>
  <c r="A4135" i="5"/>
  <c r="A4129" i="5"/>
  <c r="A4123" i="5"/>
  <c r="A4117" i="5"/>
  <c r="A4111" i="5"/>
  <c r="A4105" i="5"/>
  <c r="A4099" i="5"/>
  <c r="A4093" i="5"/>
  <c r="A4087" i="5"/>
  <c r="A4081" i="5"/>
  <c r="A4075" i="5"/>
  <c r="A4069" i="5"/>
  <c r="A4063" i="5"/>
  <c r="A4057" i="5"/>
  <c r="A4051" i="5"/>
  <c r="A4045" i="5"/>
  <c r="A4039" i="5"/>
  <c r="A4033" i="5"/>
  <c r="A4027" i="5"/>
  <c r="A4021" i="5"/>
  <c r="A4015" i="5"/>
  <c r="A4009" i="5"/>
  <c r="A4003" i="5"/>
  <c r="A3997" i="5"/>
  <c r="A3991" i="5"/>
  <c r="A3985" i="5"/>
  <c r="A3979" i="5"/>
  <c r="A3973" i="5"/>
  <c r="A3967" i="5"/>
  <c r="A3961" i="5"/>
  <c r="A3955" i="5"/>
  <c r="A3949" i="5"/>
  <c r="A3943" i="5"/>
  <c r="A3937" i="5"/>
  <c r="A3931" i="5"/>
  <c r="A3925" i="5"/>
  <c r="A3919" i="5"/>
  <c r="A3913" i="5"/>
  <c r="A3907" i="5"/>
  <c r="A3901" i="5"/>
  <c r="A3895" i="5"/>
  <c r="A3889" i="5"/>
  <c r="A3883" i="5"/>
  <c r="A3877" i="5"/>
  <c r="A3871" i="5"/>
  <c r="A3865" i="5"/>
  <c r="A3859" i="5"/>
  <c r="A3853" i="5"/>
  <c r="A3847" i="5"/>
  <c r="A3841" i="5"/>
  <c r="A3835" i="5"/>
  <c r="A3829" i="5"/>
  <c r="A3823" i="5"/>
  <c r="A3817" i="5"/>
  <c r="A3811" i="5"/>
  <c r="A3805" i="5"/>
  <c r="A3799" i="5"/>
  <c r="A3793" i="5"/>
  <c r="A3787" i="5"/>
  <c r="A3781" i="5"/>
  <c r="A3775" i="5"/>
  <c r="A3769" i="5"/>
  <c r="A3763" i="5"/>
  <c r="A3757" i="5"/>
  <c r="A3751" i="5"/>
  <c r="A3745" i="5"/>
  <c r="A3739" i="5"/>
  <c r="B4446" i="5"/>
  <c r="B4440" i="5"/>
  <c r="B4434" i="5"/>
  <c r="B4428" i="5"/>
  <c r="B4422" i="5"/>
  <c r="B4416" i="5"/>
  <c r="B4410" i="5"/>
  <c r="B4404" i="5"/>
  <c r="B4398" i="5"/>
  <c r="B4392" i="5"/>
  <c r="B4386" i="5"/>
  <c r="B4380" i="5"/>
  <c r="B4374" i="5"/>
  <c r="B4368" i="5"/>
  <c r="B4362" i="5"/>
  <c r="B4356" i="5"/>
  <c r="B4350" i="5"/>
  <c r="B4344" i="5"/>
  <c r="B4338" i="5"/>
  <c r="B4332" i="5"/>
  <c r="B4326" i="5"/>
  <c r="B4320" i="5"/>
  <c r="B4314" i="5"/>
  <c r="B4308" i="5"/>
  <c r="B4302" i="5"/>
  <c r="B4296" i="5"/>
  <c r="B4290" i="5"/>
  <c r="B4284" i="5"/>
  <c r="B4278" i="5"/>
  <c r="B4272" i="5"/>
  <c r="B4266" i="5"/>
  <c r="B4260" i="5"/>
  <c r="B4254" i="5"/>
  <c r="B4248" i="5"/>
  <c r="B4242" i="5"/>
  <c r="B4236" i="5"/>
  <c r="B4230" i="5"/>
  <c r="B4224" i="5"/>
  <c r="B4218" i="5"/>
  <c r="B4212" i="5"/>
  <c r="B4206" i="5"/>
  <c r="B4200" i="5"/>
  <c r="B4194" i="5"/>
  <c r="B4188" i="5"/>
  <c r="B4182" i="5"/>
  <c r="B4176" i="5"/>
  <c r="B4170" i="5"/>
  <c r="B4164" i="5"/>
  <c r="B4158" i="5"/>
  <c r="B4152" i="5"/>
  <c r="B4146" i="5"/>
  <c r="B4140" i="5"/>
  <c r="B4134" i="5"/>
  <c r="B4128" i="5"/>
  <c r="B4122" i="5"/>
  <c r="B4116" i="5"/>
  <c r="B4110" i="5"/>
  <c r="B4104" i="5"/>
  <c r="B4098" i="5"/>
  <c r="B4092" i="5"/>
  <c r="B4086" i="5"/>
  <c r="B4080" i="5"/>
  <c r="B4074" i="5"/>
  <c r="B4068" i="5"/>
  <c r="B4062" i="5"/>
  <c r="B4056" i="5"/>
  <c r="B4050" i="5"/>
  <c r="B4044" i="5"/>
  <c r="B4038" i="5"/>
  <c r="B4032" i="5"/>
  <c r="B4026" i="5"/>
  <c r="B4020" i="5"/>
  <c r="B4014" i="5"/>
  <c r="B4008" i="5"/>
  <c r="B4002" i="5"/>
  <c r="B3996" i="5"/>
  <c r="B3990" i="5"/>
  <c r="B3984" i="5"/>
  <c r="B3978" i="5"/>
  <c r="B3972" i="5"/>
  <c r="B3966" i="5"/>
  <c r="B3960" i="5"/>
  <c r="B3954" i="5"/>
  <c r="B3948" i="5"/>
  <c r="B3942" i="5"/>
  <c r="B3936" i="5"/>
  <c r="B3930" i="5"/>
  <c r="B3924" i="5"/>
  <c r="B3918" i="5"/>
  <c r="B3912" i="5"/>
  <c r="B3906" i="5"/>
  <c r="B3900" i="5"/>
  <c r="B3894" i="5"/>
  <c r="B3888" i="5"/>
  <c r="B3882" i="5"/>
  <c r="B3876" i="5"/>
  <c r="B3870" i="5"/>
  <c r="B3864" i="5"/>
  <c r="B3858" i="5"/>
  <c r="B3852" i="5"/>
  <c r="B3846" i="5"/>
  <c r="B3840" i="5"/>
  <c r="B3834" i="5"/>
  <c r="B3828" i="5"/>
  <c r="B3822" i="5"/>
  <c r="B3816" i="5"/>
  <c r="B3810" i="5"/>
  <c r="B3804" i="5"/>
  <c r="B3798" i="5"/>
  <c r="B3792" i="5"/>
  <c r="B3786" i="5"/>
  <c r="B3780" i="5"/>
  <c r="B3774" i="5"/>
  <c r="B3768" i="5"/>
  <c r="B3762" i="5"/>
  <c r="B3756" i="5"/>
  <c r="B3750" i="5"/>
  <c r="B3744" i="5"/>
  <c r="B3738" i="5"/>
  <c r="B3732" i="5"/>
  <c r="B3726" i="5"/>
  <c r="A4446" i="5"/>
  <c r="A4440" i="5"/>
  <c r="A4434" i="5"/>
  <c r="A4428" i="5"/>
  <c r="A4422" i="5"/>
  <c r="A4416" i="5"/>
  <c r="A4410" i="5"/>
  <c r="A4404" i="5"/>
  <c r="A4398" i="5"/>
  <c r="A4392" i="5"/>
  <c r="A4386" i="5"/>
  <c r="A4380" i="5"/>
  <c r="A4374" i="5"/>
  <c r="A4368" i="5"/>
  <c r="A4362" i="5"/>
  <c r="A4356" i="5"/>
  <c r="A4350" i="5"/>
  <c r="A4344" i="5"/>
  <c r="A4338" i="5"/>
  <c r="A4332" i="5"/>
  <c r="A4326" i="5"/>
  <c r="A4320" i="5"/>
  <c r="A4314" i="5"/>
  <c r="A4308" i="5"/>
  <c r="A4302" i="5"/>
  <c r="A4296" i="5"/>
  <c r="A4290" i="5"/>
  <c r="A4284" i="5"/>
  <c r="A4278" i="5"/>
  <c r="A4272" i="5"/>
  <c r="A4266" i="5"/>
  <c r="A4260" i="5"/>
  <c r="A4254" i="5"/>
  <c r="A4248" i="5"/>
  <c r="A4242" i="5"/>
  <c r="A4236" i="5"/>
  <c r="A4230" i="5"/>
  <c r="A4224" i="5"/>
  <c r="A4218" i="5"/>
  <c r="A4212" i="5"/>
  <c r="A4206" i="5"/>
  <c r="A4200" i="5"/>
  <c r="A4194" i="5"/>
  <c r="A4188" i="5"/>
  <c r="A4182" i="5"/>
  <c r="A4176" i="5"/>
  <c r="A4170" i="5"/>
  <c r="A4164" i="5"/>
  <c r="A4158" i="5"/>
  <c r="A4152" i="5"/>
  <c r="A4146" i="5"/>
  <c r="A4140" i="5"/>
  <c r="A4134" i="5"/>
  <c r="A4128" i="5"/>
  <c r="A4122" i="5"/>
  <c r="A4116" i="5"/>
  <c r="A4110" i="5"/>
  <c r="A4104" i="5"/>
  <c r="A4098" i="5"/>
  <c r="A4092" i="5"/>
  <c r="A4086" i="5"/>
  <c r="A4080" i="5"/>
  <c r="A4074" i="5"/>
  <c r="A4068" i="5"/>
  <c r="A4062" i="5"/>
  <c r="A4056" i="5"/>
  <c r="A4050" i="5"/>
  <c r="A4044" i="5"/>
  <c r="A4038" i="5"/>
  <c r="A4032" i="5"/>
  <c r="A4026" i="5"/>
  <c r="A4020" i="5"/>
  <c r="A4014" i="5"/>
  <c r="A4008" i="5"/>
  <c r="A4002" i="5"/>
  <c r="A3996" i="5"/>
  <c r="A3990" i="5"/>
  <c r="A3984" i="5"/>
  <c r="A3978" i="5"/>
  <c r="A3972" i="5"/>
  <c r="A3966" i="5"/>
  <c r="A3960" i="5"/>
  <c r="A3954" i="5"/>
  <c r="A3948" i="5"/>
  <c r="A3942" i="5"/>
  <c r="A3936" i="5"/>
  <c r="A3930" i="5"/>
  <c r="A3924" i="5"/>
  <c r="A3918" i="5"/>
  <c r="A3912" i="5"/>
  <c r="A3906" i="5"/>
  <c r="A3900" i="5"/>
  <c r="A3894" i="5"/>
  <c r="A3888" i="5"/>
  <c r="A3882" i="5"/>
  <c r="A3876" i="5"/>
  <c r="A3870" i="5"/>
  <c r="A3864" i="5"/>
  <c r="A3858" i="5"/>
  <c r="A3852" i="5"/>
  <c r="A3846" i="5"/>
  <c r="A3840" i="5"/>
  <c r="A3834" i="5"/>
  <c r="A3828" i="5"/>
  <c r="A3822" i="5"/>
  <c r="A3816" i="5"/>
  <c r="A3810" i="5"/>
  <c r="A3804" i="5"/>
  <c r="A3798" i="5"/>
  <c r="A3792" i="5"/>
  <c r="A3786" i="5"/>
  <c r="A3780" i="5"/>
  <c r="A3774" i="5"/>
  <c r="A3768" i="5"/>
  <c r="A3762" i="5"/>
  <c r="A3756" i="5"/>
  <c r="A3750" i="5"/>
  <c r="A3744" i="5"/>
  <c r="A3738" i="5"/>
  <c r="A3732" i="5"/>
  <c r="A3726" i="5"/>
  <c r="A3720" i="5"/>
  <c r="B4445" i="5"/>
  <c r="B4439" i="5"/>
  <c r="B4433" i="5"/>
  <c r="B4427" i="5"/>
  <c r="B4421" i="5"/>
  <c r="B4415" i="5"/>
  <c r="B4409" i="5"/>
  <c r="B4403" i="5"/>
  <c r="B4397" i="5"/>
  <c r="B4391" i="5"/>
  <c r="B4385" i="5"/>
  <c r="B4379" i="5"/>
  <c r="B4373" i="5"/>
  <c r="B4367" i="5"/>
  <c r="B4361" i="5"/>
  <c r="B4355" i="5"/>
  <c r="B4349" i="5"/>
  <c r="B4343" i="5"/>
  <c r="B4337" i="5"/>
  <c r="B4331" i="5"/>
  <c r="B4325" i="5"/>
  <c r="B4319" i="5"/>
  <c r="B4313" i="5"/>
  <c r="B4307" i="5"/>
  <c r="B4301" i="5"/>
  <c r="B4295" i="5"/>
  <c r="B4289" i="5"/>
  <c r="B4283" i="5"/>
  <c r="B4277" i="5"/>
  <c r="B4271" i="5"/>
  <c r="B4265" i="5"/>
  <c r="B4259" i="5"/>
  <c r="B4253" i="5"/>
  <c r="B4247" i="5"/>
  <c r="B4241" i="5"/>
  <c r="B4235" i="5"/>
  <c r="B4229" i="5"/>
  <c r="B4223" i="5"/>
  <c r="B4217" i="5"/>
  <c r="B4211" i="5"/>
  <c r="B4205" i="5"/>
  <c r="B4199" i="5"/>
  <c r="B4193" i="5"/>
  <c r="B4187" i="5"/>
  <c r="B4181" i="5"/>
  <c r="B4175" i="5"/>
  <c r="B4169" i="5"/>
  <c r="B4163" i="5"/>
  <c r="B4157" i="5"/>
  <c r="B4151" i="5"/>
  <c r="B4145" i="5"/>
  <c r="B4139" i="5"/>
  <c r="B4133" i="5"/>
  <c r="B4127" i="5"/>
  <c r="B4121" i="5"/>
  <c r="B4115" i="5"/>
  <c r="B4109" i="5"/>
  <c r="B4103" i="5"/>
  <c r="B4097" i="5"/>
  <c r="B4091" i="5"/>
  <c r="B4085" i="5"/>
  <c r="B4079" i="5"/>
  <c r="B4073" i="5"/>
  <c r="B4067" i="5"/>
  <c r="B4061" i="5"/>
  <c r="B4055" i="5"/>
  <c r="B4049" i="5"/>
  <c r="B4043" i="5"/>
  <c r="B4037" i="5"/>
  <c r="B4031" i="5"/>
  <c r="B4025" i="5"/>
  <c r="B4019" i="5"/>
  <c r="B4013" i="5"/>
  <c r="B4007" i="5"/>
  <c r="B4001" i="5"/>
  <c r="B3995" i="5"/>
  <c r="B3989" i="5"/>
  <c r="B3983" i="5"/>
  <c r="B3977" i="5"/>
  <c r="B3971" i="5"/>
  <c r="B3965" i="5"/>
  <c r="B3959" i="5"/>
  <c r="B3953" i="5"/>
  <c r="B3947" i="5"/>
  <c r="B3941" i="5"/>
  <c r="B3935" i="5"/>
  <c r="B3929" i="5"/>
  <c r="B3923" i="5"/>
  <c r="B3917" i="5"/>
  <c r="B3911" i="5"/>
  <c r="B3905" i="5"/>
  <c r="B3899" i="5"/>
  <c r="B3893" i="5"/>
  <c r="B3887" i="5"/>
  <c r="B3881" i="5"/>
  <c r="B3875" i="5"/>
  <c r="B3869" i="5"/>
  <c r="B3863" i="5"/>
  <c r="B3857" i="5"/>
  <c r="B3851" i="5"/>
  <c r="B3845" i="5"/>
  <c r="B3839" i="5"/>
  <c r="B3833" i="5"/>
  <c r="B3827" i="5"/>
  <c r="B3821" i="5"/>
  <c r="B3815" i="5"/>
  <c r="B3809" i="5"/>
  <c r="B3803" i="5"/>
  <c r="B3797" i="5"/>
  <c r="B3791" i="5"/>
  <c r="B3785" i="5"/>
  <c r="B3779" i="5"/>
  <c r="B3773" i="5"/>
  <c r="B3767" i="5"/>
  <c r="B3761" i="5"/>
  <c r="B3755" i="5"/>
  <c r="B3749" i="5"/>
  <c r="B3743" i="5"/>
  <c r="B3737" i="5"/>
  <c r="B3731" i="5"/>
  <c r="B3725" i="5"/>
  <c r="B3719" i="5"/>
  <c r="B3713" i="5"/>
  <c r="B3707" i="5"/>
  <c r="B3701" i="5"/>
  <c r="B3695" i="5"/>
  <c r="B3689" i="5"/>
  <c r="A4445" i="5"/>
  <c r="B4444" i="5"/>
  <c r="A4431" i="5"/>
  <c r="A4415" i="5"/>
  <c r="A4402" i="5"/>
  <c r="B4387" i="5"/>
  <c r="B4372" i="5"/>
  <c r="A4359" i="5"/>
  <c r="A4343" i="5"/>
  <c r="A4330" i="5"/>
  <c r="B4315" i="5"/>
  <c r="B4300" i="5"/>
  <c r="A4287" i="5"/>
  <c r="A4271" i="5"/>
  <c r="A4258" i="5"/>
  <c r="B4243" i="5"/>
  <c r="B4228" i="5"/>
  <c r="A4215" i="5"/>
  <c r="A4199" i="5"/>
  <c r="A4186" i="5"/>
  <c r="B4171" i="5"/>
  <c r="B4156" i="5"/>
  <c r="A4143" i="5"/>
  <c r="A4127" i="5"/>
  <c r="A4114" i="5"/>
  <c r="B4099" i="5"/>
  <c r="B4084" i="5"/>
  <c r="A4071" i="5"/>
  <c r="A4055" i="5"/>
  <c r="A4042" i="5"/>
  <c r="B4027" i="5"/>
  <c r="B4012" i="5"/>
  <c r="A3999" i="5"/>
  <c r="A3983" i="5"/>
  <c r="A3970" i="5"/>
  <c r="B3955" i="5"/>
  <c r="B3940" i="5"/>
  <c r="A3927" i="5"/>
  <c r="A3911" i="5"/>
  <c r="A3898" i="5"/>
  <c r="B3883" i="5"/>
  <c r="B3868" i="5"/>
  <c r="A3855" i="5"/>
  <c r="A3839" i="5"/>
  <c r="A3826" i="5"/>
  <c r="B3811" i="5"/>
  <c r="A3800" i="5"/>
  <c r="B3789" i="5"/>
  <c r="B3778" i="5"/>
  <c r="B3769" i="5"/>
  <c r="A3759" i="5"/>
  <c r="A3748" i="5"/>
  <c r="A3737" i="5"/>
  <c r="A3729" i="5"/>
  <c r="B3720" i="5"/>
  <c r="B3712" i="5"/>
  <c r="B3705" i="5"/>
  <c r="A3698" i="5"/>
  <c r="A3691" i="5"/>
  <c r="B3684" i="5"/>
  <c r="B3678" i="5"/>
  <c r="B3672" i="5"/>
  <c r="B3666" i="5"/>
  <c r="B3660" i="5"/>
  <c r="B3654" i="5"/>
  <c r="B3648" i="5"/>
  <c r="B3642" i="5"/>
  <c r="B3636" i="5"/>
  <c r="B3630" i="5"/>
  <c r="B3624" i="5"/>
  <c r="B3618" i="5"/>
  <c r="B3612" i="5"/>
  <c r="B3606" i="5"/>
  <c r="B3600" i="5"/>
  <c r="B3594" i="5"/>
  <c r="B3588" i="5"/>
  <c r="B3582" i="5"/>
  <c r="B3576" i="5"/>
  <c r="B3570" i="5"/>
  <c r="B3564" i="5"/>
  <c r="B3558" i="5"/>
  <c r="B3552" i="5"/>
  <c r="B3546" i="5"/>
  <c r="B3540" i="5"/>
  <c r="B3534" i="5"/>
  <c r="B3528" i="5"/>
  <c r="B3522" i="5"/>
  <c r="B3516" i="5"/>
  <c r="B3510" i="5"/>
  <c r="B3504" i="5"/>
  <c r="B3498" i="5"/>
  <c r="B3492" i="5"/>
  <c r="B3486" i="5"/>
  <c r="B3480" i="5"/>
  <c r="B3474" i="5"/>
  <c r="B3468" i="5"/>
  <c r="B3462" i="5"/>
  <c r="B3456" i="5"/>
  <c r="B3450" i="5"/>
  <c r="B3444" i="5"/>
  <c r="B3438" i="5"/>
  <c r="B3432" i="5"/>
  <c r="B3426" i="5"/>
  <c r="B3420" i="5"/>
  <c r="B3414" i="5"/>
  <c r="B3408" i="5"/>
  <c r="B3402" i="5"/>
  <c r="B3396" i="5"/>
  <c r="B3390" i="5"/>
  <c r="B3384" i="5"/>
  <c r="B3378" i="5"/>
  <c r="B3372" i="5"/>
  <c r="B3366" i="5"/>
  <c r="B3360" i="5"/>
  <c r="B3354" i="5"/>
  <c r="B3348" i="5"/>
  <c r="B3342" i="5"/>
  <c r="B3336" i="5"/>
  <c r="B3330" i="5"/>
  <c r="B3324" i="5"/>
  <c r="B3318" i="5"/>
  <c r="B3312" i="5"/>
  <c r="B3306" i="5"/>
  <c r="B3300" i="5"/>
  <c r="B3294" i="5"/>
  <c r="B3288" i="5"/>
  <c r="B3282" i="5"/>
  <c r="B3276" i="5"/>
  <c r="A4443" i="5"/>
  <c r="A4427" i="5"/>
  <c r="A4414" i="5"/>
  <c r="B4399" i="5"/>
  <c r="B4384" i="5"/>
  <c r="A4371" i="5"/>
  <c r="A4355" i="5"/>
  <c r="A4342" i="5"/>
  <c r="B4327" i="5"/>
  <c r="B4312" i="5"/>
  <c r="A4299" i="5"/>
  <c r="A4283" i="5"/>
  <c r="A4270" i="5"/>
  <c r="B4255" i="5"/>
  <c r="B4240" i="5"/>
  <c r="A4227" i="5"/>
  <c r="A4211" i="5"/>
  <c r="A4198" i="5"/>
  <c r="B4183" i="5"/>
  <c r="B4168" i="5"/>
  <c r="A4155" i="5"/>
  <c r="A4139" i="5"/>
  <c r="A4126" i="5"/>
  <c r="B4111" i="5"/>
  <c r="B4096" i="5"/>
  <c r="A4083" i="5"/>
  <c r="A4067" i="5"/>
  <c r="A4054" i="5"/>
  <c r="B4039" i="5"/>
  <c r="B4024" i="5"/>
  <c r="A4011" i="5"/>
  <c r="A3995" i="5"/>
  <c r="A3982" i="5"/>
  <c r="B3967" i="5"/>
  <c r="B3952" i="5"/>
  <c r="A3939" i="5"/>
  <c r="A3923" i="5"/>
  <c r="A3910" i="5"/>
  <c r="B3895" i="5"/>
  <c r="B3880" i="5"/>
  <c r="A3867" i="5"/>
  <c r="A3851" i="5"/>
  <c r="A3838" i="5"/>
  <c r="B3823" i="5"/>
  <c r="B3808" i="5"/>
  <c r="A3797" i="5"/>
  <c r="A3788" i="5"/>
  <c r="B3777" i="5"/>
  <c r="B3766" i="5"/>
  <c r="B3757" i="5"/>
  <c r="A3747" i="5"/>
  <c r="A3736" i="5"/>
  <c r="B3727" i="5"/>
  <c r="B3718" i="5"/>
  <c r="B3711" i="5"/>
  <c r="A3704" i="5"/>
  <c r="A3697" i="5"/>
  <c r="A3690" i="5"/>
  <c r="B3683" i="5"/>
  <c r="B3677" i="5"/>
  <c r="B3671" i="5"/>
  <c r="B3665" i="5"/>
  <c r="B3659" i="5"/>
  <c r="B3653" i="5"/>
  <c r="B3647" i="5"/>
  <c r="B3641" i="5"/>
  <c r="B3635" i="5"/>
  <c r="B3629" i="5"/>
  <c r="B3623" i="5"/>
  <c r="B3617" i="5"/>
  <c r="B3611" i="5"/>
  <c r="B3605" i="5"/>
  <c r="B3599" i="5"/>
  <c r="B3593" i="5"/>
  <c r="B3587" i="5"/>
  <c r="B3581" i="5"/>
  <c r="B3575" i="5"/>
  <c r="B3569" i="5"/>
  <c r="B3563" i="5"/>
  <c r="B3557" i="5"/>
  <c r="B3551" i="5"/>
  <c r="B3545" i="5"/>
  <c r="B3539" i="5"/>
  <c r="B3533" i="5"/>
  <c r="B3527" i="5"/>
  <c r="B3521" i="5"/>
  <c r="B3515" i="5"/>
  <c r="B3509" i="5"/>
  <c r="B3503" i="5"/>
  <c r="B3497" i="5"/>
  <c r="B3491" i="5"/>
  <c r="B3485" i="5"/>
  <c r="B3479" i="5"/>
  <c r="B3473" i="5"/>
  <c r="B3467" i="5"/>
  <c r="B3461" i="5"/>
  <c r="B3455" i="5"/>
  <c r="B3449" i="5"/>
  <c r="B3443" i="5"/>
  <c r="B3437" i="5"/>
  <c r="B3431" i="5"/>
  <c r="B3425" i="5"/>
  <c r="B3419" i="5"/>
  <c r="B3413" i="5"/>
  <c r="B3407" i="5"/>
  <c r="B3401" i="5"/>
  <c r="B3395" i="5"/>
  <c r="B3389" i="5"/>
  <c r="B3383" i="5"/>
  <c r="B3377" i="5"/>
  <c r="B3371" i="5"/>
  <c r="B3365" i="5"/>
  <c r="B3359" i="5"/>
  <c r="B3353" i="5"/>
  <c r="B3347" i="5"/>
  <c r="B3341" i="5"/>
  <c r="B3335" i="5"/>
  <c r="B3329" i="5"/>
  <c r="B3323" i="5"/>
  <c r="B3317" i="5"/>
  <c r="B3311" i="5"/>
  <c r="B3305" i="5"/>
  <c r="A4439" i="5"/>
  <c r="A4426" i="5"/>
  <c r="B4411" i="5"/>
  <c r="B4396" i="5"/>
  <c r="A4383" i="5"/>
  <c r="A4367" i="5"/>
  <c r="A4354" i="5"/>
  <c r="B4339" i="5"/>
  <c r="B4324" i="5"/>
  <c r="A4311" i="5"/>
  <c r="A4295" i="5"/>
  <c r="A4282" i="5"/>
  <c r="B4267" i="5"/>
  <c r="B4252" i="5"/>
  <c r="A4239" i="5"/>
  <c r="A4223" i="5"/>
  <c r="A4210" i="5"/>
  <c r="B4195" i="5"/>
  <c r="B4180" i="5"/>
  <c r="A4167" i="5"/>
  <c r="A4151" i="5"/>
  <c r="A4138" i="5"/>
  <c r="B4123" i="5"/>
  <c r="B4108" i="5"/>
  <c r="A4095" i="5"/>
  <c r="A4079" i="5"/>
  <c r="A4066" i="5"/>
  <c r="B4051" i="5"/>
  <c r="B4036" i="5"/>
  <c r="A4023" i="5"/>
  <c r="A4007" i="5"/>
  <c r="A3994" i="5"/>
  <c r="B3979" i="5"/>
  <c r="B3964" i="5"/>
  <c r="A3951" i="5"/>
  <c r="A3935" i="5"/>
  <c r="A3922" i="5"/>
  <c r="B3907" i="5"/>
  <c r="B3892" i="5"/>
  <c r="A3879" i="5"/>
  <c r="A3863" i="5"/>
  <c r="A3850" i="5"/>
  <c r="B3835" i="5"/>
  <c r="B3820" i="5"/>
  <c r="A3807" i="5"/>
  <c r="A3796" i="5"/>
  <c r="A3785" i="5"/>
  <c r="A3776" i="5"/>
  <c r="B3765" i="5"/>
  <c r="B3754" i="5"/>
  <c r="B3745" i="5"/>
  <c r="A3735" i="5"/>
  <c r="A3725" i="5"/>
  <c r="B3717" i="5"/>
  <c r="A3710" i="5"/>
  <c r="A3703" i="5"/>
  <c r="A3696" i="5"/>
  <c r="B3688" i="5"/>
  <c r="B3682" i="5"/>
  <c r="B3676" i="5"/>
  <c r="B3670" i="5"/>
  <c r="B3664" i="5"/>
  <c r="B3658" i="5"/>
  <c r="B3652" i="5"/>
  <c r="B3646" i="5"/>
  <c r="B3640" i="5"/>
  <c r="B3634" i="5"/>
  <c r="B3628" i="5"/>
  <c r="B3622" i="5"/>
  <c r="B3616" i="5"/>
  <c r="B3610" i="5"/>
  <c r="B3604" i="5"/>
  <c r="B3598" i="5"/>
  <c r="B3592" i="5"/>
  <c r="B3586" i="5"/>
  <c r="B3580" i="5"/>
  <c r="B3574" i="5"/>
  <c r="B3568" i="5"/>
  <c r="B3562" i="5"/>
  <c r="B3556" i="5"/>
  <c r="B3550" i="5"/>
  <c r="B3544" i="5"/>
  <c r="B3538" i="5"/>
  <c r="B3532" i="5"/>
  <c r="B3526" i="5"/>
  <c r="B3520" i="5"/>
  <c r="B3514" i="5"/>
  <c r="B3508" i="5"/>
  <c r="B3502" i="5"/>
  <c r="B3496" i="5"/>
  <c r="B3490" i="5"/>
  <c r="B3484" i="5"/>
  <c r="B3478" i="5"/>
  <c r="B3472" i="5"/>
  <c r="B3466" i="5"/>
  <c r="B3460" i="5"/>
  <c r="B3454" i="5"/>
  <c r="B3448" i="5"/>
  <c r="B3442" i="5"/>
  <c r="B3436" i="5"/>
  <c r="B3430" i="5"/>
  <c r="B3424" i="5"/>
  <c r="B3418" i="5"/>
  <c r="B3412" i="5"/>
  <c r="B3406" i="5"/>
  <c r="B3400" i="5"/>
  <c r="B3394" i="5"/>
  <c r="B3388" i="5"/>
  <c r="B3382" i="5"/>
  <c r="B3376" i="5"/>
  <c r="B3370" i="5"/>
  <c r="B3364" i="5"/>
  <c r="B4438" i="5"/>
  <c r="A4425" i="5"/>
  <c r="A4409" i="5"/>
  <c r="A4396" i="5"/>
  <c r="B4381" i="5"/>
  <c r="B4366" i="5"/>
  <c r="A4353" i="5"/>
  <c r="A4337" i="5"/>
  <c r="A4324" i="5"/>
  <c r="B4309" i="5"/>
  <c r="B4294" i="5"/>
  <c r="A4281" i="5"/>
  <c r="A4265" i="5"/>
  <c r="A4252" i="5"/>
  <c r="B4237" i="5"/>
  <c r="B4222" i="5"/>
  <c r="A4209" i="5"/>
  <c r="A4193" i="5"/>
  <c r="A4180" i="5"/>
  <c r="B4165" i="5"/>
  <c r="B4150" i="5"/>
  <c r="A4137" i="5"/>
  <c r="A4121" i="5"/>
  <c r="A4108" i="5"/>
  <c r="B4093" i="5"/>
  <c r="B4078" i="5"/>
  <c r="A4065" i="5"/>
  <c r="A4049" i="5"/>
  <c r="A4036" i="5"/>
  <c r="B4021" i="5"/>
  <c r="B4006" i="5"/>
  <c r="A4444" i="5"/>
  <c r="B4441" i="5"/>
  <c r="A4420" i="5"/>
  <c r="A4397" i="5"/>
  <c r="A4377" i="5"/>
  <c r="B4354" i="5"/>
  <c r="B4333" i="5"/>
  <c r="A4312" i="5"/>
  <c r="A4289" i="5"/>
  <c r="A4269" i="5"/>
  <c r="B4246" i="5"/>
  <c r="B4225" i="5"/>
  <c r="A4204" i="5"/>
  <c r="A4181" i="5"/>
  <c r="A4161" i="5"/>
  <c r="B4138" i="5"/>
  <c r="B4117" i="5"/>
  <c r="A4096" i="5"/>
  <c r="A4073" i="5"/>
  <c r="A4053" i="5"/>
  <c r="B4030" i="5"/>
  <c r="B4009" i="5"/>
  <c r="B3988" i="5"/>
  <c r="B3970" i="5"/>
  <c r="B3949" i="5"/>
  <c r="B3931" i="5"/>
  <c r="B3913" i="5"/>
  <c r="A3892" i="5"/>
  <c r="A3874" i="5"/>
  <c r="A3856" i="5"/>
  <c r="A3833" i="5"/>
  <c r="A3815" i="5"/>
  <c r="A3801" i="5"/>
  <c r="B3784" i="5"/>
  <c r="A3772" i="5"/>
  <c r="B3759" i="5"/>
  <c r="A3743" i="5"/>
  <c r="A4438" i="5"/>
  <c r="A4419" i="5"/>
  <c r="A4395" i="5"/>
  <c r="B4375" i="5"/>
  <c r="B4351" i="5"/>
  <c r="A4331" i="5"/>
  <c r="A4307" i="5"/>
  <c r="B4288" i="5"/>
  <c r="B4264" i="5"/>
  <c r="A4246" i="5"/>
  <c r="A4222" i="5"/>
  <c r="A4203" i="5"/>
  <c r="A4179" i="5"/>
  <c r="B4159" i="5"/>
  <c r="B4135" i="5"/>
  <c r="A4115" i="5"/>
  <c r="A4091" i="5"/>
  <c r="B4072" i="5"/>
  <c r="B4048" i="5"/>
  <c r="A4030" i="5"/>
  <c r="A4006" i="5"/>
  <c r="A3988" i="5"/>
  <c r="A3969" i="5"/>
  <c r="A3947" i="5"/>
  <c r="A3929" i="5"/>
  <c r="B3910" i="5"/>
  <c r="A3891" i="5"/>
  <c r="A3873" i="5"/>
  <c r="B3853" i="5"/>
  <c r="B3832" i="5"/>
  <c r="B3814" i="5"/>
  <c r="B3799" i="5"/>
  <c r="A3784" i="5"/>
  <c r="B3771" i="5"/>
  <c r="A3758" i="5"/>
  <c r="B3742" i="5"/>
  <c r="B3730" i="5"/>
  <c r="A3719" i="5"/>
  <c r="A3709" i="5"/>
  <c r="A3700" i="5"/>
  <c r="B3690" i="5"/>
  <c r="B3681" i="5"/>
  <c r="A3674" i="5"/>
  <c r="A3666" i="5"/>
  <c r="B3657" i="5"/>
  <c r="A3650" i="5"/>
  <c r="A3642" i="5"/>
  <c r="B3633" i="5"/>
  <c r="A3626" i="5"/>
  <c r="A3618" i="5"/>
  <c r="B3609" i="5"/>
  <c r="A3602" i="5"/>
  <c r="A3594" i="5"/>
  <c r="B3585" i="5"/>
  <c r="A3578" i="5"/>
  <c r="A3570" i="5"/>
  <c r="B3561" i="5"/>
  <c r="A3554" i="5"/>
  <c r="A3546" i="5"/>
  <c r="B3537" i="5"/>
  <c r="A3530" i="5"/>
  <c r="A3522" i="5"/>
  <c r="B3513" i="5"/>
  <c r="A3506" i="5"/>
  <c r="A3498" i="5"/>
  <c r="B3489" i="5"/>
  <c r="A3482" i="5"/>
  <c r="A3474" i="5"/>
  <c r="B3465" i="5"/>
  <c r="A3458" i="5"/>
  <c r="A3450" i="5"/>
  <c r="B3441" i="5"/>
  <c r="A3434" i="5"/>
  <c r="A3426" i="5"/>
  <c r="B3417" i="5"/>
  <c r="A3410" i="5"/>
  <c r="A3402" i="5"/>
  <c r="B3393" i="5"/>
  <c r="A3386" i="5"/>
  <c r="A3378" i="5"/>
  <c r="B3369" i="5"/>
  <c r="A3362" i="5"/>
  <c r="A3355" i="5"/>
  <c r="A3347" i="5"/>
  <c r="A3340" i="5"/>
  <c r="A3333" i="5"/>
  <c r="A3326" i="5"/>
  <c r="A3319" i="5"/>
  <c r="A3311" i="5"/>
  <c r="A3304" i="5"/>
  <c r="B3297" i="5"/>
  <c r="A3291" i="5"/>
  <c r="B3284" i="5"/>
  <c r="A3278" i="5"/>
  <c r="B3271" i="5"/>
  <c r="B3265" i="5"/>
  <c r="B3259" i="5"/>
  <c r="B3253" i="5"/>
  <c r="B3247" i="5"/>
  <c r="B3241" i="5"/>
  <c r="B3235" i="5"/>
  <c r="B3229" i="5"/>
  <c r="B3223" i="5"/>
  <c r="B3217" i="5"/>
  <c r="B3211" i="5"/>
  <c r="B3205" i="5"/>
  <c r="B3199" i="5"/>
  <c r="B3193" i="5"/>
  <c r="B3187" i="5"/>
  <c r="B3181" i="5"/>
  <c r="B3175" i="5"/>
  <c r="B3169" i="5"/>
  <c r="B3163" i="5"/>
  <c r="B3157" i="5"/>
  <c r="B3151" i="5"/>
  <c r="B3145" i="5"/>
  <c r="B3139" i="5"/>
  <c r="B3133" i="5"/>
  <c r="B3127" i="5"/>
  <c r="B3121" i="5"/>
  <c r="B3115" i="5"/>
  <c r="B3109" i="5"/>
  <c r="B3103" i="5"/>
  <c r="B3097" i="5"/>
  <c r="B3091" i="5"/>
  <c r="B3085" i="5"/>
  <c r="B3079" i="5"/>
  <c r="B4435" i="5"/>
  <c r="B4414" i="5"/>
  <c r="A4391" i="5"/>
  <c r="A4372" i="5"/>
  <c r="B4348" i="5"/>
  <c r="A4329" i="5"/>
  <c r="A4306" i="5"/>
  <c r="B4285" i="5"/>
  <c r="A4263" i="5"/>
  <c r="A4241" i="5"/>
  <c r="B4219" i="5"/>
  <c r="B4198" i="5"/>
  <c r="A4175" i="5"/>
  <c r="A4156" i="5"/>
  <c r="B4132" i="5"/>
  <c r="A4113" i="5"/>
  <c r="A4090" i="5"/>
  <c r="B4069" i="5"/>
  <c r="A4047" i="5"/>
  <c r="A4025" i="5"/>
  <c r="B4003" i="5"/>
  <c r="B3985" i="5"/>
  <c r="A3964" i="5"/>
  <c r="A3946" i="5"/>
  <c r="A3928" i="5"/>
  <c r="A3905" i="5"/>
  <c r="A3887" i="5"/>
  <c r="A3869" i="5"/>
  <c r="A3849" i="5"/>
  <c r="A3831" i="5"/>
  <c r="A3813" i="5"/>
  <c r="B3795" i="5"/>
  <c r="A3783" i="5"/>
  <c r="A3770" i="5"/>
  <c r="A3754" i="5"/>
  <c r="B3741" i="5"/>
  <c r="B3729" i="5"/>
  <c r="A3717" i="5"/>
  <c r="A3708" i="5"/>
  <c r="A3699" i="5"/>
  <c r="A3688" i="5"/>
  <c r="B3680" i="5"/>
  <c r="A3673" i="5"/>
  <c r="A3664" i="5"/>
  <c r="B3656" i="5"/>
  <c r="A3649" i="5"/>
  <c r="A3640" i="5"/>
  <c r="B3632" i="5"/>
  <c r="A3625" i="5"/>
  <c r="A3616" i="5"/>
  <c r="B3608" i="5"/>
  <c r="A3601" i="5"/>
  <c r="A3592" i="5"/>
  <c r="B3584" i="5"/>
  <c r="A3577" i="5"/>
  <c r="A3568" i="5"/>
  <c r="B3560" i="5"/>
  <c r="A3553" i="5"/>
  <c r="A3544" i="5"/>
  <c r="B3536" i="5"/>
  <c r="A3529" i="5"/>
  <c r="A3520" i="5"/>
  <c r="B3512" i="5"/>
  <c r="A3505" i="5"/>
  <c r="A3496" i="5"/>
  <c r="B3488" i="5"/>
  <c r="A3481" i="5"/>
  <c r="A3472" i="5"/>
  <c r="B3464" i="5"/>
  <c r="A3457" i="5"/>
  <c r="A3448" i="5"/>
  <c r="B3440" i="5"/>
  <c r="A3433" i="5"/>
  <c r="A3424" i="5"/>
  <c r="B3416" i="5"/>
  <c r="A3409" i="5"/>
  <c r="A3400" i="5"/>
  <c r="B3392" i="5"/>
  <c r="A3385" i="5"/>
  <c r="A3376" i="5"/>
  <c r="B3368" i="5"/>
  <c r="A3361" i="5"/>
  <c r="A3353" i="5"/>
  <c r="A3346" i="5"/>
  <c r="A3339" i="5"/>
  <c r="A3332" i="5"/>
  <c r="A3325" i="5"/>
  <c r="A3317" i="5"/>
  <c r="A3310" i="5"/>
  <c r="A3303" i="5"/>
  <c r="B3296" i="5"/>
  <c r="A3290" i="5"/>
  <c r="B3283" i="5"/>
  <c r="A3277" i="5"/>
  <c r="B3270" i="5"/>
  <c r="B3264" i="5"/>
  <c r="B3258" i="5"/>
  <c r="B3252" i="5"/>
  <c r="B3246" i="5"/>
  <c r="B3240" i="5"/>
  <c r="B3234" i="5"/>
  <c r="B3228" i="5"/>
  <c r="B3222" i="5"/>
  <c r="B3216" i="5"/>
  <c r="B3210" i="5"/>
  <c r="B3204" i="5"/>
  <c r="B3198" i="5"/>
  <c r="B3192" i="5"/>
  <c r="B3186" i="5"/>
  <c r="B3180" i="5"/>
  <c r="B3174" i="5"/>
  <c r="B3168" i="5"/>
  <c r="A4437" i="5"/>
  <c r="A4408" i="5"/>
  <c r="A4379" i="5"/>
  <c r="A4349" i="5"/>
  <c r="B4321" i="5"/>
  <c r="A4294" i="5"/>
  <c r="A4264" i="5"/>
  <c r="B4234" i="5"/>
  <c r="B4207" i="5"/>
  <c r="B4177" i="5"/>
  <c r="A4433" i="5"/>
  <c r="A4407" i="5"/>
  <c r="B4378" i="5"/>
  <c r="A4348" i="5"/>
  <c r="A4319" i="5"/>
  <c r="A4293" i="5"/>
  <c r="B4261" i="5"/>
  <c r="A4234" i="5"/>
  <c r="A4205" i="5"/>
  <c r="B4174" i="5"/>
  <c r="B4147" i="5"/>
  <c r="A4120" i="5"/>
  <c r="A4089" i="5"/>
  <c r="B4060" i="5"/>
  <c r="B4033" i="5"/>
  <c r="A4001" i="5"/>
  <c r="B3976" i="5"/>
  <c r="A3953" i="5"/>
  <c r="B3925" i="5"/>
  <c r="B3901" i="5"/>
  <c r="A3875" i="5"/>
  <c r="B3847" i="5"/>
  <c r="A3825" i="5"/>
  <c r="A3802" i="5"/>
  <c r="A3782" i="5"/>
  <c r="A3764" i="5"/>
  <c r="B3747" i="5"/>
  <c r="A3730" i="5"/>
  <c r="B3715" i="5"/>
  <c r="A3705" i="5"/>
  <c r="B3693" i="5"/>
  <c r="A3683" i="5"/>
  <c r="B3673" i="5"/>
  <c r="A3663" i="5"/>
  <c r="A3654" i="5"/>
  <c r="B3644" i="5"/>
  <c r="A3635" i="5"/>
  <c r="B3625" i="5"/>
  <c r="A3615" i="5"/>
  <c r="A3606" i="5"/>
  <c r="B3596" i="5"/>
  <c r="A3587" i="5"/>
  <c r="B3577" i="5"/>
  <c r="A3567" i="5"/>
  <c r="A3558" i="5"/>
  <c r="B3548" i="5"/>
  <c r="A3539" i="5"/>
  <c r="B3529" i="5"/>
  <c r="A3519" i="5"/>
  <c r="A3510" i="5"/>
  <c r="B3500" i="5"/>
  <c r="A3491" i="5"/>
  <c r="B3481" i="5"/>
  <c r="A3471" i="5"/>
  <c r="A3462" i="5"/>
  <c r="B3452" i="5"/>
  <c r="A3443" i="5"/>
  <c r="B3433" i="5"/>
  <c r="A3423" i="5"/>
  <c r="A3414" i="5"/>
  <c r="B3404" i="5"/>
  <c r="A3395" i="5"/>
  <c r="B3385" i="5"/>
  <c r="A3375" i="5"/>
  <c r="A3366" i="5"/>
  <c r="A3357" i="5"/>
  <c r="A3349" i="5"/>
  <c r="B3339" i="5"/>
  <c r="A3331" i="5"/>
  <c r="A3322" i="5"/>
  <c r="A3314" i="5"/>
  <c r="A3305" i="5"/>
  <c r="A3297" i="5"/>
  <c r="A3289" i="5"/>
  <c r="A3281" i="5"/>
  <c r="B3273" i="5"/>
  <c r="B3266" i="5"/>
  <c r="A3259" i="5"/>
  <c r="B3251" i="5"/>
  <c r="B3244" i="5"/>
  <c r="B3237" i="5"/>
  <c r="B3230" i="5"/>
  <c r="A3223" i="5"/>
  <c r="B3215" i="5"/>
  <c r="B3208" i="5"/>
  <c r="B3201" i="5"/>
  <c r="B3194" i="5"/>
  <c r="A3187" i="5"/>
  <c r="B3179" i="5"/>
  <c r="B3172" i="5"/>
  <c r="B3165" i="5"/>
  <c r="A3159" i="5"/>
  <c r="B3152" i="5"/>
  <c r="A3146" i="5"/>
  <c r="A3139" i="5"/>
  <c r="B3132" i="5"/>
  <c r="A3126" i="5"/>
  <c r="B3119" i="5"/>
  <c r="A3113" i="5"/>
  <c r="B3106" i="5"/>
  <c r="A3100" i="5"/>
  <c r="B3093" i="5"/>
  <c r="A3087" i="5"/>
  <c r="B3080" i="5"/>
  <c r="A3074" i="5"/>
  <c r="A3068" i="5"/>
  <c r="A3062" i="5"/>
  <c r="A3056" i="5"/>
  <c r="A3050" i="5"/>
  <c r="A3044" i="5"/>
  <c r="A3038" i="5"/>
  <c r="A3032" i="5"/>
  <c r="A3026" i="5"/>
  <c r="A3020" i="5"/>
  <c r="A3014" i="5"/>
  <c r="A3008" i="5"/>
  <c r="A3002" i="5"/>
  <c r="A2996" i="5"/>
  <c r="A2990" i="5"/>
  <c r="A2984" i="5"/>
  <c r="A2978" i="5"/>
  <c r="A2972" i="5"/>
  <c r="A2966" i="5"/>
  <c r="A2960" i="5"/>
  <c r="A2954" i="5"/>
  <c r="A2948" i="5"/>
  <c r="A2942" i="5"/>
  <c r="B4432" i="5"/>
  <c r="B4405" i="5"/>
  <c r="A4378" i="5"/>
  <c r="A4347" i="5"/>
  <c r="B4318" i="5"/>
  <c r="B4291" i="5"/>
  <c r="A4259" i="5"/>
  <c r="A4233" i="5"/>
  <c r="B4204" i="5"/>
  <c r="A4174" i="5"/>
  <c r="A4145" i="5"/>
  <c r="A4119" i="5"/>
  <c r="B4087" i="5"/>
  <c r="A4060" i="5"/>
  <c r="A4031" i="5"/>
  <c r="B4000" i="5"/>
  <c r="A3976" i="5"/>
  <c r="A3952" i="5"/>
  <c r="B3922" i="5"/>
  <c r="A3899" i="5"/>
  <c r="B3874" i="5"/>
  <c r="A3845" i="5"/>
  <c r="A3821" i="5"/>
  <c r="B3801" i="5"/>
  <c r="B3781" i="5"/>
  <c r="B3763" i="5"/>
  <c r="A3746" i="5"/>
  <c r="A3728" i="5"/>
  <c r="A3715" i="5"/>
  <c r="B3703" i="5"/>
  <c r="A3693" i="5"/>
  <c r="A3682" i="5"/>
  <c r="A3672" i="5"/>
  <c r="B3662" i="5"/>
  <c r="A3653" i="5"/>
  <c r="A3644" i="5"/>
  <c r="A3634" i="5"/>
  <c r="A3624" i="5"/>
  <c r="B3614" i="5"/>
  <c r="A3605" i="5"/>
  <c r="A3596" i="5"/>
  <c r="A3586" i="5"/>
  <c r="A3576" i="5"/>
  <c r="B3566" i="5"/>
  <c r="A3557" i="5"/>
  <c r="A3548" i="5"/>
  <c r="A3538" i="5"/>
  <c r="A3528" i="5"/>
  <c r="B3518" i="5"/>
  <c r="A3509" i="5"/>
  <c r="A3500" i="5"/>
  <c r="A3490" i="5"/>
  <c r="A3480" i="5"/>
  <c r="B3470" i="5"/>
  <c r="A3461" i="5"/>
  <c r="A3452" i="5"/>
  <c r="A3442" i="5"/>
  <c r="A3432" i="5"/>
  <c r="B3422" i="5"/>
  <c r="A3413" i="5"/>
  <c r="A3404" i="5"/>
  <c r="A3394" i="5"/>
  <c r="A3384" i="5"/>
  <c r="B3374" i="5"/>
  <c r="A3365" i="5"/>
  <c r="B3356" i="5"/>
  <c r="A3348" i="5"/>
  <c r="B3338" i="5"/>
  <c r="A3330" i="5"/>
  <c r="B3321" i="5"/>
  <c r="B3313" i="5"/>
  <c r="B3304" i="5"/>
  <c r="A3296" i="5"/>
  <c r="A3288" i="5"/>
  <c r="B3280" i="5"/>
  <c r="A3273" i="5"/>
  <c r="A3266" i="5"/>
  <c r="A3258" i="5"/>
  <c r="A3251" i="5"/>
  <c r="A3244" i="5"/>
  <c r="A3237" i="5"/>
  <c r="A3230" i="5"/>
  <c r="A3222" i="5"/>
  <c r="A3215" i="5"/>
  <c r="A3208" i="5"/>
  <c r="A3201" i="5"/>
  <c r="A3194" i="5"/>
  <c r="A3186" i="5"/>
  <c r="A3179" i="5"/>
  <c r="A3172" i="5"/>
  <c r="A3165" i="5"/>
  <c r="B3158" i="5"/>
  <c r="A3152" i="5"/>
  <c r="A3145" i="5"/>
  <c r="B3138" i="5"/>
  <c r="A3132" i="5"/>
  <c r="B3125" i="5"/>
  <c r="A3119" i="5"/>
  <c r="B3112" i="5"/>
  <c r="A3106" i="5"/>
  <c r="B3099" i="5"/>
  <c r="A3093" i="5"/>
  <c r="B3086" i="5"/>
  <c r="A3080" i="5"/>
  <c r="B3073" i="5"/>
  <c r="B3067" i="5"/>
  <c r="B3061" i="5"/>
  <c r="B3055" i="5"/>
  <c r="B3049" i="5"/>
  <c r="B3043" i="5"/>
  <c r="B3037" i="5"/>
  <c r="B3031" i="5"/>
  <c r="B3025" i="5"/>
  <c r="B3019" i="5"/>
  <c r="B3013" i="5"/>
  <c r="B3007" i="5"/>
  <c r="B3001" i="5"/>
  <c r="B2995" i="5"/>
  <c r="B2989" i="5"/>
  <c r="B2983" i="5"/>
  <c r="B2977" i="5"/>
  <c r="B2971" i="5"/>
  <c r="B2965" i="5"/>
  <c r="B2959" i="5"/>
  <c r="B2953" i="5"/>
  <c r="B2947" i="5"/>
  <c r="B2941" i="5"/>
  <c r="B2935" i="5"/>
  <c r="B2929" i="5"/>
  <c r="B2923" i="5"/>
  <c r="B2917" i="5"/>
  <c r="B2911" i="5"/>
  <c r="B2905" i="5"/>
  <c r="B2899" i="5"/>
  <c r="B2893" i="5"/>
  <c r="B2887" i="5"/>
  <c r="B2881" i="5"/>
  <c r="B2875" i="5"/>
  <c r="B2869" i="5"/>
  <c r="B2863" i="5"/>
  <c r="B2857" i="5"/>
  <c r="B2851" i="5"/>
  <c r="B2845" i="5"/>
  <c r="B2839" i="5"/>
  <c r="B2833" i="5"/>
  <c r="B2827" i="5"/>
  <c r="B2821" i="5"/>
  <c r="B2815" i="5"/>
  <c r="B2809" i="5"/>
  <c r="B2803" i="5"/>
  <c r="B2797" i="5"/>
  <c r="B2791" i="5"/>
  <c r="B2785" i="5"/>
  <c r="B2779" i="5"/>
  <c r="B2773" i="5"/>
  <c r="B2767" i="5"/>
  <c r="B2761" i="5"/>
  <c r="B2755" i="5"/>
  <c r="B2749" i="5"/>
  <c r="B2743" i="5"/>
  <c r="B2737" i="5"/>
  <c r="B2731" i="5"/>
  <c r="B2725" i="5"/>
  <c r="B2719" i="5"/>
  <c r="B2713" i="5"/>
  <c r="B2707" i="5"/>
  <c r="B2701" i="5"/>
  <c r="B2695" i="5"/>
  <c r="B2689" i="5"/>
  <c r="B2683" i="5"/>
  <c r="B2677" i="5"/>
  <c r="B2671" i="5"/>
  <c r="B2665" i="5"/>
  <c r="B2659" i="5"/>
  <c r="B2653" i="5"/>
  <c r="B2647" i="5"/>
  <c r="B2641" i="5"/>
  <c r="B2635" i="5"/>
  <c r="B2629" i="5"/>
  <c r="B2623" i="5"/>
  <c r="B2617" i="5"/>
  <c r="B2611" i="5"/>
  <c r="B2605" i="5"/>
  <c r="B2599" i="5"/>
  <c r="B2593" i="5"/>
  <c r="B2587" i="5"/>
  <c r="B2581" i="5"/>
  <c r="B4429" i="5"/>
  <c r="B4402" i="5"/>
  <c r="B4369" i="5"/>
  <c r="B4342" i="5"/>
  <c r="A4317" i="5"/>
  <c r="B4282" i="5"/>
  <c r="A4257" i="5"/>
  <c r="A4229" i="5"/>
  <c r="A4197" i="5"/>
  <c r="A4169" i="5"/>
  <c r="A4144" i="5"/>
  <c r="A4109" i="5"/>
  <c r="A4084" i="5"/>
  <c r="B4057" i="5"/>
  <c r="A4024" i="5"/>
  <c r="B3997" i="5"/>
  <c r="B3973" i="5"/>
  <c r="A3945" i="5"/>
  <c r="B3919" i="5"/>
  <c r="A3897" i="5"/>
  <c r="A3868" i="5"/>
  <c r="A3844" i="5"/>
  <c r="A3819" i="5"/>
  <c r="A3795" i="5"/>
  <c r="A3778" i="5"/>
  <c r="B3760" i="5"/>
  <c r="A3741" i="5"/>
  <c r="B3724" i="5"/>
  <c r="A3714" i="5"/>
  <c r="A3702" i="5"/>
  <c r="B3691" i="5"/>
  <c r="A3680" i="5"/>
  <c r="A3670" i="5"/>
  <c r="B3661" i="5"/>
  <c r="B3651" i="5"/>
  <c r="A3643" i="5"/>
  <c r="A3632" i="5"/>
  <c r="A3622" i="5"/>
  <c r="B3613" i="5"/>
  <c r="B3603" i="5"/>
  <c r="A3595" i="5"/>
  <c r="A3584" i="5"/>
  <c r="A3574" i="5"/>
  <c r="B3565" i="5"/>
  <c r="B3555" i="5"/>
  <c r="A3547" i="5"/>
  <c r="A3536" i="5"/>
  <c r="A3526" i="5"/>
  <c r="B3517" i="5"/>
  <c r="B3507" i="5"/>
  <c r="A3499" i="5"/>
  <c r="A3488" i="5"/>
  <c r="A3478" i="5"/>
  <c r="B3469" i="5"/>
  <c r="B3459" i="5"/>
  <c r="A3451" i="5"/>
  <c r="A3440" i="5"/>
  <c r="A3430" i="5"/>
  <c r="B3421" i="5"/>
  <c r="B3411" i="5"/>
  <c r="A3403" i="5"/>
  <c r="A3392" i="5"/>
  <c r="A3382" i="5"/>
  <c r="B3373" i="5"/>
  <c r="B3363" i="5"/>
  <c r="B3355" i="5"/>
  <c r="B3345" i="5"/>
  <c r="B3337" i="5"/>
  <c r="B3328" i="5"/>
  <c r="B3320" i="5"/>
  <c r="A3312" i="5"/>
  <c r="B3302" i="5"/>
  <c r="A3295" i="5"/>
  <c r="A3287" i="5"/>
  <c r="B3279" i="5"/>
  <c r="A3272" i="5"/>
  <c r="A3264" i="5"/>
  <c r="A3257" i="5"/>
  <c r="A3250" i="5"/>
  <c r="A3243" i="5"/>
  <c r="A3236" i="5"/>
  <c r="A3228" i="5"/>
  <c r="A3221" i="5"/>
  <c r="A3214" i="5"/>
  <c r="A3207" i="5"/>
  <c r="A3200" i="5"/>
  <c r="A3192" i="5"/>
  <c r="A3185" i="5"/>
  <c r="A3178" i="5"/>
  <c r="A3171" i="5"/>
  <c r="A3164" i="5"/>
  <c r="A3157" i="5"/>
  <c r="B3150" i="5"/>
  <c r="A3144" i="5"/>
  <c r="B3137" i="5"/>
  <c r="A3131" i="5"/>
  <c r="B3124" i="5"/>
  <c r="A3118" i="5"/>
  <c r="B3111" i="5"/>
  <c r="A3105" i="5"/>
  <c r="B3098" i="5"/>
  <c r="A3092" i="5"/>
  <c r="A3085" i="5"/>
  <c r="B3078" i="5"/>
  <c r="B3072" i="5"/>
  <c r="B3066" i="5"/>
  <c r="B3060" i="5"/>
  <c r="B3054" i="5"/>
  <c r="B3048" i="5"/>
  <c r="B3042" i="5"/>
  <c r="B3036" i="5"/>
  <c r="B3030" i="5"/>
  <c r="B3024" i="5"/>
  <c r="A4432" i="5"/>
  <c r="A4390" i="5"/>
  <c r="B4345" i="5"/>
  <c r="B4303" i="5"/>
  <c r="B4258" i="5"/>
  <c r="B4216" i="5"/>
  <c r="A4173" i="5"/>
  <c r="A4132" i="5"/>
  <c r="A4101" i="5"/>
  <c r="A4059" i="5"/>
  <c r="A4018" i="5"/>
  <c r="B3982" i="5"/>
  <c r="B3946" i="5"/>
  <c r="A3916" i="5"/>
  <c r="A3881" i="5"/>
  <c r="B3844" i="5"/>
  <c r="A3809" i="5"/>
  <c r="A3789" i="5"/>
  <c r="A3761" i="5"/>
  <c r="B3736" i="5"/>
  <c r="A3721" i="5"/>
  <c r="B3702" i="5"/>
  <c r="A3687" i="5"/>
  <c r="B3675" i="5"/>
  <c r="A3662" i="5"/>
  <c r="B3649" i="5"/>
  <c r="B3637" i="5"/>
  <c r="A3623" i="5"/>
  <c r="A3611" i="5"/>
  <c r="A3598" i="5"/>
  <c r="A3585" i="5"/>
  <c r="B3572" i="5"/>
  <c r="A3560" i="5"/>
  <c r="B3547" i="5"/>
  <c r="A3534" i="5"/>
  <c r="A3523" i="5"/>
  <c r="A3508" i="5"/>
  <c r="A3495" i="5"/>
  <c r="B3483" i="5"/>
  <c r="A3470" i="5"/>
  <c r="B3457" i="5"/>
  <c r="B3445" i="5"/>
  <c r="A3431" i="5"/>
  <c r="A3419" i="5"/>
  <c r="A3406" i="5"/>
  <c r="A3393" i="5"/>
  <c r="B3380" i="5"/>
  <c r="A3368" i="5"/>
  <c r="A3356" i="5"/>
  <c r="A3344" i="5"/>
  <c r="B3333" i="5"/>
  <c r="A3321" i="5"/>
  <c r="A3309" i="5"/>
  <c r="A3299" i="5"/>
  <c r="B3287" i="5"/>
  <c r="B3277" i="5"/>
  <c r="A3268" i="5"/>
  <c r="B3257" i="5"/>
  <c r="B3248" i="5"/>
  <c r="A3239" i="5"/>
  <c r="A3229" i="5"/>
  <c r="B3219" i="5"/>
  <c r="A3210" i="5"/>
  <c r="B3200" i="5"/>
  <c r="B3190" i="5"/>
  <c r="A3182" i="5"/>
  <c r="B3171" i="5"/>
  <c r="A3162" i="5"/>
  <c r="A3154" i="5"/>
  <c r="B3144" i="5"/>
  <c r="A3136" i="5"/>
  <c r="A3128" i="5"/>
  <c r="B3118" i="5"/>
  <c r="A3110" i="5"/>
  <c r="B3101" i="5"/>
  <c r="B3092" i="5"/>
  <c r="B3083" i="5"/>
  <c r="B3075" i="5"/>
  <c r="A3067" i="5"/>
  <c r="A3059" i="5"/>
  <c r="B3051" i="5"/>
  <c r="A3043" i="5"/>
  <c r="A3035" i="5"/>
  <c r="B3027" i="5"/>
  <c r="A3019" i="5"/>
  <c r="A3012" i="5"/>
  <c r="A3005" i="5"/>
  <c r="A2998" i="5"/>
  <c r="A2991" i="5"/>
  <c r="A2983" i="5"/>
  <c r="A2976" i="5"/>
  <c r="A2969" i="5"/>
  <c r="A2962" i="5"/>
  <c r="A2955" i="5"/>
  <c r="A2947" i="5"/>
  <c r="A2940" i="5"/>
  <c r="B2933" i="5"/>
  <c r="A2927" i="5"/>
  <c r="B2920" i="5"/>
  <c r="A2914" i="5"/>
  <c r="B2907" i="5"/>
  <c r="A2901" i="5"/>
  <c r="B2894" i="5"/>
  <c r="A2888" i="5"/>
  <c r="A2881" i="5"/>
  <c r="B2874" i="5"/>
  <c r="A2868" i="5"/>
  <c r="B2861" i="5"/>
  <c r="A2855" i="5"/>
  <c r="B2848" i="5"/>
  <c r="A2842" i="5"/>
  <c r="B2835" i="5"/>
  <c r="A2829" i="5"/>
  <c r="B2822" i="5"/>
  <c r="A2816" i="5"/>
  <c r="A2809" i="5"/>
  <c r="B2802" i="5"/>
  <c r="A2796" i="5"/>
  <c r="B2789" i="5"/>
  <c r="A2783" i="5"/>
  <c r="B2776" i="5"/>
  <c r="A2770" i="5"/>
  <c r="B2763" i="5"/>
  <c r="A2757" i="5"/>
  <c r="B2750" i="5"/>
  <c r="A2744" i="5"/>
  <c r="A2737" i="5"/>
  <c r="B2730" i="5"/>
  <c r="A2724" i="5"/>
  <c r="B2717" i="5"/>
  <c r="A2711" i="5"/>
  <c r="B2704" i="5"/>
  <c r="A2698" i="5"/>
  <c r="B2691" i="5"/>
  <c r="A2685" i="5"/>
  <c r="B2678" i="5"/>
  <c r="A2672" i="5"/>
  <c r="A2665" i="5"/>
  <c r="B2658" i="5"/>
  <c r="A2652" i="5"/>
  <c r="B2645" i="5"/>
  <c r="A2639" i="5"/>
  <c r="B2632" i="5"/>
  <c r="A2626" i="5"/>
  <c r="B2619" i="5"/>
  <c r="A2613" i="5"/>
  <c r="B2606" i="5"/>
  <c r="A2600" i="5"/>
  <c r="A2593" i="5"/>
  <c r="B2586" i="5"/>
  <c r="A2580" i="5"/>
  <c r="A2574" i="5"/>
  <c r="A2568" i="5"/>
  <c r="A2562" i="5"/>
  <c r="A2556" i="5"/>
  <c r="A2550" i="5"/>
  <c r="A2544" i="5"/>
  <c r="A2538" i="5"/>
  <c r="A2532" i="5"/>
  <c r="A2526" i="5"/>
  <c r="A2520" i="5"/>
  <c r="A2514" i="5"/>
  <c r="A2508" i="5"/>
  <c r="A2502" i="5"/>
  <c r="A2496" i="5"/>
  <c r="A2490" i="5"/>
  <c r="A2484" i="5"/>
  <c r="A2478" i="5"/>
  <c r="A2472" i="5"/>
  <c r="A2466" i="5"/>
  <c r="A2460" i="5"/>
  <c r="A2454" i="5"/>
  <c r="A2448" i="5"/>
  <c r="A2442" i="5"/>
  <c r="A2436" i="5"/>
  <c r="A2430" i="5"/>
  <c r="A2424" i="5"/>
  <c r="A2418" i="5"/>
  <c r="A2412" i="5"/>
  <c r="A2406" i="5"/>
  <c r="A2400" i="5"/>
  <c r="A2394" i="5"/>
  <c r="A2388" i="5"/>
  <c r="A2382" i="5"/>
  <c r="A2376" i="5"/>
  <c r="A2370" i="5"/>
  <c r="A2364" i="5"/>
  <c r="A2358" i="5"/>
  <c r="A2352" i="5"/>
  <c r="A2346" i="5"/>
  <c r="A2340" i="5"/>
  <c r="A2334" i="5"/>
  <c r="A2328" i="5"/>
  <c r="A2322" i="5"/>
  <c r="A2316" i="5"/>
  <c r="A2310" i="5"/>
  <c r="A2304" i="5"/>
  <c r="A2298" i="5"/>
  <c r="A2292" i="5"/>
  <c r="A2286" i="5"/>
  <c r="A2280" i="5"/>
  <c r="A2274" i="5"/>
  <c r="A2268" i="5"/>
  <c r="A2262" i="5"/>
  <c r="A2256" i="5"/>
  <c r="A2250" i="5"/>
  <c r="A2244" i="5"/>
  <c r="A2238" i="5"/>
  <c r="A2232" i="5"/>
  <c r="A2226" i="5"/>
  <c r="A2220" i="5"/>
  <c r="A2214" i="5"/>
  <c r="A2208" i="5"/>
  <c r="A2202" i="5"/>
  <c r="A2196" i="5"/>
  <c r="A2190" i="5"/>
  <c r="A2184" i="5"/>
  <c r="A2178" i="5"/>
  <c r="A2172" i="5"/>
  <c r="A2166" i="5"/>
  <c r="A2160" i="5"/>
  <c r="A2154" i="5"/>
  <c r="A2148" i="5"/>
  <c r="A2142" i="5"/>
  <c r="A2136" i="5"/>
  <c r="A2130" i="5"/>
  <c r="A2124" i="5"/>
  <c r="A2118" i="5"/>
  <c r="A2112" i="5"/>
  <c r="A2106" i="5"/>
  <c r="A2100" i="5"/>
  <c r="A2094" i="5"/>
  <c r="A2088" i="5"/>
  <c r="A2082" i="5"/>
  <c r="A2076" i="5"/>
  <c r="A2070" i="5"/>
  <c r="A2064" i="5"/>
  <c r="A2058" i="5"/>
  <c r="A2052" i="5"/>
  <c r="A2046" i="5"/>
  <c r="A2040" i="5"/>
  <c r="A2034" i="5"/>
  <c r="A2028" i="5"/>
  <c r="A2022" i="5"/>
  <c r="A2016" i="5"/>
  <c r="A2010" i="5"/>
  <c r="A2004" i="5"/>
  <c r="A1998" i="5"/>
  <c r="A1992" i="5"/>
  <c r="A1986" i="5"/>
  <c r="A1980" i="5"/>
  <c r="A1974" i="5"/>
  <c r="A1968" i="5"/>
  <c r="A1962" i="5"/>
  <c r="A1956" i="5"/>
  <c r="B4426" i="5"/>
  <c r="A4389" i="5"/>
  <c r="A4341" i="5"/>
  <c r="A4301" i="5"/>
  <c r="A4253" i="5"/>
  <c r="A4216" i="5"/>
  <c r="A4168" i="5"/>
  <c r="A4131" i="5"/>
  <c r="A4097" i="5"/>
  <c r="B4054" i="5"/>
  <c r="A4017" i="5"/>
  <c r="A3981" i="5"/>
  <c r="B3943" i="5"/>
  <c r="A3915" i="5"/>
  <c r="A3880" i="5"/>
  <c r="A3843" i="5"/>
  <c r="A3808" i="5"/>
  <c r="B3787" i="5"/>
  <c r="A3760" i="5"/>
  <c r="B3735" i="5"/>
  <c r="A3718" i="5"/>
  <c r="A3701" i="5"/>
  <c r="B3686" i="5"/>
  <c r="A3675" i="5"/>
  <c r="A3661" i="5"/>
  <c r="A3648" i="5"/>
  <c r="A3637" i="5"/>
  <c r="B3621" i="5"/>
  <c r="A3610" i="5"/>
  <c r="B3597" i="5"/>
  <c r="B3583" i="5"/>
  <c r="A3572" i="5"/>
  <c r="B3559" i="5"/>
  <c r="A3545" i="5"/>
  <c r="A3533" i="5"/>
  <c r="A3521" i="5"/>
  <c r="A3507" i="5"/>
  <c r="B3494" i="5"/>
  <c r="A3483" i="5"/>
  <c r="A3469" i="5"/>
  <c r="A3456" i="5"/>
  <c r="A3445" i="5"/>
  <c r="B3429" i="5"/>
  <c r="A3418" i="5"/>
  <c r="B3405" i="5"/>
  <c r="B3391" i="5"/>
  <c r="A3380" i="5"/>
  <c r="B3367" i="5"/>
  <c r="A3354" i="5"/>
  <c r="B3343" i="5"/>
  <c r="B3332" i="5"/>
  <c r="A3320" i="5"/>
  <c r="B3308" i="5"/>
  <c r="B3298" i="5"/>
  <c r="B3286" i="5"/>
  <c r="A3276" i="5"/>
  <c r="B3267" i="5"/>
  <c r="B3256" i="5"/>
  <c r="A3248" i="5"/>
  <c r="B3238" i="5"/>
  <c r="B3227" i="5"/>
  <c r="A3219" i="5"/>
  <c r="B3209" i="5"/>
  <c r="A3199" i="5"/>
  <c r="A3190" i="5"/>
  <c r="A3181" i="5"/>
  <c r="B3170" i="5"/>
  <c r="B3161" i="5"/>
  <c r="B3153" i="5"/>
  <c r="B3143" i="5"/>
  <c r="B3135" i="5"/>
  <c r="A3127" i="5"/>
  <c r="B3117" i="5"/>
  <c r="A3109" i="5"/>
  <c r="A3101" i="5"/>
  <c r="A3091" i="5"/>
  <c r="A3083" i="5"/>
  <c r="A3075" i="5"/>
  <c r="A3066" i="5"/>
  <c r="B3058" i="5"/>
  <c r="A3051" i="5"/>
  <c r="A3042" i="5"/>
  <c r="B3034" i="5"/>
  <c r="A3027" i="5"/>
  <c r="B3018" i="5"/>
  <c r="B3011" i="5"/>
  <c r="B3004" i="5"/>
  <c r="B2997" i="5"/>
  <c r="B2990" i="5"/>
  <c r="B2982" i="5"/>
  <c r="B2975" i="5"/>
  <c r="B2968" i="5"/>
  <c r="B2961" i="5"/>
  <c r="B2954" i="5"/>
  <c r="B2946" i="5"/>
  <c r="B2939" i="5"/>
  <c r="A2933" i="5"/>
  <c r="B2926" i="5"/>
  <c r="A2920" i="5"/>
  <c r="B2913" i="5"/>
  <c r="A2907" i="5"/>
  <c r="B2900" i="5"/>
  <c r="A2894" i="5"/>
  <c r="A2887" i="5"/>
  <c r="B2880" i="5"/>
  <c r="A2874" i="5"/>
  <c r="B2867" i="5"/>
  <c r="A2861" i="5"/>
  <c r="B2854" i="5"/>
  <c r="A2848" i="5"/>
  <c r="B2841" i="5"/>
  <c r="A2835" i="5"/>
  <c r="B2828" i="5"/>
  <c r="A2822" i="5"/>
  <c r="A2815" i="5"/>
  <c r="B2808" i="5"/>
  <c r="A2802" i="5"/>
  <c r="B2795" i="5"/>
  <c r="A2789" i="5"/>
  <c r="B2782" i="5"/>
  <c r="A2776" i="5"/>
  <c r="B2769" i="5"/>
  <c r="A2763" i="5"/>
  <c r="B2756" i="5"/>
  <c r="A2750" i="5"/>
  <c r="A2743" i="5"/>
  <c r="B2736" i="5"/>
  <c r="A2730" i="5"/>
  <c r="B2723" i="5"/>
  <c r="A2717" i="5"/>
  <c r="B2710" i="5"/>
  <c r="A2704" i="5"/>
  <c r="B2697" i="5"/>
  <c r="A2691" i="5"/>
  <c r="B2684" i="5"/>
  <c r="A2678" i="5"/>
  <c r="A2671" i="5"/>
  <c r="B2664" i="5"/>
  <c r="A2658" i="5"/>
  <c r="B2651" i="5"/>
  <c r="A2645" i="5"/>
  <c r="B2638" i="5"/>
  <c r="A2632" i="5"/>
  <c r="B2625" i="5"/>
  <c r="A2619" i="5"/>
  <c r="B2612" i="5"/>
  <c r="A2606" i="5"/>
  <c r="A2599" i="5"/>
  <c r="B2592" i="5"/>
  <c r="A2586" i="5"/>
  <c r="B2579" i="5"/>
  <c r="B2573" i="5"/>
  <c r="B2567" i="5"/>
  <c r="B2561" i="5"/>
  <c r="B2555" i="5"/>
  <c r="B2549" i="5"/>
  <c r="B2543" i="5"/>
  <c r="B2537" i="5"/>
  <c r="B2531" i="5"/>
  <c r="B2525" i="5"/>
  <c r="B2519" i="5"/>
  <c r="B2513" i="5"/>
  <c r="B2507" i="5"/>
  <c r="B2501" i="5"/>
  <c r="B2495" i="5"/>
  <c r="B2489" i="5"/>
  <c r="B2483" i="5"/>
  <c r="B2477" i="5"/>
  <c r="B2471" i="5"/>
  <c r="B2465" i="5"/>
  <c r="B2459" i="5"/>
  <c r="B2453" i="5"/>
  <c r="B2447" i="5"/>
  <c r="B2441" i="5"/>
  <c r="B2435" i="5"/>
  <c r="B2429" i="5"/>
  <c r="B2423" i="5"/>
  <c r="B2417" i="5"/>
  <c r="B2411" i="5"/>
  <c r="B2405" i="5"/>
  <c r="B2399" i="5"/>
  <c r="B2393" i="5"/>
  <c r="B2387" i="5"/>
  <c r="B2381" i="5"/>
  <c r="B2375" i="5"/>
  <c r="B2369" i="5"/>
  <c r="B2363" i="5"/>
  <c r="B2357" i="5"/>
  <c r="B2351" i="5"/>
  <c r="B2345" i="5"/>
  <c r="B2339" i="5"/>
  <c r="B2333" i="5"/>
  <c r="B2327" i="5"/>
  <c r="B2321" i="5"/>
  <c r="B2315" i="5"/>
  <c r="B2309" i="5"/>
  <c r="B2303" i="5"/>
  <c r="B2297" i="5"/>
  <c r="B2291" i="5"/>
  <c r="B2285" i="5"/>
  <c r="B2279" i="5"/>
  <c r="B2273" i="5"/>
  <c r="B2267" i="5"/>
  <c r="B2261" i="5"/>
  <c r="B2255" i="5"/>
  <c r="B2249" i="5"/>
  <c r="B2243" i="5"/>
  <c r="B2237" i="5"/>
  <c r="B2231" i="5"/>
  <c r="B2225" i="5"/>
  <c r="B2219" i="5"/>
  <c r="B2213" i="5"/>
  <c r="B2207" i="5"/>
  <c r="B2201" i="5"/>
  <c r="B2195" i="5"/>
  <c r="B2189" i="5"/>
  <c r="B2183" i="5"/>
  <c r="B2177" i="5"/>
  <c r="B2171" i="5"/>
  <c r="B2165" i="5"/>
  <c r="B2159" i="5"/>
  <c r="B2153" i="5"/>
  <c r="B2147" i="5"/>
  <c r="B2141" i="5"/>
  <c r="B2135" i="5"/>
  <c r="B2129" i="5"/>
  <c r="B2123" i="5"/>
  <c r="B2117" i="5"/>
  <c r="B2111" i="5"/>
  <c r="B2105" i="5"/>
  <c r="B2099" i="5"/>
  <c r="B2093" i="5"/>
  <c r="B2087" i="5"/>
  <c r="B2081" i="5"/>
  <c r="B2075" i="5"/>
  <c r="B4423" i="5"/>
  <c r="A4385" i="5"/>
  <c r="B4336" i="5"/>
  <c r="A4300" i="5"/>
  <c r="A4251" i="5"/>
  <c r="B4213" i="5"/>
  <c r="A4163" i="5"/>
  <c r="B4129" i="5"/>
  <c r="B4090" i="5"/>
  <c r="A4048" i="5"/>
  <c r="B4015" i="5"/>
  <c r="A3977" i="5"/>
  <c r="A3941" i="5"/>
  <c r="A3909" i="5"/>
  <c r="B3877" i="5"/>
  <c r="B3841" i="5"/>
  <c r="A3806" i="5"/>
  <c r="B3783" i="5"/>
  <c r="A3755" i="5"/>
  <c r="A3734" i="5"/>
  <c r="A3716" i="5"/>
  <c r="B3700" i="5"/>
  <c r="A3686" i="5"/>
  <c r="B3674" i="5"/>
  <c r="A3660" i="5"/>
  <c r="A3647" i="5"/>
  <c r="A3636" i="5"/>
  <c r="A3621" i="5"/>
  <c r="A3609" i="5"/>
  <c r="A3597" i="5"/>
  <c r="A3583" i="5"/>
  <c r="B3571" i="5"/>
  <c r="A3559" i="5"/>
  <c r="B3543" i="5"/>
  <c r="A3532" i="5"/>
  <c r="B3519" i="5"/>
  <c r="B3506" i="5"/>
  <c r="A3494" i="5"/>
  <c r="B3482" i="5"/>
  <c r="A3468" i="5"/>
  <c r="A3455" i="5"/>
  <c r="A3444" i="5"/>
  <c r="A3429" i="5"/>
  <c r="A3417" i="5"/>
  <c r="A3405" i="5"/>
  <c r="A3391" i="5"/>
  <c r="B3379" i="5"/>
  <c r="A3367" i="5"/>
  <c r="B3352" i="5"/>
  <c r="A3343" i="5"/>
  <c r="B3331" i="5"/>
  <c r="B3319" i="5"/>
  <c r="A3308" i="5"/>
  <c r="A3298" i="5"/>
  <c r="A3286" i="5"/>
  <c r="B3275" i="5"/>
  <c r="A3267" i="5"/>
  <c r="A3256" i="5"/>
  <c r="A3247" i="5"/>
  <c r="A3238" i="5"/>
  <c r="A3227" i="5"/>
  <c r="B3218" i="5"/>
  <c r="A3209" i="5"/>
  <c r="A3198" i="5"/>
  <c r="B3189" i="5"/>
  <c r="A3180" i="5"/>
  <c r="A3170" i="5"/>
  <c r="A3161" i="5"/>
  <c r="A3153" i="5"/>
  <c r="A3143" i="5"/>
  <c r="A3135" i="5"/>
  <c r="B3126" i="5"/>
  <c r="A3117" i="5"/>
  <c r="B3108" i="5"/>
  <c r="B3100" i="5"/>
  <c r="B3090" i="5"/>
  <c r="B3082" i="5"/>
  <c r="B3074" i="5"/>
  <c r="B3065" i="5"/>
  <c r="A3058" i="5"/>
  <c r="B3050" i="5"/>
  <c r="B3041" i="5"/>
  <c r="A3034" i="5"/>
  <c r="B3026" i="5"/>
  <c r="A3018" i="5"/>
  <c r="A3011" i="5"/>
  <c r="A3004" i="5"/>
  <c r="A2997" i="5"/>
  <c r="A2989" i="5"/>
  <c r="A2982" i="5"/>
  <c r="A2975" i="5"/>
  <c r="A2968" i="5"/>
  <c r="A2961" i="5"/>
  <c r="A2953" i="5"/>
  <c r="A2946" i="5"/>
  <c r="A2939" i="5"/>
  <c r="B2932" i="5"/>
  <c r="A2926" i="5"/>
  <c r="B2919" i="5"/>
  <c r="A2913" i="5"/>
  <c r="B2906" i="5"/>
  <c r="A2900" i="5"/>
  <c r="A2893" i="5"/>
  <c r="B2886" i="5"/>
  <c r="A2880" i="5"/>
  <c r="B2873" i="5"/>
  <c r="A2867" i="5"/>
  <c r="B2860" i="5"/>
  <c r="A2854" i="5"/>
  <c r="B2847" i="5"/>
  <c r="A2841" i="5"/>
  <c r="B2834" i="5"/>
  <c r="A2828" i="5"/>
  <c r="A2821" i="5"/>
  <c r="B2814" i="5"/>
  <c r="A2808" i="5"/>
  <c r="B2801" i="5"/>
  <c r="A2795" i="5"/>
  <c r="B2788" i="5"/>
  <c r="A2782" i="5"/>
  <c r="B2775" i="5"/>
  <c r="A2769" i="5"/>
  <c r="B2762" i="5"/>
  <c r="A2756" i="5"/>
  <c r="A2749" i="5"/>
  <c r="B2742" i="5"/>
  <c r="A2736" i="5"/>
  <c r="B2729" i="5"/>
  <c r="A2723" i="5"/>
  <c r="B2716" i="5"/>
  <c r="A2710" i="5"/>
  <c r="B2703" i="5"/>
  <c r="A2697" i="5"/>
  <c r="B2690" i="5"/>
  <c r="A2684" i="5"/>
  <c r="A2677" i="5"/>
  <c r="B2670" i="5"/>
  <c r="A2664" i="5"/>
  <c r="B2657" i="5"/>
  <c r="A2651" i="5"/>
  <c r="B2644" i="5"/>
  <c r="A2638" i="5"/>
  <c r="B2631" i="5"/>
  <c r="A2625" i="5"/>
  <c r="B2618" i="5"/>
  <c r="A2612" i="5"/>
  <c r="A2605" i="5"/>
  <c r="B2598" i="5"/>
  <c r="A2592" i="5"/>
  <c r="B2585" i="5"/>
  <c r="A2579" i="5"/>
  <c r="A2573" i="5"/>
  <c r="A2567" i="5"/>
  <c r="A2561" i="5"/>
  <c r="A2555" i="5"/>
  <c r="A2549" i="5"/>
  <c r="A2543" i="5"/>
  <c r="A2537" i="5"/>
  <c r="A2531" i="5"/>
  <c r="A2525" i="5"/>
  <c r="A2519" i="5"/>
  <c r="A2513" i="5"/>
  <c r="A2507" i="5"/>
  <c r="A2501" i="5"/>
  <c r="A2495" i="5"/>
  <c r="A2489" i="5"/>
  <c r="A2483" i="5"/>
  <c r="A2477" i="5"/>
  <c r="A2471" i="5"/>
  <c r="A2465" i="5"/>
  <c r="A2459" i="5"/>
  <c r="A2453" i="5"/>
  <c r="A2447" i="5"/>
  <c r="A2441" i="5"/>
  <c r="A2435" i="5"/>
  <c r="A2429" i="5"/>
  <c r="A2423" i="5"/>
  <c r="A2417" i="5"/>
  <c r="A2411" i="5"/>
  <c r="A2405" i="5"/>
  <c r="A2399" i="5"/>
  <c r="A2393" i="5"/>
  <c r="A2387" i="5"/>
  <c r="A2381" i="5"/>
  <c r="A2375" i="5"/>
  <c r="A2369" i="5"/>
  <c r="A2363" i="5"/>
  <c r="A2357" i="5"/>
  <c r="A2351" i="5"/>
  <c r="A2345" i="5"/>
  <c r="A2339" i="5"/>
  <c r="A2333" i="5"/>
  <c r="A2327" i="5"/>
  <c r="A2321" i="5"/>
  <c r="A2315" i="5"/>
  <c r="A2309" i="5"/>
  <c r="A2303" i="5"/>
  <c r="A2297" i="5"/>
  <c r="A2291" i="5"/>
  <c r="A2285" i="5"/>
  <c r="A2279" i="5"/>
  <c r="A2273" i="5"/>
  <c r="A2267" i="5"/>
  <c r="A2261" i="5"/>
  <c r="A2255" i="5"/>
  <c r="A2249" i="5"/>
  <c r="A2243" i="5"/>
  <c r="A2237" i="5"/>
  <c r="A2231" i="5"/>
  <c r="A2225" i="5"/>
  <c r="A2219" i="5"/>
  <c r="A2213" i="5"/>
  <c r="A2207" i="5"/>
  <c r="A2201" i="5"/>
  <c r="A2195" i="5"/>
  <c r="A2189" i="5"/>
  <c r="A2183" i="5"/>
  <c r="A2177" i="5"/>
  <c r="A2171" i="5"/>
  <c r="A2165" i="5"/>
  <c r="A2159" i="5"/>
  <c r="A2153" i="5"/>
  <c r="A2147" i="5"/>
  <c r="A2141" i="5"/>
  <c r="A2135" i="5"/>
  <c r="A2129" i="5"/>
  <c r="A2123" i="5"/>
  <c r="A2117" i="5"/>
  <c r="A2111" i="5"/>
  <c r="A2105" i="5"/>
  <c r="A2099" i="5"/>
  <c r="A2093" i="5"/>
  <c r="A2087" i="5"/>
  <c r="A2081" i="5"/>
  <c r="A2075" i="5"/>
  <c r="A2069" i="5"/>
  <c r="A2063" i="5"/>
  <c r="A2057" i="5"/>
  <c r="A2051" i="5"/>
  <c r="A2045" i="5"/>
  <c r="A2039" i="5"/>
  <c r="A2033" i="5"/>
  <c r="A2027" i="5"/>
  <c r="A2021" i="5"/>
  <c r="A2015" i="5"/>
  <c r="A2009" i="5"/>
  <c r="A2003" i="5"/>
  <c r="A1997" i="5"/>
  <c r="A1991" i="5"/>
  <c r="A1985" i="5"/>
  <c r="A1979" i="5"/>
  <c r="A1973" i="5"/>
  <c r="B4420" i="5"/>
  <c r="A4373" i="5"/>
  <c r="A4335" i="5"/>
  <c r="A4288" i="5"/>
  <c r="A4247" i="5"/>
  <c r="B4201" i="5"/>
  <c r="A4162" i="5"/>
  <c r="A4125" i="5"/>
  <c r="B4081" i="5"/>
  <c r="A4043" i="5"/>
  <c r="A4012" i="5"/>
  <c r="A3971" i="5"/>
  <c r="B3937" i="5"/>
  <c r="A3904" i="5"/>
  <c r="B3865" i="5"/>
  <c r="A3837" i="5"/>
  <c r="A3803" i="5"/>
  <c r="A3777" i="5"/>
  <c r="A3753" i="5"/>
  <c r="A3733" i="5"/>
  <c r="A3713" i="5"/>
  <c r="B3697" i="5"/>
  <c r="A3685" i="5"/>
  <c r="B3669" i="5"/>
  <c r="A3658" i="5"/>
  <c r="B3645" i="5"/>
  <c r="B3631" i="5"/>
  <c r="A3620" i="5"/>
  <c r="B3607" i="5"/>
  <c r="A3593" i="5"/>
  <c r="A3581" i="5"/>
  <c r="A3569" i="5"/>
  <c r="A3555" i="5"/>
  <c r="B3542" i="5"/>
  <c r="A3531" i="5"/>
  <c r="A3517" i="5"/>
  <c r="A3504" i="5"/>
  <c r="A3493" i="5"/>
  <c r="B3477" i="5"/>
  <c r="A3466" i="5"/>
  <c r="B3453" i="5"/>
  <c r="B3439" i="5"/>
  <c r="A3428" i="5"/>
  <c r="B3415" i="5"/>
  <c r="A3401" i="5"/>
  <c r="A3389" i="5"/>
  <c r="A3377" i="5"/>
  <c r="A3363" i="5"/>
  <c r="B3351" i="5"/>
  <c r="A3341" i="5"/>
  <c r="A3328" i="5"/>
  <c r="B3316" i="5"/>
  <c r="A3307" i="5"/>
  <c r="A3294" i="5"/>
  <c r="A3285" i="5"/>
  <c r="B3274" i="5"/>
  <c r="B3263" i="5"/>
  <c r="A3255" i="5"/>
  <c r="B3245" i="5"/>
  <c r="A3235" i="5"/>
  <c r="A3226" i="5"/>
  <c r="A3217" i="5"/>
  <c r="B3206" i="5"/>
  <c r="A3197" i="5"/>
  <c r="B3188" i="5"/>
  <c r="B3177" i="5"/>
  <c r="A3168" i="5"/>
  <c r="A3160" i="5"/>
  <c r="A3150" i="5"/>
  <c r="A3142" i="5"/>
  <c r="A3134" i="5"/>
  <c r="A3124" i="5"/>
  <c r="A3116" i="5"/>
  <c r="B3107" i="5"/>
  <c r="A3098" i="5"/>
  <c r="B3089" i="5"/>
  <c r="B3081" i="5"/>
  <c r="A3072" i="5"/>
  <c r="B3064" i="5"/>
  <c r="A3057" i="5"/>
  <c r="A3048" i="5"/>
  <c r="B3040" i="5"/>
  <c r="A3033" i="5"/>
  <c r="A3024" i="5"/>
  <c r="A3017" i="5"/>
  <c r="A3010" i="5"/>
  <c r="A3003" i="5"/>
  <c r="A2995" i="5"/>
  <c r="A2988" i="5"/>
  <c r="A2981" i="5"/>
  <c r="A2974" i="5"/>
  <c r="A2967" i="5"/>
  <c r="A2959" i="5"/>
  <c r="A2952" i="5"/>
  <c r="A2945" i="5"/>
  <c r="A2938" i="5"/>
  <c r="B2931" i="5"/>
  <c r="A2925" i="5"/>
  <c r="B2918" i="5"/>
  <c r="A2912" i="5"/>
  <c r="A2905" i="5"/>
  <c r="B2898" i="5"/>
  <c r="A2892" i="5"/>
  <c r="B2885" i="5"/>
  <c r="A2879" i="5"/>
  <c r="B2872" i="5"/>
  <c r="A2866" i="5"/>
  <c r="B2859" i="5"/>
  <c r="A2853" i="5"/>
  <c r="B2846" i="5"/>
  <c r="A2840" i="5"/>
  <c r="A2833" i="5"/>
  <c r="B2826" i="5"/>
  <c r="A2820" i="5"/>
  <c r="B2813" i="5"/>
  <c r="A2807" i="5"/>
  <c r="B2800" i="5"/>
  <c r="A2794" i="5"/>
  <c r="B2787" i="5"/>
  <c r="A2781" i="5"/>
  <c r="B2774" i="5"/>
  <c r="A2768" i="5"/>
  <c r="A2761" i="5"/>
  <c r="B2754" i="5"/>
  <c r="A2748" i="5"/>
  <c r="B2741" i="5"/>
  <c r="A2735" i="5"/>
  <c r="B2728" i="5"/>
  <c r="A2722" i="5"/>
  <c r="B2715" i="5"/>
  <c r="A2709" i="5"/>
  <c r="B2702" i="5"/>
  <c r="A2696" i="5"/>
  <c r="A2689" i="5"/>
  <c r="B2682" i="5"/>
  <c r="A2676" i="5"/>
  <c r="B2669" i="5"/>
  <c r="A2663" i="5"/>
  <c r="B2656" i="5"/>
  <c r="A2650" i="5"/>
  <c r="B2643" i="5"/>
  <c r="A2637" i="5"/>
  <c r="B2630" i="5"/>
  <c r="A2624" i="5"/>
  <c r="A2617" i="5"/>
  <c r="B2610" i="5"/>
  <c r="A2604" i="5"/>
  <c r="B2597" i="5"/>
  <c r="A2591" i="5"/>
  <c r="B2584" i="5"/>
  <c r="A2578" i="5"/>
  <c r="A2572" i="5"/>
  <c r="A2566" i="5"/>
  <c r="A2560" i="5"/>
  <c r="A2554" i="5"/>
  <c r="A2548" i="5"/>
  <c r="A2542" i="5"/>
  <c r="A2536" i="5"/>
  <c r="A2530" i="5"/>
  <c r="A2524" i="5"/>
  <c r="A2518" i="5"/>
  <c r="A2512" i="5"/>
  <c r="A2506" i="5"/>
  <c r="A2500" i="5"/>
  <c r="A2494" i="5"/>
  <c r="A2488" i="5"/>
  <c r="A2482" i="5"/>
  <c r="A2476" i="5"/>
  <c r="A2470" i="5"/>
  <c r="A2464" i="5"/>
  <c r="A2458" i="5"/>
  <c r="A2452" i="5"/>
  <c r="A2446" i="5"/>
  <c r="A2440" i="5"/>
  <c r="A2434" i="5"/>
  <c r="A2428" i="5"/>
  <c r="A2422" i="5"/>
  <c r="A2416" i="5"/>
  <c r="A2410" i="5"/>
  <c r="A2404" i="5"/>
  <c r="A2398" i="5"/>
  <c r="A2392" i="5"/>
  <c r="A2386" i="5"/>
  <c r="A2380" i="5"/>
  <c r="A2374" i="5"/>
  <c r="A2368" i="5"/>
  <c r="A2362" i="5"/>
  <c r="A2356" i="5"/>
  <c r="A2350" i="5"/>
  <c r="A2344" i="5"/>
  <c r="A2338" i="5"/>
  <c r="A2332" i="5"/>
  <c r="A2326" i="5"/>
  <c r="A2320" i="5"/>
  <c r="A2314" i="5"/>
  <c r="A2308" i="5"/>
  <c r="A2302" i="5"/>
  <c r="A2296" i="5"/>
  <c r="A2290" i="5"/>
  <c r="A2284" i="5"/>
  <c r="A2278" i="5"/>
  <c r="A2272" i="5"/>
  <c r="A2266" i="5"/>
  <c r="A2260" i="5"/>
  <c r="A2254" i="5"/>
  <c r="A2248" i="5"/>
  <c r="A2242" i="5"/>
  <c r="A2236" i="5"/>
  <c r="A2230" i="5"/>
  <c r="A2224" i="5"/>
  <c r="A2218" i="5"/>
  <c r="A2212" i="5"/>
  <c r="A2206" i="5"/>
  <c r="A2200" i="5"/>
  <c r="A2194" i="5"/>
  <c r="A2188" i="5"/>
  <c r="A2182" i="5"/>
  <c r="A2176" i="5"/>
  <c r="A2170" i="5"/>
  <c r="A2164" i="5"/>
  <c r="A2158" i="5"/>
  <c r="A2152" i="5"/>
  <c r="A2146" i="5"/>
  <c r="A2140" i="5"/>
  <c r="A2134" i="5"/>
  <c r="A2128" i="5"/>
  <c r="A2122" i="5"/>
  <c r="A2116" i="5"/>
  <c r="A2110" i="5"/>
  <c r="A2104" i="5"/>
  <c r="A2098" i="5"/>
  <c r="A2092" i="5"/>
  <c r="A2086" i="5"/>
  <c r="A2080" i="5"/>
  <c r="A2074" i="5"/>
  <c r="A2068" i="5"/>
  <c r="A2062" i="5"/>
  <c r="A2056" i="5"/>
  <c r="A2050" i="5"/>
  <c r="A2044" i="5"/>
  <c r="A2038" i="5"/>
  <c r="A2032" i="5"/>
  <c r="A2026" i="5"/>
  <c r="A2020" i="5"/>
  <c r="A2014" i="5"/>
  <c r="A4421" i="5"/>
  <c r="A4361" i="5"/>
  <c r="B4297" i="5"/>
  <c r="B4231" i="5"/>
  <c r="B4162" i="5"/>
  <c r="B4105" i="5"/>
  <c r="B4045" i="5"/>
  <c r="A3993" i="5"/>
  <c r="A3940" i="5"/>
  <c r="B3889" i="5"/>
  <c r="B3838" i="5"/>
  <c r="B3793" i="5"/>
  <c r="B3753" i="5"/>
  <c r="B3723" i="5"/>
  <c r="B3699" i="5"/>
  <c r="A3679" i="5"/>
  <c r="A3659" i="5"/>
  <c r="B3639" i="5"/>
  <c r="B3620" i="5"/>
  <c r="B3602" i="5"/>
  <c r="A3582" i="5"/>
  <c r="A3564" i="5"/>
  <c r="A3543" i="5"/>
  <c r="A3525" i="5"/>
  <c r="B3505" i="5"/>
  <c r="A3487" i="5"/>
  <c r="A3467" i="5"/>
  <c r="B3447" i="5"/>
  <c r="B3428" i="5"/>
  <c r="B3410" i="5"/>
  <c r="A3390" i="5"/>
  <c r="A3372" i="5"/>
  <c r="A3352" i="5"/>
  <c r="A3336" i="5"/>
  <c r="A3318" i="5"/>
  <c r="B3301" i="5"/>
  <c r="B3285" i="5"/>
  <c r="A3270" i="5"/>
  <c r="B3255" i="5"/>
  <c r="A3242" i="5"/>
  <c r="B3226" i="5"/>
  <c r="A3213" i="5"/>
  <c r="B3197" i="5"/>
  <c r="A3184" i="5"/>
  <c r="A3169" i="5"/>
  <c r="A3156" i="5"/>
  <c r="B3142" i="5"/>
  <c r="A3130" i="5"/>
  <c r="B3116" i="5"/>
  <c r="A3104" i="5"/>
  <c r="A3090" i="5"/>
  <c r="B3077" i="5"/>
  <c r="A3065" i="5"/>
  <c r="B3053" i="5"/>
  <c r="A3041" i="5"/>
  <c r="B3029" i="5"/>
  <c r="B3017" i="5"/>
  <c r="A3007" i="5"/>
  <c r="B2996" i="5"/>
  <c r="A2986" i="5"/>
  <c r="B2974" i="5"/>
  <c r="A2964" i="5"/>
  <c r="B2952" i="5"/>
  <c r="A2943" i="5"/>
  <c r="A2932" i="5"/>
  <c r="B2922" i="5"/>
  <c r="B2912" i="5"/>
  <c r="A2903" i="5"/>
  <c r="B2892" i="5"/>
  <c r="B2883" i="5"/>
  <c r="A2873" i="5"/>
  <c r="A2864" i="5"/>
  <c r="B2853" i="5"/>
  <c r="A2844" i="5"/>
  <c r="A2834" i="5"/>
  <c r="B2824" i="5"/>
  <c r="A2814" i="5"/>
  <c r="A2805" i="5"/>
  <c r="B2794" i="5"/>
  <c r="A2785" i="5"/>
  <c r="A2775" i="5"/>
  <c r="B2765" i="5"/>
  <c r="A2755" i="5"/>
  <c r="A2746" i="5"/>
  <c r="B2735" i="5"/>
  <c r="B2726" i="5"/>
  <c r="A2716" i="5"/>
  <c r="B2706" i="5"/>
  <c r="B2696" i="5"/>
  <c r="A2687" i="5"/>
  <c r="B2676" i="5"/>
  <c r="B2667" i="5"/>
  <c r="A2657" i="5"/>
  <c r="A2648" i="5"/>
  <c r="B2637" i="5"/>
  <c r="A2628" i="5"/>
  <c r="A2618" i="5"/>
  <c r="B2608" i="5"/>
  <c r="A2598" i="5"/>
  <c r="A2589" i="5"/>
  <c r="B2578" i="5"/>
  <c r="A2570" i="5"/>
  <c r="B2560" i="5"/>
  <c r="A2552" i="5"/>
  <c r="B2542" i="5"/>
  <c r="A2534" i="5"/>
  <c r="B2524" i="5"/>
  <c r="A2516" i="5"/>
  <c r="B2506" i="5"/>
  <c r="A2498" i="5"/>
  <c r="B2488" i="5"/>
  <c r="A2480" i="5"/>
  <c r="B2470" i="5"/>
  <c r="A2462" i="5"/>
  <c r="B2452" i="5"/>
  <c r="A2444" i="5"/>
  <c r="B2434" i="5"/>
  <c r="A2426" i="5"/>
  <c r="B2416" i="5"/>
  <c r="A2408" i="5"/>
  <c r="B2398" i="5"/>
  <c r="A2390" i="5"/>
  <c r="B2380" i="5"/>
  <c r="A2372" i="5"/>
  <c r="B2362" i="5"/>
  <c r="A2354" i="5"/>
  <c r="B2344" i="5"/>
  <c r="A2336" i="5"/>
  <c r="B2326" i="5"/>
  <c r="A2318" i="5"/>
  <c r="B2308" i="5"/>
  <c r="A2300" i="5"/>
  <c r="B2290" i="5"/>
  <c r="A2282" i="5"/>
  <c r="B2272" i="5"/>
  <c r="A2264" i="5"/>
  <c r="B2254" i="5"/>
  <c r="A2246" i="5"/>
  <c r="B2236" i="5"/>
  <c r="A2228" i="5"/>
  <c r="B2218" i="5"/>
  <c r="A2210" i="5"/>
  <c r="B2200" i="5"/>
  <c r="A2192" i="5"/>
  <c r="B2182" i="5"/>
  <c r="A2174" i="5"/>
  <c r="B2164" i="5"/>
  <c r="A2156" i="5"/>
  <c r="B2146" i="5"/>
  <c r="A2138" i="5"/>
  <c r="B2128" i="5"/>
  <c r="A2120" i="5"/>
  <c r="B2110" i="5"/>
  <c r="A2102" i="5"/>
  <c r="B2092" i="5"/>
  <c r="A2084" i="5"/>
  <c r="B2074" i="5"/>
  <c r="B2066" i="5"/>
  <c r="A2059" i="5"/>
  <c r="B2050" i="5"/>
  <c r="B2042" i="5"/>
  <c r="A2035" i="5"/>
  <c r="B2026" i="5"/>
  <c r="B2018" i="5"/>
  <c r="A2011" i="5"/>
  <c r="B2003" i="5"/>
  <c r="A1996" i="5"/>
  <c r="A1989" i="5"/>
  <c r="A1982" i="5"/>
  <c r="A1975" i="5"/>
  <c r="B1967" i="5"/>
  <c r="A1961" i="5"/>
  <c r="B1954" i="5"/>
  <c r="B1948" i="5"/>
  <c r="B1942" i="5"/>
  <c r="B1936" i="5"/>
  <c r="B1930" i="5"/>
  <c r="B1924" i="5"/>
  <c r="B1918" i="5"/>
  <c r="B1912" i="5"/>
  <c r="B1906" i="5"/>
  <c r="B1900" i="5"/>
  <c r="B1894" i="5"/>
  <c r="B1888" i="5"/>
  <c r="B1882" i="5"/>
  <c r="B1876" i="5"/>
  <c r="B1870" i="5"/>
  <c r="B1864" i="5"/>
  <c r="B1858" i="5"/>
  <c r="B1852" i="5"/>
  <c r="B1846" i="5"/>
  <c r="B1840" i="5"/>
  <c r="B1834" i="5"/>
  <c r="B1828" i="5"/>
  <c r="B1822" i="5"/>
  <c r="B1816" i="5"/>
  <c r="B1810" i="5"/>
  <c r="B1804" i="5"/>
  <c r="B1798" i="5"/>
  <c r="B1792" i="5"/>
  <c r="B1786" i="5"/>
  <c r="B1780" i="5"/>
  <c r="B1774" i="5"/>
  <c r="B1768" i="5"/>
  <c r="B1762" i="5"/>
  <c r="B1756" i="5"/>
  <c r="B1750" i="5"/>
  <c r="B1744" i="5"/>
  <c r="B1738" i="5"/>
  <c r="B1732" i="5"/>
  <c r="B1726" i="5"/>
  <c r="B1720" i="5"/>
  <c r="B1714" i="5"/>
  <c r="B1708" i="5"/>
  <c r="B1702" i="5"/>
  <c r="B1696" i="5"/>
  <c r="B1690" i="5"/>
  <c r="B1684" i="5"/>
  <c r="B1678" i="5"/>
  <c r="B1672" i="5"/>
  <c r="B1666" i="5"/>
  <c r="B1660" i="5"/>
  <c r="B1654" i="5"/>
  <c r="B1648" i="5"/>
  <c r="B1642" i="5"/>
  <c r="B1636" i="5"/>
  <c r="B1630" i="5"/>
  <c r="B1624" i="5"/>
  <c r="B1618" i="5"/>
  <c r="B1612" i="5"/>
  <c r="B1606" i="5"/>
  <c r="B1600" i="5"/>
  <c r="B1594" i="5"/>
  <c r="B1588" i="5"/>
  <c r="B1582" i="5"/>
  <c r="B1576" i="5"/>
  <c r="B1570" i="5"/>
  <c r="B1564" i="5"/>
  <c r="B1558" i="5"/>
  <c r="B4417" i="5"/>
  <c r="B4360" i="5"/>
  <c r="B4279" i="5"/>
  <c r="A4228" i="5"/>
  <c r="A4157" i="5"/>
  <c r="A4103" i="5"/>
  <c r="B4042" i="5"/>
  <c r="B3991" i="5"/>
  <c r="B3934" i="5"/>
  <c r="B3886" i="5"/>
  <c r="A3832" i="5"/>
  <c r="A3791" i="5"/>
  <c r="A3752" i="5"/>
  <c r="A3723" i="5"/>
  <c r="B3696" i="5"/>
  <c r="A3678" i="5"/>
  <c r="A3657" i="5"/>
  <c r="A3639" i="5"/>
  <c r="B3619" i="5"/>
  <c r="B3601" i="5"/>
  <c r="A3580" i="5"/>
  <c r="A3563" i="5"/>
  <c r="A3542" i="5"/>
  <c r="B3524" i="5"/>
  <c r="A3503" i="5"/>
  <c r="A3486" i="5"/>
  <c r="A3465" i="5"/>
  <c r="A3447" i="5"/>
  <c r="B3427" i="5"/>
  <c r="B3409" i="5"/>
  <c r="A3388" i="5"/>
  <c r="A3371" i="5"/>
  <c r="A3351" i="5"/>
  <c r="A3335" i="5"/>
  <c r="A3316" i="5"/>
  <c r="A3301" i="5"/>
  <c r="A3284" i="5"/>
  <c r="B3269" i="5"/>
  <c r="B3254" i="5"/>
  <c r="A3241" i="5"/>
  <c r="B3225" i="5"/>
  <c r="B3212" i="5"/>
  <c r="B3196" i="5"/>
  <c r="B3183" i="5"/>
  <c r="B3167" i="5"/>
  <c r="B3155" i="5"/>
  <c r="B3141" i="5"/>
  <c r="B3129" i="5"/>
  <c r="A3115" i="5"/>
  <c r="A3103" i="5"/>
  <c r="A3089" i="5"/>
  <c r="A3077" i="5"/>
  <c r="A3064" i="5"/>
  <c r="A3053" i="5"/>
  <c r="A3040" i="5"/>
  <c r="A3029" i="5"/>
  <c r="B3016" i="5"/>
  <c r="B3006" i="5"/>
  <c r="B2994" i="5"/>
  <c r="B2985" i="5"/>
  <c r="B2973" i="5"/>
  <c r="B2963" i="5"/>
  <c r="B2951" i="5"/>
  <c r="B2942" i="5"/>
  <c r="A2931" i="5"/>
  <c r="A2922" i="5"/>
  <c r="A2911" i="5"/>
  <c r="B2902" i="5"/>
  <c r="B2891" i="5"/>
  <c r="A2883" i="5"/>
  <c r="A2872" i="5"/>
  <c r="A2863" i="5"/>
  <c r="B2852" i="5"/>
  <c r="B2843" i="5"/>
  <c r="B2832" i="5"/>
  <c r="A2824" i="5"/>
  <c r="A2813" i="5"/>
  <c r="B2804" i="5"/>
  <c r="B2793" i="5"/>
  <c r="B2784" i="5"/>
  <c r="A2774" i="5"/>
  <c r="A2765" i="5"/>
  <c r="A2754" i="5"/>
  <c r="B2745" i="5"/>
  <c r="B2734" i="5"/>
  <c r="A2726" i="5"/>
  <c r="A2715" i="5"/>
  <c r="A2706" i="5"/>
  <c r="A2695" i="5"/>
  <c r="B2686" i="5"/>
  <c r="B2675" i="5"/>
  <c r="A2667" i="5"/>
  <c r="A2656" i="5"/>
  <c r="A2647" i="5"/>
  <c r="B2636" i="5"/>
  <c r="B2627" i="5"/>
  <c r="B2616" i="5"/>
  <c r="A2608" i="5"/>
  <c r="A2597" i="5"/>
  <c r="B2588" i="5"/>
  <c r="B2577" i="5"/>
  <c r="B2569" i="5"/>
  <c r="B2559" i="5"/>
  <c r="B2551" i="5"/>
  <c r="B2541" i="5"/>
  <c r="B2533" i="5"/>
  <c r="B2523" i="5"/>
  <c r="B2515" i="5"/>
  <c r="B2505" i="5"/>
  <c r="B2497" i="5"/>
  <c r="B2487" i="5"/>
  <c r="B2479" i="5"/>
  <c r="B2469" i="5"/>
  <c r="B2461" i="5"/>
  <c r="B2451" i="5"/>
  <c r="B2443" i="5"/>
  <c r="B2433" i="5"/>
  <c r="B2425" i="5"/>
  <c r="B2415" i="5"/>
  <c r="B2407" i="5"/>
  <c r="B2397" i="5"/>
  <c r="B2389" i="5"/>
  <c r="B2379" i="5"/>
  <c r="B2371" i="5"/>
  <c r="B2361" i="5"/>
  <c r="B2353" i="5"/>
  <c r="B2343" i="5"/>
  <c r="B2335" i="5"/>
  <c r="B2325" i="5"/>
  <c r="B2317" i="5"/>
  <c r="B2307" i="5"/>
  <c r="B2299" i="5"/>
  <c r="B2289" i="5"/>
  <c r="B2281" i="5"/>
  <c r="B2271" i="5"/>
  <c r="B2263" i="5"/>
  <c r="B2253" i="5"/>
  <c r="B2245" i="5"/>
  <c r="B2235" i="5"/>
  <c r="B2227" i="5"/>
  <c r="B2217" i="5"/>
  <c r="B2209" i="5"/>
  <c r="B2199" i="5"/>
  <c r="B2191" i="5"/>
  <c r="B2181" i="5"/>
  <c r="B2173" i="5"/>
  <c r="B2163" i="5"/>
  <c r="B2155" i="5"/>
  <c r="B2145" i="5"/>
  <c r="B2137" i="5"/>
  <c r="B2127" i="5"/>
  <c r="B2119" i="5"/>
  <c r="B2109" i="5"/>
  <c r="B2101" i="5"/>
  <c r="B2091" i="5"/>
  <c r="B2083" i="5"/>
  <c r="B2073" i="5"/>
  <c r="A2066" i="5"/>
  <c r="B2058" i="5"/>
  <c r="B2049" i="5"/>
  <c r="A2042" i="5"/>
  <c r="B2034" i="5"/>
  <c r="B2025" i="5"/>
  <c r="A2018" i="5"/>
  <c r="B2010" i="5"/>
  <c r="B2002" i="5"/>
  <c r="B1995" i="5"/>
  <c r="B1988" i="5"/>
  <c r="B1981" i="5"/>
  <c r="B1974" i="5"/>
  <c r="A1967" i="5"/>
  <c r="B1960" i="5"/>
  <c r="A1954" i="5"/>
  <c r="A1948" i="5"/>
  <c r="A1942" i="5"/>
  <c r="A4413" i="5"/>
  <c r="A4360" i="5"/>
  <c r="A4277" i="5"/>
  <c r="A4221" i="5"/>
  <c r="B4153" i="5"/>
  <c r="B4102" i="5"/>
  <c r="A4041" i="5"/>
  <c r="A3989" i="5"/>
  <c r="A3934" i="5"/>
  <c r="A3886" i="5"/>
  <c r="B3829" i="5"/>
  <c r="B3790" i="5"/>
  <c r="B3751" i="5"/>
  <c r="A3722" i="5"/>
  <c r="A3695" i="5"/>
  <c r="A3677" i="5"/>
  <c r="A3656" i="5"/>
  <c r="B3638" i="5"/>
  <c r="A3619" i="5"/>
  <c r="A3600" i="5"/>
  <c r="B3579" i="5"/>
  <c r="A3562" i="5"/>
  <c r="B3541" i="5"/>
  <c r="A3524" i="5"/>
  <c r="A3502" i="5"/>
  <c r="A3485" i="5"/>
  <c r="A3464" i="5"/>
  <c r="B3446" i="5"/>
  <c r="A3427" i="5"/>
  <c r="A3408" i="5"/>
  <c r="B3387" i="5"/>
  <c r="A3370" i="5"/>
  <c r="B3350" i="5"/>
  <c r="B3334" i="5"/>
  <c r="B3315" i="5"/>
  <c r="A3300" i="5"/>
  <c r="A3283" i="5"/>
  <c r="A3269" i="5"/>
  <c r="A3254" i="5"/>
  <c r="A3240" i="5"/>
  <c r="A3225" i="5"/>
  <c r="A3212" i="5"/>
  <c r="A3196" i="5"/>
  <c r="A3183" i="5"/>
  <c r="A3167" i="5"/>
  <c r="A3155" i="5"/>
  <c r="A3141" i="5"/>
  <c r="A3129" i="5"/>
  <c r="B3114" i="5"/>
  <c r="B3102" i="5"/>
  <c r="B3088" i="5"/>
  <c r="B3076" i="5"/>
  <c r="B3063" i="5"/>
  <c r="B3052" i="5"/>
  <c r="B3039" i="5"/>
  <c r="B3028" i="5"/>
  <c r="A3016" i="5"/>
  <c r="A3006" i="5"/>
  <c r="A2994" i="5"/>
  <c r="A2985" i="5"/>
  <c r="A2973" i="5"/>
  <c r="A2963" i="5"/>
  <c r="A2951" i="5"/>
  <c r="A2941" i="5"/>
  <c r="B2930" i="5"/>
  <c r="B2921" i="5"/>
  <c r="B2910" i="5"/>
  <c r="A2902" i="5"/>
  <c r="A2891" i="5"/>
  <c r="B2882" i="5"/>
  <c r="B2871" i="5"/>
  <c r="B2862" i="5"/>
  <c r="A2852" i="5"/>
  <c r="A2843" i="5"/>
  <c r="A2832" i="5"/>
  <c r="B2823" i="5"/>
  <c r="B2812" i="5"/>
  <c r="A2804" i="5"/>
  <c r="A2793" i="5"/>
  <c r="A2784" i="5"/>
  <c r="A2773" i="5"/>
  <c r="B2764" i="5"/>
  <c r="B2753" i="5"/>
  <c r="A2745" i="5"/>
  <c r="A2734" i="5"/>
  <c r="A2725" i="5"/>
  <c r="B2714" i="5"/>
  <c r="B2705" i="5"/>
  <c r="B2694" i="5"/>
  <c r="A2686" i="5"/>
  <c r="A2675" i="5"/>
  <c r="B2666" i="5"/>
  <c r="B2655" i="5"/>
  <c r="B2646" i="5"/>
  <c r="A2636" i="5"/>
  <c r="A2627" i="5"/>
  <c r="A2616" i="5"/>
  <c r="B2607" i="5"/>
  <c r="B2596" i="5"/>
  <c r="A2588" i="5"/>
  <c r="A2577" i="5"/>
  <c r="A2569" i="5"/>
  <c r="A2559" i="5"/>
  <c r="A2551" i="5"/>
  <c r="A2541" i="5"/>
  <c r="A2533" i="5"/>
  <c r="A2523" i="5"/>
  <c r="A2515" i="5"/>
  <c r="A2505" i="5"/>
  <c r="A2497" i="5"/>
  <c r="A2487" i="5"/>
  <c r="A2479" i="5"/>
  <c r="A2469" i="5"/>
  <c r="A2461" i="5"/>
  <c r="A2451" i="5"/>
  <c r="A2443" i="5"/>
  <c r="A2433" i="5"/>
  <c r="A2425" i="5"/>
  <c r="A2415" i="5"/>
  <c r="A2407" i="5"/>
  <c r="A2397" i="5"/>
  <c r="A2389" i="5"/>
  <c r="A2379" i="5"/>
  <c r="A2371" i="5"/>
  <c r="A2361" i="5"/>
  <c r="A2353" i="5"/>
  <c r="A2343" i="5"/>
  <c r="A2335" i="5"/>
  <c r="A2325" i="5"/>
  <c r="A2317" i="5"/>
  <c r="A2307" i="5"/>
  <c r="A2299" i="5"/>
  <c r="A2289" i="5"/>
  <c r="A2281" i="5"/>
  <c r="A2271" i="5"/>
  <c r="A2263" i="5"/>
  <c r="A2253" i="5"/>
  <c r="A2245" i="5"/>
  <c r="A2235" i="5"/>
  <c r="A2227" i="5"/>
  <c r="A2217" i="5"/>
  <c r="A2209" i="5"/>
  <c r="A2199" i="5"/>
  <c r="A2191" i="5"/>
  <c r="A2181" i="5"/>
  <c r="A2173" i="5"/>
  <c r="A2163" i="5"/>
  <c r="A2155" i="5"/>
  <c r="A2145" i="5"/>
  <c r="A2137" i="5"/>
  <c r="A2127" i="5"/>
  <c r="A2119" i="5"/>
  <c r="A2109" i="5"/>
  <c r="A2101" i="5"/>
  <c r="A2091" i="5"/>
  <c r="A2083" i="5"/>
  <c r="A2073" i="5"/>
  <c r="B2065" i="5"/>
  <c r="B2057" i="5"/>
  <c r="A2049" i="5"/>
  <c r="B2041" i="5"/>
  <c r="B2033" i="5"/>
  <c r="A2025" i="5"/>
  <c r="B2017" i="5"/>
  <c r="B2009" i="5"/>
  <c r="A2002" i="5"/>
  <c r="A1995" i="5"/>
  <c r="A1988" i="5"/>
  <c r="A1981" i="5"/>
  <c r="B1973" i="5"/>
  <c r="B1966" i="5"/>
  <c r="A1960" i="5"/>
  <c r="B1953" i="5"/>
  <c r="B1947" i="5"/>
  <c r="B1941" i="5"/>
  <c r="B1935" i="5"/>
  <c r="B1929" i="5"/>
  <c r="B1923" i="5"/>
  <c r="B1917" i="5"/>
  <c r="B1911" i="5"/>
  <c r="B1905" i="5"/>
  <c r="B1899" i="5"/>
  <c r="B1893" i="5"/>
  <c r="B1887" i="5"/>
  <c r="B1881" i="5"/>
  <c r="B1875" i="5"/>
  <c r="B1869" i="5"/>
  <c r="B1863" i="5"/>
  <c r="B1857" i="5"/>
  <c r="B1851" i="5"/>
  <c r="B1845" i="5"/>
  <c r="B1839" i="5"/>
  <c r="B1833" i="5"/>
  <c r="B1827" i="5"/>
  <c r="B1821" i="5"/>
  <c r="B1815" i="5"/>
  <c r="B1809" i="5"/>
  <c r="B1803" i="5"/>
  <c r="B1797" i="5"/>
  <c r="B1791" i="5"/>
  <c r="B1785" i="5"/>
  <c r="B1779" i="5"/>
  <c r="B1773" i="5"/>
  <c r="B1767" i="5"/>
  <c r="B1761" i="5"/>
  <c r="B1755" i="5"/>
  <c r="B1749" i="5"/>
  <c r="B1743" i="5"/>
  <c r="B1737" i="5"/>
  <c r="B1731" i="5"/>
  <c r="B1725" i="5"/>
  <c r="B1719" i="5"/>
  <c r="B1713" i="5"/>
  <c r="B1707" i="5"/>
  <c r="B1701" i="5"/>
  <c r="B1695" i="5"/>
  <c r="B1689" i="5"/>
  <c r="B1683" i="5"/>
  <c r="B1677" i="5"/>
  <c r="B1671" i="5"/>
  <c r="B1665" i="5"/>
  <c r="B1659" i="5"/>
  <c r="B1653" i="5"/>
  <c r="B1647" i="5"/>
  <c r="B1641" i="5"/>
  <c r="B1635" i="5"/>
  <c r="B1629" i="5"/>
  <c r="B1623" i="5"/>
  <c r="B1617" i="5"/>
  <c r="B1611" i="5"/>
  <c r="B1605" i="5"/>
  <c r="B1599" i="5"/>
  <c r="B1593" i="5"/>
  <c r="B1587" i="5"/>
  <c r="B1581" i="5"/>
  <c r="B1575" i="5"/>
  <c r="B1569" i="5"/>
  <c r="B1563" i="5"/>
  <c r="B1557" i="5"/>
  <c r="B1551" i="5"/>
  <c r="B1545" i="5"/>
  <c r="B1539" i="5"/>
  <c r="B1533" i="5"/>
  <c r="B1527" i="5"/>
  <c r="B1521" i="5"/>
  <c r="B1515" i="5"/>
  <c r="B1509" i="5"/>
  <c r="B1503" i="5"/>
  <c r="B1497" i="5"/>
  <c r="B1491" i="5"/>
  <c r="B1485" i="5"/>
  <c r="B1479" i="5"/>
  <c r="B1473" i="5"/>
  <c r="B1467" i="5"/>
  <c r="B1461" i="5"/>
  <c r="A4403" i="5"/>
  <c r="A4336" i="5"/>
  <c r="A4276" i="5"/>
  <c r="B4210" i="5"/>
  <c r="A4149" i="5"/>
  <c r="A4085" i="5"/>
  <c r="A4035" i="5"/>
  <c r="A3975" i="5"/>
  <c r="B3928" i="5"/>
  <c r="B3871" i="5"/>
  <c r="B3826" i="5"/>
  <c r="A3779" i="5"/>
  <c r="B3748" i="5"/>
  <c r="B3714" i="5"/>
  <c r="A3694" i="5"/>
  <c r="A3671" i="5"/>
  <c r="A3655" i="5"/>
  <c r="A3633" i="5"/>
  <c r="B3615" i="5"/>
  <c r="B3595" i="5"/>
  <c r="B3578" i="5"/>
  <c r="A3556" i="5"/>
  <c r="A3540" i="5"/>
  <c r="A3518" i="5"/>
  <c r="A3501" i="5"/>
  <c r="A3479" i="5"/>
  <c r="A3463" i="5"/>
  <c r="A3441" i="5"/>
  <c r="B3423" i="5"/>
  <c r="B3403" i="5"/>
  <c r="B3386" i="5"/>
  <c r="A3364" i="5"/>
  <c r="B3349" i="5"/>
  <c r="A3329" i="5"/>
  <c r="B3314" i="5"/>
  <c r="B3295" i="5"/>
  <c r="B3281" i="5"/>
  <c r="A3265" i="5"/>
  <c r="A3252" i="5"/>
  <c r="B3236" i="5"/>
  <c r="A3224" i="5"/>
  <c r="B3207" i="5"/>
  <c r="A3195" i="5"/>
  <c r="B3178" i="5"/>
  <c r="A3166" i="5"/>
  <c r="A3151" i="5"/>
  <c r="A3140" i="5"/>
  <c r="A3125" i="5"/>
  <c r="B3113" i="5"/>
  <c r="A3099" i="5"/>
  <c r="B3087" i="5"/>
  <c r="A3073" i="5"/>
  <c r="B3062" i="5"/>
  <c r="A3049" i="5"/>
  <c r="B3038" i="5"/>
  <c r="A3025" i="5"/>
  <c r="A3015" i="5"/>
  <c r="B3003" i="5"/>
  <c r="A2993" i="5"/>
  <c r="B2981" i="5"/>
  <c r="A2971" i="5"/>
  <c r="B2960" i="5"/>
  <c r="A2950" i="5"/>
  <c r="B2938" i="5"/>
  <c r="A2929" i="5"/>
  <c r="A2919" i="5"/>
  <c r="B2909" i="5"/>
  <c r="A2899" i="5"/>
  <c r="A2890" i="5"/>
  <c r="B2879" i="5"/>
  <c r="B2870" i="5"/>
  <c r="A2860" i="5"/>
  <c r="B2850" i="5"/>
  <c r="B2840" i="5"/>
  <c r="A2831" i="5"/>
  <c r="B2820" i="5"/>
  <c r="B2811" i="5"/>
  <c r="A2801" i="5"/>
  <c r="A2792" i="5"/>
  <c r="B2781" i="5"/>
  <c r="A2772" i="5"/>
  <c r="A2762" i="5"/>
  <c r="B2752" i="5"/>
  <c r="A2742" i="5"/>
  <c r="A2733" i="5"/>
  <c r="B2722" i="5"/>
  <c r="A2713" i="5"/>
  <c r="A2703" i="5"/>
  <c r="B2693" i="5"/>
  <c r="A2683" i="5"/>
  <c r="A2674" i="5"/>
  <c r="B2663" i="5"/>
  <c r="B2654" i="5"/>
  <c r="A2644" i="5"/>
  <c r="B2634" i="5"/>
  <c r="B2624" i="5"/>
  <c r="A2615" i="5"/>
  <c r="B2604" i="5"/>
  <c r="B2595" i="5"/>
  <c r="A2585" i="5"/>
  <c r="A2576" i="5"/>
  <c r="B2566" i="5"/>
  <c r="A2558" i="5"/>
  <c r="B2548" i="5"/>
  <c r="A2540" i="5"/>
  <c r="B2530" i="5"/>
  <c r="A2522" i="5"/>
  <c r="B2512" i="5"/>
  <c r="A2504" i="5"/>
  <c r="B2494" i="5"/>
  <c r="A2486" i="5"/>
  <c r="B2476" i="5"/>
  <c r="A2468" i="5"/>
  <c r="B2458" i="5"/>
  <c r="A2450" i="5"/>
  <c r="B2440" i="5"/>
  <c r="A2432" i="5"/>
  <c r="B2422" i="5"/>
  <c r="A2414" i="5"/>
  <c r="B2404" i="5"/>
  <c r="A2396" i="5"/>
  <c r="B2386" i="5"/>
  <c r="A2378" i="5"/>
  <c r="B2368" i="5"/>
  <c r="A2360" i="5"/>
  <c r="B2350" i="5"/>
  <c r="A2342" i="5"/>
  <c r="B2332" i="5"/>
  <c r="A2324" i="5"/>
  <c r="B2314" i="5"/>
  <c r="A2306" i="5"/>
  <c r="B2296" i="5"/>
  <c r="A2288" i="5"/>
  <c r="B2278" i="5"/>
  <c r="A2270" i="5"/>
  <c r="B2260" i="5"/>
  <c r="A2252" i="5"/>
  <c r="B2242" i="5"/>
  <c r="A2234" i="5"/>
  <c r="B2224" i="5"/>
  <c r="A2216" i="5"/>
  <c r="B2206" i="5"/>
  <c r="A2198" i="5"/>
  <c r="B2188" i="5"/>
  <c r="A2180" i="5"/>
  <c r="B2170" i="5"/>
  <c r="A2162" i="5"/>
  <c r="B2152" i="5"/>
  <c r="A2144" i="5"/>
  <c r="B2134" i="5"/>
  <c r="A2126" i="5"/>
  <c r="B2116" i="5"/>
  <c r="A2108" i="5"/>
  <c r="B2098" i="5"/>
  <c r="A2090" i="5"/>
  <c r="B2080" i="5"/>
  <c r="A2072" i="5"/>
  <c r="B2064" i="5"/>
  <c r="B2055" i="5"/>
  <c r="A2048" i="5"/>
  <c r="B2040" i="5"/>
  <c r="B2031" i="5"/>
  <c r="A2024" i="5"/>
  <c r="B2016" i="5"/>
  <c r="A2008" i="5"/>
  <c r="A2001" i="5"/>
  <c r="A1994" i="5"/>
  <c r="A1987" i="5"/>
  <c r="B1979" i="5"/>
  <c r="A1972" i="5"/>
  <c r="B1965" i="5"/>
  <c r="A1959" i="5"/>
  <c r="B1952" i="5"/>
  <c r="B1946" i="5"/>
  <c r="B1940" i="5"/>
  <c r="B1934" i="5"/>
  <c r="B1928" i="5"/>
  <c r="B1922" i="5"/>
  <c r="B1916" i="5"/>
  <c r="B1910" i="5"/>
  <c r="B1904" i="5"/>
  <c r="B1898" i="5"/>
  <c r="B1892" i="5"/>
  <c r="B1886" i="5"/>
  <c r="B1880" i="5"/>
  <c r="B1874" i="5"/>
  <c r="B1868" i="5"/>
  <c r="B1862" i="5"/>
  <c r="B1856" i="5"/>
  <c r="B1850" i="5"/>
  <c r="B1844" i="5"/>
  <c r="B1838" i="5"/>
  <c r="B1832" i="5"/>
  <c r="B1826" i="5"/>
  <c r="B1820" i="5"/>
  <c r="B1814" i="5"/>
  <c r="B1808" i="5"/>
  <c r="B1802" i="5"/>
  <c r="B1796" i="5"/>
  <c r="B1790" i="5"/>
  <c r="B1784" i="5"/>
  <c r="B1778" i="5"/>
  <c r="B1772" i="5"/>
  <c r="B1766" i="5"/>
  <c r="B1760" i="5"/>
  <c r="B1754" i="5"/>
  <c r="B1748" i="5"/>
  <c r="B1742" i="5"/>
  <c r="B1736" i="5"/>
  <c r="B1730" i="5"/>
  <c r="B1724" i="5"/>
  <c r="B1718" i="5"/>
  <c r="B1712" i="5"/>
  <c r="B1706" i="5"/>
  <c r="B1700" i="5"/>
  <c r="B1694" i="5"/>
  <c r="B1688" i="5"/>
  <c r="B1682" i="5"/>
  <c r="B1676" i="5"/>
  <c r="B1670" i="5"/>
  <c r="B1664" i="5"/>
  <c r="B1658" i="5"/>
  <c r="B1652" i="5"/>
  <c r="B1646" i="5"/>
  <c r="B1640" i="5"/>
  <c r="B1634" i="5"/>
  <c r="B1628" i="5"/>
  <c r="B1622" i="5"/>
  <c r="B1616" i="5"/>
  <c r="B1610" i="5"/>
  <c r="B1604" i="5"/>
  <c r="B1598" i="5"/>
  <c r="A4401" i="5"/>
  <c r="B4330" i="5"/>
  <c r="A4275" i="5"/>
  <c r="B4192" i="5"/>
  <c r="B4144" i="5"/>
  <c r="A4078" i="5"/>
  <c r="A4029" i="5"/>
  <c r="A3965" i="5"/>
  <c r="A3921" i="5"/>
  <c r="B3862" i="5"/>
  <c r="A3820" i="5"/>
  <c r="B3775" i="5"/>
  <c r="A3742" i="5"/>
  <c r="A3712" i="5"/>
  <c r="A3692" i="5"/>
  <c r="A3669" i="5"/>
  <c r="A3652" i="5"/>
  <c r="A3631" i="5"/>
  <c r="A3614" i="5"/>
  <c r="B3591" i="5"/>
  <c r="A3575" i="5"/>
  <c r="B3554" i="5"/>
  <c r="A3537" i="5"/>
  <c r="A3516" i="5"/>
  <c r="B3499" i="5"/>
  <c r="A3477" i="5"/>
  <c r="A3460" i="5"/>
  <c r="A3439" i="5"/>
  <c r="A3422" i="5"/>
  <c r="B3399" i="5"/>
  <c r="A3383" i="5"/>
  <c r="B3362" i="5"/>
  <c r="B3346" i="5"/>
  <c r="B3327" i="5"/>
  <c r="A3313" i="5"/>
  <c r="B3293" i="5"/>
  <c r="A3280" i="5"/>
  <c r="A3263" i="5"/>
  <c r="B3250" i="5"/>
  <c r="A3234" i="5"/>
  <c r="B3221" i="5"/>
  <c r="A3206" i="5"/>
  <c r="A3193" i="5"/>
  <c r="A3177" i="5"/>
  <c r="B3164" i="5"/>
  <c r="B3149" i="5"/>
  <c r="B4408" i="5"/>
  <c r="B4306" i="5"/>
  <c r="B4189" i="5"/>
  <c r="A4077" i="5"/>
  <c r="B3994" i="5"/>
  <c r="A3903" i="5"/>
  <c r="A3814" i="5"/>
  <c r="A3749" i="5"/>
  <c r="B3706" i="5"/>
  <c r="B3667" i="5"/>
  <c r="A3630" i="5"/>
  <c r="A3603" i="5"/>
  <c r="B3567" i="5"/>
  <c r="A3535" i="5"/>
  <c r="B3501" i="5"/>
  <c r="A3473" i="5"/>
  <c r="A3436" i="5"/>
  <c r="A3399" i="5"/>
  <c r="A3373" i="5"/>
  <c r="B3340" i="5"/>
  <c r="B3309" i="5"/>
  <c r="A3282" i="5"/>
  <c r="B3260" i="5"/>
  <c r="B3232" i="5"/>
  <c r="A3205" i="5"/>
  <c r="B3184" i="5"/>
  <c r="B3159" i="5"/>
  <c r="A3137" i="5"/>
  <c r="B3120" i="5"/>
  <c r="B3096" i="5"/>
  <c r="A3079" i="5"/>
  <c r="A3060" i="5"/>
  <c r="A3045" i="5"/>
  <c r="A3023" i="5"/>
  <c r="A3009" i="5"/>
  <c r="A2992" i="5"/>
  <c r="A2977" i="5"/>
  <c r="A2958" i="5"/>
  <c r="A2944" i="5"/>
  <c r="A2928" i="5"/>
  <c r="A2915" i="5"/>
  <c r="B2897" i="5"/>
  <c r="B2884" i="5"/>
  <c r="A2869" i="5"/>
  <c r="A2856" i="5"/>
  <c r="B2838" i="5"/>
  <c r="B2825" i="5"/>
  <c r="B2810" i="5"/>
  <c r="A2797" i="5"/>
  <c r="A2780" i="5"/>
  <c r="B2766" i="5"/>
  <c r="B2751" i="5"/>
  <c r="B2738" i="5"/>
  <c r="A2721" i="5"/>
  <c r="A2708" i="5"/>
  <c r="B2692" i="5"/>
  <c r="B2679" i="5"/>
  <c r="A2662" i="5"/>
  <c r="A2649" i="5"/>
  <c r="B2633" i="5"/>
  <c r="B2620" i="5"/>
  <c r="A2603" i="5"/>
  <c r="A2590" i="5"/>
  <c r="A2575" i="5"/>
  <c r="A2563" i="5"/>
  <c r="A2547" i="5"/>
  <c r="A2535" i="5"/>
  <c r="A2521" i="5"/>
  <c r="A2509" i="5"/>
  <c r="A2493" i="5"/>
  <c r="A2481" i="5"/>
  <c r="A2467" i="5"/>
  <c r="A2455" i="5"/>
  <c r="A2439" i="5"/>
  <c r="A2427" i="5"/>
  <c r="A2413" i="5"/>
  <c r="A2401" i="5"/>
  <c r="A2385" i="5"/>
  <c r="A2373" i="5"/>
  <c r="A2359" i="5"/>
  <c r="A2347" i="5"/>
  <c r="A2331" i="5"/>
  <c r="A2319" i="5"/>
  <c r="A2305" i="5"/>
  <c r="A2293" i="5"/>
  <c r="A2277" i="5"/>
  <c r="A2265" i="5"/>
  <c r="A2251" i="5"/>
  <c r="A2239" i="5"/>
  <c r="A2223" i="5"/>
  <c r="A2211" i="5"/>
  <c r="A2197" i="5"/>
  <c r="A2185" i="5"/>
  <c r="A2169" i="5"/>
  <c r="A2157" i="5"/>
  <c r="A2143" i="5"/>
  <c r="A2131" i="5"/>
  <c r="A2115" i="5"/>
  <c r="A2103" i="5"/>
  <c r="A2089" i="5"/>
  <c r="A2077" i="5"/>
  <c r="B2062" i="5"/>
  <c r="B2052" i="5"/>
  <c r="B2038" i="5"/>
  <c r="B2028" i="5"/>
  <c r="B2014" i="5"/>
  <c r="A2005" i="5"/>
  <c r="A1993" i="5"/>
  <c r="A1983" i="5"/>
  <c r="A1971" i="5"/>
  <c r="B1962" i="5"/>
  <c r="B1951" i="5"/>
  <c r="B1943" i="5"/>
  <c r="A1934" i="5"/>
  <c r="B1926" i="5"/>
  <c r="A1919" i="5"/>
  <c r="A1910" i="5"/>
  <c r="B1902" i="5"/>
  <c r="A1895" i="5"/>
  <c r="A1886" i="5"/>
  <c r="B1878" i="5"/>
  <c r="A1871" i="5"/>
  <c r="A1862" i="5"/>
  <c r="B1854" i="5"/>
  <c r="A1847" i="5"/>
  <c r="A1838" i="5"/>
  <c r="B1830" i="5"/>
  <c r="A1823" i="5"/>
  <c r="A1814" i="5"/>
  <c r="B1806" i="5"/>
  <c r="A1799" i="5"/>
  <c r="A1790" i="5"/>
  <c r="B1782" i="5"/>
  <c r="A1775" i="5"/>
  <c r="A1766" i="5"/>
  <c r="B1758" i="5"/>
  <c r="A1751" i="5"/>
  <c r="A1742" i="5"/>
  <c r="B1734" i="5"/>
  <c r="A1727" i="5"/>
  <c r="A1718" i="5"/>
  <c r="B1710" i="5"/>
  <c r="A1703" i="5"/>
  <c r="A1694" i="5"/>
  <c r="B1686" i="5"/>
  <c r="A1679" i="5"/>
  <c r="A1670" i="5"/>
  <c r="B1662" i="5"/>
  <c r="A1655" i="5"/>
  <c r="A1646" i="5"/>
  <c r="B1638" i="5"/>
  <c r="A1631" i="5"/>
  <c r="A1622" i="5"/>
  <c r="B1614" i="5"/>
  <c r="A1607" i="5"/>
  <c r="A1598" i="5"/>
  <c r="A1591" i="5"/>
  <c r="A1584" i="5"/>
  <c r="A1577" i="5"/>
  <c r="A1569" i="5"/>
  <c r="A1562" i="5"/>
  <c r="A1555" i="5"/>
  <c r="B1548" i="5"/>
  <c r="A1542" i="5"/>
  <c r="B1535" i="5"/>
  <c r="A1529" i="5"/>
  <c r="B1522" i="5"/>
  <c r="A1516" i="5"/>
  <c r="A1509" i="5"/>
  <c r="B1502" i="5"/>
  <c r="A1496" i="5"/>
  <c r="B1489" i="5"/>
  <c r="A1483" i="5"/>
  <c r="B1476" i="5"/>
  <c r="A1470" i="5"/>
  <c r="B1463" i="5"/>
  <c r="A1457" i="5"/>
  <c r="A1451" i="5"/>
  <c r="A1445" i="5"/>
  <c r="A1439" i="5"/>
  <c r="A1433" i="5"/>
  <c r="A1427" i="5"/>
  <c r="A1421" i="5"/>
  <c r="B4393" i="5"/>
  <c r="A4305" i="5"/>
  <c r="A4187" i="5"/>
  <c r="B4075" i="5"/>
  <c r="A3987" i="5"/>
  <c r="B3898" i="5"/>
  <c r="B3805" i="5"/>
  <c r="A3740" i="5"/>
  <c r="A3706" i="5"/>
  <c r="A3667" i="5"/>
  <c r="A3629" i="5"/>
  <c r="A3599" i="5"/>
  <c r="A3566" i="5"/>
  <c r="B3531" i="5"/>
  <c r="A3497" i="5"/>
  <c r="B3471" i="5"/>
  <c r="B3435" i="5"/>
  <c r="B3398" i="5"/>
  <c r="A3369" i="5"/>
  <c r="A3338" i="5"/>
  <c r="B3307" i="5"/>
  <c r="A3279" i="5"/>
  <c r="A3260" i="5"/>
  <c r="A3232" i="5"/>
  <c r="A3204" i="5"/>
  <c r="B3182" i="5"/>
  <c r="A3158" i="5"/>
  <c r="B3136" i="5"/>
  <c r="A3120" i="5"/>
  <c r="A3096" i="5"/>
  <c r="A3078" i="5"/>
  <c r="B3059" i="5"/>
  <c r="B3044" i="5"/>
  <c r="B3022" i="5"/>
  <c r="B3008" i="5"/>
  <c r="B2991" i="5"/>
  <c r="B2976" i="5"/>
  <c r="B2957" i="5"/>
  <c r="B2943" i="5"/>
  <c r="B2927" i="5"/>
  <c r="B2914" i="5"/>
  <c r="A2897" i="5"/>
  <c r="A2884" i="5"/>
  <c r="B2868" i="5"/>
  <c r="B2855" i="5"/>
  <c r="A2838" i="5"/>
  <c r="A2825" i="5"/>
  <c r="A2810" i="5"/>
  <c r="B2796" i="5"/>
  <c r="A2779" i="5"/>
  <c r="A2766" i="5"/>
  <c r="A2751" i="5"/>
  <c r="A2738" i="5"/>
  <c r="B2720" i="5"/>
  <c r="A2707" i="5"/>
  <c r="A2692" i="5"/>
  <c r="A2679" i="5"/>
  <c r="B2661" i="5"/>
  <c r="B2648" i="5"/>
  <c r="A2633" i="5"/>
  <c r="A2620" i="5"/>
  <c r="B2602" i="5"/>
  <c r="B2589" i="5"/>
  <c r="B2574" i="5"/>
  <c r="B2562" i="5"/>
  <c r="B2546" i="5"/>
  <c r="B2534" i="5"/>
  <c r="B2520" i="5"/>
  <c r="B2508" i="5"/>
  <c r="B2492" i="5"/>
  <c r="B2480" i="5"/>
  <c r="B2466" i="5"/>
  <c r="B2454" i="5"/>
  <c r="B2438" i="5"/>
  <c r="B2426" i="5"/>
  <c r="B2412" i="5"/>
  <c r="B2400" i="5"/>
  <c r="B2384" i="5"/>
  <c r="B2372" i="5"/>
  <c r="B2358" i="5"/>
  <c r="B2346" i="5"/>
  <c r="B2330" i="5"/>
  <c r="B2318" i="5"/>
  <c r="B2304" i="5"/>
  <c r="B2292" i="5"/>
  <c r="B2276" i="5"/>
  <c r="B2264" i="5"/>
  <c r="B2250" i="5"/>
  <c r="B2238" i="5"/>
  <c r="B2222" i="5"/>
  <c r="B2210" i="5"/>
  <c r="B2196" i="5"/>
  <c r="B2184" i="5"/>
  <c r="B2168" i="5"/>
  <c r="B2156" i="5"/>
  <c r="B2142" i="5"/>
  <c r="B2130" i="5"/>
  <c r="B2114" i="5"/>
  <c r="B2102" i="5"/>
  <c r="B2088" i="5"/>
  <c r="B2076" i="5"/>
  <c r="B2061" i="5"/>
  <c r="B2051" i="5"/>
  <c r="B2037" i="5"/>
  <c r="B2027" i="5"/>
  <c r="B2013" i="5"/>
  <c r="B2004" i="5"/>
  <c r="B1992" i="5"/>
  <c r="B1982" i="5"/>
  <c r="B1970" i="5"/>
  <c r="B1961" i="5"/>
  <c r="A1951" i="5"/>
  <c r="A1943" i="5"/>
  <c r="B1933" i="5"/>
  <c r="A1926" i="5"/>
  <c r="A1918" i="5"/>
  <c r="B1909" i="5"/>
  <c r="A1902" i="5"/>
  <c r="A1894" i="5"/>
  <c r="B1885" i="5"/>
  <c r="A1878" i="5"/>
  <c r="A1870" i="5"/>
  <c r="B1861" i="5"/>
  <c r="A1854" i="5"/>
  <c r="A1846" i="5"/>
  <c r="B1837" i="5"/>
  <c r="A1830" i="5"/>
  <c r="A1822" i="5"/>
  <c r="B1813" i="5"/>
  <c r="A1806" i="5"/>
  <c r="A1798" i="5"/>
  <c r="B1789" i="5"/>
  <c r="A1782" i="5"/>
  <c r="A1774" i="5"/>
  <c r="B1765" i="5"/>
  <c r="A1758" i="5"/>
  <c r="A1750" i="5"/>
  <c r="B1741" i="5"/>
  <c r="A1734" i="5"/>
  <c r="A1726" i="5"/>
  <c r="B1717" i="5"/>
  <c r="A1710" i="5"/>
  <c r="A1702" i="5"/>
  <c r="B1693" i="5"/>
  <c r="A1686" i="5"/>
  <c r="A1678" i="5"/>
  <c r="B1669" i="5"/>
  <c r="A1662" i="5"/>
  <c r="A1654" i="5"/>
  <c r="B1645" i="5"/>
  <c r="A1638" i="5"/>
  <c r="A1630" i="5"/>
  <c r="B1621" i="5"/>
  <c r="A1614" i="5"/>
  <c r="A1606" i="5"/>
  <c r="B1597" i="5"/>
  <c r="B1590" i="5"/>
  <c r="B1583" i="5"/>
  <c r="A1576" i="5"/>
  <c r="B1568" i="5"/>
  <c r="B1561" i="5"/>
  <c r="B1554" i="5"/>
  <c r="A1548" i="5"/>
  <c r="B1541" i="5"/>
  <c r="A1535" i="5"/>
  <c r="B1528" i="5"/>
  <c r="A1522" i="5"/>
  <c r="A1515" i="5"/>
  <c r="B1508" i="5"/>
  <c r="A1502" i="5"/>
  <c r="B1495" i="5"/>
  <c r="A1489" i="5"/>
  <c r="B1482" i="5"/>
  <c r="A1476" i="5"/>
  <c r="B1469" i="5"/>
  <c r="A1463" i="5"/>
  <c r="B1456" i="5"/>
  <c r="B1450" i="5"/>
  <c r="B1444" i="5"/>
  <c r="B1438" i="5"/>
  <c r="B1432" i="5"/>
  <c r="B1426" i="5"/>
  <c r="B1420" i="5"/>
  <c r="B1414" i="5"/>
  <c r="B1408" i="5"/>
  <c r="B1402" i="5"/>
  <c r="B1396" i="5"/>
  <c r="B1390" i="5"/>
  <c r="B1384" i="5"/>
  <c r="B1378" i="5"/>
  <c r="B1372" i="5"/>
  <c r="B1366" i="5"/>
  <c r="B1360" i="5"/>
  <c r="B1354" i="5"/>
  <c r="B1348" i="5"/>
  <c r="B1342" i="5"/>
  <c r="B1336" i="5"/>
  <c r="B1330" i="5"/>
  <c r="B1324" i="5"/>
  <c r="B1318" i="5"/>
  <c r="B1312" i="5"/>
  <c r="B1306" i="5"/>
  <c r="B1300" i="5"/>
  <c r="B1294" i="5"/>
  <c r="B1288" i="5"/>
  <c r="B1282" i="5"/>
  <c r="B1276" i="5"/>
  <c r="B1270" i="5"/>
  <c r="B1264" i="5"/>
  <c r="B1258" i="5"/>
  <c r="B1252" i="5"/>
  <c r="B1246" i="5"/>
  <c r="B1240" i="5"/>
  <c r="B1234" i="5"/>
  <c r="B1228" i="5"/>
  <c r="B1222" i="5"/>
  <c r="B1216" i="5"/>
  <c r="B1210" i="5"/>
  <c r="B1204" i="5"/>
  <c r="B1198" i="5"/>
  <c r="B1192" i="5"/>
  <c r="B1186" i="5"/>
  <c r="B1180" i="5"/>
  <c r="B1174" i="5"/>
  <c r="B1168" i="5"/>
  <c r="B1162" i="5"/>
  <c r="B1156" i="5"/>
  <c r="B1150" i="5"/>
  <c r="B1144" i="5"/>
  <c r="B1138" i="5"/>
  <c r="B1132" i="5"/>
  <c r="B1126" i="5"/>
  <c r="B1120" i="5"/>
  <c r="B1114" i="5"/>
  <c r="B1108" i="5"/>
  <c r="B1102" i="5"/>
  <c r="B1096" i="5"/>
  <c r="B1090" i="5"/>
  <c r="B4390" i="5"/>
  <c r="B4276" i="5"/>
  <c r="B4186" i="5"/>
  <c r="A4072" i="5"/>
  <c r="A3963" i="5"/>
  <c r="A3893" i="5"/>
  <c r="B3802" i="5"/>
  <c r="B3739" i="5"/>
  <c r="B3694" i="5"/>
  <c r="A3665" i="5"/>
  <c r="A3628" i="5"/>
  <c r="A3591" i="5"/>
  <c r="A3565" i="5"/>
  <c r="B3530" i="5"/>
  <c r="B3495" i="5"/>
  <c r="B3463" i="5"/>
  <c r="A3435" i="5"/>
  <c r="A3398" i="5"/>
  <c r="B3361" i="5"/>
  <c r="A3337" i="5"/>
  <c r="A3306" i="5"/>
  <c r="B3278" i="5"/>
  <c r="A3253" i="5"/>
  <c r="B3231" i="5"/>
  <c r="B3203" i="5"/>
  <c r="B3176" i="5"/>
  <c r="B3156" i="5"/>
  <c r="B3134" i="5"/>
  <c r="A3114" i="5"/>
  <c r="B3095" i="5"/>
  <c r="A3076" i="5"/>
  <c r="B3057" i="5"/>
  <c r="A3039" i="5"/>
  <c r="A3022" i="5"/>
  <c r="B3005" i="5"/>
  <c r="B2988" i="5"/>
  <c r="B2972" i="5"/>
  <c r="A2957" i="5"/>
  <c r="B2940" i="5"/>
  <c r="B2925" i="5"/>
  <c r="A2910" i="5"/>
  <c r="B2896" i="5"/>
  <c r="A2882" i="5"/>
  <c r="B2866" i="5"/>
  <c r="A2851" i="5"/>
  <c r="B2837" i="5"/>
  <c r="A2823" i="5"/>
  <c r="B2807" i="5"/>
  <c r="B2792" i="5"/>
  <c r="B2778" i="5"/>
  <c r="A2764" i="5"/>
  <c r="B2748" i="5"/>
  <c r="B2733" i="5"/>
  <c r="A2720" i="5"/>
  <c r="A2705" i="5"/>
  <c r="A2690" i="5"/>
  <c r="B2674" i="5"/>
  <c r="A2661" i="5"/>
  <c r="A2646" i="5"/>
  <c r="A2631" i="5"/>
  <c r="B2615" i="5"/>
  <c r="A2602" i="5"/>
  <c r="A2587" i="5"/>
  <c r="B2572" i="5"/>
  <c r="B2558" i="5"/>
  <c r="A2546" i="5"/>
  <c r="B2532" i="5"/>
  <c r="B2518" i="5"/>
  <c r="B2504" i="5"/>
  <c r="A2492" i="5"/>
  <c r="B2478" i="5"/>
  <c r="B2464" i="5"/>
  <c r="B2450" i="5"/>
  <c r="A2438" i="5"/>
  <c r="B2424" i="5"/>
  <c r="B2410" i="5"/>
  <c r="B2396" i="5"/>
  <c r="A2384" i="5"/>
  <c r="B2370" i="5"/>
  <c r="B2356" i="5"/>
  <c r="B2342" i="5"/>
  <c r="A2330" i="5"/>
  <c r="B2316" i="5"/>
  <c r="B2302" i="5"/>
  <c r="B2288" i="5"/>
  <c r="A2276" i="5"/>
  <c r="B2262" i="5"/>
  <c r="B2248" i="5"/>
  <c r="B2234" i="5"/>
  <c r="A2222" i="5"/>
  <c r="B2208" i="5"/>
  <c r="B2194" i="5"/>
  <c r="B2180" i="5"/>
  <c r="A2168" i="5"/>
  <c r="B2154" i="5"/>
  <c r="B2140" i="5"/>
  <c r="B2126" i="5"/>
  <c r="A2114" i="5"/>
  <c r="B2100" i="5"/>
  <c r="B2086" i="5"/>
  <c r="B2072" i="5"/>
  <c r="A2061" i="5"/>
  <c r="B2048" i="5"/>
  <c r="A2037" i="5"/>
  <c r="B2024" i="5"/>
  <c r="A2013" i="5"/>
  <c r="B2001" i="5"/>
  <c r="B1991" i="5"/>
  <c r="B1980" i="5"/>
  <c r="A1970" i="5"/>
  <c r="B1959" i="5"/>
  <c r="B1950" i="5"/>
  <c r="A1941" i="5"/>
  <c r="A1933" i="5"/>
  <c r="B1925" i="5"/>
  <c r="A1917" i="5"/>
  <c r="A1909" i="5"/>
  <c r="B1901" i="5"/>
  <c r="A1893" i="5"/>
  <c r="A1885" i="5"/>
  <c r="B1877" i="5"/>
  <c r="A1869" i="5"/>
  <c r="A1861" i="5"/>
  <c r="B1853" i="5"/>
  <c r="A1845" i="5"/>
  <c r="A1837" i="5"/>
  <c r="B1829" i="5"/>
  <c r="A1821" i="5"/>
  <c r="A1813" i="5"/>
  <c r="B1805" i="5"/>
  <c r="A1797" i="5"/>
  <c r="A1789" i="5"/>
  <c r="B1781" i="5"/>
  <c r="A1773" i="5"/>
  <c r="A1765" i="5"/>
  <c r="B1757" i="5"/>
  <c r="A1749" i="5"/>
  <c r="A1741" i="5"/>
  <c r="B1733" i="5"/>
  <c r="A1725" i="5"/>
  <c r="A1717" i="5"/>
  <c r="B1709" i="5"/>
  <c r="A1701" i="5"/>
  <c r="A1693" i="5"/>
  <c r="B1685" i="5"/>
  <c r="A1677" i="5"/>
  <c r="A1669" i="5"/>
  <c r="B1661" i="5"/>
  <c r="A1653" i="5"/>
  <c r="A1645" i="5"/>
  <c r="B1637" i="5"/>
  <c r="A1629" i="5"/>
  <c r="A1621" i="5"/>
  <c r="B1613" i="5"/>
  <c r="A1605" i="5"/>
  <c r="A1597" i="5"/>
  <c r="A1590" i="5"/>
  <c r="A1583" i="5"/>
  <c r="A1575" i="5"/>
  <c r="A1568" i="5"/>
  <c r="A1561" i="5"/>
  <c r="A1554" i="5"/>
  <c r="B1547" i="5"/>
  <c r="A1541" i="5"/>
  <c r="B1534" i="5"/>
  <c r="A1528" i="5"/>
  <c r="A1521" i="5"/>
  <c r="B1514" i="5"/>
  <c r="A1508" i="5"/>
  <c r="B1501" i="5"/>
  <c r="A1495" i="5"/>
  <c r="B1488" i="5"/>
  <c r="A1482" i="5"/>
  <c r="B1475" i="5"/>
  <c r="A1469" i="5"/>
  <c r="B1462" i="5"/>
  <c r="A1456" i="5"/>
  <c r="A1450" i="5"/>
  <c r="A1444" i="5"/>
  <c r="A1438" i="5"/>
  <c r="A1432" i="5"/>
  <c r="A1426" i="5"/>
  <c r="A1420" i="5"/>
  <c r="A1414" i="5"/>
  <c r="A1408" i="5"/>
  <c r="A1402" i="5"/>
  <c r="A1396" i="5"/>
  <c r="A1390" i="5"/>
  <c r="A1384" i="5"/>
  <c r="A1378" i="5"/>
  <c r="A1372" i="5"/>
  <c r="A1366" i="5"/>
  <c r="A1360" i="5"/>
  <c r="A1354" i="5"/>
  <c r="A1348" i="5"/>
  <c r="A1342" i="5"/>
  <c r="A1336" i="5"/>
  <c r="A1330" i="5"/>
  <c r="A1324" i="5"/>
  <c r="A1318" i="5"/>
  <c r="A1312" i="5"/>
  <c r="A1306" i="5"/>
  <c r="A1300" i="5"/>
  <c r="A1294" i="5"/>
  <c r="A1288" i="5"/>
  <c r="A1282" i="5"/>
  <c r="A1276" i="5"/>
  <c r="A1270" i="5"/>
  <c r="A1264" i="5"/>
  <c r="A1258" i="5"/>
  <c r="A1252" i="5"/>
  <c r="A1246" i="5"/>
  <c r="A1240" i="5"/>
  <c r="A1234" i="5"/>
  <c r="A1228" i="5"/>
  <c r="A1222" i="5"/>
  <c r="A1216" i="5"/>
  <c r="A1210" i="5"/>
  <c r="A1204" i="5"/>
  <c r="A1198" i="5"/>
  <c r="A1192" i="5"/>
  <c r="A1186" i="5"/>
  <c r="A1180" i="5"/>
  <c r="A1174" i="5"/>
  <c r="A1168" i="5"/>
  <c r="A1162" i="5"/>
  <c r="A1156" i="5"/>
  <c r="A1150" i="5"/>
  <c r="A1144" i="5"/>
  <c r="A1138" i="5"/>
  <c r="A1132" i="5"/>
  <c r="A1126" i="5"/>
  <c r="A1120" i="5"/>
  <c r="A1114" i="5"/>
  <c r="A1108" i="5"/>
  <c r="A1102" i="5"/>
  <c r="A1096" i="5"/>
  <c r="A1090" i="5"/>
  <c r="A1084" i="5"/>
  <c r="A1078" i="5"/>
  <c r="A1072" i="5"/>
  <c r="A1066" i="5"/>
  <c r="A1060" i="5"/>
  <c r="A1054" i="5"/>
  <c r="A1048" i="5"/>
  <c r="A1042" i="5"/>
  <c r="A1036" i="5"/>
  <c r="A1030" i="5"/>
  <c r="A1024" i="5"/>
  <c r="A1018" i="5"/>
  <c r="A1012" i="5"/>
  <c r="A1006" i="5"/>
  <c r="A1000" i="5"/>
  <c r="A994" i="5"/>
  <c r="A988" i="5"/>
  <c r="A982" i="5"/>
  <c r="A976" i="5"/>
  <c r="A970" i="5"/>
  <c r="A964" i="5"/>
  <c r="A958" i="5"/>
  <c r="A952" i="5"/>
  <c r="A946" i="5"/>
  <c r="A940" i="5"/>
  <c r="A934" i="5"/>
  <c r="A928" i="5"/>
  <c r="A922" i="5"/>
  <c r="A916" i="5"/>
  <c r="A910" i="5"/>
  <c r="A904" i="5"/>
  <c r="A898" i="5"/>
  <c r="A892" i="5"/>
  <c r="A886" i="5"/>
  <c r="A880" i="5"/>
  <c r="A874" i="5"/>
  <c r="A868" i="5"/>
  <c r="A862" i="5"/>
  <c r="A856" i="5"/>
  <c r="A850" i="5"/>
  <c r="A844" i="5"/>
  <c r="A4366" i="5"/>
  <c r="B4270" i="5"/>
  <c r="A4150" i="5"/>
  <c r="B4063" i="5"/>
  <c r="A3959" i="5"/>
  <c r="A3862" i="5"/>
  <c r="A3794" i="5"/>
  <c r="A3731" i="5"/>
  <c r="B3687" i="5"/>
  <c r="B3655" i="5"/>
  <c r="A3627" i="5"/>
  <c r="A3590" i="5"/>
  <c r="B3553" i="5"/>
  <c r="B3525" i="5"/>
  <c r="A3492" i="5"/>
  <c r="B3458" i="5"/>
  <c r="A3425" i="5"/>
  <c r="A3397" i="5"/>
  <c r="A3359" i="5"/>
  <c r="A3327" i="5"/>
  <c r="A3302" i="5"/>
  <c r="A3274" i="5"/>
  <c r="A3249" i="5"/>
  <c r="B3224" i="5"/>
  <c r="B3202" i="5"/>
  <c r="A3175" i="5"/>
  <c r="A3149" i="5"/>
  <c r="B3131" i="5"/>
  <c r="A3111" i="5"/>
  <c r="B3094" i="5"/>
  <c r="A3071" i="5"/>
  <c r="A3055" i="5"/>
  <c r="A3036" i="5"/>
  <c r="A3021" i="5"/>
  <c r="A3001" i="5"/>
  <c r="A2987" i="5"/>
  <c r="A2970" i="5"/>
  <c r="A2956" i="5"/>
  <c r="A2937" i="5"/>
  <c r="A2924" i="5"/>
  <c r="B2908" i="5"/>
  <c r="B2895" i="5"/>
  <c r="A2878" i="5"/>
  <c r="A2865" i="5"/>
  <c r="B2849" i="5"/>
  <c r="B2836" i="5"/>
  <c r="A2819" i="5"/>
  <c r="A2806" i="5"/>
  <c r="B2790" i="5"/>
  <c r="B2777" i="5"/>
  <c r="A2760" i="5"/>
  <c r="A2747" i="5"/>
  <c r="A2732" i="5"/>
  <c r="B2718" i="5"/>
  <c r="A2701" i="5"/>
  <c r="A2688" i="5"/>
  <c r="A2673" i="5"/>
  <c r="A2660" i="5"/>
  <c r="B2642" i="5"/>
  <c r="A2629" i="5"/>
  <c r="A2614" i="5"/>
  <c r="A2601" i="5"/>
  <c r="B2583" i="5"/>
  <c r="A2571" i="5"/>
  <c r="A2557" i="5"/>
  <c r="A2545" i="5"/>
  <c r="A2529" i="5"/>
  <c r="A2517" i="5"/>
  <c r="A2503" i="5"/>
  <c r="A2491" i="5"/>
  <c r="A2475" i="5"/>
  <c r="A2463" i="5"/>
  <c r="A2449" i="5"/>
  <c r="A2437" i="5"/>
  <c r="A2421" i="5"/>
  <c r="A2409" i="5"/>
  <c r="A2395" i="5"/>
  <c r="A2383" i="5"/>
  <c r="A2367" i="5"/>
  <c r="A2355" i="5"/>
  <c r="A2341" i="5"/>
  <c r="A2329" i="5"/>
  <c r="A2313" i="5"/>
  <c r="A2301" i="5"/>
  <c r="A2287" i="5"/>
  <c r="A2275" i="5"/>
  <c r="A2259" i="5"/>
  <c r="A2247" i="5"/>
  <c r="A2233" i="5"/>
  <c r="A2221" i="5"/>
  <c r="A2205" i="5"/>
  <c r="A2193" i="5"/>
  <c r="A2179" i="5"/>
  <c r="A2167" i="5"/>
  <c r="A2151" i="5"/>
  <c r="A2139" i="5"/>
  <c r="A2125" i="5"/>
  <c r="A2113" i="5"/>
  <c r="A2097" i="5"/>
  <c r="A2085" i="5"/>
  <c r="A2071" i="5"/>
  <c r="A2060" i="5"/>
  <c r="A2047" i="5"/>
  <c r="A2036" i="5"/>
  <c r="A2023" i="5"/>
  <c r="A2012" i="5"/>
  <c r="A2000" i="5"/>
  <c r="A1990" i="5"/>
  <c r="A1978" i="5"/>
  <c r="A1969" i="5"/>
  <c r="A1958" i="5"/>
  <c r="B1949" i="5"/>
  <c r="B1939" i="5"/>
  <c r="A1932" i="5"/>
  <c r="A1924" i="5"/>
  <c r="B1915" i="5"/>
  <c r="A1908" i="5"/>
  <c r="A1900" i="5"/>
  <c r="B1891" i="5"/>
  <c r="A1884" i="5"/>
  <c r="A1876" i="5"/>
  <c r="B1867" i="5"/>
  <c r="A1860" i="5"/>
  <c r="A1852" i="5"/>
  <c r="B1843" i="5"/>
  <c r="A1836" i="5"/>
  <c r="A1828" i="5"/>
  <c r="B1819" i="5"/>
  <c r="A1812" i="5"/>
  <c r="A1804" i="5"/>
  <c r="B1795" i="5"/>
  <c r="A1788" i="5"/>
  <c r="A1780" i="5"/>
  <c r="B1771" i="5"/>
  <c r="A1764" i="5"/>
  <c r="A1756" i="5"/>
  <c r="B1747" i="5"/>
  <c r="A1740" i="5"/>
  <c r="A1732" i="5"/>
  <c r="B1723" i="5"/>
  <c r="A1716" i="5"/>
  <c r="A1708" i="5"/>
  <c r="B1699" i="5"/>
  <c r="A1692" i="5"/>
  <c r="A1684" i="5"/>
  <c r="B1675" i="5"/>
  <c r="A1668" i="5"/>
  <c r="A1660" i="5"/>
  <c r="B1651" i="5"/>
  <c r="A1644" i="5"/>
  <c r="A1636" i="5"/>
  <c r="B1627" i="5"/>
  <c r="A1620" i="5"/>
  <c r="A1612" i="5"/>
  <c r="B1603" i="5"/>
  <c r="A1596" i="5"/>
  <c r="A1589" i="5"/>
  <c r="A1581" i="5"/>
  <c r="A1574" i="5"/>
  <c r="A1567" i="5"/>
  <c r="A1560" i="5"/>
  <c r="A1553" i="5"/>
  <c r="B1546" i="5"/>
  <c r="A1540" i="5"/>
  <c r="A1533" i="5"/>
  <c r="B1526" i="5"/>
  <c r="A1520" i="5"/>
  <c r="B1513" i="5"/>
  <c r="A1507" i="5"/>
  <c r="B1500" i="5"/>
  <c r="A1494" i="5"/>
  <c r="B1487" i="5"/>
  <c r="A1481" i="5"/>
  <c r="B1474" i="5"/>
  <c r="A1468" i="5"/>
  <c r="A1461" i="5"/>
  <c r="A1455" i="5"/>
  <c r="A1449" i="5"/>
  <c r="A1443" i="5"/>
  <c r="A1437" i="5"/>
  <c r="A1431" i="5"/>
  <c r="A1425" i="5"/>
  <c r="A1419" i="5"/>
  <c r="A1413" i="5"/>
  <c r="A1407" i="5"/>
  <c r="A1401" i="5"/>
  <c r="A1395" i="5"/>
  <c r="A1389" i="5"/>
  <c r="A1383" i="5"/>
  <c r="A1377" i="5"/>
  <c r="A1371" i="5"/>
  <c r="A1365" i="5"/>
  <c r="A1359" i="5"/>
  <c r="A1353" i="5"/>
  <c r="A1347" i="5"/>
  <c r="A1341" i="5"/>
  <c r="A1335" i="5"/>
  <c r="A1329" i="5"/>
  <c r="A1323" i="5"/>
  <c r="A1317" i="5"/>
  <c r="A1311" i="5"/>
  <c r="A1305" i="5"/>
  <c r="A1299" i="5"/>
  <c r="A1293" i="5"/>
  <c r="A1287" i="5"/>
  <c r="A1281" i="5"/>
  <c r="A1275" i="5"/>
  <c r="A1269" i="5"/>
  <c r="A1263" i="5"/>
  <c r="A1257" i="5"/>
  <c r="A1251" i="5"/>
  <c r="A1245" i="5"/>
  <c r="A1239" i="5"/>
  <c r="A1233" i="5"/>
  <c r="A1227" i="5"/>
  <c r="A1221" i="5"/>
  <c r="A1215" i="5"/>
  <c r="A1209" i="5"/>
  <c r="A1203" i="5"/>
  <c r="A1197" i="5"/>
  <c r="A1191" i="5"/>
  <c r="A1185" i="5"/>
  <c r="A1179" i="5"/>
  <c r="A1173" i="5"/>
  <c r="A1167" i="5"/>
  <c r="A1161" i="5"/>
  <c r="A1155" i="5"/>
  <c r="A1149" i="5"/>
  <c r="A1143" i="5"/>
  <c r="A1137" i="5"/>
  <c r="A1131" i="5"/>
  <c r="A1125" i="5"/>
  <c r="A1119" i="5"/>
  <c r="A1113" i="5"/>
  <c r="A1107" i="5"/>
  <c r="A1101" i="5"/>
  <c r="A1095" i="5"/>
  <c r="A1089" i="5"/>
  <c r="A1083" i="5"/>
  <c r="A1077" i="5"/>
  <c r="A1071" i="5"/>
  <c r="A1065" i="5"/>
  <c r="A1059" i="5"/>
  <c r="A1053" i="5"/>
  <c r="A1047" i="5"/>
  <c r="A1041" i="5"/>
  <c r="A1035" i="5"/>
  <c r="A1029" i="5"/>
  <c r="A1023" i="5"/>
  <c r="A1017" i="5"/>
  <c r="A1011" i="5"/>
  <c r="A1005" i="5"/>
  <c r="A999" i="5"/>
  <c r="A993" i="5"/>
  <c r="A987" i="5"/>
  <c r="A4365" i="5"/>
  <c r="B4249" i="5"/>
  <c r="B4141" i="5"/>
  <c r="A4061" i="5"/>
  <c r="B3958" i="5"/>
  <c r="A3861" i="5"/>
  <c r="A3790" i="5"/>
  <c r="A3727" i="5"/>
  <c r="B3685" i="5"/>
  <c r="A3651" i="5"/>
  <c r="B3626" i="5"/>
  <c r="B3589" i="5"/>
  <c r="A3552" i="5"/>
  <c r="B3523" i="5"/>
  <c r="A3489" i="5"/>
  <c r="A3454" i="5"/>
  <c r="A3421" i="5"/>
  <c r="A3396" i="5"/>
  <c r="B3358" i="5"/>
  <c r="B3326" i="5"/>
  <c r="B3299" i="5"/>
  <c r="B3272" i="5"/>
  <c r="A3246" i="5"/>
  <c r="B3220" i="5"/>
  <c r="A3202" i="5"/>
  <c r="A3174" i="5"/>
  <c r="B3148" i="5"/>
  <c r="B3130" i="5"/>
  <c r="B3110" i="5"/>
  <c r="A3094" i="5"/>
  <c r="B3070" i="5"/>
  <c r="A4384" i="5"/>
  <c r="A4192" i="5"/>
  <c r="B4018" i="5"/>
  <c r="B3859" i="5"/>
  <c r="A3765" i="5"/>
  <c r="A3676" i="5"/>
  <c r="A3613" i="5"/>
  <c r="A3561" i="5"/>
  <c r="B3511" i="5"/>
  <c r="A3449" i="5"/>
  <c r="A3387" i="5"/>
  <c r="A3342" i="5"/>
  <c r="B3291" i="5"/>
  <c r="B3243" i="5"/>
  <c r="A3203" i="5"/>
  <c r="B3162" i="5"/>
  <c r="A3123" i="5"/>
  <c r="A3088" i="5"/>
  <c r="A3061" i="5"/>
  <c r="B3032" i="5"/>
  <c r="B3009" i="5"/>
  <c r="B2980" i="5"/>
  <c r="B2958" i="5"/>
  <c r="A2935" i="5"/>
  <c r="B2915" i="5"/>
  <c r="B2889" i="5"/>
  <c r="A2870" i="5"/>
  <c r="A2846" i="5"/>
  <c r="A2826" i="5"/>
  <c r="A2800" i="5"/>
  <c r="B2780" i="5"/>
  <c r="B2758" i="5"/>
  <c r="A2739" i="5"/>
  <c r="B2712" i="5"/>
  <c r="A2693" i="5"/>
  <c r="A2669" i="5"/>
  <c r="B2649" i="5"/>
  <c r="A2623" i="5"/>
  <c r="B2603" i="5"/>
  <c r="A2582" i="5"/>
  <c r="B2563" i="5"/>
  <c r="B2539" i="5"/>
  <c r="B2521" i="5"/>
  <c r="B2499" i="5"/>
  <c r="B2481" i="5"/>
  <c r="B2457" i="5"/>
  <c r="B2439" i="5"/>
  <c r="B2419" i="5"/>
  <c r="B2401" i="5"/>
  <c r="B2377" i="5"/>
  <c r="B2359" i="5"/>
  <c r="B2337" i="5"/>
  <c r="B2319" i="5"/>
  <c r="B2295" i="5"/>
  <c r="B2277" i="5"/>
  <c r="B2257" i="5"/>
  <c r="B2239" i="5"/>
  <c r="B2215" i="5"/>
  <c r="B2197" i="5"/>
  <c r="B2175" i="5"/>
  <c r="B2157" i="5"/>
  <c r="B2133" i="5"/>
  <c r="B2115" i="5"/>
  <c r="B2095" i="5"/>
  <c r="B2077" i="5"/>
  <c r="A2055" i="5"/>
  <c r="B2039" i="5"/>
  <c r="B2020" i="5"/>
  <c r="B2005" i="5"/>
  <c r="B1986" i="5"/>
  <c r="B1971" i="5"/>
  <c r="B1956" i="5"/>
  <c r="A1944" i="5"/>
  <c r="A1930" i="5"/>
  <c r="B1919" i="5"/>
  <c r="A1906" i="5"/>
  <c r="B1895" i="5"/>
  <c r="A1882" i="5"/>
  <c r="B1871" i="5"/>
  <c r="A1858" i="5"/>
  <c r="B1847" i="5"/>
  <c r="A1834" i="5"/>
  <c r="B1823" i="5"/>
  <c r="A1810" i="5"/>
  <c r="B1799" i="5"/>
  <c r="A1786" i="5"/>
  <c r="B1775" i="5"/>
  <c r="A1762" i="5"/>
  <c r="B1751" i="5"/>
  <c r="A1738" i="5"/>
  <c r="B1727" i="5"/>
  <c r="A1714" i="5"/>
  <c r="B1703" i="5"/>
  <c r="A1690" i="5"/>
  <c r="B1679" i="5"/>
  <c r="A1666" i="5"/>
  <c r="B1655" i="5"/>
  <c r="A1642" i="5"/>
  <c r="B1631" i="5"/>
  <c r="A1618" i="5"/>
  <c r="B1607" i="5"/>
  <c r="A1594" i="5"/>
  <c r="B1584" i="5"/>
  <c r="B1572" i="5"/>
  <c r="B1562" i="5"/>
  <c r="A1551" i="5"/>
  <c r="B1542" i="5"/>
  <c r="B1531" i="5"/>
  <c r="A1523" i="5"/>
  <c r="A1512" i="5"/>
  <c r="A1503" i="5"/>
  <c r="B1492" i="5"/>
  <c r="B1483" i="5"/>
  <c r="B1472" i="5"/>
  <c r="A1464" i="5"/>
  <c r="B1453" i="5"/>
  <c r="B1445" i="5"/>
  <c r="B1435" i="5"/>
  <c r="B1427" i="5"/>
  <c r="B1417" i="5"/>
  <c r="A1410" i="5"/>
  <c r="B1401" i="5"/>
  <c r="B1393" i="5"/>
  <c r="A1386" i="5"/>
  <c r="B1377" i="5"/>
  <c r="B1369" i="5"/>
  <c r="A1362" i="5"/>
  <c r="B1353" i="5"/>
  <c r="B1345" i="5"/>
  <c r="A1338" i="5"/>
  <c r="B1329" i="5"/>
  <c r="B1321" i="5"/>
  <c r="A1314" i="5"/>
  <c r="B1305" i="5"/>
  <c r="B1297" i="5"/>
  <c r="A1290" i="5"/>
  <c r="B1281" i="5"/>
  <c r="B1273" i="5"/>
  <c r="A1266" i="5"/>
  <c r="B1257" i="5"/>
  <c r="B1249" i="5"/>
  <c r="A1242" i="5"/>
  <c r="B1233" i="5"/>
  <c r="B1225" i="5"/>
  <c r="A1218" i="5"/>
  <c r="B1209" i="5"/>
  <c r="B1201" i="5"/>
  <c r="A1194" i="5"/>
  <c r="B1185" i="5"/>
  <c r="B1177" i="5"/>
  <c r="A1170" i="5"/>
  <c r="B1161" i="5"/>
  <c r="B1153" i="5"/>
  <c r="A1146" i="5"/>
  <c r="B1137" i="5"/>
  <c r="B1129" i="5"/>
  <c r="A1122" i="5"/>
  <c r="B1113" i="5"/>
  <c r="B4363" i="5"/>
  <c r="A4191" i="5"/>
  <c r="A4013" i="5"/>
  <c r="A3857" i="5"/>
  <c r="B3733" i="5"/>
  <c r="B3668" i="5"/>
  <c r="A3612" i="5"/>
  <c r="A3551" i="5"/>
  <c r="A3511" i="5"/>
  <c r="A3446" i="5"/>
  <c r="B3381" i="5"/>
  <c r="A3334" i="5"/>
  <c r="B3290" i="5"/>
  <c r="B3242" i="5"/>
  <c r="B3195" i="5"/>
  <c r="B3160" i="5"/>
  <c r="B3122" i="5"/>
  <c r="A3086" i="5"/>
  <c r="B3056" i="5"/>
  <c r="A3031" i="5"/>
  <c r="B3002" i="5"/>
  <c r="A2980" i="5"/>
  <c r="B2956" i="5"/>
  <c r="B2934" i="5"/>
  <c r="A2909" i="5"/>
  <c r="A2889" i="5"/>
  <c r="B2865" i="5"/>
  <c r="A2845" i="5"/>
  <c r="B2819" i="5"/>
  <c r="B2799" i="5"/>
  <c r="A2778" i="5"/>
  <c r="A2758" i="5"/>
  <c r="B2732" i="5"/>
  <c r="A2712" i="5"/>
  <c r="B2688" i="5"/>
  <c r="B2668" i="5"/>
  <c r="A2643" i="5"/>
  <c r="B2622" i="5"/>
  <c r="B2601" i="5"/>
  <c r="A2581" i="5"/>
  <c r="B2557" i="5"/>
  <c r="A2539" i="5"/>
  <c r="B2517" i="5"/>
  <c r="A2499" i="5"/>
  <c r="B2475" i="5"/>
  <c r="A2457" i="5"/>
  <c r="B2437" i="5"/>
  <c r="A2419" i="5"/>
  <c r="B2395" i="5"/>
  <c r="A2377" i="5"/>
  <c r="B2355" i="5"/>
  <c r="A2337" i="5"/>
  <c r="B2313" i="5"/>
  <c r="A2295" i="5"/>
  <c r="B2275" i="5"/>
  <c r="A2257" i="5"/>
  <c r="B2233" i="5"/>
  <c r="A2215" i="5"/>
  <c r="B2193" i="5"/>
  <c r="A2175" i="5"/>
  <c r="B2151" i="5"/>
  <c r="A2133" i="5"/>
  <c r="B2113" i="5"/>
  <c r="A2095" i="5"/>
  <c r="B2071" i="5"/>
  <c r="B2054" i="5"/>
  <c r="B2036" i="5"/>
  <c r="B2019" i="5"/>
  <c r="B2000" i="5"/>
  <c r="B1985" i="5"/>
  <c r="B1969" i="5"/>
  <c r="B1955" i="5"/>
  <c r="A1940" i="5"/>
  <c r="A1929" i="5"/>
  <c r="A1916" i="5"/>
  <c r="A1905" i="5"/>
  <c r="A1892" i="5"/>
  <c r="A1881" i="5"/>
  <c r="A1868" i="5"/>
  <c r="A1857" i="5"/>
  <c r="A1844" i="5"/>
  <c r="A1833" i="5"/>
  <c r="A1820" i="5"/>
  <c r="A1809" i="5"/>
  <c r="A1796" i="5"/>
  <c r="A1785" i="5"/>
  <c r="A1772" i="5"/>
  <c r="A1761" i="5"/>
  <c r="A1748" i="5"/>
  <c r="A1737" i="5"/>
  <c r="A1724" i="5"/>
  <c r="A1713" i="5"/>
  <c r="A1700" i="5"/>
  <c r="A1689" i="5"/>
  <c r="A1676" i="5"/>
  <c r="A1665" i="5"/>
  <c r="A1652" i="5"/>
  <c r="A1641" i="5"/>
  <c r="A1628" i="5"/>
  <c r="A1617" i="5"/>
  <c r="A1604" i="5"/>
  <c r="A1593" i="5"/>
  <c r="A1582" i="5"/>
  <c r="A1572" i="5"/>
  <c r="B1560" i="5"/>
  <c r="B1550" i="5"/>
  <c r="B1540" i="5"/>
  <c r="A1531" i="5"/>
  <c r="B1520" i="5"/>
  <c r="B1511" i="5"/>
  <c r="A1501" i="5"/>
  <c r="A1492" i="5"/>
  <c r="B1481" i="5"/>
  <c r="A1472" i="5"/>
  <c r="A1462" i="5"/>
  <c r="A1453" i="5"/>
  <c r="B1443" i="5"/>
  <c r="B4357" i="5"/>
  <c r="A4185" i="5"/>
  <c r="A4005" i="5"/>
  <c r="B3856" i="5"/>
  <c r="A3724" i="5"/>
  <c r="A3668" i="5"/>
  <c r="A3608" i="5"/>
  <c r="A3550" i="5"/>
  <c r="B3493" i="5"/>
  <c r="A3438" i="5"/>
  <c r="A3381" i="5"/>
  <c r="B3325" i="5"/>
  <c r="B3289" i="5"/>
  <c r="B3239" i="5"/>
  <c r="B3191" i="5"/>
  <c r="B3154" i="5"/>
  <c r="A3122" i="5"/>
  <c r="B3084" i="5"/>
  <c r="A3054" i="5"/>
  <c r="A3030" i="5"/>
  <c r="B3000" i="5"/>
  <c r="B2979" i="5"/>
  <c r="B2955" i="5"/>
  <c r="A2934" i="5"/>
  <c r="A2908" i="5"/>
  <c r="B2888" i="5"/>
  <c r="B2864" i="5"/>
  <c r="B2844" i="5"/>
  <c r="B2818" i="5"/>
  <c r="A2799" i="5"/>
  <c r="A2777" i="5"/>
  <c r="B2757" i="5"/>
  <c r="A2731" i="5"/>
  <c r="B2711" i="5"/>
  <c r="B2687" i="5"/>
  <c r="A2668" i="5"/>
  <c r="A2642" i="5"/>
  <c r="A2622" i="5"/>
  <c r="B2600" i="5"/>
  <c r="B2580" i="5"/>
  <c r="B2556" i="5"/>
  <c r="B2538" i="5"/>
  <c r="B2516" i="5"/>
  <c r="B2498" i="5"/>
  <c r="B2474" i="5"/>
  <c r="B2456" i="5"/>
  <c r="B2436" i="5"/>
  <c r="B2418" i="5"/>
  <c r="B2394" i="5"/>
  <c r="B2376" i="5"/>
  <c r="B2354" i="5"/>
  <c r="B2336" i="5"/>
  <c r="B2312" i="5"/>
  <c r="B2294" i="5"/>
  <c r="B2274" i="5"/>
  <c r="B2256" i="5"/>
  <c r="B2232" i="5"/>
  <c r="B2214" i="5"/>
  <c r="B2192" i="5"/>
  <c r="B2174" i="5"/>
  <c r="B2150" i="5"/>
  <c r="B2132" i="5"/>
  <c r="B2112" i="5"/>
  <c r="B2094" i="5"/>
  <c r="B2070" i="5"/>
  <c r="A2054" i="5"/>
  <c r="B2035" i="5"/>
  <c r="A2019" i="5"/>
  <c r="B1999" i="5"/>
  <c r="B1984" i="5"/>
  <c r="B1968" i="5"/>
  <c r="A1955" i="5"/>
  <c r="A1939" i="5"/>
  <c r="A1928" i="5"/>
  <c r="A1915" i="5"/>
  <c r="A1904" i="5"/>
  <c r="A1891" i="5"/>
  <c r="A1880" i="5"/>
  <c r="A1867" i="5"/>
  <c r="A1856" i="5"/>
  <c r="A1843" i="5"/>
  <c r="A1832" i="5"/>
  <c r="A1819" i="5"/>
  <c r="A1808" i="5"/>
  <c r="A1795" i="5"/>
  <c r="A1784" i="5"/>
  <c r="A1771" i="5"/>
  <c r="A1760" i="5"/>
  <c r="A1747" i="5"/>
  <c r="A1736" i="5"/>
  <c r="A1723" i="5"/>
  <c r="A1712" i="5"/>
  <c r="A1699" i="5"/>
  <c r="A1688" i="5"/>
  <c r="A1675" i="5"/>
  <c r="A1664" i="5"/>
  <c r="A1651" i="5"/>
  <c r="A1640" i="5"/>
  <c r="A1627" i="5"/>
  <c r="A1616" i="5"/>
  <c r="A1603" i="5"/>
  <c r="B1592" i="5"/>
  <c r="B1580" i="5"/>
  <c r="B1571" i="5"/>
  <c r="B1559" i="5"/>
  <c r="A1550" i="5"/>
  <c r="A1539" i="5"/>
  <c r="B1530" i="5"/>
  <c r="B1519" i="5"/>
  <c r="A1511" i="5"/>
  <c r="A1500" i="5"/>
  <c r="A1491" i="5"/>
  <c r="B1480" i="5"/>
  <c r="B1471" i="5"/>
  <c r="B1460" i="5"/>
  <c r="B1452" i="5"/>
  <c r="B1442" i="5"/>
  <c r="B1434" i="5"/>
  <c r="B1424" i="5"/>
  <c r="B1416" i="5"/>
  <c r="A1409" i="5"/>
  <c r="A1400" i="5"/>
  <c r="B1392" i="5"/>
  <c r="A1385" i="5"/>
  <c r="A1376" i="5"/>
  <c r="B1368" i="5"/>
  <c r="A1361" i="5"/>
  <c r="A1352" i="5"/>
  <c r="B1344" i="5"/>
  <c r="A1337" i="5"/>
  <c r="A1328" i="5"/>
  <c r="B1320" i="5"/>
  <c r="A1313" i="5"/>
  <c r="A1304" i="5"/>
  <c r="B1296" i="5"/>
  <c r="A1289" i="5"/>
  <c r="A1280" i="5"/>
  <c r="B1272" i="5"/>
  <c r="A1265" i="5"/>
  <c r="A1256" i="5"/>
  <c r="B1248" i="5"/>
  <c r="A1241" i="5"/>
  <c r="A1232" i="5"/>
  <c r="B1224" i="5"/>
  <c r="A1217" i="5"/>
  <c r="A1208" i="5"/>
  <c r="B1200" i="5"/>
  <c r="A1193" i="5"/>
  <c r="A1184" i="5"/>
  <c r="B1176" i="5"/>
  <c r="A1169" i="5"/>
  <c r="A1160" i="5"/>
  <c r="B1152" i="5"/>
  <c r="A1145" i="5"/>
  <c r="A1136" i="5"/>
  <c r="B1128" i="5"/>
  <c r="A1121" i="5"/>
  <c r="A4325" i="5"/>
  <c r="A4133" i="5"/>
  <c r="A4000" i="5"/>
  <c r="B3850" i="5"/>
  <c r="B3721" i="5"/>
  <c r="B3663" i="5"/>
  <c r="A3607" i="5"/>
  <c r="B3549" i="5"/>
  <c r="B3487" i="5"/>
  <c r="A3437" i="5"/>
  <c r="A3379" i="5"/>
  <c r="A3324" i="5"/>
  <c r="A3275" i="5"/>
  <c r="B3233" i="5"/>
  <c r="A3191" i="5"/>
  <c r="A3148" i="5"/>
  <c r="A3121" i="5"/>
  <c r="A3084" i="5"/>
  <c r="A3052" i="5"/>
  <c r="A3028" i="5"/>
  <c r="A3000" i="5"/>
  <c r="A2979" i="5"/>
  <c r="B2950" i="5"/>
  <c r="A2930" i="5"/>
  <c r="A2906" i="5"/>
  <c r="A2886" i="5"/>
  <c r="A2862" i="5"/>
  <c r="B2842" i="5"/>
  <c r="A2818" i="5"/>
  <c r="B2798" i="5"/>
  <c r="B2772" i="5"/>
  <c r="A2753" i="5"/>
  <c r="A2729" i="5"/>
  <c r="B2709" i="5"/>
  <c r="B2685" i="5"/>
  <c r="A2666" i="5"/>
  <c r="A2641" i="5"/>
  <c r="B2621" i="5"/>
  <c r="A2596" i="5"/>
  <c r="B2576" i="5"/>
  <c r="B2554" i="5"/>
  <c r="B2536" i="5"/>
  <c r="B2514" i="5"/>
  <c r="B2496" i="5"/>
  <c r="A2474" i="5"/>
  <c r="A2456" i="5"/>
  <c r="B2432" i="5"/>
  <c r="B2414" i="5"/>
  <c r="B2392" i="5"/>
  <c r="B2374" i="5"/>
  <c r="B2352" i="5"/>
  <c r="B2334" i="5"/>
  <c r="A2312" i="5"/>
  <c r="A2294" i="5"/>
  <c r="B2270" i="5"/>
  <c r="B2252" i="5"/>
  <c r="B2230" i="5"/>
  <c r="B2212" i="5"/>
  <c r="B2190" i="5"/>
  <c r="B2172" i="5"/>
  <c r="A2150" i="5"/>
  <c r="A2132" i="5"/>
  <c r="B2108" i="5"/>
  <c r="B2090" i="5"/>
  <c r="B2069" i="5"/>
  <c r="B2053" i="5"/>
  <c r="B2032" i="5"/>
  <c r="A2017" i="5"/>
  <c r="A1999" i="5"/>
  <c r="A1984" i="5"/>
  <c r="A1966" i="5"/>
  <c r="A1953" i="5"/>
  <c r="B1938" i="5"/>
  <c r="B1927" i="5"/>
  <c r="B1914" i="5"/>
  <c r="B1903" i="5"/>
  <c r="B1890" i="5"/>
  <c r="B1879" i="5"/>
  <c r="B1866" i="5"/>
  <c r="B1855" i="5"/>
  <c r="B1842" i="5"/>
  <c r="B1831" i="5"/>
  <c r="B1818" i="5"/>
  <c r="B1807" i="5"/>
  <c r="B1794" i="5"/>
  <c r="B1783" i="5"/>
  <c r="B1770" i="5"/>
  <c r="B1759" i="5"/>
  <c r="B1746" i="5"/>
  <c r="B1735" i="5"/>
  <c r="B1722" i="5"/>
  <c r="B1711" i="5"/>
  <c r="B1698" i="5"/>
  <c r="B1687" i="5"/>
  <c r="B1674" i="5"/>
  <c r="B1663" i="5"/>
  <c r="B1650" i="5"/>
  <c r="B1639" i="5"/>
  <c r="B1626" i="5"/>
  <c r="B1615" i="5"/>
  <c r="B1602" i="5"/>
  <c r="A1592" i="5"/>
  <c r="A4323" i="5"/>
  <c r="B4126" i="5"/>
  <c r="B3961" i="5"/>
  <c r="A3827" i="5"/>
  <c r="A3711" i="5"/>
  <c r="B3650" i="5"/>
  <c r="A3604" i="5"/>
  <c r="A3549" i="5"/>
  <c r="A3484" i="5"/>
  <c r="B3434" i="5"/>
  <c r="B3375" i="5"/>
  <c r="A3323" i="5"/>
  <c r="A3271" i="5"/>
  <c r="A3233" i="5"/>
  <c r="A3189" i="5"/>
  <c r="B3147" i="5"/>
  <c r="A3112" i="5"/>
  <c r="A3082" i="5"/>
  <c r="B3047" i="5"/>
  <c r="B3023" i="5"/>
  <c r="B2999" i="5"/>
  <c r="B2978" i="5"/>
  <c r="B2949" i="5"/>
  <c r="B2928" i="5"/>
  <c r="B2904" i="5"/>
  <c r="A2885" i="5"/>
  <c r="A2859" i="5"/>
  <c r="A2839" i="5"/>
  <c r="B2817" i="5"/>
  <c r="A2798" i="5"/>
  <c r="B2771" i="5"/>
  <c r="A2752" i="5"/>
  <c r="A2728" i="5"/>
  <c r="B2708" i="5"/>
  <c r="A2682" i="5"/>
  <c r="B2662" i="5"/>
  <c r="B2640" i="5"/>
  <c r="A2621" i="5"/>
  <c r="A2595" i="5"/>
  <c r="B2575" i="5"/>
  <c r="B2553" i="5"/>
  <c r="B2535" i="5"/>
  <c r="B2511" i="5"/>
  <c r="B2493" i="5"/>
  <c r="B2473" i="5"/>
  <c r="B2455" i="5"/>
  <c r="B2431" i="5"/>
  <c r="B2413" i="5"/>
  <c r="B2391" i="5"/>
  <c r="B2373" i="5"/>
  <c r="B2349" i="5"/>
  <c r="B2331" i="5"/>
  <c r="B2311" i="5"/>
  <c r="B2293" i="5"/>
  <c r="B2269" i="5"/>
  <c r="B2251" i="5"/>
  <c r="B2229" i="5"/>
  <c r="B2211" i="5"/>
  <c r="B2187" i="5"/>
  <c r="B2169" i="5"/>
  <c r="B2149" i="5"/>
  <c r="B2131" i="5"/>
  <c r="B2107" i="5"/>
  <c r="B2089" i="5"/>
  <c r="B2068" i="5"/>
  <c r="A2053" i="5"/>
  <c r="A2031" i="5"/>
  <c r="B2015" i="5"/>
  <c r="B1998" i="5"/>
  <c r="B1983" i="5"/>
  <c r="A1965" i="5"/>
  <c r="A1952" i="5"/>
  <c r="A1938" i="5"/>
  <c r="A1927" i="5"/>
  <c r="A1914" i="5"/>
  <c r="A1903" i="5"/>
  <c r="A1890" i="5"/>
  <c r="A1879" i="5"/>
  <c r="A1866" i="5"/>
  <c r="A1855" i="5"/>
  <c r="A1842" i="5"/>
  <c r="A1831" i="5"/>
  <c r="A1818" i="5"/>
  <c r="A1807" i="5"/>
  <c r="A1794" i="5"/>
  <c r="A1783" i="5"/>
  <c r="A1770" i="5"/>
  <c r="A1759" i="5"/>
  <c r="A1746" i="5"/>
  <c r="A1735" i="5"/>
  <c r="A1722" i="5"/>
  <c r="A1711" i="5"/>
  <c r="A1698" i="5"/>
  <c r="A1687" i="5"/>
  <c r="A1674" i="5"/>
  <c r="A1663" i="5"/>
  <c r="A1650" i="5"/>
  <c r="A1639" i="5"/>
  <c r="A1626" i="5"/>
  <c r="A1615" i="5"/>
  <c r="A1602" i="5"/>
  <c r="B1591" i="5"/>
  <c r="B1579" i="5"/>
  <c r="A1570" i="5"/>
  <c r="A1558" i="5"/>
  <c r="A1549" i="5"/>
  <c r="A1538" i="5"/>
  <c r="B1529" i="5"/>
  <c r="B1518" i="5"/>
  <c r="A1510" i="5"/>
  <c r="A1499" i="5"/>
  <c r="A1490" i="5"/>
  <c r="A1479" i="5"/>
  <c r="B1470" i="5"/>
  <c r="B1459" i="5"/>
  <c r="B1451" i="5"/>
  <c r="B1441" i="5"/>
  <c r="B1433" i="5"/>
  <c r="B1423" i="5"/>
  <c r="B1415" i="5"/>
  <c r="B1406" i="5"/>
  <c r="A1399" i="5"/>
  <c r="B1391" i="5"/>
  <c r="B1382" i="5"/>
  <c r="A1375" i="5"/>
  <c r="B1367" i="5"/>
  <c r="B1358" i="5"/>
  <c r="A4318" i="5"/>
  <c r="B4120" i="5"/>
  <c r="A3958" i="5"/>
  <c r="B3817" i="5"/>
  <c r="B3709" i="5"/>
  <c r="A3646" i="5"/>
  <c r="B3590" i="5"/>
  <c r="A3541" i="5"/>
  <c r="B3476" i="5"/>
  <c r="A3420" i="5"/>
  <c r="A3374" i="5"/>
  <c r="B3322" i="5"/>
  <c r="B3268" i="5"/>
  <c r="A3231" i="5"/>
  <c r="A3188" i="5"/>
  <c r="A3147" i="5"/>
  <c r="A3108" i="5"/>
  <c r="A3081" i="5"/>
  <c r="A3047" i="5"/>
  <c r="B3021" i="5"/>
  <c r="A2999" i="5"/>
  <c r="B2970" i="5"/>
  <c r="A2949" i="5"/>
  <c r="B2924" i="5"/>
  <c r="A2904" i="5"/>
  <c r="B2878" i="5"/>
  <c r="B2858" i="5"/>
  <c r="A2837" i="5"/>
  <c r="A2817" i="5"/>
  <c r="A2791" i="5"/>
  <c r="A2771" i="5"/>
  <c r="B2747" i="5"/>
  <c r="B2727" i="5"/>
  <c r="A2702" i="5"/>
  <c r="B2681" i="5"/>
  <c r="B2660" i="5"/>
  <c r="A2640" i="5"/>
  <c r="B2614" i="5"/>
  <c r="B2594" i="5"/>
  <c r="B2571" i="5"/>
  <c r="A2553" i="5"/>
  <c r="B2529" i="5"/>
  <c r="A2511" i="5"/>
  <c r="B2491" i="5"/>
  <c r="A2473" i="5"/>
  <c r="B2449" i="5"/>
  <c r="A2431" i="5"/>
  <c r="B2409" i="5"/>
  <c r="A2391" i="5"/>
  <c r="B2367" i="5"/>
  <c r="A2349" i="5"/>
  <c r="B2329" i="5"/>
  <c r="A2311" i="5"/>
  <c r="B2287" i="5"/>
  <c r="A2269" i="5"/>
  <c r="B2247" i="5"/>
  <c r="A2229" i="5"/>
  <c r="B2205" i="5"/>
  <c r="A2187" i="5"/>
  <c r="B2167" i="5"/>
  <c r="A2149" i="5"/>
  <c r="B2125" i="5"/>
  <c r="A2107" i="5"/>
  <c r="B2085" i="5"/>
  <c r="B2067" i="5"/>
  <c r="B2047" i="5"/>
  <c r="B2030" i="5"/>
  <c r="B2012" i="5"/>
  <c r="B1997" i="5"/>
  <c r="B1978" i="5"/>
  <c r="B1964" i="5"/>
  <c r="A1950" i="5"/>
  <c r="B1937" i="5"/>
  <c r="A1925" i="5"/>
  <c r="B1913" i="5"/>
  <c r="A1901" i="5"/>
  <c r="B1889" i="5"/>
  <c r="A1877" i="5"/>
  <c r="B1865" i="5"/>
  <c r="A1853" i="5"/>
  <c r="B1841" i="5"/>
  <c r="A1829" i="5"/>
  <c r="B1817" i="5"/>
  <c r="A1805" i="5"/>
  <c r="B1793" i="5"/>
  <c r="A1781" i="5"/>
  <c r="B1769" i="5"/>
  <c r="A1757" i="5"/>
  <c r="B1745" i="5"/>
  <c r="A1733" i="5"/>
  <c r="B1721" i="5"/>
  <c r="A1709" i="5"/>
  <c r="B1697" i="5"/>
  <c r="A1685" i="5"/>
  <c r="B1673" i="5"/>
  <c r="A1661" i="5"/>
  <c r="B1649" i="5"/>
  <c r="A1637" i="5"/>
  <c r="B1625" i="5"/>
  <c r="A1613" i="5"/>
  <c r="B1601" i="5"/>
  <c r="B1589" i="5"/>
  <c r="A1579" i="5"/>
  <c r="B1567" i="5"/>
  <c r="A1557" i="5"/>
  <c r="A1547" i="5"/>
  <c r="B1537" i="5"/>
  <c r="A1527" i="5"/>
  <c r="A1518" i="5"/>
  <c r="B1507" i="5"/>
  <c r="B1498" i="5"/>
  <c r="A1488" i="5"/>
  <c r="B1478" i="5"/>
  <c r="B1468" i="5"/>
  <c r="A1459" i="5"/>
  <c r="B1449" i="5"/>
  <c r="A1441" i="5"/>
  <c r="B1431" i="5"/>
  <c r="A1423" i="5"/>
  <c r="A1415" i="5"/>
  <c r="A1406" i="5"/>
  <c r="B1398" i="5"/>
  <c r="A1391" i="5"/>
  <c r="A1382" i="5"/>
  <c r="B1374" i="5"/>
  <c r="A1367" i="5"/>
  <c r="A1358" i="5"/>
  <c r="A4313" i="5"/>
  <c r="A3957" i="5"/>
  <c r="B3708" i="5"/>
  <c r="A3589" i="5"/>
  <c r="A3476" i="5"/>
  <c r="A3360" i="5"/>
  <c r="B3262" i="5"/>
  <c r="B3185" i="5"/>
  <c r="A3107" i="5"/>
  <c r="B3046" i="5"/>
  <c r="B2998" i="5"/>
  <c r="B2948" i="5"/>
  <c r="B2903" i="5"/>
  <c r="A2858" i="5"/>
  <c r="B2816" i="5"/>
  <c r="B2770" i="5"/>
  <c r="A2727" i="5"/>
  <c r="A2681" i="5"/>
  <c r="B2639" i="5"/>
  <c r="A2594" i="5"/>
  <c r="B2552" i="5"/>
  <c r="B2510" i="5"/>
  <c r="B2472" i="5"/>
  <c r="B2430" i="5"/>
  <c r="B2390" i="5"/>
  <c r="B2348" i="5"/>
  <c r="B2310" i="5"/>
  <c r="B2268" i="5"/>
  <c r="B2228" i="5"/>
  <c r="B2186" i="5"/>
  <c r="B2148" i="5"/>
  <c r="B2106" i="5"/>
  <c r="A2067" i="5"/>
  <c r="A2030" i="5"/>
  <c r="B1996" i="5"/>
  <c r="A1964" i="5"/>
  <c r="A1937" i="5"/>
  <c r="A1913" i="5"/>
  <c r="A1889" i="5"/>
  <c r="A1865" i="5"/>
  <c r="A1841" i="5"/>
  <c r="A1817" i="5"/>
  <c r="A1793" i="5"/>
  <c r="A1769" i="5"/>
  <c r="A1745" i="5"/>
  <c r="A1721" i="5"/>
  <c r="A1697" i="5"/>
  <c r="A1673" i="5"/>
  <c r="A1649" i="5"/>
  <c r="A1625" i="5"/>
  <c r="A1601" i="5"/>
  <c r="A1580" i="5"/>
  <c r="A1564" i="5"/>
  <c r="B1544" i="5"/>
  <c r="A1526" i="5"/>
  <c r="B1512" i="5"/>
  <c r="B1494" i="5"/>
  <c r="B1477" i="5"/>
  <c r="A1460" i="5"/>
  <c r="B1446" i="5"/>
  <c r="A1430" i="5"/>
  <c r="A1418" i="5"/>
  <c r="A1405" i="5"/>
  <c r="A1394" i="5"/>
  <c r="A1381" i="5"/>
  <c r="A1370" i="5"/>
  <c r="A1357" i="5"/>
  <c r="B1347" i="5"/>
  <c r="B1338" i="5"/>
  <c r="B1327" i="5"/>
  <c r="A1319" i="5"/>
  <c r="A1309" i="5"/>
  <c r="B1299" i="5"/>
  <c r="B1290" i="5"/>
  <c r="B1279" i="5"/>
  <c r="A1271" i="5"/>
  <c r="A1261" i="5"/>
  <c r="B1251" i="5"/>
  <c r="B1242" i="5"/>
  <c r="B1231" i="5"/>
  <c r="A1223" i="5"/>
  <c r="A1213" i="5"/>
  <c r="B1203" i="5"/>
  <c r="B1194" i="5"/>
  <c r="B1183" i="5"/>
  <c r="A1175" i="5"/>
  <c r="A1165" i="5"/>
  <c r="B1155" i="5"/>
  <c r="B1146" i="5"/>
  <c r="B1135" i="5"/>
  <c r="A1127" i="5"/>
  <c r="A1117" i="5"/>
  <c r="A1109" i="5"/>
  <c r="A1100" i="5"/>
  <c r="B1092" i="5"/>
  <c r="A1085" i="5"/>
  <c r="B1077" i="5"/>
  <c r="A1070" i="5"/>
  <c r="A1063" i="5"/>
  <c r="A1056" i="5"/>
  <c r="A1049" i="5"/>
  <c r="B1041" i="5"/>
  <c r="A1034" i="5"/>
  <c r="A1027" i="5"/>
  <c r="A1020" i="5"/>
  <c r="A1013" i="5"/>
  <c r="B1005" i="5"/>
  <c r="A998" i="5"/>
  <c r="A991" i="5"/>
  <c r="A984" i="5"/>
  <c r="B977" i="5"/>
  <c r="A971" i="5"/>
  <c r="B964" i="5"/>
  <c r="B957" i="5"/>
  <c r="A951" i="5"/>
  <c r="B944" i="5"/>
  <c r="A938" i="5"/>
  <c r="B931" i="5"/>
  <c r="A925" i="5"/>
  <c r="B918" i="5"/>
  <c r="A912" i="5"/>
  <c r="B905" i="5"/>
  <c r="A899" i="5"/>
  <c r="B892" i="5"/>
  <c r="B885" i="5"/>
  <c r="A879" i="5"/>
  <c r="B872" i="5"/>
  <c r="A866" i="5"/>
  <c r="B859" i="5"/>
  <c r="A853" i="5"/>
  <c r="B846" i="5"/>
  <c r="A840" i="5"/>
  <c r="A834" i="5"/>
  <c r="A828" i="5"/>
  <c r="A822" i="5"/>
  <c r="A816" i="5"/>
  <c r="A810" i="5"/>
  <c r="A804" i="5"/>
  <c r="A798" i="5"/>
  <c r="A792" i="5"/>
  <c r="A786" i="5"/>
  <c r="A780" i="5"/>
  <c r="A774" i="5"/>
  <c r="A768" i="5"/>
  <c r="A762" i="5"/>
  <c r="A756" i="5"/>
  <c r="A750" i="5"/>
  <c r="A744" i="5"/>
  <c r="A738" i="5"/>
  <c r="A732" i="5"/>
  <c r="A726" i="5"/>
  <c r="A720" i="5"/>
  <c r="A714" i="5"/>
  <c r="A708" i="5"/>
  <c r="A702" i="5"/>
  <c r="B4273" i="5"/>
  <c r="A3933" i="5"/>
  <c r="A3707" i="5"/>
  <c r="A3588" i="5"/>
  <c r="B3475" i="5"/>
  <c r="A3358" i="5"/>
  <c r="A3262" i="5"/>
  <c r="A3176" i="5"/>
  <c r="B3105" i="5"/>
  <c r="A3046" i="5"/>
  <c r="B2993" i="5"/>
  <c r="B2945" i="5"/>
  <c r="B2901" i="5"/>
  <c r="A2857" i="5"/>
  <c r="A2812" i="5"/>
  <c r="B2768" i="5"/>
  <c r="B2724" i="5"/>
  <c r="B2680" i="5"/>
  <c r="A2635" i="5"/>
  <c r="B2591" i="5"/>
  <c r="B2550" i="5"/>
  <c r="A2510" i="5"/>
  <c r="B2468" i="5"/>
  <c r="B2428" i="5"/>
  <c r="B2388" i="5"/>
  <c r="A2348" i="5"/>
  <c r="B2306" i="5"/>
  <c r="B2266" i="5"/>
  <c r="B2226" i="5"/>
  <c r="A2186" i="5"/>
  <c r="B2144" i="5"/>
  <c r="B2104" i="5"/>
  <c r="A2065" i="5"/>
  <c r="B2029" i="5"/>
  <c r="B1994" i="5"/>
  <c r="B1963" i="5"/>
  <c r="A1936" i="5"/>
  <c r="A1912" i="5"/>
  <c r="A1888" i="5"/>
  <c r="A1864" i="5"/>
  <c r="A1840" i="5"/>
  <c r="A1816" i="5"/>
  <c r="A1792" i="5"/>
  <c r="A1768" i="5"/>
  <c r="A1744" i="5"/>
  <c r="A1720" i="5"/>
  <c r="A1696" i="5"/>
  <c r="A1672" i="5"/>
  <c r="A1648" i="5"/>
  <c r="A1624" i="5"/>
  <c r="A1600" i="5"/>
  <c r="B1578" i="5"/>
  <c r="A1563" i="5"/>
  <c r="A1544" i="5"/>
  <c r="B1525" i="5"/>
  <c r="B1510" i="5"/>
  <c r="B1493" i="5"/>
  <c r="A1477" i="5"/>
  <c r="B1458" i="5"/>
  <c r="A1446" i="5"/>
  <c r="B1429" i="5"/>
  <c r="A1417" i="5"/>
  <c r="B1404" i="5"/>
  <c r="A1393" i="5"/>
  <c r="B1380" i="5"/>
  <c r="A1369" i="5"/>
  <c r="B1356" i="5"/>
  <c r="B1346" i="5"/>
  <c r="B1337" i="5"/>
  <c r="A1327" i="5"/>
  <c r="B1317" i="5"/>
  <c r="B1308" i="5"/>
  <c r="B1298" i="5"/>
  <c r="B1289" i="5"/>
  <c r="A1279" i="5"/>
  <c r="B1269" i="5"/>
  <c r="B1260" i="5"/>
  <c r="B1250" i="5"/>
  <c r="B1241" i="5"/>
  <c r="A1231" i="5"/>
  <c r="B1221" i="5"/>
  <c r="B1212" i="5"/>
  <c r="B1202" i="5"/>
  <c r="B1193" i="5"/>
  <c r="A1183" i="5"/>
  <c r="B1173" i="5"/>
  <c r="B1164" i="5"/>
  <c r="B1154" i="5"/>
  <c r="B1145" i="5"/>
  <c r="A1135" i="5"/>
  <c r="B1125" i="5"/>
  <c r="B1116" i="5"/>
  <c r="B1107" i="5"/>
  <c r="B1099" i="5"/>
  <c r="A1092" i="5"/>
  <c r="B1084" i="5"/>
  <c r="B1076" i="5"/>
  <c r="B1069" i="5"/>
  <c r="B1062" i="5"/>
  <c r="B1055" i="5"/>
  <c r="B1048" i="5"/>
  <c r="B1040" i="5"/>
  <c r="B1033" i="5"/>
  <c r="B1026" i="5"/>
  <c r="B1019" i="5"/>
  <c r="B1012" i="5"/>
  <c r="B1004" i="5"/>
  <c r="B997" i="5"/>
  <c r="B990" i="5"/>
  <c r="B983" i="5"/>
  <c r="A977" i="5"/>
  <c r="B970" i="5"/>
  <c r="B963" i="5"/>
  <c r="A957" i="5"/>
  <c r="B950" i="5"/>
  <c r="A944" i="5"/>
  <c r="B937" i="5"/>
  <c r="A931" i="5"/>
  <c r="B924" i="5"/>
  <c r="A918" i="5"/>
  <c r="B911" i="5"/>
  <c r="A905" i="5"/>
  <c r="B898" i="5"/>
  <c r="B891" i="5"/>
  <c r="A885" i="5"/>
  <c r="B878" i="5"/>
  <c r="A872" i="5"/>
  <c r="B865" i="5"/>
  <c r="A859" i="5"/>
  <c r="B852" i="5"/>
  <c r="A846" i="5"/>
  <c r="B839" i="5"/>
  <c r="B833" i="5"/>
  <c r="B827" i="5"/>
  <c r="B821" i="5"/>
  <c r="B815" i="5"/>
  <c r="B809" i="5"/>
  <c r="B803" i="5"/>
  <c r="B797" i="5"/>
  <c r="B791" i="5"/>
  <c r="B785" i="5"/>
  <c r="B779" i="5"/>
  <c r="B773" i="5"/>
  <c r="B767" i="5"/>
  <c r="B761" i="5"/>
  <c r="B755" i="5"/>
  <c r="B749" i="5"/>
  <c r="B743" i="5"/>
  <c r="A4245" i="5"/>
  <c r="A3917" i="5"/>
  <c r="A3689" i="5"/>
  <c r="A3579" i="5"/>
  <c r="A3475" i="5"/>
  <c r="B3357" i="5"/>
  <c r="B3261" i="5"/>
  <c r="B3173" i="5"/>
  <c r="B3104" i="5"/>
  <c r="B3045" i="5"/>
  <c r="B2992" i="5"/>
  <c r="B2944" i="5"/>
  <c r="A2898" i="5"/>
  <c r="B2856" i="5"/>
  <c r="A2811" i="5"/>
  <c r="A2767" i="5"/>
  <c r="B2721" i="5"/>
  <c r="A2680" i="5"/>
  <c r="A2634" i="5"/>
  <c r="B2590" i="5"/>
  <c r="B2547" i="5"/>
  <c r="B2509" i="5"/>
  <c r="B2467" i="5"/>
  <c r="B2427" i="5"/>
  <c r="B2385" i="5"/>
  <c r="B2347" i="5"/>
  <c r="B2305" i="5"/>
  <c r="B2265" i="5"/>
  <c r="B2223" i="5"/>
  <c r="B2185" i="5"/>
  <c r="B2143" i="5"/>
  <c r="B2103" i="5"/>
  <c r="B2063" i="5"/>
  <c r="A2029" i="5"/>
  <c r="B1993" i="5"/>
  <c r="A1963" i="5"/>
  <c r="A1935" i="5"/>
  <c r="A1911" i="5"/>
  <c r="A1887" i="5"/>
  <c r="A1863" i="5"/>
  <c r="A1839" i="5"/>
  <c r="A1815" i="5"/>
  <c r="A1791" i="5"/>
  <c r="A1767" i="5"/>
  <c r="A1743" i="5"/>
  <c r="A1719" i="5"/>
  <c r="A1695" i="5"/>
  <c r="A1671" i="5"/>
  <c r="A1647" i="5"/>
  <c r="A1623" i="5"/>
  <c r="A1599" i="5"/>
  <c r="A1578" i="5"/>
  <c r="A1559" i="5"/>
  <c r="B1543" i="5"/>
  <c r="A1525" i="5"/>
  <c r="B1506" i="5"/>
  <c r="A1493" i="5"/>
  <c r="A1475" i="5"/>
  <c r="A1458" i="5"/>
  <c r="A1442" i="5"/>
  <c r="A1429" i="5"/>
  <c r="A1416" i="5"/>
  <c r="A1404" i="5"/>
  <c r="A1392" i="5"/>
  <c r="A1380" i="5"/>
  <c r="A1368" i="5"/>
  <c r="A1356" i="5"/>
  <c r="A1346" i="5"/>
  <c r="B1335" i="5"/>
  <c r="B1326" i="5"/>
  <c r="B1316" i="5"/>
  <c r="A1308" i="5"/>
  <c r="A1298" i="5"/>
  <c r="B1287" i="5"/>
  <c r="B1278" i="5"/>
  <c r="B1268" i="5"/>
  <c r="A1260" i="5"/>
  <c r="A1250" i="5"/>
  <c r="B1239" i="5"/>
  <c r="B1230" i="5"/>
  <c r="B1220" i="5"/>
  <c r="A1212" i="5"/>
  <c r="A1202" i="5"/>
  <c r="B1191" i="5"/>
  <c r="B1182" i="5"/>
  <c r="B1172" i="5"/>
  <c r="A1164" i="5"/>
  <c r="A1154" i="5"/>
  <c r="B1143" i="5"/>
  <c r="B1134" i="5"/>
  <c r="B1124" i="5"/>
  <c r="A1116" i="5"/>
  <c r="B1106" i="5"/>
  <c r="A1099" i="5"/>
  <c r="B1091" i="5"/>
  <c r="B1083" i="5"/>
  <c r="A1076" i="5"/>
  <c r="A1069" i="5"/>
  <c r="A1062" i="5"/>
  <c r="A1055" i="5"/>
  <c r="B1047" i="5"/>
  <c r="A1040" i="5"/>
  <c r="A1033" i="5"/>
  <c r="A1026" i="5"/>
  <c r="A1019" i="5"/>
  <c r="B1011" i="5"/>
  <c r="A1004" i="5"/>
  <c r="A997" i="5"/>
  <c r="A990" i="5"/>
  <c r="A983" i="5"/>
  <c r="B976" i="5"/>
  <c r="B969" i="5"/>
  <c r="A963" i="5"/>
  <c r="B956" i="5"/>
  <c r="A950" i="5"/>
  <c r="B943" i="5"/>
  <c r="A937" i="5"/>
  <c r="B930" i="5"/>
  <c r="A924" i="5"/>
  <c r="B917" i="5"/>
  <c r="A911" i="5"/>
  <c r="B904" i="5"/>
  <c r="B897" i="5"/>
  <c r="A891" i="5"/>
  <c r="B884" i="5"/>
  <c r="A878" i="5"/>
  <c r="B871" i="5"/>
  <c r="A865" i="5"/>
  <c r="B858" i="5"/>
  <c r="A852" i="5"/>
  <c r="A4240" i="5"/>
  <c r="B3916" i="5"/>
  <c r="A3684" i="5"/>
  <c r="B3573" i="5"/>
  <c r="A3459" i="5"/>
  <c r="A3350" i="5"/>
  <c r="A3261" i="5"/>
  <c r="A3173" i="5"/>
  <c r="A3102" i="5"/>
  <c r="A3037" i="5"/>
  <c r="B2987" i="5"/>
  <c r="B2937" i="5"/>
  <c r="A2896" i="5"/>
  <c r="A2850" i="5"/>
  <c r="B2806" i="5"/>
  <c r="B2760" i="5"/>
  <c r="A2719" i="5"/>
  <c r="B2673" i="5"/>
  <c r="A2630" i="5"/>
  <c r="A2584" i="5"/>
  <c r="B2545" i="5"/>
  <c r="B2503" i="5"/>
  <c r="B2463" i="5"/>
  <c r="B2421" i="5"/>
  <c r="B2383" i="5"/>
  <c r="B2341" i="5"/>
  <c r="B2301" i="5"/>
  <c r="B2259" i="5"/>
  <c r="B2221" i="5"/>
  <c r="B2179" i="5"/>
  <c r="B2139" i="5"/>
  <c r="B2097" i="5"/>
  <c r="B2060" i="5"/>
  <c r="B2023" i="5"/>
  <c r="B1990" i="5"/>
  <c r="B1958" i="5"/>
  <c r="B1932" i="5"/>
  <c r="B1908" i="5"/>
  <c r="B1884" i="5"/>
  <c r="B1860" i="5"/>
  <c r="B1836" i="5"/>
  <c r="B1812" i="5"/>
  <c r="B1788" i="5"/>
  <c r="B1764" i="5"/>
  <c r="B1740" i="5"/>
  <c r="B1716" i="5"/>
  <c r="B1692" i="5"/>
  <c r="B1668" i="5"/>
  <c r="B1644" i="5"/>
  <c r="B1620" i="5"/>
  <c r="B1596" i="5"/>
  <c r="B1577" i="5"/>
  <c r="B1556" i="5"/>
  <c r="A1543" i="5"/>
  <c r="B1524" i="5"/>
  <c r="A1506" i="5"/>
  <c r="B1490" i="5"/>
  <c r="A1474" i="5"/>
  <c r="B1457" i="5"/>
  <c r="B1440" i="5"/>
  <c r="B1428" i="5"/>
  <c r="B1413" i="5"/>
  <c r="B1403" i="5"/>
  <c r="B1389" i="5"/>
  <c r="B1379" i="5"/>
  <c r="B1365" i="5"/>
  <c r="B1355" i="5"/>
  <c r="A1345" i="5"/>
  <c r="B1334" i="5"/>
  <c r="A1326" i="5"/>
  <c r="A1316" i="5"/>
  <c r="B1307" i="5"/>
  <c r="A1297" i="5"/>
  <c r="B1286" i="5"/>
  <c r="A1278" i="5"/>
  <c r="A1268" i="5"/>
  <c r="B1259" i="5"/>
  <c r="A1249" i="5"/>
  <c r="B1238" i="5"/>
  <c r="A1230" i="5"/>
  <c r="A1220" i="5"/>
  <c r="B1211" i="5"/>
  <c r="A1201" i="5"/>
  <c r="B1190" i="5"/>
  <c r="A1182" i="5"/>
  <c r="A1172" i="5"/>
  <c r="B1163" i="5"/>
  <c r="A1153" i="5"/>
  <c r="B1142" i="5"/>
  <c r="A1134" i="5"/>
  <c r="A1124" i="5"/>
  <c r="B1115" i="5"/>
  <c r="A1106" i="5"/>
  <c r="B1098" i="5"/>
  <c r="A1091" i="5"/>
  <c r="B1082" i="5"/>
  <c r="B1075" i="5"/>
  <c r="B1068" i="5"/>
  <c r="B1061" i="5"/>
  <c r="B1054" i="5"/>
  <c r="B1046" i="5"/>
  <c r="B1039" i="5"/>
  <c r="B1032" i="5"/>
  <c r="B1025" i="5"/>
  <c r="B1018" i="5"/>
  <c r="B1010" i="5"/>
  <c r="B1003" i="5"/>
  <c r="B996" i="5"/>
  <c r="B989" i="5"/>
  <c r="B982" i="5"/>
  <c r="B975" i="5"/>
  <c r="A969" i="5"/>
  <c r="B962" i="5"/>
  <c r="A956" i="5"/>
  <c r="B949" i="5"/>
  <c r="A943" i="5"/>
  <c r="B936" i="5"/>
  <c r="A930" i="5"/>
  <c r="B923" i="5"/>
  <c r="A917" i="5"/>
  <c r="B910" i="5"/>
  <c r="B903" i="5"/>
  <c r="A897" i="5"/>
  <c r="B890" i="5"/>
  <c r="A884" i="5"/>
  <c r="B877" i="5"/>
  <c r="A871" i="5"/>
  <c r="A4235" i="5"/>
  <c r="B3904" i="5"/>
  <c r="A3681" i="5"/>
  <c r="A3573" i="5"/>
  <c r="A3453" i="5"/>
  <c r="A3345" i="5"/>
  <c r="B3249" i="5"/>
  <c r="B3166" i="5"/>
  <c r="A3097" i="5"/>
  <c r="B3035" i="5"/>
  <c r="B2986" i="5"/>
  <c r="B2936" i="5"/>
  <c r="A2895" i="5"/>
  <c r="A2849" i="5"/>
  <c r="B2805" i="5"/>
  <c r="B2759" i="5"/>
  <c r="A2718" i="5"/>
  <c r="B2672" i="5"/>
  <c r="B2628" i="5"/>
  <c r="A2583" i="5"/>
  <c r="B2544" i="5"/>
  <c r="B2502" i="5"/>
  <c r="B2462" i="5"/>
  <c r="B2420" i="5"/>
  <c r="B2382" i="5"/>
  <c r="B2340" i="5"/>
  <c r="B2300" i="5"/>
  <c r="B2258" i="5"/>
  <c r="B2220" i="5"/>
  <c r="B2178" i="5"/>
  <c r="B2138" i="5"/>
  <c r="B2096" i="5"/>
  <c r="B2059" i="5"/>
  <c r="B2022" i="5"/>
  <c r="B1989" i="5"/>
  <c r="B1957" i="5"/>
  <c r="B1931" i="5"/>
  <c r="B1907" i="5"/>
  <c r="B1883" i="5"/>
  <c r="B1859" i="5"/>
  <c r="B1835" i="5"/>
  <c r="B1811" i="5"/>
  <c r="B1787" i="5"/>
  <c r="B1763" i="5"/>
  <c r="B1739" i="5"/>
  <c r="B1715" i="5"/>
  <c r="B1691" i="5"/>
  <c r="B1667" i="5"/>
  <c r="B1643" i="5"/>
  <c r="B1619" i="5"/>
  <c r="B1595" i="5"/>
  <c r="B1574" i="5"/>
  <c r="A1556" i="5"/>
  <c r="B1538" i="5"/>
  <c r="A1524" i="5"/>
  <c r="B1505" i="5"/>
  <c r="A1487" i="5"/>
  <c r="A1473" i="5"/>
  <c r="B1455" i="5"/>
  <c r="A1440" i="5"/>
  <c r="A1428" i="5"/>
  <c r="B1412" i="5"/>
  <c r="A1403" i="5"/>
  <c r="B1388" i="5"/>
  <c r="A1379" i="5"/>
  <c r="B1364" i="5"/>
  <c r="A1355" i="5"/>
  <c r="A1344" i="5"/>
  <c r="A1334" i="5"/>
  <c r="B1325" i="5"/>
  <c r="B1315" i="5"/>
  <c r="A1307" i="5"/>
  <c r="A1296" i="5"/>
  <c r="A1286" i="5"/>
  <c r="B1277" i="5"/>
  <c r="B1267" i="5"/>
  <c r="A1259" i="5"/>
  <c r="A1248" i="5"/>
  <c r="A1238" i="5"/>
  <c r="B1229" i="5"/>
  <c r="B1219" i="5"/>
  <c r="A1211" i="5"/>
  <c r="A1200" i="5"/>
  <c r="A1190" i="5"/>
  <c r="B1181" i="5"/>
  <c r="B1171" i="5"/>
  <c r="A1163" i="5"/>
  <c r="A1152" i="5"/>
  <c r="A1142" i="5"/>
  <c r="B1133" i="5"/>
  <c r="B1123" i="5"/>
  <c r="A1115" i="5"/>
  <c r="B1105" i="5"/>
  <c r="A1098" i="5"/>
  <c r="B1089" i="5"/>
  <c r="A1082" i="5"/>
  <c r="A1075" i="5"/>
  <c r="A1068" i="5"/>
  <c r="A1061" i="5"/>
  <c r="B1053" i="5"/>
  <c r="A1046" i="5"/>
  <c r="A1039" i="5"/>
  <c r="A1032" i="5"/>
  <c r="A1025" i="5"/>
  <c r="B1017" i="5"/>
  <c r="A1010" i="5"/>
  <c r="A1003" i="5"/>
  <c r="A996" i="5"/>
  <c r="A989" i="5"/>
  <c r="B981" i="5"/>
  <c r="A975" i="5"/>
  <c r="B968" i="5"/>
  <c r="A962" i="5"/>
  <c r="B955" i="5"/>
  <c r="A949" i="5"/>
  <c r="B942" i="5"/>
  <c r="A936" i="5"/>
  <c r="B929" i="5"/>
  <c r="A923" i="5"/>
  <c r="B916" i="5"/>
  <c r="B909" i="5"/>
  <c r="A903" i="5"/>
  <c r="B896" i="5"/>
  <c r="A890" i="5"/>
  <c r="B883" i="5"/>
  <c r="A877" i="5"/>
  <c r="B870" i="5"/>
  <c r="A864" i="5"/>
  <c r="B857" i="5"/>
  <c r="A851" i="5"/>
  <c r="B844" i="5"/>
  <c r="A838" i="5"/>
  <c r="A832" i="5"/>
  <c r="A826" i="5"/>
  <c r="A820" i="5"/>
  <c r="A814" i="5"/>
  <c r="A808" i="5"/>
  <c r="A802" i="5"/>
  <c r="A796" i="5"/>
  <c r="A790" i="5"/>
  <c r="A784" i="5"/>
  <c r="A778" i="5"/>
  <c r="A772" i="5"/>
  <c r="A766" i="5"/>
  <c r="A760" i="5"/>
  <c r="A754" i="5"/>
  <c r="A748" i="5"/>
  <c r="A742" i="5"/>
  <c r="A4217" i="5"/>
  <c r="A3885" i="5"/>
  <c r="B3679" i="5"/>
  <c r="A3571" i="5"/>
  <c r="B3451" i="5"/>
  <c r="B3344" i="5"/>
  <c r="A3245" i="5"/>
  <c r="A3163" i="5"/>
  <c r="A3095" i="5"/>
  <c r="B3033" i="5"/>
  <c r="B2984" i="5"/>
  <c r="A2936" i="5"/>
  <c r="B2890" i="5"/>
  <c r="A2847" i="5"/>
  <c r="A2803" i="5"/>
  <c r="A2759" i="5"/>
  <c r="A2714" i="5"/>
  <c r="A2670" i="5"/>
  <c r="B2626" i="5"/>
  <c r="B2582" i="5"/>
  <c r="B2540" i="5"/>
  <c r="B2500" i="5"/>
  <c r="B2460" i="5"/>
  <c r="A2420" i="5"/>
  <c r="B2378" i="5"/>
  <c r="B2338" i="5"/>
  <c r="B2298" i="5"/>
  <c r="A2258" i="5"/>
  <c r="B2216" i="5"/>
  <c r="B2176" i="5"/>
  <c r="B2136" i="5"/>
  <c r="A2096" i="5"/>
  <c r="B2056" i="5"/>
  <c r="B2021" i="5"/>
  <c r="B1987" i="5"/>
  <c r="A1957" i="5"/>
  <c r="A1931" i="5"/>
  <c r="A1907" i="5"/>
  <c r="A1883" i="5"/>
  <c r="A1859" i="5"/>
  <c r="A1835" i="5"/>
  <c r="A1811" i="5"/>
  <c r="A1787" i="5"/>
  <c r="A1763" i="5"/>
  <c r="A1739" i="5"/>
  <c r="A1715" i="5"/>
  <c r="A1691" i="5"/>
  <c r="A1667" i="5"/>
  <c r="A1643" i="5"/>
  <c r="A1619" i="5"/>
  <c r="A1595" i="5"/>
  <c r="B1573" i="5"/>
  <c r="B1555" i="5"/>
  <c r="A1537" i="5"/>
  <c r="B1523" i="5"/>
  <c r="A1505" i="5"/>
  <c r="B1486" i="5"/>
  <c r="A1471" i="5"/>
  <c r="B1454" i="5"/>
  <c r="B1439" i="5"/>
  <c r="B1425" i="5"/>
  <c r="A1412" i="5"/>
  <c r="B1400" i="5"/>
  <c r="A1388" i="5"/>
  <c r="B1376" i="5"/>
  <c r="A1364" i="5"/>
  <c r="B1352" i="5"/>
  <c r="B1343" i="5"/>
  <c r="B1333" i="5"/>
  <c r="A1325" i="5"/>
  <c r="A1315" i="5"/>
  <c r="B1304" i="5"/>
  <c r="B1295" i="5"/>
  <c r="B1285" i="5"/>
  <c r="A1277" i="5"/>
  <c r="A1267" i="5"/>
  <c r="B1256" i="5"/>
  <c r="B1247" i="5"/>
  <c r="B1237" i="5"/>
  <c r="A1229" i="5"/>
  <c r="A1219" i="5"/>
  <c r="B1208" i="5"/>
  <c r="B1199" i="5"/>
  <c r="B1189" i="5"/>
  <c r="A1181" i="5"/>
  <c r="A1171" i="5"/>
  <c r="B1160" i="5"/>
  <c r="B1151" i="5"/>
  <c r="B1141" i="5"/>
  <c r="A1133" i="5"/>
  <c r="A1123" i="5"/>
  <c r="B1112" i="5"/>
  <c r="A1105" i="5"/>
  <c r="B1097" i="5"/>
  <c r="B1088" i="5"/>
  <c r="B1081" i="5"/>
  <c r="B1074" i="5"/>
  <c r="B1067" i="5"/>
  <c r="B1060" i="5"/>
  <c r="B1052" i="5"/>
  <c r="B1045" i="5"/>
  <c r="B1038" i="5"/>
  <c r="B1031" i="5"/>
  <c r="B1024" i="5"/>
  <c r="B1016" i="5"/>
  <c r="B1009" i="5"/>
  <c r="B1002" i="5"/>
  <c r="B995" i="5"/>
  <c r="B988" i="5"/>
  <c r="A981" i="5"/>
  <c r="B974" i="5"/>
  <c r="A968" i="5"/>
  <c r="B961" i="5"/>
  <c r="A955" i="5"/>
  <c r="B4114" i="5"/>
  <c r="A3645" i="5"/>
  <c r="A3416" i="5"/>
  <c r="A3220" i="5"/>
  <c r="B3071" i="5"/>
  <c r="B2969" i="5"/>
  <c r="B2877" i="5"/>
  <c r="A2790" i="5"/>
  <c r="B2700" i="5"/>
  <c r="B2613" i="5"/>
  <c r="B2528" i="5"/>
  <c r="B2448" i="5"/>
  <c r="B2366" i="5"/>
  <c r="B2286" i="5"/>
  <c r="B2204" i="5"/>
  <c r="B2124" i="5"/>
  <c r="B2046" i="5"/>
  <c r="B1977" i="5"/>
  <c r="A1923" i="5"/>
  <c r="A1875" i="5"/>
  <c r="A1827" i="5"/>
  <c r="A1779" i="5"/>
  <c r="A1731" i="5"/>
  <c r="A1683" i="5"/>
  <c r="A1635" i="5"/>
  <c r="A1588" i="5"/>
  <c r="B1553" i="5"/>
  <c r="A1519" i="5"/>
  <c r="A1486" i="5"/>
  <c r="A1454" i="5"/>
  <c r="A1424" i="5"/>
  <c r="B1399" i="5"/>
  <c r="B1375" i="5"/>
  <c r="B1351" i="5"/>
  <c r="A1333" i="5"/>
  <c r="B1314" i="5"/>
  <c r="A1295" i="5"/>
  <c r="B1275" i="5"/>
  <c r="B1255" i="5"/>
  <c r="A1237" i="5"/>
  <c r="B1218" i="5"/>
  <c r="A1199" i="5"/>
  <c r="B1179" i="5"/>
  <c r="B1159" i="5"/>
  <c r="A1141" i="5"/>
  <c r="B1122" i="5"/>
  <c r="B1104" i="5"/>
  <c r="A1088" i="5"/>
  <c r="A1074" i="5"/>
  <c r="B1059" i="5"/>
  <c r="A1045" i="5"/>
  <c r="A1031" i="5"/>
  <c r="A1016" i="5"/>
  <c r="A1002" i="5"/>
  <c r="B987" i="5"/>
  <c r="A974" i="5"/>
  <c r="A961" i="5"/>
  <c r="B948" i="5"/>
  <c r="A939" i="5"/>
  <c r="A927" i="5"/>
  <c r="A915" i="5"/>
  <c r="A906" i="5"/>
  <c r="A894" i="5"/>
  <c r="A882" i="5"/>
  <c r="A870" i="5"/>
  <c r="A861" i="5"/>
  <c r="B850" i="5"/>
  <c r="A842" i="5"/>
  <c r="B834" i="5"/>
  <c r="B825" i="5"/>
  <c r="A818" i="5"/>
  <c r="B810" i="5"/>
  <c r="B801" i="5"/>
  <c r="A794" i="5"/>
  <c r="B786" i="5"/>
  <c r="B777" i="5"/>
  <c r="A770" i="5"/>
  <c r="B762" i="5"/>
  <c r="B753" i="5"/>
  <c r="A746" i="5"/>
  <c r="B738" i="5"/>
  <c r="B731" i="5"/>
  <c r="A725" i="5"/>
  <c r="B718" i="5"/>
  <c r="A712" i="5"/>
  <c r="B705" i="5"/>
  <c r="A699" i="5"/>
  <c r="A693" i="5"/>
  <c r="A687" i="5"/>
  <c r="A681" i="5"/>
  <c r="A675" i="5"/>
  <c r="A669" i="5"/>
  <c r="A663" i="5"/>
  <c r="A657" i="5"/>
  <c r="A651" i="5"/>
  <c r="A645" i="5"/>
  <c r="A639" i="5"/>
  <c r="A633" i="5"/>
  <c r="A627" i="5"/>
  <c r="A621" i="5"/>
  <c r="A615" i="5"/>
  <c r="A609" i="5"/>
  <c r="A603" i="5"/>
  <c r="A597" i="5"/>
  <c r="A591" i="5"/>
  <c r="A585" i="5"/>
  <c r="A579" i="5"/>
  <c r="A573" i="5"/>
  <c r="A567" i="5"/>
  <c r="A561" i="5"/>
  <c r="A555" i="5"/>
  <c r="A549" i="5"/>
  <c r="A543" i="5"/>
  <c r="A537" i="5"/>
  <c r="A531" i="5"/>
  <c r="A525" i="5"/>
  <c r="A519" i="5"/>
  <c r="A513" i="5"/>
  <c r="A507" i="5"/>
  <c r="A501" i="5"/>
  <c r="A495" i="5"/>
  <c r="A489" i="5"/>
  <c r="A483" i="5"/>
  <c r="A477" i="5"/>
  <c r="A471" i="5"/>
  <c r="A465" i="5"/>
  <c r="A459" i="5"/>
  <c r="A453" i="5"/>
  <c r="A447" i="5"/>
  <c r="A441" i="5"/>
  <c r="A435" i="5"/>
  <c r="A429" i="5"/>
  <c r="A423" i="5"/>
  <c r="A417" i="5"/>
  <c r="A411" i="5"/>
  <c r="A405" i="5"/>
  <c r="A399" i="5"/>
  <c r="A393" i="5"/>
  <c r="A387" i="5"/>
  <c r="A381" i="5"/>
  <c r="A375" i="5"/>
  <c r="A369" i="5"/>
  <c r="A363" i="5"/>
  <c r="A357" i="5"/>
  <c r="A351" i="5"/>
  <c r="A345" i="5"/>
  <c r="A339" i="5"/>
  <c r="A333" i="5"/>
  <c r="A327" i="5"/>
  <c r="A321" i="5"/>
  <c r="A315" i="5"/>
  <c r="A309" i="5"/>
  <c r="A303" i="5"/>
  <c r="A297" i="5"/>
  <c r="A291" i="5"/>
  <c r="A285" i="5"/>
  <c r="A279" i="5"/>
  <c r="A273" i="5"/>
  <c r="A267" i="5"/>
  <c r="A261" i="5"/>
  <c r="A255" i="5"/>
  <c r="A249" i="5"/>
  <c r="A243" i="5"/>
  <c r="A237" i="5"/>
  <c r="A231" i="5"/>
  <c r="A225" i="5"/>
  <c r="A219" i="5"/>
  <c r="A213" i="5"/>
  <c r="A207" i="5"/>
  <c r="A201" i="5"/>
  <c r="A195" i="5"/>
  <c r="A189" i="5"/>
  <c r="A183" i="5"/>
  <c r="A177" i="5"/>
  <c r="A171" i="5"/>
  <c r="A165" i="5"/>
  <c r="A159" i="5"/>
  <c r="A153" i="5"/>
  <c r="A147" i="5"/>
  <c r="A141" i="5"/>
  <c r="A135" i="5"/>
  <c r="A129" i="5"/>
  <c r="A123" i="5"/>
  <c r="A117" i="5"/>
  <c r="A111" i="5"/>
  <c r="A105" i="5"/>
  <c r="A99" i="5"/>
  <c r="A93" i="5"/>
  <c r="A87" i="5"/>
  <c r="A81" i="5"/>
  <c r="A75" i="5"/>
  <c r="A69" i="5"/>
  <c r="A63" i="5"/>
  <c r="A57" i="5"/>
  <c r="A51" i="5"/>
  <c r="A45" i="5"/>
  <c r="A39" i="5"/>
  <c r="A33" i="5"/>
  <c r="A27" i="5"/>
  <c r="A21" i="5"/>
  <c r="A15" i="5"/>
  <c r="A9" i="5"/>
  <c r="A3" i="5"/>
  <c r="A4447" i="4"/>
  <c r="A4441" i="4"/>
  <c r="A4435" i="4"/>
  <c r="A4429" i="4"/>
  <c r="A4423" i="4"/>
  <c r="A4417" i="4"/>
  <c r="A4411" i="4"/>
  <c r="A4405" i="4"/>
  <c r="A4399" i="4"/>
  <c r="A4393" i="4"/>
  <c r="A4387" i="4"/>
  <c r="A4381" i="4"/>
  <c r="A4375" i="4"/>
  <c r="A4107" i="5"/>
  <c r="B3643" i="5"/>
  <c r="A3415" i="5"/>
  <c r="A3218" i="5"/>
  <c r="A3070" i="5"/>
  <c r="B2967" i="5"/>
  <c r="A2877" i="5"/>
  <c r="A2788" i="5"/>
  <c r="A2700" i="5"/>
  <c r="A2611" i="5"/>
  <c r="A2528" i="5"/>
  <c r="B2446" i="5"/>
  <c r="A2366" i="5"/>
  <c r="B2284" i="5"/>
  <c r="A2204" i="5"/>
  <c r="B2122" i="5"/>
  <c r="B2045" i="5"/>
  <c r="A1977" i="5"/>
  <c r="A1922" i="5"/>
  <c r="A1874" i="5"/>
  <c r="A1826" i="5"/>
  <c r="A1778" i="5"/>
  <c r="A1730" i="5"/>
  <c r="A1682" i="5"/>
  <c r="A1634" i="5"/>
  <c r="A1587" i="5"/>
  <c r="B1552" i="5"/>
  <c r="B1517" i="5"/>
  <c r="A1485" i="5"/>
  <c r="A1452" i="5"/>
  <c r="B1422" i="5"/>
  <c r="A1398" i="5"/>
  <c r="A1374" i="5"/>
  <c r="A1351" i="5"/>
  <c r="B1332" i="5"/>
  <c r="B1313" i="5"/>
  <c r="B1293" i="5"/>
  <c r="B1274" i="5"/>
  <c r="A1255" i="5"/>
  <c r="B1236" i="5"/>
  <c r="B1217" i="5"/>
  <c r="B1197" i="5"/>
  <c r="B1178" i="5"/>
  <c r="A1159" i="5"/>
  <c r="B1140" i="5"/>
  <c r="B1121" i="5"/>
  <c r="A1104" i="5"/>
  <c r="B1087" i="5"/>
  <c r="B1073" i="5"/>
  <c r="B1058" i="5"/>
  <c r="B1044" i="5"/>
  <c r="B1030" i="5"/>
  <c r="B1015" i="5"/>
  <c r="B1001" i="5"/>
  <c r="B986" i="5"/>
  <c r="B973" i="5"/>
  <c r="B960" i="5"/>
  <c r="A948" i="5"/>
  <c r="B938" i="5"/>
  <c r="B926" i="5"/>
  <c r="B914" i="5"/>
  <c r="B902" i="5"/>
  <c r="B893" i="5"/>
  <c r="B881" i="5"/>
  <c r="B869" i="5"/>
  <c r="B860" i="5"/>
  <c r="B849" i="5"/>
  <c r="B841" i="5"/>
  <c r="A833" i="5"/>
  <c r="A825" i="5"/>
  <c r="B817" i="5"/>
  <c r="A809" i="5"/>
  <c r="A801" i="5"/>
  <c r="B793" i="5"/>
  <c r="A785" i="5"/>
  <c r="A777" i="5"/>
  <c r="B769" i="5"/>
  <c r="A761" i="5"/>
  <c r="A753" i="5"/>
  <c r="B745" i="5"/>
  <c r="B737" i="5"/>
  <c r="A731" i="5"/>
  <c r="B724" i="5"/>
  <c r="A718" i="5"/>
  <c r="B711" i="5"/>
  <c r="A705" i="5"/>
  <c r="B698" i="5"/>
  <c r="B692" i="5"/>
  <c r="B686" i="5"/>
  <c r="B680" i="5"/>
  <c r="B674" i="5"/>
  <c r="B668" i="5"/>
  <c r="B662" i="5"/>
  <c r="B656" i="5"/>
  <c r="B650" i="5"/>
  <c r="B644" i="5"/>
  <c r="B638" i="5"/>
  <c r="B632" i="5"/>
  <c r="B626" i="5"/>
  <c r="B620" i="5"/>
  <c r="B614" i="5"/>
  <c r="B608" i="5"/>
  <c r="B602" i="5"/>
  <c r="B596" i="5"/>
  <c r="B590" i="5"/>
  <c r="B584" i="5"/>
  <c r="B578" i="5"/>
  <c r="B572" i="5"/>
  <c r="B566" i="5"/>
  <c r="B560" i="5"/>
  <c r="B554" i="5"/>
  <c r="B548" i="5"/>
  <c r="B542" i="5"/>
  <c r="B536" i="5"/>
  <c r="B530" i="5"/>
  <c r="B524" i="5"/>
  <c r="B518" i="5"/>
  <c r="B512" i="5"/>
  <c r="B506" i="5"/>
  <c r="B500" i="5"/>
  <c r="B494" i="5"/>
  <c r="B488" i="5"/>
  <c r="B482" i="5"/>
  <c r="B476" i="5"/>
  <c r="B470" i="5"/>
  <c r="B464" i="5"/>
  <c r="B458" i="5"/>
  <c r="B452" i="5"/>
  <c r="B446" i="5"/>
  <c r="B440" i="5"/>
  <c r="B434" i="5"/>
  <c r="B428" i="5"/>
  <c r="B422" i="5"/>
  <c r="B416" i="5"/>
  <c r="B410" i="5"/>
  <c r="B404" i="5"/>
  <c r="B398" i="5"/>
  <c r="B392" i="5"/>
  <c r="B386" i="5"/>
  <c r="B380" i="5"/>
  <c r="B374" i="5"/>
  <c r="B368" i="5"/>
  <c r="B362" i="5"/>
  <c r="B356" i="5"/>
  <c r="B350" i="5"/>
  <c r="B344" i="5"/>
  <c r="B338" i="5"/>
  <c r="B332" i="5"/>
  <c r="B326" i="5"/>
  <c r="B320" i="5"/>
  <c r="B314" i="5"/>
  <c r="B308" i="5"/>
  <c r="B302" i="5"/>
  <c r="B296" i="5"/>
  <c r="B290" i="5"/>
  <c r="B284" i="5"/>
  <c r="B278" i="5"/>
  <c r="B272" i="5"/>
  <c r="B266" i="5"/>
  <c r="B260" i="5"/>
  <c r="B254" i="5"/>
  <c r="B248" i="5"/>
  <c r="B242" i="5"/>
  <c r="B236" i="5"/>
  <c r="B230" i="5"/>
  <c r="B224" i="5"/>
  <c r="B218" i="5"/>
  <c r="B212" i="5"/>
  <c r="B206" i="5"/>
  <c r="B200" i="5"/>
  <c r="B194" i="5"/>
  <c r="B188" i="5"/>
  <c r="B182" i="5"/>
  <c r="B176" i="5"/>
  <c r="B170" i="5"/>
  <c r="B164" i="5"/>
  <c r="B158" i="5"/>
  <c r="B152" i="5"/>
  <c r="B146" i="5"/>
  <c r="B140" i="5"/>
  <c r="B134" i="5"/>
  <c r="B128" i="5"/>
  <c r="B122" i="5"/>
  <c r="B116" i="5"/>
  <c r="B110" i="5"/>
  <c r="B104" i="5"/>
  <c r="B98" i="5"/>
  <c r="B92" i="5"/>
  <c r="B86" i="5"/>
  <c r="B80" i="5"/>
  <c r="B74" i="5"/>
  <c r="B68" i="5"/>
  <c r="B62" i="5"/>
  <c r="B56" i="5"/>
  <c r="B50" i="5"/>
  <c r="B44" i="5"/>
  <c r="B38" i="5"/>
  <c r="B32" i="5"/>
  <c r="B26" i="5"/>
  <c r="B20" i="5"/>
  <c r="B14" i="5"/>
  <c r="B8" i="5"/>
  <c r="B2" i="5"/>
  <c r="B4446" i="4"/>
  <c r="B4440" i="4"/>
  <c r="A4102" i="5"/>
  <c r="A3641" i="5"/>
  <c r="A3412" i="5"/>
  <c r="A3216" i="5"/>
  <c r="B3069" i="5"/>
  <c r="B2966" i="5"/>
  <c r="B2876" i="5"/>
  <c r="A2787" i="5"/>
  <c r="B2699" i="5"/>
  <c r="A2610" i="5"/>
  <c r="B2527" i="5"/>
  <c r="B2445" i="5"/>
  <c r="B2365" i="5"/>
  <c r="B2283" i="5"/>
  <c r="B2203" i="5"/>
  <c r="B2121" i="5"/>
  <c r="B2044" i="5"/>
  <c r="B1976" i="5"/>
  <c r="B1921" i="5"/>
  <c r="B1873" i="5"/>
  <c r="B1825" i="5"/>
  <c r="B1777" i="5"/>
  <c r="B1729" i="5"/>
  <c r="B1681" i="5"/>
  <c r="B1633" i="5"/>
  <c r="B1586" i="5"/>
  <c r="A1552" i="5"/>
  <c r="A1517" i="5"/>
  <c r="B1484" i="5"/>
  <c r="B1448" i="5"/>
  <c r="A1422" i="5"/>
  <c r="B1397" i="5"/>
  <c r="B1373" i="5"/>
  <c r="B1350" i="5"/>
  <c r="A1332" i="5"/>
  <c r="B1311" i="5"/>
  <c r="B1292" i="5"/>
  <c r="A1274" i="5"/>
  <c r="B1254" i="5"/>
  <c r="A1236" i="5"/>
  <c r="B1215" i="5"/>
  <c r="B1196" i="5"/>
  <c r="A1178" i="5"/>
  <c r="B1158" i="5"/>
  <c r="A1140" i="5"/>
  <c r="B1119" i="5"/>
  <c r="B1103" i="5"/>
  <c r="A1087" i="5"/>
  <c r="A1073" i="5"/>
  <c r="A1058" i="5"/>
  <c r="A1044" i="5"/>
  <c r="B1029" i="5"/>
  <c r="A1015" i="5"/>
  <c r="A1001" i="5"/>
  <c r="A986" i="5"/>
  <c r="A973" i="5"/>
  <c r="A960" i="5"/>
  <c r="B947" i="5"/>
  <c r="B935" i="5"/>
  <c r="A926" i="5"/>
  <c r="A914" i="5"/>
  <c r="A902" i="5"/>
  <c r="A893" i="5"/>
  <c r="A881" i="5"/>
  <c r="A869" i="5"/>
  <c r="A860" i="5"/>
  <c r="A849" i="5"/>
  <c r="A841" i="5"/>
  <c r="B832" i="5"/>
  <c r="B824" i="5"/>
  <c r="A817" i="5"/>
  <c r="B808" i="5"/>
  <c r="B800" i="5"/>
  <c r="A793" i="5"/>
  <c r="B784" i="5"/>
  <c r="B776" i="5"/>
  <c r="A769" i="5"/>
  <c r="B760" i="5"/>
  <c r="B752" i="5"/>
  <c r="A745" i="5"/>
  <c r="A737" i="5"/>
  <c r="B730" i="5"/>
  <c r="A724" i="5"/>
  <c r="B717" i="5"/>
  <c r="A711" i="5"/>
  <c r="B704" i="5"/>
  <c r="A698" i="5"/>
  <c r="A692" i="5"/>
  <c r="A686" i="5"/>
  <c r="A680" i="5"/>
  <c r="A674" i="5"/>
  <c r="A668" i="5"/>
  <c r="A662" i="5"/>
  <c r="A656" i="5"/>
  <c r="A650" i="5"/>
  <c r="A644" i="5"/>
  <c r="A638" i="5"/>
  <c r="A632" i="5"/>
  <c r="A626" i="5"/>
  <c r="A620" i="5"/>
  <c r="A614" i="5"/>
  <c r="A608" i="5"/>
  <c r="A602" i="5"/>
  <c r="A596" i="5"/>
  <c r="A590" i="5"/>
  <c r="A584" i="5"/>
  <c r="A578" i="5"/>
  <c r="A572" i="5"/>
  <c r="A566" i="5"/>
  <c r="A560" i="5"/>
  <c r="A554" i="5"/>
  <c r="A548" i="5"/>
  <c r="A542" i="5"/>
  <c r="A536" i="5"/>
  <c r="A530" i="5"/>
  <c r="A524" i="5"/>
  <c r="A518" i="5"/>
  <c r="A512" i="5"/>
  <c r="A506" i="5"/>
  <c r="A500" i="5"/>
  <c r="A494" i="5"/>
  <c r="A488" i="5"/>
  <c r="A482" i="5"/>
  <c r="A476" i="5"/>
  <c r="A470" i="5"/>
  <c r="A464" i="5"/>
  <c r="A458" i="5"/>
  <c r="A452" i="5"/>
  <c r="A446" i="5"/>
  <c r="A440" i="5"/>
  <c r="A434" i="5"/>
  <c r="A428" i="5"/>
  <c r="A422" i="5"/>
  <c r="A416" i="5"/>
  <c r="A410" i="5"/>
  <c r="A404" i="5"/>
  <c r="A398" i="5"/>
  <c r="A392" i="5"/>
  <c r="A386" i="5"/>
  <c r="A380" i="5"/>
  <c r="A374" i="5"/>
  <c r="A368" i="5"/>
  <c r="A362" i="5"/>
  <c r="A356" i="5"/>
  <c r="A350" i="5"/>
  <c r="A344" i="5"/>
  <c r="A338" i="5"/>
  <c r="A332" i="5"/>
  <c r="A326" i="5"/>
  <c r="A320" i="5"/>
  <c r="A314" i="5"/>
  <c r="A308" i="5"/>
  <c r="A302" i="5"/>
  <c r="A296" i="5"/>
  <c r="A290" i="5"/>
  <c r="A284" i="5"/>
  <c r="A278" i="5"/>
  <c r="A272" i="5"/>
  <c r="A266" i="5"/>
  <c r="A260" i="5"/>
  <c r="A254" i="5"/>
  <c r="A248" i="5"/>
  <c r="A242" i="5"/>
  <c r="A236" i="5"/>
  <c r="A230" i="5"/>
  <c r="A224" i="5"/>
  <c r="A218" i="5"/>
  <c r="A212" i="5"/>
  <c r="A206" i="5"/>
  <c r="A200" i="5"/>
  <c r="A194" i="5"/>
  <c r="A188" i="5"/>
  <c r="A182" i="5"/>
  <c r="A176" i="5"/>
  <c r="A170" i="5"/>
  <c r="A164" i="5"/>
  <c r="A158" i="5"/>
  <c r="A152" i="5"/>
  <c r="A146" i="5"/>
  <c r="A140" i="5"/>
  <c r="A134" i="5"/>
  <c r="A128" i="5"/>
  <c r="A122" i="5"/>
  <c r="A116" i="5"/>
  <c r="A110" i="5"/>
  <c r="A104" i="5"/>
  <c r="A98" i="5"/>
  <c r="A92" i="5"/>
  <c r="A86" i="5"/>
  <c r="A80" i="5"/>
  <c r="A74" i="5"/>
  <c r="A68" i="5"/>
  <c r="A62" i="5"/>
  <c r="A56" i="5"/>
  <c r="A50" i="5"/>
  <c r="A44" i="5"/>
  <c r="A38" i="5"/>
  <c r="A32" i="5"/>
  <c r="B4066" i="5"/>
  <c r="A3638" i="5"/>
  <c r="A3411" i="5"/>
  <c r="B3214" i="5"/>
  <c r="A3069" i="5"/>
  <c r="A2965" i="5"/>
  <c r="A2876" i="5"/>
  <c r="B2786" i="5"/>
  <c r="A2699" i="5"/>
  <c r="B2609" i="5"/>
  <c r="A2527" i="5"/>
  <c r="A2445" i="5"/>
  <c r="A2365" i="5"/>
  <c r="A2283" i="5"/>
  <c r="A2203" i="5"/>
  <c r="A2121" i="5"/>
  <c r="B2043" i="5"/>
  <c r="A1976" i="5"/>
  <c r="A1921" i="5"/>
  <c r="A1873" i="5"/>
  <c r="A1825" i="5"/>
  <c r="A1777" i="5"/>
  <c r="A1729" i="5"/>
  <c r="A1681" i="5"/>
  <c r="A1633" i="5"/>
  <c r="A1586" i="5"/>
  <c r="B1549" i="5"/>
  <c r="B1516" i="5"/>
  <c r="A1484" i="5"/>
  <c r="A1448" i="5"/>
  <c r="B1421" i="5"/>
  <c r="A1397" i="5"/>
  <c r="A1373" i="5"/>
  <c r="A1350" i="5"/>
  <c r="B1331" i="5"/>
  <c r="B1310" i="5"/>
  <c r="A1292" i="5"/>
  <c r="A1273" i="5"/>
  <c r="A1254" i="5"/>
  <c r="B1235" i="5"/>
  <c r="B1214" i="5"/>
  <c r="A1196" i="5"/>
  <c r="A1177" i="5"/>
  <c r="A1158" i="5"/>
  <c r="B1139" i="5"/>
  <c r="B1118" i="5"/>
  <c r="A1103" i="5"/>
  <c r="B1086" i="5"/>
  <c r="B1072" i="5"/>
  <c r="B1057" i="5"/>
  <c r="B1043" i="5"/>
  <c r="B1028" i="5"/>
  <c r="B1014" i="5"/>
  <c r="B1000" i="5"/>
  <c r="B985" i="5"/>
  <c r="B972" i="5"/>
  <c r="B959" i="5"/>
  <c r="A947" i="5"/>
  <c r="A935" i="5"/>
  <c r="B925" i="5"/>
  <c r="B913" i="5"/>
  <c r="B901" i="5"/>
  <c r="B889" i="5"/>
  <c r="B880" i="5"/>
  <c r="B868" i="5"/>
  <c r="A858" i="5"/>
  <c r="B848" i="5"/>
  <c r="B840" i="5"/>
  <c r="B831" i="5"/>
  <c r="A824" i="5"/>
  <c r="B816" i="5"/>
  <c r="B807" i="5"/>
  <c r="A800" i="5"/>
  <c r="B792" i="5"/>
  <c r="B783" i="5"/>
  <c r="A776" i="5"/>
  <c r="B768" i="5"/>
  <c r="B759" i="5"/>
  <c r="A752" i="5"/>
  <c r="B744" i="5"/>
  <c r="B736" i="5"/>
  <c r="A730" i="5"/>
  <c r="B723" i="5"/>
  <c r="A717" i="5"/>
  <c r="B710" i="5"/>
  <c r="A704" i="5"/>
  <c r="B697" i="5"/>
  <c r="B691" i="5"/>
  <c r="B685" i="5"/>
  <c r="B679" i="5"/>
  <c r="B673" i="5"/>
  <c r="B667" i="5"/>
  <c r="B661" i="5"/>
  <c r="B655" i="5"/>
  <c r="B649" i="5"/>
  <c r="B643" i="5"/>
  <c r="B637" i="5"/>
  <c r="B631" i="5"/>
  <c r="B625" i="5"/>
  <c r="B619" i="5"/>
  <c r="B613" i="5"/>
  <c r="B607" i="5"/>
  <c r="B601" i="5"/>
  <c r="B595" i="5"/>
  <c r="B589" i="5"/>
  <c r="B583" i="5"/>
  <c r="B577" i="5"/>
  <c r="B571" i="5"/>
  <c r="B565" i="5"/>
  <c r="B559" i="5"/>
  <c r="B553" i="5"/>
  <c r="B547" i="5"/>
  <c r="B541" i="5"/>
  <c r="B535" i="5"/>
  <c r="B529" i="5"/>
  <c r="B523" i="5"/>
  <c r="B517" i="5"/>
  <c r="B511" i="5"/>
  <c r="B505" i="5"/>
  <c r="B499" i="5"/>
  <c r="B493" i="5"/>
  <c r="B487" i="5"/>
  <c r="B481" i="5"/>
  <c r="B475" i="5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A4037" i="5"/>
  <c r="B3627" i="5"/>
  <c r="A3407" i="5"/>
  <c r="B3213" i="5"/>
  <c r="B3068" i="5"/>
  <c r="B2964" i="5"/>
  <c r="A2875" i="5"/>
  <c r="A2786" i="5"/>
  <c r="B2698" i="5"/>
  <c r="A2609" i="5"/>
  <c r="B2526" i="5"/>
  <c r="B2444" i="5"/>
  <c r="B2364" i="5"/>
  <c r="B2282" i="5"/>
  <c r="B2202" i="5"/>
  <c r="B2120" i="5"/>
  <c r="A2043" i="5"/>
  <c r="B1975" i="5"/>
  <c r="B1920" i="5"/>
  <c r="B1872" i="5"/>
  <c r="B1824" i="5"/>
  <c r="B1776" i="5"/>
  <c r="B1728" i="5"/>
  <c r="B1680" i="5"/>
  <c r="B1632" i="5"/>
  <c r="B1585" i="5"/>
  <c r="A1546" i="5"/>
  <c r="A1514" i="5"/>
  <c r="A1480" i="5"/>
  <c r="B1447" i="5"/>
  <c r="B1419" i="5"/>
  <c r="B1395" i="5"/>
  <c r="B1371" i="5"/>
  <c r="B1349" i="5"/>
  <c r="A1331" i="5"/>
  <c r="A1310" i="5"/>
  <c r="B1291" i="5"/>
  <c r="A1272" i="5"/>
  <c r="B1253" i="5"/>
  <c r="A1235" i="5"/>
  <c r="A1214" i="5"/>
  <c r="B1195" i="5"/>
  <c r="A1176" i="5"/>
  <c r="B1157" i="5"/>
  <c r="A1139" i="5"/>
  <c r="A1118" i="5"/>
  <c r="B1101" i="5"/>
  <c r="A1086" i="5"/>
  <c r="B1071" i="5"/>
  <c r="A1057" i="5"/>
  <c r="A1043" i="5"/>
  <c r="A1028" i="5"/>
  <c r="A1014" i="5"/>
  <c r="B999" i="5"/>
  <c r="A985" i="5"/>
  <c r="A972" i="5"/>
  <c r="A959" i="5"/>
  <c r="B946" i="5"/>
  <c r="B934" i="5"/>
  <c r="B922" i="5"/>
  <c r="A913" i="5"/>
  <c r="A901" i="5"/>
  <c r="A889" i="5"/>
  <c r="B879" i="5"/>
  <c r="B867" i="5"/>
  <c r="A857" i="5"/>
  <c r="A848" i="5"/>
  <c r="A839" i="5"/>
  <c r="A831" i="5"/>
  <c r="B823" i="5"/>
  <c r="A815" i="5"/>
  <c r="A807" i="5"/>
  <c r="B799" i="5"/>
  <c r="A791" i="5"/>
  <c r="A783" i="5"/>
  <c r="B775" i="5"/>
  <c r="A767" i="5"/>
  <c r="A759" i="5"/>
  <c r="B751" i="5"/>
  <c r="A743" i="5"/>
  <c r="A736" i="5"/>
  <c r="B729" i="5"/>
  <c r="A723" i="5"/>
  <c r="B716" i="5"/>
  <c r="A710" i="5"/>
  <c r="B703" i="5"/>
  <c r="A697" i="5"/>
  <c r="A691" i="5"/>
  <c r="A685" i="5"/>
  <c r="A679" i="5"/>
  <c r="A673" i="5"/>
  <c r="A667" i="5"/>
  <c r="A661" i="5"/>
  <c r="A655" i="5"/>
  <c r="A649" i="5"/>
  <c r="A643" i="5"/>
  <c r="A637" i="5"/>
  <c r="A631" i="5"/>
  <c r="A625" i="5"/>
  <c r="A619" i="5"/>
  <c r="A613" i="5"/>
  <c r="A607" i="5"/>
  <c r="A601" i="5"/>
  <c r="A595" i="5"/>
  <c r="A589" i="5"/>
  <c r="A583" i="5"/>
  <c r="A577" i="5"/>
  <c r="A571" i="5"/>
  <c r="A565" i="5"/>
  <c r="A559" i="5"/>
  <c r="A553" i="5"/>
  <c r="A547" i="5"/>
  <c r="A541" i="5"/>
  <c r="A535" i="5"/>
  <c r="A529" i="5"/>
  <c r="A523" i="5"/>
  <c r="A517" i="5"/>
  <c r="A511" i="5"/>
  <c r="A505" i="5"/>
  <c r="A499" i="5"/>
  <c r="A493" i="5"/>
  <c r="A487" i="5"/>
  <c r="A481" i="5"/>
  <c r="A475" i="5"/>
  <c r="A469" i="5"/>
  <c r="A463" i="5"/>
  <c r="A457" i="5"/>
  <c r="A451" i="5"/>
  <c r="A445" i="5"/>
  <c r="A439" i="5"/>
  <c r="A433" i="5"/>
  <c r="A427" i="5"/>
  <c r="A421" i="5"/>
  <c r="A415" i="5"/>
  <c r="A409" i="5"/>
  <c r="A403" i="5"/>
  <c r="A397" i="5"/>
  <c r="A391" i="5"/>
  <c r="A385" i="5"/>
  <c r="A379" i="5"/>
  <c r="A373" i="5"/>
  <c r="A367" i="5"/>
  <c r="A361" i="5"/>
  <c r="A355" i="5"/>
  <c r="A349" i="5"/>
  <c r="A343" i="5"/>
  <c r="A337" i="5"/>
  <c r="A331" i="5"/>
  <c r="A325" i="5"/>
  <c r="A319" i="5"/>
  <c r="A313" i="5"/>
  <c r="A307" i="5"/>
  <c r="A301" i="5"/>
  <c r="A295" i="5"/>
  <c r="A289" i="5"/>
  <c r="A283" i="5"/>
  <c r="A277" i="5"/>
  <c r="A271" i="5"/>
  <c r="A265" i="5"/>
  <c r="A259" i="5"/>
  <c r="A253" i="5"/>
  <c r="A247" i="5"/>
  <c r="A241" i="5"/>
  <c r="A235" i="5"/>
  <c r="A229" i="5"/>
  <c r="A223" i="5"/>
  <c r="A217" i="5"/>
  <c r="A211" i="5"/>
  <c r="A205" i="5"/>
  <c r="A199" i="5"/>
  <c r="A193" i="5"/>
  <c r="A187" i="5"/>
  <c r="A181" i="5"/>
  <c r="A175" i="5"/>
  <c r="A169" i="5"/>
  <c r="A163" i="5"/>
  <c r="A157" i="5"/>
  <c r="A151" i="5"/>
  <c r="A145" i="5"/>
  <c r="A139" i="5"/>
  <c r="A133" i="5"/>
  <c r="A127" i="5"/>
  <c r="A121" i="5"/>
  <c r="A115" i="5"/>
  <c r="A109" i="5"/>
  <c r="A103" i="5"/>
  <c r="A97" i="5"/>
  <c r="A91" i="5"/>
  <c r="A85" i="5"/>
  <c r="A79" i="5"/>
  <c r="A73" i="5"/>
  <c r="A67" i="5"/>
  <c r="A61" i="5"/>
  <c r="A55" i="5"/>
  <c r="A49" i="5"/>
  <c r="A43" i="5"/>
  <c r="A37" i="5"/>
  <c r="A31" i="5"/>
  <c r="B3796" i="5"/>
  <c r="B3535" i="5"/>
  <c r="A3315" i="5"/>
  <c r="B3146" i="5"/>
  <c r="B3020" i="5"/>
  <c r="A2923" i="5"/>
  <c r="A2836" i="5"/>
  <c r="B2746" i="5"/>
  <c r="A2659" i="5"/>
  <c r="B2570" i="5"/>
  <c r="B2490" i="5"/>
  <c r="B2408" i="5"/>
  <c r="B2328" i="5"/>
  <c r="B2246" i="5"/>
  <c r="B2166" i="5"/>
  <c r="B2084" i="5"/>
  <c r="B2011" i="5"/>
  <c r="A1949" i="5"/>
  <c r="A1899" i="5"/>
  <c r="A1851" i="5"/>
  <c r="A1803" i="5"/>
  <c r="A1755" i="5"/>
  <c r="A1707" i="5"/>
  <c r="A1659" i="5"/>
  <c r="A1611" i="5"/>
  <c r="A1573" i="5"/>
  <c r="B1536" i="5"/>
  <c r="B1504" i="5"/>
  <c r="A1467" i="5"/>
  <c r="B1437" i="5"/>
  <c r="B1411" i="5"/>
  <c r="B1387" i="5"/>
  <c r="B1363" i="5"/>
  <c r="A1343" i="5"/>
  <c r="B1323" i="5"/>
  <c r="B1303" i="5"/>
  <c r="A1285" i="5"/>
  <c r="B1266" i="5"/>
  <c r="A1247" i="5"/>
  <c r="B1227" i="5"/>
  <c r="B1207" i="5"/>
  <c r="A1189" i="5"/>
  <c r="B1170" i="5"/>
  <c r="A1151" i="5"/>
  <c r="B1131" i="5"/>
  <c r="A1112" i="5"/>
  <c r="A1097" i="5"/>
  <c r="A1081" i="5"/>
  <c r="A1067" i="5"/>
  <c r="A1052" i="5"/>
  <c r="A1038" i="5"/>
  <c r="B1023" i="5"/>
  <c r="A1009" i="5"/>
  <c r="A995" i="5"/>
  <c r="B980" i="5"/>
  <c r="B967" i="5"/>
  <c r="B954" i="5"/>
  <c r="A945" i="5"/>
  <c r="A933" i="5"/>
  <c r="A921" i="5"/>
  <c r="A909" i="5"/>
  <c r="A900" i="5"/>
  <c r="A888" i="5"/>
  <c r="A876" i="5"/>
  <c r="B866" i="5"/>
  <c r="B855" i="5"/>
  <c r="A847" i="5"/>
  <c r="B837" i="5"/>
  <c r="A830" i="5"/>
  <c r="B822" i="5"/>
  <c r="B813" i="5"/>
  <c r="A806" i="5"/>
  <c r="B798" i="5"/>
  <c r="B789" i="5"/>
  <c r="A782" i="5"/>
  <c r="B774" i="5"/>
  <c r="B765" i="5"/>
  <c r="A758" i="5"/>
  <c r="B750" i="5"/>
  <c r="B741" i="5"/>
  <c r="A735" i="5"/>
  <c r="B728" i="5"/>
  <c r="A722" i="5"/>
  <c r="B715" i="5"/>
  <c r="A709" i="5"/>
  <c r="B702" i="5"/>
  <c r="A696" i="5"/>
  <c r="A690" i="5"/>
  <c r="A684" i="5"/>
  <c r="A678" i="5"/>
  <c r="A672" i="5"/>
  <c r="A666" i="5"/>
  <c r="A660" i="5"/>
  <c r="A654" i="5"/>
  <c r="A648" i="5"/>
  <c r="A642" i="5"/>
  <c r="A636" i="5"/>
  <c r="A630" i="5"/>
  <c r="A624" i="5"/>
  <c r="A618" i="5"/>
  <c r="A612" i="5"/>
  <c r="A606" i="5"/>
  <c r="A600" i="5"/>
  <c r="A594" i="5"/>
  <c r="A588" i="5"/>
  <c r="A582" i="5"/>
  <c r="A576" i="5"/>
  <c r="A570" i="5"/>
  <c r="A564" i="5"/>
  <c r="A558" i="5"/>
  <c r="A552" i="5"/>
  <c r="A546" i="5"/>
  <c r="A540" i="5"/>
  <c r="A534" i="5"/>
  <c r="A528" i="5"/>
  <c r="A522" i="5"/>
  <c r="A516" i="5"/>
  <c r="A510" i="5"/>
  <c r="A504" i="5"/>
  <c r="A498" i="5"/>
  <c r="A492" i="5"/>
  <c r="A486" i="5"/>
  <c r="A480" i="5"/>
  <c r="A474" i="5"/>
  <c r="A468" i="5"/>
  <c r="A462" i="5"/>
  <c r="A456" i="5"/>
  <c r="A4019" i="5"/>
  <c r="B3397" i="5"/>
  <c r="A3063" i="5"/>
  <c r="A2871" i="5"/>
  <c r="A2694" i="5"/>
  <c r="B2522" i="5"/>
  <c r="B2360" i="5"/>
  <c r="B2198" i="5"/>
  <c r="A2041" i="5"/>
  <c r="A1920" i="5"/>
  <c r="A1824" i="5"/>
  <c r="A1728" i="5"/>
  <c r="A1632" i="5"/>
  <c r="A1545" i="5"/>
  <c r="A1478" i="5"/>
  <c r="B1418" i="5"/>
  <c r="B1370" i="5"/>
  <c r="B1328" i="5"/>
  <c r="A1291" i="5"/>
  <c r="A1253" i="5"/>
  <c r="B1213" i="5"/>
  <c r="B1175" i="5"/>
  <c r="B1136" i="5"/>
  <c r="B1100" i="5"/>
  <c r="B1070" i="5"/>
  <c r="B1042" i="5"/>
  <c r="B1013" i="5"/>
  <c r="B984" i="5"/>
  <c r="B958" i="5"/>
  <c r="B933" i="5"/>
  <c r="B912" i="5"/>
  <c r="B888" i="5"/>
  <c r="A867" i="5"/>
  <c r="B847" i="5"/>
  <c r="B830" i="5"/>
  <c r="B814" i="5"/>
  <c r="A799" i="5"/>
  <c r="B782" i="5"/>
  <c r="B766" i="5"/>
  <c r="A751" i="5"/>
  <c r="B735" i="5"/>
  <c r="B722" i="5"/>
  <c r="B709" i="5"/>
  <c r="B696" i="5"/>
  <c r="B684" i="5"/>
  <c r="B672" i="5"/>
  <c r="B660" i="5"/>
  <c r="B648" i="5"/>
  <c r="B636" i="5"/>
  <c r="B624" i="5"/>
  <c r="B612" i="5"/>
  <c r="B600" i="5"/>
  <c r="B588" i="5"/>
  <c r="B576" i="5"/>
  <c r="B564" i="5"/>
  <c r="B552" i="5"/>
  <c r="B540" i="5"/>
  <c r="B528" i="5"/>
  <c r="B516" i="5"/>
  <c r="B504" i="5"/>
  <c r="B492" i="5"/>
  <c r="B480" i="5"/>
  <c r="B468" i="5"/>
  <c r="B456" i="5"/>
  <c r="B447" i="5"/>
  <c r="B436" i="5"/>
  <c r="B425" i="5"/>
  <c r="B414" i="5"/>
  <c r="A406" i="5"/>
  <c r="A395" i="5"/>
  <c r="A384" i="5"/>
  <c r="B375" i="5"/>
  <c r="B364" i="5"/>
  <c r="B353" i="5"/>
  <c r="B342" i="5"/>
  <c r="A334" i="5"/>
  <c r="A323" i="5"/>
  <c r="A312" i="5"/>
  <c r="B303" i="5"/>
  <c r="B292" i="5"/>
  <c r="B281" i="5"/>
  <c r="B270" i="5"/>
  <c r="A262" i="5"/>
  <c r="A251" i="5"/>
  <c r="A240" i="5"/>
  <c r="B231" i="5"/>
  <c r="B220" i="5"/>
  <c r="B209" i="5"/>
  <c r="B198" i="5"/>
  <c r="A190" i="5"/>
  <c r="A179" i="5"/>
  <c r="A168" i="5"/>
  <c r="B159" i="5"/>
  <c r="B148" i="5"/>
  <c r="B137" i="5"/>
  <c r="B126" i="5"/>
  <c r="A118" i="5"/>
  <c r="A107" i="5"/>
  <c r="A96" i="5"/>
  <c r="B87" i="5"/>
  <c r="B76" i="5"/>
  <c r="B65" i="5"/>
  <c r="B57" i="5"/>
  <c r="B47" i="5"/>
  <c r="B39" i="5"/>
  <c r="B29" i="5"/>
  <c r="B22" i="5"/>
  <c r="B15" i="5"/>
  <c r="B7" i="5"/>
  <c r="B4450" i="4"/>
  <c r="B4443" i="4"/>
  <c r="B4436" i="4"/>
  <c r="A4430" i="4"/>
  <c r="B4423" i="4"/>
  <c r="B4416" i="4"/>
  <c r="A4410" i="4"/>
  <c r="B4403" i="4"/>
  <c r="A4397" i="4"/>
  <c r="B4390" i="4"/>
  <c r="A4384" i="4"/>
  <c r="B4377" i="4"/>
  <c r="A4371" i="4"/>
  <c r="A4365" i="4"/>
  <c r="A4359" i="4"/>
  <c r="A4353" i="4"/>
  <c r="A4347" i="4"/>
  <c r="A4341" i="4"/>
  <c r="A4335" i="4"/>
  <c r="A4329" i="4"/>
  <c r="A4323" i="4"/>
  <c r="A4317" i="4"/>
  <c r="A4311" i="4"/>
  <c r="A4305" i="4"/>
  <c r="A4299" i="4"/>
  <c r="A4293" i="4"/>
  <c r="A4287" i="4"/>
  <c r="A4281" i="4"/>
  <c r="A4275" i="4"/>
  <c r="A4269" i="4"/>
  <c r="A4263" i="4"/>
  <c r="A4257" i="4"/>
  <c r="A4251" i="4"/>
  <c r="A4245" i="4"/>
  <c r="A4239" i="4"/>
  <c r="A4233" i="4"/>
  <c r="A4227" i="4"/>
  <c r="A4221" i="4"/>
  <c r="A4215" i="4"/>
  <c r="A4209" i="4"/>
  <c r="A4203" i="4"/>
  <c r="A4197" i="4"/>
  <c r="A4191" i="4"/>
  <c r="A4185" i="4"/>
  <c r="A4179" i="4"/>
  <c r="A4173" i="4"/>
  <c r="A4167" i="4"/>
  <c r="A4161" i="4"/>
  <c r="A4155" i="4"/>
  <c r="A4149" i="4"/>
  <c r="A4143" i="4"/>
  <c r="A4137" i="4"/>
  <c r="A4131" i="4"/>
  <c r="A4125" i="4"/>
  <c r="A4119" i="4"/>
  <c r="A4113" i="4"/>
  <c r="A4107" i="4"/>
  <c r="A4101" i="4"/>
  <c r="A4095" i="4"/>
  <c r="A4089" i="4"/>
  <c r="A4083" i="4"/>
  <c r="A4077" i="4"/>
  <c r="A4071" i="4"/>
  <c r="A4065" i="4"/>
  <c r="A4059" i="4"/>
  <c r="A4053" i="4"/>
  <c r="A4047" i="4"/>
  <c r="A4041" i="4"/>
  <c r="A4035" i="4"/>
  <c r="A4029" i="4"/>
  <c r="A4023" i="4"/>
  <c r="A4017" i="4"/>
  <c r="A4011" i="4"/>
  <c r="A4005" i="4"/>
  <c r="A3999" i="4"/>
  <c r="A3993" i="4"/>
  <c r="A3987" i="4"/>
  <c r="A3981" i="4"/>
  <c r="A3975" i="4"/>
  <c r="A3969" i="4"/>
  <c r="A3963" i="4"/>
  <c r="A3957" i="4"/>
  <c r="A3951" i="4"/>
  <c r="A3945" i="4"/>
  <c r="A3939" i="4"/>
  <c r="A3933" i="4"/>
  <c r="A3927" i="4"/>
  <c r="A3921" i="4"/>
  <c r="A3915" i="4"/>
  <c r="A3909" i="4"/>
  <c r="A3903" i="4"/>
  <c r="A3897" i="4"/>
  <c r="A3891" i="4"/>
  <c r="A3885" i="4"/>
  <c r="A3879" i="4"/>
  <c r="A3873" i="4"/>
  <c r="A3867" i="4"/>
  <c r="A3861" i="4"/>
  <c r="A3855" i="4"/>
  <c r="A3849" i="4"/>
  <c r="A3843" i="4"/>
  <c r="A3837" i="4"/>
  <c r="A3831" i="4"/>
  <c r="A3825" i="4"/>
  <c r="A3819" i="4"/>
  <c r="A3813" i="4"/>
  <c r="A3807" i="4"/>
  <c r="A3801" i="4"/>
  <c r="A3795" i="4"/>
  <c r="A3789" i="4"/>
  <c r="A3783" i="4"/>
  <c r="A3777" i="4"/>
  <c r="A3771" i="4"/>
  <c r="A3765" i="4"/>
  <c r="A3759" i="4"/>
  <c r="A3753" i="4"/>
  <c r="A3747" i="4"/>
  <c r="A3741" i="4"/>
  <c r="A3735" i="4"/>
  <c r="A3729" i="4"/>
  <c r="A3723" i="4"/>
  <c r="A3717" i="4"/>
  <c r="A3711" i="4"/>
  <c r="A3705" i="4"/>
  <c r="A3699" i="4"/>
  <c r="A3693" i="4"/>
  <c r="A3687" i="4"/>
  <c r="A3681" i="4"/>
  <c r="A3675" i="4"/>
  <c r="A3669" i="4"/>
  <c r="A3663" i="4"/>
  <c r="A3657" i="4"/>
  <c r="A3651" i="4"/>
  <c r="A3645" i="4"/>
  <c r="A3639" i="4"/>
  <c r="A3633" i="4"/>
  <c r="A3627" i="4"/>
  <c r="A3621" i="4"/>
  <c r="A3615" i="4"/>
  <c r="A3609" i="4"/>
  <c r="A3603" i="4"/>
  <c r="A3597" i="4"/>
  <c r="A3591" i="4"/>
  <c r="A3585" i="4"/>
  <c r="A3579" i="4"/>
  <c r="A3573" i="4"/>
  <c r="A3567" i="4"/>
  <c r="A3561" i="4"/>
  <c r="A3555" i="4"/>
  <c r="A3549" i="4"/>
  <c r="A3543" i="4"/>
  <c r="A3537" i="4"/>
  <c r="A3531" i="4"/>
  <c r="A3525" i="4"/>
  <c r="A3519" i="4"/>
  <c r="A3513" i="4"/>
  <c r="A3507" i="4"/>
  <c r="A3501" i="4"/>
  <c r="A3495" i="4"/>
  <c r="A3489" i="4"/>
  <c r="A3483" i="4"/>
  <c r="A3477" i="4"/>
  <c r="A3471" i="4"/>
  <c r="A3465" i="4"/>
  <c r="A3459" i="4"/>
  <c r="A3453" i="4"/>
  <c r="A3447" i="4"/>
  <c r="A3441" i="4"/>
  <c r="A3435" i="4"/>
  <c r="A3429" i="4"/>
  <c r="A3423" i="4"/>
  <c r="A3417" i="4"/>
  <c r="A3411" i="4"/>
  <c r="A3405" i="4"/>
  <c r="A3399" i="4"/>
  <c r="A3393" i="4"/>
  <c r="A3387" i="4"/>
  <c r="A3381" i="4"/>
  <c r="A3773" i="5"/>
  <c r="B3310" i="5"/>
  <c r="B3015" i="5"/>
  <c r="B2831" i="5"/>
  <c r="A2655" i="5"/>
  <c r="B2486" i="5"/>
  <c r="B2324" i="5"/>
  <c r="B2162" i="5"/>
  <c r="B2008" i="5"/>
  <c r="A1898" i="5"/>
  <c r="A1802" i="5"/>
  <c r="A1706" i="5"/>
  <c r="A1610" i="5"/>
  <c r="A1536" i="5"/>
  <c r="B1466" i="5"/>
  <c r="A1411" i="5"/>
  <c r="A1363" i="5"/>
  <c r="B1322" i="5"/>
  <c r="B1284" i="5"/>
  <c r="B1245" i="5"/>
  <c r="A1207" i="5"/>
  <c r="B1169" i="5"/>
  <c r="B1130" i="5"/>
  <c r="B1095" i="5"/>
  <c r="B1066" i="5"/>
  <c r="B1037" i="5"/>
  <c r="B1008" i="5"/>
  <c r="A980" i="5"/>
  <c r="A954" i="5"/>
  <c r="B932" i="5"/>
  <c r="B908" i="5"/>
  <c r="B887" i="5"/>
  <c r="B864" i="5"/>
  <c r="B845" i="5"/>
  <c r="B829" i="5"/>
  <c r="A813" i="5"/>
  <c r="A797" i="5"/>
  <c r="B781" i="5"/>
  <c r="A765" i="5"/>
  <c r="A749" i="5"/>
  <c r="B734" i="5"/>
  <c r="B721" i="5"/>
  <c r="B708" i="5"/>
  <c r="B695" i="5"/>
  <c r="B683" i="5"/>
  <c r="B671" i="5"/>
  <c r="B659" i="5"/>
  <c r="B647" i="5"/>
  <c r="B635" i="5"/>
  <c r="B623" i="5"/>
  <c r="B611" i="5"/>
  <c r="B599" i="5"/>
  <c r="B587" i="5"/>
  <c r="B575" i="5"/>
  <c r="B563" i="5"/>
  <c r="B551" i="5"/>
  <c r="B539" i="5"/>
  <c r="B527" i="5"/>
  <c r="B515" i="5"/>
  <c r="B503" i="5"/>
  <c r="B491" i="5"/>
  <c r="B479" i="5"/>
  <c r="B467" i="5"/>
  <c r="B455" i="5"/>
  <c r="B444" i="5"/>
  <c r="A436" i="5"/>
  <c r="A425" i="5"/>
  <c r="A414" i="5"/>
  <c r="B405" i="5"/>
  <c r="B394" i="5"/>
  <c r="B383" i="5"/>
  <c r="B372" i="5"/>
  <c r="A364" i="5"/>
  <c r="A353" i="5"/>
  <c r="A342" i="5"/>
  <c r="B333" i="5"/>
  <c r="B322" i="5"/>
  <c r="B311" i="5"/>
  <c r="B300" i="5"/>
  <c r="A292" i="5"/>
  <c r="A281" i="5"/>
  <c r="A270" i="5"/>
  <c r="B261" i="5"/>
  <c r="B250" i="5"/>
  <c r="B239" i="5"/>
  <c r="B228" i="5"/>
  <c r="A220" i="5"/>
  <c r="A209" i="5"/>
  <c r="A198" i="5"/>
  <c r="B189" i="5"/>
  <c r="B178" i="5"/>
  <c r="B167" i="5"/>
  <c r="B156" i="5"/>
  <c r="A148" i="5"/>
  <c r="A137" i="5"/>
  <c r="A126" i="5"/>
  <c r="B117" i="5"/>
  <c r="B106" i="5"/>
  <c r="B95" i="5"/>
  <c r="B84" i="5"/>
  <c r="A76" i="5"/>
  <c r="A65" i="5"/>
  <c r="B55" i="5"/>
  <c r="A47" i="5"/>
  <c r="B37" i="5"/>
  <c r="A29" i="5"/>
  <c r="A22" i="5"/>
  <c r="A14" i="5"/>
  <c r="A7" i="5"/>
  <c r="A4450" i="4"/>
  <c r="A4443" i="4"/>
  <c r="A4436" i="4"/>
  <c r="B4429" i="4"/>
  <c r="B4422" i="4"/>
  <c r="A4416" i="4"/>
  <c r="B4409" i="4"/>
  <c r="A4403" i="4"/>
  <c r="B4396" i="4"/>
  <c r="A4390" i="4"/>
  <c r="B4383" i="4"/>
  <c r="A4377" i="4"/>
  <c r="B4370" i="4"/>
  <c r="B4364" i="4"/>
  <c r="B4358" i="4"/>
  <c r="B4352" i="4"/>
  <c r="B4346" i="4"/>
  <c r="B4340" i="4"/>
  <c r="B4334" i="4"/>
  <c r="B4328" i="4"/>
  <c r="B4322" i="4"/>
  <c r="B4316" i="4"/>
  <c r="B4310" i="4"/>
  <c r="B4304" i="4"/>
  <c r="B4298" i="4"/>
  <c r="B4292" i="4"/>
  <c r="B4286" i="4"/>
  <c r="B4280" i="4"/>
  <c r="B4274" i="4"/>
  <c r="B4268" i="4"/>
  <c r="B4262" i="4"/>
  <c r="B4256" i="4"/>
  <c r="B4250" i="4"/>
  <c r="B4244" i="4"/>
  <c r="B4238" i="4"/>
  <c r="B4232" i="4"/>
  <c r="B4226" i="4"/>
  <c r="B4220" i="4"/>
  <c r="B4214" i="4"/>
  <c r="B4208" i="4"/>
  <c r="B4202" i="4"/>
  <c r="B4196" i="4"/>
  <c r="B4190" i="4"/>
  <c r="B4184" i="4"/>
  <c r="B4178" i="4"/>
  <c r="B4172" i="4"/>
  <c r="B4166" i="4"/>
  <c r="B4160" i="4"/>
  <c r="B4154" i="4"/>
  <c r="B4148" i="4"/>
  <c r="B4142" i="4"/>
  <c r="B4136" i="4"/>
  <c r="B4130" i="4"/>
  <c r="B4124" i="4"/>
  <c r="B4118" i="4"/>
  <c r="B4112" i="4"/>
  <c r="B4106" i="4"/>
  <c r="B4100" i="4"/>
  <c r="B4094" i="4"/>
  <c r="B4088" i="4"/>
  <c r="B4082" i="4"/>
  <c r="B4076" i="4"/>
  <c r="B4070" i="4"/>
  <c r="B4064" i="4"/>
  <c r="B4058" i="4"/>
  <c r="B4052" i="4"/>
  <c r="B4046" i="4"/>
  <c r="B4040" i="4"/>
  <c r="B4034" i="4"/>
  <c r="B4028" i="4"/>
  <c r="B4022" i="4"/>
  <c r="B4016" i="4"/>
  <c r="B4010" i="4"/>
  <c r="B4004" i="4"/>
  <c r="B3998" i="4"/>
  <c r="B3992" i="4"/>
  <c r="B3986" i="4"/>
  <c r="B3980" i="4"/>
  <c r="B3974" i="4"/>
  <c r="B3968" i="4"/>
  <c r="B3962" i="4"/>
  <c r="B3956" i="4"/>
  <c r="B3950" i="4"/>
  <c r="B3944" i="4"/>
  <c r="B3938" i="4"/>
  <c r="B3932" i="4"/>
  <c r="B3926" i="4"/>
  <c r="B3920" i="4"/>
  <c r="B3914" i="4"/>
  <c r="B3908" i="4"/>
  <c r="B3902" i="4"/>
  <c r="B3896" i="4"/>
  <c r="B3890" i="4"/>
  <c r="B3884" i="4"/>
  <c r="B3878" i="4"/>
  <c r="B3872" i="4"/>
  <c r="B3866" i="4"/>
  <c r="B3860" i="4"/>
  <c r="B3854" i="4"/>
  <c r="B3848" i="4"/>
  <c r="B3842" i="4"/>
  <c r="B3836" i="4"/>
  <c r="B3830" i="4"/>
  <c r="B3824" i="4"/>
  <c r="B3818" i="4"/>
  <c r="B3812" i="4"/>
  <c r="B3806" i="4"/>
  <c r="B3800" i="4"/>
  <c r="B3794" i="4"/>
  <c r="B3788" i="4"/>
  <c r="B3782" i="4"/>
  <c r="B3776" i="4"/>
  <c r="B3770" i="4"/>
  <c r="B3764" i="4"/>
  <c r="B3758" i="4"/>
  <c r="B3752" i="4"/>
  <c r="B3746" i="4"/>
  <c r="B3740" i="4"/>
  <c r="B3734" i="4"/>
  <c r="B3728" i="4"/>
  <c r="B3722" i="4"/>
  <c r="B3716" i="4"/>
  <c r="B3710" i="4"/>
  <c r="B3704" i="4"/>
  <c r="B3698" i="4"/>
  <c r="B3692" i="4"/>
  <c r="B3686" i="4"/>
  <c r="B3680" i="4"/>
  <c r="B3674" i="4"/>
  <c r="B3668" i="4"/>
  <c r="B3662" i="4"/>
  <c r="B3656" i="4"/>
  <c r="B3650" i="4"/>
  <c r="B3644" i="4"/>
  <c r="B3638" i="4"/>
  <c r="B3632" i="4"/>
  <c r="B3626" i="4"/>
  <c r="B3620" i="4"/>
  <c r="B3614" i="4"/>
  <c r="B3608" i="4"/>
  <c r="B3602" i="4"/>
  <c r="B3596" i="4"/>
  <c r="B3590" i="4"/>
  <c r="B3584" i="4"/>
  <c r="B3578" i="4"/>
  <c r="B3572" i="4"/>
  <c r="B3772" i="5"/>
  <c r="B3303" i="5"/>
  <c r="B3014" i="5"/>
  <c r="B2830" i="5"/>
  <c r="A2654" i="5"/>
  <c r="B2485" i="5"/>
  <c r="B2323" i="5"/>
  <c r="B2161" i="5"/>
  <c r="B2007" i="5"/>
  <c r="B1897" i="5"/>
  <c r="B1801" i="5"/>
  <c r="B1705" i="5"/>
  <c r="B1609" i="5"/>
  <c r="A1534" i="5"/>
  <c r="A1466" i="5"/>
  <c r="B1410" i="5"/>
  <c r="B1362" i="5"/>
  <c r="A1322" i="5"/>
  <c r="A1284" i="5"/>
  <c r="B1244" i="5"/>
  <c r="B1206" i="5"/>
  <c r="B1167" i="5"/>
  <c r="A1130" i="5"/>
  <c r="B1094" i="5"/>
  <c r="B1065" i="5"/>
  <c r="A1037" i="5"/>
  <c r="A1008" i="5"/>
  <c r="B979" i="5"/>
  <c r="B953" i="5"/>
  <c r="A932" i="5"/>
  <c r="A908" i="5"/>
  <c r="A887" i="5"/>
  <c r="B863" i="5"/>
  <c r="A845" i="5"/>
  <c r="A829" i="5"/>
  <c r="B812" i="5"/>
  <c r="B796" i="5"/>
  <c r="A781" i="5"/>
  <c r="B764" i="5"/>
  <c r="B748" i="5"/>
  <c r="A734" i="5"/>
  <c r="A721" i="5"/>
  <c r="B707" i="5"/>
  <c r="A695" i="5"/>
  <c r="A683" i="5"/>
  <c r="A671" i="5"/>
  <c r="A659" i="5"/>
  <c r="A647" i="5"/>
  <c r="A635" i="5"/>
  <c r="A623" i="5"/>
  <c r="A611" i="5"/>
  <c r="A599" i="5"/>
  <c r="A587" i="5"/>
  <c r="A575" i="5"/>
  <c r="A563" i="5"/>
  <c r="A551" i="5"/>
  <c r="A539" i="5"/>
  <c r="A527" i="5"/>
  <c r="A515" i="5"/>
  <c r="A503" i="5"/>
  <c r="A491" i="5"/>
  <c r="A479" i="5"/>
  <c r="A467" i="5"/>
  <c r="A455" i="5"/>
  <c r="A444" i="5"/>
  <c r="B435" i="5"/>
  <c r="B424" i="5"/>
  <c r="B413" i="5"/>
  <c r="B402" i="5"/>
  <c r="A394" i="5"/>
  <c r="A383" i="5"/>
  <c r="A372" i="5"/>
  <c r="B363" i="5"/>
  <c r="B352" i="5"/>
  <c r="B341" i="5"/>
  <c r="B330" i="5"/>
  <c r="A322" i="5"/>
  <c r="A311" i="5"/>
  <c r="A300" i="5"/>
  <c r="B291" i="5"/>
  <c r="B280" i="5"/>
  <c r="B269" i="5"/>
  <c r="B258" i="5"/>
  <c r="A250" i="5"/>
  <c r="A239" i="5"/>
  <c r="A228" i="5"/>
  <c r="B219" i="5"/>
  <c r="B208" i="5"/>
  <c r="B197" i="5"/>
  <c r="B186" i="5"/>
  <c r="A178" i="5"/>
  <c r="A167" i="5"/>
  <c r="A156" i="5"/>
  <c r="B147" i="5"/>
  <c r="B136" i="5"/>
  <c r="B125" i="5"/>
  <c r="B114" i="5"/>
  <c r="A106" i="5"/>
  <c r="A95" i="5"/>
  <c r="A84" i="5"/>
  <c r="B75" i="5"/>
  <c r="B64" i="5"/>
  <c r="B54" i="5"/>
  <c r="B46" i="5"/>
  <c r="B36" i="5"/>
  <c r="B28" i="5"/>
  <c r="B21" i="5"/>
  <c r="B13" i="5"/>
  <c r="B6" i="5"/>
  <c r="B4449" i="4"/>
  <c r="B4442" i="4"/>
  <c r="B4435" i="4"/>
  <c r="B4428" i="4"/>
  <c r="A4422" i="4"/>
  <c r="B4415" i="4"/>
  <c r="A4409" i="4"/>
  <c r="B4402" i="4"/>
  <c r="A4396" i="4"/>
  <c r="B4389" i="4"/>
  <c r="A4383" i="4"/>
  <c r="B4376" i="4"/>
  <c r="A4370" i="4"/>
  <c r="A4364" i="4"/>
  <c r="A4358" i="4"/>
  <c r="A4352" i="4"/>
  <c r="A4346" i="4"/>
  <c r="A4340" i="4"/>
  <c r="A4334" i="4"/>
  <c r="A4328" i="4"/>
  <c r="A4322" i="4"/>
  <c r="A4316" i="4"/>
  <c r="A4310" i="4"/>
  <c r="A4304" i="4"/>
  <c r="A4298" i="4"/>
  <c r="A4292" i="4"/>
  <c r="A4286" i="4"/>
  <c r="A4280" i="4"/>
  <c r="A4274" i="4"/>
  <c r="A4268" i="4"/>
  <c r="A4262" i="4"/>
  <c r="A4256" i="4"/>
  <c r="A4250" i="4"/>
  <c r="A4244" i="4"/>
  <c r="A4238" i="4"/>
  <c r="A4232" i="4"/>
  <c r="A4226" i="4"/>
  <c r="A4220" i="4"/>
  <c r="A4214" i="4"/>
  <c r="A4208" i="4"/>
  <c r="A4202" i="4"/>
  <c r="A4196" i="4"/>
  <c r="A4190" i="4"/>
  <c r="A4184" i="4"/>
  <c r="A4178" i="4"/>
  <c r="A4172" i="4"/>
  <c r="A4166" i="4"/>
  <c r="A4160" i="4"/>
  <c r="A4154" i="4"/>
  <c r="A4148" i="4"/>
  <c r="A4142" i="4"/>
  <c r="A4136" i="4"/>
  <c r="A4130" i="4"/>
  <c r="A4124" i="4"/>
  <c r="A4118" i="4"/>
  <c r="A4112" i="4"/>
  <c r="A4106" i="4"/>
  <c r="A4100" i="4"/>
  <c r="A4094" i="4"/>
  <c r="A4088" i="4"/>
  <c r="A4082" i="4"/>
  <c r="A4076" i="4"/>
  <c r="A4070" i="4"/>
  <c r="A4064" i="4"/>
  <c r="A4058" i="4"/>
  <c r="A4052" i="4"/>
  <c r="A4046" i="4"/>
  <c r="A4040" i="4"/>
  <c r="A4034" i="4"/>
  <c r="A4028" i="4"/>
  <c r="A4022" i="4"/>
  <c r="A4016" i="4"/>
  <c r="A4010" i="4"/>
  <c r="A4004" i="4"/>
  <c r="A3998" i="4"/>
  <c r="A3992" i="4"/>
  <c r="A3986" i="4"/>
  <c r="A3980" i="4"/>
  <c r="A3974" i="4"/>
  <c r="A3968" i="4"/>
  <c r="A3962" i="4"/>
  <c r="A3956" i="4"/>
  <c r="A3950" i="4"/>
  <c r="A3944" i="4"/>
  <c r="A3938" i="4"/>
  <c r="A3932" i="4"/>
  <c r="A3926" i="4"/>
  <c r="A3920" i="4"/>
  <c r="A3914" i="4"/>
  <c r="A3908" i="4"/>
  <c r="A3902" i="4"/>
  <c r="A3896" i="4"/>
  <c r="A3890" i="4"/>
  <c r="A3884" i="4"/>
  <c r="A3878" i="4"/>
  <c r="A3872" i="4"/>
  <c r="A3866" i="4"/>
  <c r="A3860" i="4"/>
  <c r="A3854" i="4"/>
  <c r="A3848" i="4"/>
  <c r="A3842" i="4"/>
  <c r="A3836" i="4"/>
  <c r="A3830" i="4"/>
  <c r="A3824" i="4"/>
  <c r="A3818" i="4"/>
  <c r="A3812" i="4"/>
  <c r="A3806" i="4"/>
  <c r="A3800" i="4"/>
  <c r="A3794" i="4"/>
  <c r="A3788" i="4"/>
  <c r="A3782" i="4"/>
  <c r="A3776" i="4"/>
  <c r="A3770" i="4"/>
  <c r="A3764" i="4"/>
  <c r="A3758" i="4"/>
  <c r="A3752" i="4"/>
  <c r="A3746" i="4"/>
  <c r="A3740" i="4"/>
  <c r="A3734" i="4"/>
  <c r="A3728" i="4"/>
  <c r="A3722" i="4"/>
  <c r="A3716" i="4"/>
  <c r="A3710" i="4"/>
  <c r="A3704" i="4"/>
  <c r="A3698" i="4"/>
  <c r="A3692" i="4"/>
  <c r="A3686" i="4"/>
  <c r="A3680" i="4"/>
  <c r="A3674" i="4"/>
  <c r="A3668" i="4"/>
  <c r="A3662" i="4"/>
  <c r="A3656" i="4"/>
  <c r="A3650" i="4"/>
  <c r="A3644" i="4"/>
  <c r="A3638" i="4"/>
  <c r="A3632" i="4"/>
  <c r="A3626" i="4"/>
  <c r="A3620" i="4"/>
  <c r="A3614" i="4"/>
  <c r="A3608" i="4"/>
  <c r="A3602" i="4"/>
  <c r="A3596" i="4"/>
  <c r="A3590" i="4"/>
  <c r="A3584" i="4"/>
  <c r="A3578" i="4"/>
  <c r="A3572" i="4"/>
  <c r="A3566" i="4"/>
  <c r="A3560" i="4"/>
  <c r="A3554" i="4"/>
  <c r="A3548" i="4"/>
  <c r="A3542" i="4"/>
  <c r="A3536" i="4"/>
  <c r="A3530" i="4"/>
  <c r="A3524" i="4"/>
  <c r="A3518" i="4"/>
  <c r="A3512" i="4"/>
  <c r="A3506" i="4"/>
  <c r="A3500" i="4"/>
  <c r="A3494" i="4"/>
  <c r="A3488" i="4"/>
  <c r="A3482" i="4"/>
  <c r="A3476" i="4"/>
  <c r="A3470" i="4"/>
  <c r="A3464" i="4"/>
  <c r="A3458" i="4"/>
  <c r="A3452" i="4"/>
  <c r="A3446" i="4"/>
  <c r="A3440" i="4"/>
  <c r="A3434" i="4"/>
  <c r="A3428" i="4"/>
  <c r="A3422" i="4"/>
  <c r="A3416" i="4"/>
  <c r="A3410" i="4"/>
  <c r="A3404" i="4"/>
  <c r="A3398" i="4"/>
  <c r="A3392" i="4"/>
  <c r="A3386" i="4"/>
  <c r="A3767" i="5"/>
  <c r="B3292" i="5"/>
  <c r="B3012" i="5"/>
  <c r="B2829" i="5"/>
  <c r="B2652" i="5"/>
  <c r="B2484" i="5"/>
  <c r="B2322" i="5"/>
  <c r="B2160" i="5"/>
  <c r="B2006" i="5"/>
  <c r="B1896" i="5"/>
  <c r="B1800" i="5"/>
  <c r="A3771" i="5"/>
  <c r="A3138" i="5"/>
  <c r="A2830" i="5"/>
  <c r="B2565" i="5"/>
  <c r="A2323" i="5"/>
  <c r="B2079" i="5"/>
  <c r="A1897" i="5"/>
  <c r="B1753" i="5"/>
  <c r="A1656" i="5"/>
  <c r="A1530" i="5"/>
  <c r="A1436" i="5"/>
  <c r="B1381" i="5"/>
  <c r="B1319" i="5"/>
  <c r="B1263" i="5"/>
  <c r="B1223" i="5"/>
  <c r="B1165" i="5"/>
  <c r="A1111" i="5"/>
  <c r="B1078" i="5"/>
  <c r="B1034" i="5"/>
  <c r="B993" i="5"/>
  <c r="A965" i="5"/>
  <c r="B927" i="5"/>
  <c r="A896" i="5"/>
  <c r="A873" i="5"/>
  <c r="B842" i="5"/>
  <c r="B820" i="5"/>
  <c r="B802" i="5"/>
  <c r="B778" i="5"/>
  <c r="A757" i="5"/>
  <c r="A739" i="5"/>
  <c r="A719" i="5"/>
  <c r="A701" i="5"/>
  <c r="B687" i="5"/>
  <c r="B669" i="5"/>
  <c r="A653" i="5"/>
  <c r="B639" i="5"/>
  <c r="B621" i="5"/>
  <c r="A605" i="5"/>
  <c r="B591" i="5"/>
  <c r="B573" i="5"/>
  <c r="A557" i="5"/>
  <c r="B543" i="5"/>
  <c r="B525" i="5"/>
  <c r="A509" i="5"/>
  <c r="B495" i="5"/>
  <c r="B477" i="5"/>
  <c r="A461" i="5"/>
  <c r="A448" i="5"/>
  <c r="B431" i="5"/>
  <c r="A419" i="5"/>
  <c r="B406" i="5"/>
  <c r="A390" i="5"/>
  <c r="B377" i="5"/>
  <c r="A365" i="5"/>
  <c r="B348" i="5"/>
  <c r="A336" i="5"/>
  <c r="B323" i="5"/>
  <c r="B309" i="5"/>
  <c r="B294" i="5"/>
  <c r="A282" i="5"/>
  <c r="A268" i="5"/>
  <c r="B255" i="5"/>
  <c r="B240" i="5"/>
  <c r="B226" i="5"/>
  <c r="A214" i="5"/>
  <c r="B201" i="5"/>
  <c r="A185" i="5"/>
  <c r="B172" i="5"/>
  <c r="A160" i="5"/>
  <c r="B143" i="5"/>
  <c r="A131" i="5"/>
  <c r="B118" i="5"/>
  <c r="A102" i="5"/>
  <c r="B89" i="5"/>
  <c r="A77" i="5"/>
  <c r="B61" i="5"/>
  <c r="B51" i="5"/>
  <c r="A40" i="5"/>
  <c r="A26" i="5"/>
  <c r="B17" i="5"/>
  <c r="A8" i="5"/>
  <c r="A4448" i="4"/>
  <c r="B4438" i="4"/>
  <c r="B4430" i="4"/>
  <c r="B4420" i="4"/>
  <c r="B4412" i="4"/>
  <c r="A4404" i="4"/>
  <c r="B4394" i="4"/>
  <c r="A4386" i="4"/>
  <c r="A4378" i="4"/>
  <c r="B4368" i="4"/>
  <c r="A4361" i="4"/>
  <c r="B4353" i="4"/>
  <c r="B4344" i="4"/>
  <c r="A4337" i="4"/>
  <c r="B4329" i="4"/>
  <c r="B4320" i="4"/>
  <c r="A4313" i="4"/>
  <c r="B4305" i="4"/>
  <c r="B4296" i="4"/>
  <c r="A4289" i="4"/>
  <c r="B4281" i="4"/>
  <c r="B4272" i="4"/>
  <c r="A4265" i="4"/>
  <c r="B4257" i="4"/>
  <c r="B4248" i="4"/>
  <c r="A4241" i="4"/>
  <c r="B4233" i="4"/>
  <c r="B4224" i="4"/>
  <c r="A4217" i="4"/>
  <c r="B4209" i="4"/>
  <c r="B4200" i="4"/>
  <c r="A4193" i="4"/>
  <c r="B4185" i="4"/>
  <c r="B4176" i="4"/>
  <c r="A4169" i="4"/>
  <c r="B4161" i="4"/>
  <c r="B4152" i="4"/>
  <c r="A4145" i="4"/>
  <c r="B4137" i="4"/>
  <c r="B4128" i="4"/>
  <c r="A4121" i="4"/>
  <c r="B4113" i="4"/>
  <c r="B4104" i="4"/>
  <c r="A4097" i="4"/>
  <c r="B4089" i="4"/>
  <c r="B4080" i="4"/>
  <c r="A4073" i="4"/>
  <c r="B4065" i="4"/>
  <c r="B4056" i="4"/>
  <c r="A4049" i="4"/>
  <c r="B4041" i="4"/>
  <c r="B4032" i="4"/>
  <c r="A4025" i="4"/>
  <c r="B4017" i="4"/>
  <c r="B4008" i="4"/>
  <c r="A4001" i="4"/>
  <c r="B3993" i="4"/>
  <c r="B3984" i="4"/>
  <c r="A3977" i="4"/>
  <c r="B3969" i="4"/>
  <c r="B3960" i="4"/>
  <c r="A3953" i="4"/>
  <c r="B3945" i="4"/>
  <c r="B3936" i="4"/>
  <c r="A3929" i="4"/>
  <c r="B3921" i="4"/>
  <c r="B3912" i="4"/>
  <c r="A3905" i="4"/>
  <c r="B3897" i="4"/>
  <c r="B3888" i="4"/>
  <c r="A3881" i="4"/>
  <c r="B3873" i="4"/>
  <c r="B3864" i="4"/>
  <c r="A3857" i="4"/>
  <c r="B3849" i="4"/>
  <c r="B3840" i="4"/>
  <c r="A3833" i="4"/>
  <c r="B3825" i="4"/>
  <c r="B3816" i="4"/>
  <c r="A3809" i="4"/>
  <c r="B3801" i="4"/>
  <c r="B3792" i="4"/>
  <c r="A3785" i="4"/>
  <c r="B3777" i="4"/>
  <c r="B3768" i="4"/>
  <c r="A3761" i="4"/>
  <c r="B3753" i="4"/>
  <c r="B3744" i="4"/>
  <c r="A3737" i="4"/>
  <c r="B3729" i="4"/>
  <c r="B3720" i="4"/>
  <c r="A3713" i="4"/>
  <c r="B3705" i="4"/>
  <c r="B3696" i="4"/>
  <c r="A3689" i="4"/>
  <c r="B3681" i="4"/>
  <c r="B3672" i="4"/>
  <c r="A3665" i="4"/>
  <c r="B3657" i="4"/>
  <c r="B3648" i="4"/>
  <c r="A3641" i="4"/>
  <c r="B3633" i="4"/>
  <c r="B3624" i="4"/>
  <c r="A3617" i="4"/>
  <c r="B3609" i="4"/>
  <c r="B3600" i="4"/>
  <c r="A3593" i="4"/>
  <c r="B3585" i="4"/>
  <c r="B3576" i="4"/>
  <c r="A3569" i="4"/>
  <c r="A3562" i="4"/>
  <c r="B3554" i="4"/>
  <c r="A3547" i="4"/>
  <c r="A3540" i="4"/>
  <c r="A3533" i="4"/>
  <c r="A3526" i="4"/>
  <c r="B3518" i="4"/>
  <c r="A3511" i="4"/>
  <c r="A3504" i="4"/>
  <c r="A3497" i="4"/>
  <c r="A3490" i="4"/>
  <c r="B3482" i="4"/>
  <c r="A3475" i="4"/>
  <c r="A3468" i="4"/>
  <c r="A3461" i="4"/>
  <c r="A3454" i="4"/>
  <c r="B3446" i="4"/>
  <c r="A3439" i="4"/>
  <c r="A3432" i="4"/>
  <c r="A3425" i="4"/>
  <c r="A3418" i="4"/>
  <c r="B3410" i="4"/>
  <c r="A3403" i="4"/>
  <c r="A3396" i="4"/>
  <c r="A3389" i="4"/>
  <c r="A3382" i="4"/>
  <c r="B3375" i="4"/>
  <c r="B3369" i="4"/>
  <c r="B3363" i="4"/>
  <c r="B3357" i="4"/>
  <c r="B3351" i="4"/>
  <c r="B3345" i="4"/>
  <c r="B3339" i="4"/>
  <c r="B3333" i="4"/>
  <c r="B3327" i="4"/>
  <c r="B3321" i="4"/>
  <c r="B3315" i="4"/>
  <c r="B3309" i="4"/>
  <c r="B3303" i="4"/>
  <c r="B3297" i="4"/>
  <c r="B3291" i="4"/>
  <c r="B3285" i="4"/>
  <c r="B3279" i="4"/>
  <c r="B3273" i="4"/>
  <c r="B3267" i="4"/>
  <c r="B3261" i="4"/>
  <c r="B3255" i="4"/>
  <c r="B3249" i="4"/>
  <c r="B3243" i="4"/>
  <c r="B3237" i="4"/>
  <c r="B3231" i="4"/>
  <c r="B3225" i="4"/>
  <c r="B3219" i="4"/>
  <c r="B3213" i="4"/>
  <c r="B3207" i="4"/>
  <c r="B3201" i="4"/>
  <c r="B3195" i="4"/>
  <c r="B3189" i="4"/>
  <c r="B3183" i="4"/>
  <c r="B3177" i="4"/>
  <c r="B3171" i="4"/>
  <c r="B3165" i="4"/>
  <c r="B3159" i="4"/>
  <c r="B3153" i="4"/>
  <c r="B3147" i="4"/>
  <c r="B3141" i="4"/>
  <c r="B3135" i="4"/>
  <c r="B3129" i="4"/>
  <c r="B3123" i="4"/>
  <c r="B3117" i="4"/>
  <c r="B3111" i="4"/>
  <c r="B3105" i="4"/>
  <c r="B3099" i="4"/>
  <c r="B3093" i="4"/>
  <c r="B3087" i="4"/>
  <c r="B3081" i="4"/>
  <c r="B3075" i="4"/>
  <c r="B3069" i="4"/>
  <c r="B3063" i="4"/>
  <c r="B3057" i="4"/>
  <c r="B3051" i="4"/>
  <c r="B3045" i="4"/>
  <c r="B3039" i="4"/>
  <c r="B3033" i="4"/>
  <c r="B3027" i="4"/>
  <c r="B3021" i="4"/>
  <c r="B3015" i="4"/>
  <c r="B3009" i="4"/>
  <c r="B3003" i="4"/>
  <c r="B2997" i="4"/>
  <c r="B2991" i="4"/>
  <c r="B2985" i="4"/>
  <c r="B2979" i="4"/>
  <c r="B2973" i="4"/>
  <c r="B2967" i="4"/>
  <c r="B2961" i="4"/>
  <c r="B2955" i="4"/>
  <c r="B2949" i="4"/>
  <c r="B2943" i="4"/>
  <c r="B2937" i="4"/>
  <c r="B2931" i="4"/>
  <c r="B2925" i="4"/>
  <c r="B2919" i="4"/>
  <c r="B2913" i="4"/>
  <c r="B2907" i="4"/>
  <c r="B2901" i="4"/>
  <c r="B2895" i="4"/>
  <c r="B2889" i="4"/>
  <c r="B2883" i="4"/>
  <c r="B2877" i="4"/>
  <c r="B2871" i="4"/>
  <c r="B2865" i="4"/>
  <c r="B2859" i="4"/>
  <c r="B2853" i="4"/>
  <c r="B2847" i="4"/>
  <c r="B2841" i="4"/>
  <c r="B2835" i="4"/>
  <c r="B2829" i="4"/>
  <c r="B2823" i="4"/>
  <c r="B2817" i="4"/>
  <c r="B2811" i="4"/>
  <c r="B2805" i="4"/>
  <c r="B2799" i="4"/>
  <c r="B2793" i="4"/>
  <c r="B2787" i="4"/>
  <c r="B2781" i="4"/>
  <c r="B2775" i="4"/>
  <c r="B2769" i="4"/>
  <c r="B2763" i="4"/>
  <c r="B2757" i="4"/>
  <c r="B2751" i="4"/>
  <c r="B2745" i="4"/>
  <c r="B2739" i="4"/>
  <c r="B2733" i="4"/>
  <c r="B2727" i="4"/>
  <c r="B2721" i="4"/>
  <c r="B2715" i="4"/>
  <c r="B2709" i="4"/>
  <c r="B2703" i="4"/>
  <c r="B2697" i="4"/>
  <c r="B2691" i="4"/>
  <c r="B2685" i="4"/>
  <c r="B2679" i="4"/>
  <c r="B2673" i="4"/>
  <c r="B2667" i="4"/>
  <c r="A3766" i="5"/>
  <c r="A3133" i="5"/>
  <c r="A2827" i="5"/>
  <c r="A2565" i="5"/>
  <c r="B2320" i="5"/>
  <c r="A2079" i="5"/>
  <c r="A1896" i="5"/>
  <c r="A1753" i="5"/>
  <c r="A1609" i="5"/>
  <c r="A1513" i="5"/>
  <c r="A1435" i="5"/>
  <c r="B1361" i="5"/>
  <c r="B1309" i="5"/>
  <c r="B1262" i="5"/>
  <c r="A1206" i="5"/>
  <c r="A1157" i="5"/>
  <c r="B1110" i="5"/>
  <c r="B1064" i="5"/>
  <c r="B1027" i="5"/>
  <c r="B992" i="5"/>
  <c r="A953" i="5"/>
  <c r="B921" i="5"/>
  <c r="B895" i="5"/>
  <c r="A863" i="5"/>
  <c r="B838" i="5"/>
  <c r="B819" i="5"/>
  <c r="B795" i="5"/>
  <c r="A775" i="5"/>
  <c r="B756" i="5"/>
  <c r="B733" i="5"/>
  <c r="A716" i="5"/>
  <c r="B700" i="5"/>
  <c r="B682" i="5"/>
  <c r="B666" i="5"/>
  <c r="B652" i="5"/>
  <c r="B634" i="5"/>
  <c r="B618" i="5"/>
  <c r="B604" i="5"/>
  <c r="B586" i="5"/>
  <c r="B570" i="5"/>
  <c r="B556" i="5"/>
  <c r="B538" i="5"/>
  <c r="B522" i="5"/>
  <c r="B508" i="5"/>
  <c r="B490" i="5"/>
  <c r="B474" i="5"/>
  <c r="B460" i="5"/>
  <c r="B443" i="5"/>
  <c r="A431" i="5"/>
  <c r="B418" i="5"/>
  <c r="A402" i="5"/>
  <c r="B389" i="5"/>
  <c r="A377" i="5"/>
  <c r="B360" i="5"/>
  <c r="A348" i="5"/>
  <c r="B335" i="5"/>
  <c r="B321" i="5"/>
  <c r="B306" i="5"/>
  <c r="A294" i="5"/>
  <c r="A280" i="5"/>
  <c r="B267" i="5"/>
  <c r="B252" i="5"/>
  <c r="B238" i="5"/>
  <c r="A226" i="5"/>
  <c r="B213" i="5"/>
  <c r="A197" i="5"/>
  <c r="B184" i="5"/>
  <c r="A172" i="5"/>
  <c r="B155" i="5"/>
  <c r="A143" i="5"/>
  <c r="B130" i="5"/>
  <c r="A114" i="5"/>
  <c r="B101" i="5"/>
  <c r="A89" i="5"/>
  <c r="B72" i="5"/>
  <c r="B60" i="5"/>
  <c r="B49" i="5"/>
  <c r="A36" i="5"/>
  <c r="B25" i="5"/>
  <c r="A17" i="5"/>
  <c r="A6" i="5"/>
  <c r="B4447" i="4"/>
  <c r="A4438" i="4"/>
  <c r="A4428" i="4"/>
  <c r="A4420" i="4"/>
  <c r="A4412" i="4"/>
  <c r="A4402" i="4"/>
  <c r="A4394" i="4"/>
  <c r="B4385" i="4"/>
  <c r="A4376" i="4"/>
  <c r="A4368" i="4"/>
  <c r="B4360" i="4"/>
  <c r="B4351" i="4"/>
  <c r="A4344" i="4"/>
  <c r="B4336" i="4"/>
  <c r="B4327" i="4"/>
  <c r="A4320" i="4"/>
  <c r="B4312" i="4"/>
  <c r="B4303" i="4"/>
  <c r="A4296" i="4"/>
  <c r="B4288" i="4"/>
  <c r="B4279" i="4"/>
  <c r="A4272" i="4"/>
  <c r="B4264" i="4"/>
  <c r="B4255" i="4"/>
  <c r="A4248" i="4"/>
  <c r="B4240" i="4"/>
  <c r="B4231" i="4"/>
  <c r="A4224" i="4"/>
  <c r="B4216" i="4"/>
  <c r="B4207" i="4"/>
  <c r="A4200" i="4"/>
  <c r="B4192" i="4"/>
  <c r="B4183" i="4"/>
  <c r="A4176" i="4"/>
  <c r="B4168" i="4"/>
  <c r="B4159" i="4"/>
  <c r="A4152" i="4"/>
  <c r="B4144" i="4"/>
  <c r="B4135" i="4"/>
  <c r="A4128" i="4"/>
  <c r="B4120" i="4"/>
  <c r="B4111" i="4"/>
  <c r="A4104" i="4"/>
  <c r="B4096" i="4"/>
  <c r="B4087" i="4"/>
  <c r="A4080" i="4"/>
  <c r="B4072" i="4"/>
  <c r="B4063" i="4"/>
  <c r="A4056" i="4"/>
  <c r="B4048" i="4"/>
  <c r="B4039" i="4"/>
  <c r="A4032" i="4"/>
  <c r="B4024" i="4"/>
  <c r="B4015" i="4"/>
  <c r="A4008" i="4"/>
  <c r="B4000" i="4"/>
  <c r="B3991" i="4"/>
  <c r="A3984" i="4"/>
  <c r="B3976" i="4"/>
  <c r="B3967" i="4"/>
  <c r="A3960" i="4"/>
  <c r="B3952" i="4"/>
  <c r="B3943" i="4"/>
  <c r="A3936" i="4"/>
  <c r="B3928" i="4"/>
  <c r="B3919" i="4"/>
  <c r="A3912" i="4"/>
  <c r="B3904" i="4"/>
  <c r="B3895" i="4"/>
  <c r="A3888" i="4"/>
  <c r="B3880" i="4"/>
  <c r="B3871" i="4"/>
  <c r="A3864" i="4"/>
  <c r="B3856" i="4"/>
  <c r="B3847" i="4"/>
  <c r="A3840" i="4"/>
  <c r="B3832" i="4"/>
  <c r="B3823" i="4"/>
  <c r="A3816" i="4"/>
  <c r="B3808" i="4"/>
  <c r="B3799" i="4"/>
  <c r="A3792" i="4"/>
  <c r="B3784" i="4"/>
  <c r="B3775" i="4"/>
  <c r="A3768" i="4"/>
  <c r="B3760" i="4"/>
  <c r="B3751" i="4"/>
  <c r="A3744" i="4"/>
  <c r="B3736" i="4"/>
  <c r="B3727" i="4"/>
  <c r="A3720" i="4"/>
  <c r="B3712" i="4"/>
  <c r="B3703" i="4"/>
  <c r="A3696" i="4"/>
  <c r="B3688" i="4"/>
  <c r="B3679" i="4"/>
  <c r="A3672" i="4"/>
  <c r="B3664" i="4"/>
  <c r="B3655" i="4"/>
  <c r="A3648" i="4"/>
  <c r="B3640" i="4"/>
  <c r="B3631" i="4"/>
  <c r="A3624" i="4"/>
  <c r="B3616" i="4"/>
  <c r="B3607" i="4"/>
  <c r="A3600" i="4"/>
  <c r="B3592" i="4"/>
  <c r="B3583" i="4"/>
  <c r="A3576" i="4"/>
  <c r="B3568" i="4"/>
  <c r="B3561" i="4"/>
  <c r="B3553" i="4"/>
  <c r="B3546" i="4"/>
  <c r="B3539" i="4"/>
  <c r="B3532" i="4"/>
  <c r="B3525" i="4"/>
  <c r="B3517" i="4"/>
  <c r="B3510" i="4"/>
  <c r="B3503" i="4"/>
  <c r="B3496" i="4"/>
  <c r="B3489" i="4"/>
  <c r="B3481" i="4"/>
  <c r="B3474" i="4"/>
  <c r="B3467" i="4"/>
  <c r="B3460" i="4"/>
  <c r="B3453" i="4"/>
  <c r="B3445" i="4"/>
  <c r="B3438" i="4"/>
  <c r="B3431" i="4"/>
  <c r="B3424" i="4"/>
  <c r="B3417" i="4"/>
  <c r="B3409" i="4"/>
  <c r="B3402" i="4"/>
  <c r="B3395" i="4"/>
  <c r="B3388" i="4"/>
  <c r="B3381" i="4"/>
  <c r="A3375" i="4"/>
  <c r="A3369" i="4"/>
  <c r="A3363" i="4"/>
  <c r="A3357" i="4"/>
  <c r="A3351" i="4"/>
  <c r="A3345" i="4"/>
  <c r="A3339" i="4"/>
  <c r="A3333" i="4"/>
  <c r="A3327" i="4"/>
  <c r="A3321" i="4"/>
  <c r="A3315" i="4"/>
  <c r="A3309" i="4"/>
  <c r="A3303" i="4"/>
  <c r="A3297" i="4"/>
  <c r="A3291" i="4"/>
  <c r="A3285" i="4"/>
  <c r="A3279" i="4"/>
  <c r="A3273" i="4"/>
  <c r="A3267" i="4"/>
  <c r="A3261" i="4"/>
  <c r="A3255" i="4"/>
  <c r="A3249" i="4"/>
  <c r="A3243" i="4"/>
  <c r="A3237" i="4"/>
  <c r="A3231" i="4"/>
  <c r="A3225" i="4"/>
  <c r="A3219" i="4"/>
  <c r="A3213" i="4"/>
  <c r="A3207" i="4"/>
  <c r="A3201" i="4"/>
  <c r="A3195" i="4"/>
  <c r="A3189" i="4"/>
  <c r="A3183" i="4"/>
  <c r="A3177" i="4"/>
  <c r="A3171" i="4"/>
  <c r="A3165" i="4"/>
  <c r="A3159" i="4"/>
  <c r="A3153" i="4"/>
  <c r="A3147" i="4"/>
  <c r="A3141" i="4"/>
  <c r="A3135" i="4"/>
  <c r="A3129" i="4"/>
  <c r="A3123" i="4"/>
  <c r="A3117" i="4"/>
  <c r="A3111" i="4"/>
  <c r="A3105" i="4"/>
  <c r="A3099" i="4"/>
  <c r="A3093" i="4"/>
  <c r="A3087" i="4"/>
  <c r="A3081" i="4"/>
  <c r="A3075" i="4"/>
  <c r="A3069" i="4"/>
  <c r="A3063" i="4"/>
  <c r="A3057" i="4"/>
  <c r="A3051" i="4"/>
  <c r="A3045" i="4"/>
  <c r="A3039" i="4"/>
  <c r="A3033" i="4"/>
  <c r="A3027" i="4"/>
  <c r="A3021" i="4"/>
  <c r="A3015" i="4"/>
  <c r="A3009" i="4"/>
  <c r="A3003" i="4"/>
  <c r="A2997" i="4"/>
  <c r="A2991" i="4"/>
  <c r="A2985" i="4"/>
  <c r="A2979" i="4"/>
  <c r="A2973" i="4"/>
  <c r="A2967" i="4"/>
  <c r="A2961" i="4"/>
  <c r="A2955" i="4"/>
  <c r="A2949" i="4"/>
  <c r="A2943" i="4"/>
  <c r="A2937" i="4"/>
  <c r="A2931" i="4"/>
  <c r="A2925" i="4"/>
  <c r="A2919" i="4"/>
  <c r="A2913" i="4"/>
  <c r="A2907" i="4"/>
  <c r="A2901" i="4"/>
  <c r="A2895" i="4"/>
  <c r="A2889" i="4"/>
  <c r="A2883" i="4"/>
  <c r="A2877" i="4"/>
  <c r="A2871" i="4"/>
  <c r="A2865" i="4"/>
  <c r="A2859" i="4"/>
  <c r="A2853" i="4"/>
  <c r="A2847" i="4"/>
  <c r="A2841" i="4"/>
  <c r="A2835" i="4"/>
  <c r="A2829" i="4"/>
  <c r="A2823" i="4"/>
  <c r="A2817" i="4"/>
  <c r="A3515" i="5"/>
  <c r="A3013" i="5"/>
  <c r="A2741" i="5"/>
  <c r="A2485" i="5"/>
  <c r="B2241" i="5"/>
  <c r="A2007" i="5"/>
  <c r="B1849" i="5"/>
  <c r="A1705" i="5"/>
  <c r="A1585" i="5"/>
  <c r="A1498" i="5"/>
  <c r="B1409" i="5"/>
  <c r="A1349" i="5"/>
  <c r="A1302" i="5"/>
  <c r="A1244" i="5"/>
  <c r="A1195" i="5"/>
  <c r="A1148" i="5"/>
  <c r="A1094" i="5"/>
  <c r="B1056" i="5"/>
  <c r="B1021" i="5"/>
  <c r="A979" i="5"/>
  <c r="B945" i="5"/>
  <c r="B919" i="5"/>
  <c r="B886" i="5"/>
  <c r="B856" i="5"/>
  <c r="A836" i="5"/>
  <c r="A812" i="5"/>
  <c r="B790" i="5"/>
  <c r="B771" i="5"/>
  <c r="B747" i="5"/>
  <c r="A729" i="5"/>
  <c r="B713" i="5"/>
  <c r="B694" i="5"/>
  <c r="B678" i="5"/>
  <c r="B664" i="5"/>
  <c r="B646" i="5"/>
  <c r="B630" i="5"/>
  <c r="B616" i="5"/>
  <c r="B598" i="5"/>
  <c r="B582" i="5"/>
  <c r="B568" i="5"/>
  <c r="B550" i="5"/>
  <c r="B534" i="5"/>
  <c r="B520" i="5"/>
  <c r="B502" i="5"/>
  <c r="B486" i="5"/>
  <c r="B472" i="5"/>
  <c r="B454" i="5"/>
  <c r="A442" i="5"/>
  <c r="B429" i="5"/>
  <c r="A413" i="5"/>
  <c r="B400" i="5"/>
  <c r="A388" i="5"/>
  <c r="B371" i="5"/>
  <c r="A359" i="5"/>
  <c r="B346" i="5"/>
  <c r="A330" i="5"/>
  <c r="B317" i="5"/>
  <c r="A305" i="5"/>
  <c r="B288" i="5"/>
  <c r="A276" i="5"/>
  <c r="B263" i="5"/>
  <c r="B249" i="5"/>
  <c r="B234" i="5"/>
  <c r="A222" i="5"/>
  <c r="A208" i="5"/>
  <c r="B195" i="5"/>
  <c r="B180" i="5"/>
  <c r="B166" i="5"/>
  <c r="A154" i="5"/>
  <c r="B141" i="5"/>
  <c r="A125" i="5"/>
  <c r="B112" i="5"/>
  <c r="A100" i="5"/>
  <c r="B83" i="5"/>
  <c r="A71" i="5"/>
  <c r="A59" i="5"/>
  <c r="A46" i="5"/>
  <c r="B34" i="5"/>
  <c r="A24" i="5"/>
  <c r="A13" i="5"/>
  <c r="B4" i="5"/>
  <c r="A4445" i="4"/>
  <c r="B4434" i="4"/>
  <c r="B4426" i="4"/>
  <c r="B4418" i="4"/>
  <c r="B4408" i="4"/>
  <c r="B4400" i="4"/>
  <c r="A4392" i="4"/>
  <c r="B4382" i="4"/>
  <c r="A4374" i="4"/>
  <c r="B4366" i="4"/>
  <c r="B4357" i="4"/>
  <c r="A4350" i="4"/>
  <c r="B4342" i="4"/>
  <c r="B4333" i="4"/>
  <c r="A4326" i="4"/>
  <c r="B4318" i="4"/>
  <c r="B4309" i="4"/>
  <c r="A4302" i="4"/>
  <c r="B4294" i="4"/>
  <c r="B4285" i="4"/>
  <c r="A4278" i="4"/>
  <c r="B4270" i="4"/>
  <c r="B4261" i="4"/>
  <c r="A4254" i="4"/>
  <c r="B4246" i="4"/>
  <c r="B4237" i="4"/>
  <c r="A4230" i="4"/>
  <c r="B4222" i="4"/>
  <c r="B4213" i="4"/>
  <c r="A4206" i="4"/>
  <c r="B4198" i="4"/>
  <c r="B4189" i="4"/>
  <c r="A4182" i="4"/>
  <c r="B4174" i="4"/>
  <c r="B4165" i="4"/>
  <c r="A4158" i="4"/>
  <c r="B4150" i="4"/>
  <c r="B4141" i="4"/>
  <c r="A4134" i="4"/>
  <c r="B4126" i="4"/>
  <c r="B4117" i="4"/>
  <c r="A4110" i="4"/>
  <c r="B4102" i="4"/>
  <c r="B4093" i="4"/>
  <c r="A4086" i="4"/>
  <c r="B4078" i="4"/>
  <c r="B4069" i="4"/>
  <c r="A4062" i="4"/>
  <c r="B4054" i="4"/>
  <c r="B4045" i="4"/>
  <c r="A4038" i="4"/>
  <c r="B4030" i="4"/>
  <c r="B4021" i="4"/>
  <c r="A4014" i="4"/>
  <c r="B4006" i="4"/>
  <c r="B3997" i="4"/>
  <c r="A3990" i="4"/>
  <c r="B3982" i="4"/>
  <c r="B3973" i="4"/>
  <c r="A3966" i="4"/>
  <c r="B3958" i="4"/>
  <c r="B3949" i="4"/>
  <c r="A3942" i="4"/>
  <c r="B3934" i="4"/>
  <c r="B3925" i="4"/>
  <c r="A3918" i="4"/>
  <c r="B3910" i="4"/>
  <c r="B3901" i="4"/>
  <c r="A3894" i="4"/>
  <c r="B3886" i="4"/>
  <c r="B3877" i="4"/>
  <c r="A3870" i="4"/>
  <c r="B3862" i="4"/>
  <c r="B3853" i="4"/>
  <c r="A3846" i="4"/>
  <c r="B3838" i="4"/>
  <c r="B3829" i="4"/>
  <c r="A3822" i="4"/>
  <c r="B3814" i="4"/>
  <c r="B3805" i="4"/>
  <c r="A3798" i="4"/>
  <c r="B3790" i="4"/>
  <c r="B3781" i="4"/>
  <c r="A3774" i="4"/>
  <c r="B3766" i="4"/>
  <c r="B3757" i="4"/>
  <c r="A3750" i="4"/>
  <c r="B3742" i="4"/>
  <c r="B3733" i="4"/>
  <c r="A3726" i="4"/>
  <c r="B3718" i="4"/>
  <c r="B3709" i="4"/>
  <c r="A3702" i="4"/>
  <c r="B3694" i="4"/>
  <c r="B3685" i="4"/>
  <c r="A3678" i="4"/>
  <c r="B3670" i="4"/>
  <c r="B3661" i="4"/>
  <c r="A3654" i="4"/>
  <c r="B3646" i="4"/>
  <c r="B3637" i="4"/>
  <c r="A3630" i="4"/>
  <c r="B3622" i="4"/>
  <c r="B3613" i="4"/>
  <c r="A3606" i="4"/>
  <c r="B3598" i="4"/>
  <c r="B3589" i="4"/>
  <c r="A3582" i="4"/>
  <c r="B3574" i="4"/>
  <c r="B3566" i="4"/>
  <c r="A3559" i="4"/>
  <c r="A3552" i="4"/>
  <c r="A3545" i="4"/>
  <c r="A3538" i="4"/>
  <c r="B3530" i="4"/>
  <c r="A3523" i="4"/>
  <c r="A3516" i="4"/>
  <c r="A3509" i="4"/>
  <c r="A3502" i="4"/>
  <c r="B3494" i="4"/>
  <c r="A3487" i="4"/>
  <c r="A3480" i="4"/>
  <c r="A3473" i="4"/>
  <c r="A3466" i="4"/>
  <c r="B3458" i="4"/>
  <c r="A3451" i="4"/>
  <c r="A3444" i="4"/>
  <c r="A3437" i="4"/>
  <c r="A3430" i="4"/>
  <c r="B3422" i="4"/>
  <c r="A3415" i="4"/>
  <c r="A3408" i="4"/>
  <c r="A3401" i="4"/>
  <c r="A3394" i="4"/>
  <c r="B3386" i="4"/>
  <c r="B3379" i="4"/>
  <c r="B3373" i="4"/>
  <c r="B3367" i="4"/>
  <c r="B3361" i="4"/>
  <c r="B3355" i="4"/>
  <c r="B3349" i="4"/>
  <c r="B3343" i="4"/>
  <c r="B3337" i="4"/>
  <c r="B3331" i="4"/>
  <c r="B3325" i="4"/>
  <c r="B3319" i="4"/>
  <c r="B3313" i="4"/>
  <c r="B3307" i="4"/>
  <c r="B3301" i="4"/>
  <c r="B3295" i="4"/>
  <c r="B3289" i="4"/>
  <c r="B3283" i="4"/>
  <c r="B3277" i="4"/>
  <c r="B3271" i="4"/>
  <c r="B3265" i="4"/>
  <c r="B3259" i="4"/>
  <c r="B3253" i="4"/>
  <c r="B3247" i="4"/>
  <c r="B3241" i="4"/>
  <c r="B3235" i="4"/>
  <c r="B3229" i="4"/>
  <c r="B3223" i="4"/>
  <c r="B3217" i="4"/>
  <c r="B3211" i="4"/>
  <c r="B3205" i="4"/>
  <c r="B3199" i="4"/>
  <c r="B3193" i="4"/>
  <c r="B3187" i="4"/>
  <c r="B3181" i="4"/>
  <c r="B3175" i="4"/>
  <c r="B3169" i="4"/>
  <c r="B3163" i="4"/>
  <c r="B3157" i="4"/>
  <c r="B3151" i="4"/>
  <c r="B3145" i="4"/>
  <c r="B3139" i="4"/>
  <c r="B3133" i="4"/>
  <c r="B3127" i="4"/>
  <c r="B3121" i="4"/>
  <c r="B3115" i="4"/>
  <c r="B3109" i="4"/>
  <c r="B3103" i="4"/>
  <c r="B3097" i="4"/>
  <c r="B3091" i="4"/>
  <c r="B3085" i="4"/>
  <c r="B3079" i="4"/>
  <c r="B3073" i="4"/>
  <c r="B3067" i="4"/>
  <c r="B3061" i="4"/>
  <c r="B3055" i="4"/>
  <c r="B3049" i="4"/>
  <c r="B3043" i="4"/>
  <c r="B3037" i="4"/>
  <c r="B3031" i="4"/>
  <c r="B3025" i="4"/>
  <c r="B3019" i="4"/>
  <c r="B3013" i="4"/>
  <c r="B3007" i="4"/>
  <c r="B3001" i="4"/>
  <c r="B2995" i="4"/>
  <c r="B2989" i="4"/>
  <c r="B2983" i="4"/>
  <c r="B2977" i="4"/>
  <c r="A3514" i="5"/>
  <c r="B3010" i="5"/>
  <c r="B2740" i="5"/>
  <c r="B2482" i="5"/>
  <c r="A2241" i="5"/>
  <c r="A2006" i="5"/>
  <c r="A1849" i="5"/>
  <c r="B1704" i="5"/>
  <c r="A1571" i="5"/>
  <c r="A1497" i="5"/>
  <c r="B1407" i="5"/>
  <c r="B1341" i="5"/>
  <c r="B1301" i="5"/>
  <c r="B1243" i="5"/>
  <c r="B1188" i="5"/>
  <c r="B1147" i="5"/>
  <c r="B1093" i="5"/>
  <c r="B1051" i="5"/>
  <c r="A1021" i="5"/>
  <c r="B978" i="5"/>
  <c r="A942" i="5"/>
  <c r="A919" i="5"/>
  <c r="A883" i="5"/>
  <c r="A855" i="5"/>
  <c r="B835" i="5"/>
  <c r="B811" i="5"/>
  <c r="A789" i="5"/>
  <c r="A771" i="5"/>
  <c r="A747" i="5"/>
  <c r="A728" i="5"/>
  <c r="A713" i="5"/>
  <c r="A694" i="5"/>
  <c r="B677" i="5"/>
  <c r="A664" i="5"/>
  <c r="A646" i="5"/>
  <c r="B629" i="5"/>
  <c r="A616" i="5"/>
  <c r="A598" i="5"/>
  <c r="B581" i="5"/>
  <c r="A568" i="5"/>
  <c r="A550" i="5"/>
  <c r="B533" i="5"/>
  <c r="A520" i="5"/>
  <c r="A502" i="5"/>
  <c r="B485" i="5"/>
  <c r="A472" i="5"/>
  <c r="A454" i="5"/>
  <c r="B441" i="5"/>
  <c r="B426" i="5"/>
  <c r="B412" i="5"/>
  <c r="A400" i="5"/>
  <c r="B387" i="5"/>
  <c r="A371" i="5"/>
  <c r="B358" i="5"/>
  <c r="A346" i="5"/>
  <c r="B329" i="5"/>
  <c r="A317" i="5"/>
  <c r="B304" i="5"/>
  <c r="A288" i="5"/>
  <c r="B275" i="5"/>
  <c r="A263" i="5"/>
  <c r="B246" i="5"/>
  <c r="A234" i="5"/>
  <c r="B221" i="5"/>
  <c r="B207" i="5"/>
  <c r="B192" i="5"/>
  <c r="A180" i="5"/>
  <c r="A166" i="5"/>
  <c r="B153" i="5"/>
  <c r="B138" i="5"/>
  <c r="B124" i="5"/>
  <c r="A112" i="5"/>
  <c r="B99" i="5"/>
  <c r="A83" i="5"/>
  <c r="B70" i="5"/>
  <c r="B58" i="5"/>
  <c r="B45" i="5"/>
  <c r="A34" i="5"/>
  <c r="B23" i="5"/>
  <c r="B12" i="5"/>
  <c r="A4" i="5"/>
  <c r="B4444" i="4"/>
  <c r="A4434" i="4"/>
  <c r="A4426" i="4"/>
  <c r="A4418" i="4"/>
  <c r="A4408" i="4"/>
  <c r="A4400" i="4"/>
  <c r="B4391" i="4"/>
  <c r="A4382" i="4"/>
  <c r="B4373" i="4"/>
  <c r="A4366" i="4"/>
  <c r="A4357" i="4"/>
  <c r="B4349" i="4"/>
  <c r="A4342" i="4"/>
  <c r="A4333" i="4"/>
  <c r="B4325" i="4"/>
  <c r="A4318" i="4"/>
  <c r="A4309" i="4"/>
  <c r="B4301" i="4"/>
  <c r="A4294" i="4"/>
  <c r="A4285" i="4"/>
  <c r="B4277" i="4"/>
  <c r="A4270" i="4"/>
  <c r="A4261" i="4"/>
  <c r="B4253" i="4"/>
  <c r="A4246" i="4"/>
  <c r="A4237" i="4"/>
  <c r="B4229" i="4"/>
  <c r="A4222" i="4"/>
  <c r="A4213" i="4"/>
  <c r="B4205" i="4"/>
  <c r="A4198" i="4"/>
  <c r="A4189" i="4"/>
  <c r="B4181" i="4"/>
  <c r="A4174" i="4"/>
  <c r="A4165" i="4"/>
  <c r="B4157" i="4"/>
  <c r="A4150" i="4"/>
  <c r="A4141" i="4"/>
  <c r="B4133" i="4"/>
  <c r="A4126" i="4"/>
  <c r="A4117" i="4"/>
  <c r="B4109" i="4"/>
  <c r="A4102" i="4"/>
  <c r="A4093" i="4"/>
  <c r="B4085" i="4"/>
  <c r="A4078" i="4"/>
  <c r="A4069" i="4"/>
  <c r="B4061" i="4"/>
  <c r="A4054" i="4"/>
  <c r="A4045" i="4"/>
  <c r="B4037" i="4"/>
  <c r="A4030" i="4"/>
  <c r="A4021" i="4"/>
  <c r="B4013" i="4"/>
  <c r="A4006" i="4"/>
  <c r="A3997" i="4"/>
  <c r="B3989" i="4"/>
  <c r="A3982" i="4"/>
  <c r="A3973" i="4"/>
  <c r="B3965" i="4"/>
  <c r="A3958" i="4"/>
  <c r="A3949" i="4"/>
  <c r="B3941" i="4"/>
  <c r="A3934" i="4"/>
  <c r="A3925" i="4"/>
  <c r="B3917" i="4"/>
  <c r="A3910" i="4"/>
  <c r="A3901" i="4"/>
  <c r="B3893" i="4"/>
  <c r="A3886" i="4"/>
  <c r="A3877" i="4"/>
  <c r="B3869" i="4"/>
  <c r="A3862" i="4"/>
  <c r="A3853" i="4"/>
  <c r="B3845" i="4"/>
  <c r="A3838" i="4"/>
  <c r="A3829" i="4"/>
  <c r="B3821" i="4"/>
  <c r="A3814" i="4"/>
  <c r="A3805" i="4"/>
  <c r="B3797" i="4"/>
  <c r="A3790" i="4"/>
  <c r="A3781" i="4"/>
  <c r="B3773" i="4"/>
  <c r="A3766" i="4"/>
  <c r="A3757" i="4"/>
  <c r="B3749" i="4"/>
  <c r="A3742" i="4"/>
  <c r="A3733" i="4"/>
  <c r="B3725" i="4"/>
  <c r="A3718" i="4"/>
  <c r="A3709" i="4"/>
  <c r="B3701" i="4"/>
  <c r="A3694" i="4"/>
  <c r="A3685" i="4"/>
  <c r="B3677" i="4"/>
  <c r="A3670" i="4"/>
  <c r="A3661" i="4"/>
  <c r="B3653" i="4"/>
  <c r="A3646" i="4"/>
  <c r="A3637" i="4"/>
  <c r="B3629" i="4"/>
  <c r="A3622" i="4"/>
  <c r="A3613" i="4"/>
  <c r="B3605" i="4"/>
  <c r="A3598" i="4"/>
  <c r="A3589" i="4"/>
  <c r="B3581" i="4"/>
  <c r="A3574" i="4"/>
  <c r="B3565" i="4"/>
  <c r="B3558" i="4"/>
  <c r="B3551" i="4"/>
  <c r="B3544" i="4"/>
  <c r="B3537" i="4"/>
  <c r="B3529" i="4"/>
  <c r="B3522" i="4"/>
  <c r="B3515" i="4"/>
  <c r="B3508" i="4"/>
  <c r="B3501" i="4"/>
  <c r="B3493" i="4"/>
  <c r="B3486" i="4"/>
  <c r="B3479" i="4"/>
  <c r="B3472" i="4"/>
  <c r="B3465" i="4"/>
  <c r="B3457" i="4"/>
  <c r="B3450" i="4"/>
  <c r="B3443" i="4"/>
  <c r="B3436" i="4"/>
  <c r="B3429" i="4"/>
  <c r="B3421" i="4"/>
  <c r="B3414" i="4"/>
  <c r="B3407" i="4"/>
  <c r="B3400" i="4"/>
  <c r="B3393" i="4"/>
  <c r="B3385" i="4"/>
  <c r="A3379" i="4"/>
  <c r="A3373" i="4"/>
  <c r="A3367" i="4"/>
  <c r="A3361" i="4"/>
  <c r="A3355" i="4"/>
  <c r="A3349" i="4"/>
  <c r="A3343" i="4"/>
  <c r="A3337" i="4"/>
  <c r="A3331" i="4"/>
  <c r="A3325" i="4"/>
  <c r="A3319" i="4"/>
  <c r="A3313" i="4"/>
  <c r="A3307" i="4"/>
  <c r="A3301" i="4"/>
  <c r="A3295" i="4"/>
  <c r="A3289" i="4"/>
  <c r="A3283" i="4"/>
  <c r="A3277" i="4"/>
  <c r="A3271" i="4"/>
  <c r="A3265" i="4"/>
  <c r="A3259" i="4"/>
  <c r="A3253" i="4"/>
  <c r="A3247" i="4"/>
  <c r="A3241" i="4"/>
  <c r="A3235" i="4"/>
  <c r="A3229" i="4"/>
  <c r="A3223" i="4"/>
  <c r="A3217" i="4"/>
  <c r="A3211" i="4"/>
  <c r="A3205" i="4"/>
  <c r="A3199" i="4"/>
  <c r="A3193" i="4"/>
  <c r="A3187" i="4"/>
  <c r="A3181" i="4"/>
  <c r="A3175" i="4"/>
  <c r="A3169" i="4"/>
  <c r="A3163" i="4"/>
  <c r="A3157" i="4"/>
  <c r="A3151" i="4"/>
  <c r="A3617" i="5"/>
  <c r="A2918" i="5"/>
  <c r="B2564" i="5"/>
  <c r="A2161" i="5"/>
  <c r="A1872" i="5"/>
  <c r="A1658" i="5"/>
  <c r="A1504" i="5"/>
  <c r="A1387" i="5"/>
  <c r="A1303" i="5"/>
  <c r="B1226" i="5"/>
  <c r="B1149" i="5"/>
  <c r="B1080" i="5"/>
  <c r="B1022" i="5"/>
  <c r="A967" i="5"/>
  <c r="B920" i="5"/>
  <c r="B875" i="5"/>
  <c r="A837" i="5"/>
  <c r="B805" i="5"/>
  <c r="A773" i="5"/>
  <c r="A741" i="5"/>
  <c r="A715" i="5"/>
  <c r="B689" i="5"/>
  <c r="B665" i="5"/>
  <c r="B641" i="5"/>
  <c r="B617" i="5"/>
  <c r="B593" i="5"/>
  <c r="B569" i="5"/>
  <c r="B545" i="5"/>
  <c r="B521" i="5"/>
  <c r="B497" i="5"/>
  <c r="B473" i="5"/>
  <c r="A450" i="5"/>
  <c r="B430" i="5"/>
  <c r="B408" i="5"/>
  <c r="A389" i="5"/>
  <c r="B369" i="5"/>
  <c r="B347" i="5"/>
  <c r="A328" i="5"/>
  <c r="A306" i="5"/>
  <c r="B286" i="5"/>
  <c r="B264" i="5"/>
  <c r="A245" i="5"/>
  <c r="B225" i="5"/>
  <c r="B203" i="5"/>
  <c r="A184" i="5"/>
  <c r="A162" i="5"/>
  <c r="B142" i="5"/>
  <c r="B120" i="5"/>
  <c r="A101" i="5"/>
  <c r="B81" i="5"/>
  <c r="A3513" i="5"/>
  <c r="B2916" i="5"/>
  <c r="B2442" i="5"/>
  <c r="B2118" i="5"/>
  <c r="B1848" i="5"/>
  <c r="A1657" i="5"/>
  <c r="B1496" i="5"/>
  <c r="B1385" i="5"/>
  <c r="A1301" i="5"/>
  <c r="A1225" i="5"/>
  <c r="A1147" i="5"/>
  <c r="B1079" i="5"/>
  <c r="B1020" i="5"/>
  <c r="A966" i="5"/>
  <c r="B915" i="5"/>
  <c r="B874" i="5"/>
  <c r="A835" i="5"/>
  <c r="B804" i="5"/>
  <c r="B770" i="5"/>
  <c r="A740" i="5"/>
  <c r="B712" i="5"/>
  <c r="B688" i="5"/>
  <c r="B663" i="5"/>
  <c r="B640" i="5"/>
  <c r="B615" i="5"/>
  <c r="B592" i="5"/>
  <c r="B567" i="5"/>
  <c r="B544" i="5"/>
  <c r="B519" i="5"/>
  <c r="B496" i="5"/>
  <c r="B471" i="5"/>
  <c r="A449" i="5"/>
  <c r="A426" i="5"/>
  <c r="B407" i="5"/>
  <c r="B384" i="5"/>
  <c r="A366" i="5"/>
  <c r="B345" i="5"/>
  <c r="B324" i="5"/>
  <c r="A304" i="5"/>
  <c r="B285" i="5"/>
  <c r="B262" i="5"/>
  <c r="A244" i="5"/>
  <c r="A221" i="5"/>
  <c r="B202" i="5"/>
  <c r="B179" i="5"/>
  <c r="A161" i="5"/>
  <c r="A138" i="5"/>
  <c r="B119" i="5"/>
  <c r="B96" i="5"/>
  <c r="A78" i="5"/>
  <c r="A58" i="5"/>
  <c r="A41" i="5"/>
  <c r="A23" i="5"/>
  <c r="A10" i="5"/>
  <c r="A4444" i="4"/>
  <c r="B4431" i="4"/>
  <c r="B4417" i="4"/>
  <c r="B4405" i="4"/>
  <c r="A4391" i="4"/>
  <c r="A4379" i="4"/>
  <c r="B4365" i="4"/>
  <c r="B4354" i="4"/>
  <c r="B4341" i="4"/>
  <c r="B4330" i="4"/>
  <c r="B4317" i="4"/>
  <c r="B4306" i="4"/>
  <c r="B4293" i="4"/>
  <c r="B4282" i="4"/>
  <c r="B4269" i="4"/>
  <c r="B4258" i="4"/>
  <c r="B4245" i="4"/>
  <c r="B4234" i="4"/>
  <c r="B4221" i="4"/>
  <c r="B4210" i="4"/>
  <c r="B4197" i="4"/>
  <c r="B4186" i="4"/>
  <c r="B4173" i="4"/>
  <c r="B4162" i="4"/>
  <c r="B4149" i="4"/>
  <c r="B4138" i="4"/>
  <c r="B4125" i="4"/>
  <c r="B4114" i="4"/>
  <c r="B4101" i="4"/>
  <c r="B4090" i="4"/>
  <c r="B4077" i="4"/>
  <c r="B4066" i="4"/>
  <c r="B4053" i="4"/>
  <c r="B4042" i="4"/>
  <c r="B4029" i="4"/>
  <c r="B4018" i="4"/>
  <c r="B4005" i="4"/>
  <c r="B3994" i="4"/>
  <c r="B3981" i="4"/>
  <c r="B3970" i="4"/>
  <c r="B3957" i="4"/>
  <c r="B3946" i="4"/>
  <c r="B3933" i="4"/>
  <c r="B3922" i="4"/>
  <c r="B3909" i="4"/>
  <c r="B3898" i="4"/>
  <c r="B3885" i="4"/>
  <c r="B3874" i="4"/>
  <c r="B3861" i="4"/>
  <c r="B3850" i="4"/>
  <c r="B3837" i="4"/>
  <c r="B3826" i="4"/>
  <c r="B3813" i="4"/>
  <c r="B3802" i="4"/>
  <c r="B3789" i="4"/>
  <c r="B3778" i="4"/>
  <c r="B3765" i="4"/>
  <c r="B3754" i="4"/>
  <c r="B3741" i="4"/>
  <c r="B3730" i="4"/>
  <c r="B3717" i="4"/>
  <c r="B3706" i="4"/>
  <c r="B3693" i="4"/>
  <c r="B3682" i="4"/>
  <c r="B3669" i="4"/>
  <c r="B3658" i="4"/>
  <c r="B3645" i="4"/>
  <c r="B3634" i="4"/>
  <c r="B3621" i="4"/>
  <c r="B3610" i="4"/>
  <c r="B3597" i="4"/>
  <c r="B3586" i="4"/>
  <c r="B3573" i="4"/>
  <c r="A3563" i="4"/>
  <c r="A3551" i="4"/>
  <c r="A3541" i="4"/>
  <c r="A3529" i="4"/>
  <c r="A3520" i="4"/>
  <c r="A3508" i="4"/>
  <c r="A3498" i="4"/>
  <c r="A3486" i="4"/>
  <c r="B3476" i="4"/>
  <c r="B3464" i="4"/>
  <c r="A3455" i="4"/>
  <c r="A3443" i="4"/>
  <c r="A3433" i="4"/>
  <c r="A3421" i="4"/>
  <c r="A3412" i="4"/>
  <c r="A3400" i="4"/>
  <c r="A3390" i="4"/>
  <c r="B3378" i="4"/>
  <c r="B3370" i="4"/>
  <c r="B3360" i="4"/>
  <c r="B3352" i="4"/>
  <c r="B3342" i="4"/>
  <c r="B3334" i="4"/>
  <c r="B3324" i="4"/>
  <c r="B3316" i="4"/>
  <c r="B3306" i="4"/>
  <c r="B3298" i="4"/>
  <c r="B3288" i="4"/>
  <c r="B3280" i="4"/>
  <c r="B3270" i="4"/>
  <c r="B3262" i="4"/>
  <c r="B3252" i="4"/>
  <c r="B3244" i="4"/>
  <c r="B3234" i="4"/>
  <c r="B3226" i="4"/>
  <c r="B3216" i="4"/>
  <c r="B3208" i="4"/>
  <c r="B3198" i="4"/>
  <c r="B3190" i="4"/>
  <c r="B3180" i="4"/>
  <c r="B3172" i="4"/>
  <c r="B3162" i="4"/>
  <c r="B3154" i="4"/>
  <c r="A3145" i="4"/>
  <c r="B3137" i="4"/>
  <c r="A3130" i="4"/>
  <c r="A3121" i="4"/>
  <c r="B3113" i="4"/>
  <c r="A3106" i="4"/>
  <c r="A3097" i="4"/>
  <c r="B3089" i="4"/>
  <c r="A3082" i="4"/>
  <c r="A3073" i="4"/>
  <c r="B3065" i="4"/>
  <c r="A3058" i="4"/>
  <c r="A3049" i="4"/>
  <c r="B3041" i="4"/>
  <c r="A3034" i="4"/>
  <c r="A3025" i="4"/>
  <c r="B3017" i="4"/>
  <c r="A3010" i="4"/>
  <c r="A3001" i="4"/>
  <c r="B2993" i="4"/>
  <c r="A2986" i="4"/>
  <c r="A2977" i="4"/>
  <c r="A2970" i="4"/>
  <c r="A2963" i="4"/>
  <c r="A2956" i="4"/>
  <c r="A2948" i="4"/>
  <c r="A2941" i="4"/>
  <c r="A2934" i="4"/>
  <c r="A2927" i="4"/>
  <c r="A2920" i="4"/>
  <c r="A2912" i="4"/>
  <c r="A2905" i="4"/>
  <c r="A2898" i="4"/>
  <c r="A2891" i="4"/>
  <c r="A2884" i="4"/>
  <c r="A2876" i="4"/>
  <c r="A2869" i="4"/>
  <c r="A2862" i="4"/>
  <c r="A2855" i="4"/>
  <c r="A2848" i="4"/>
  <c r="A2840" i="4"/>
  <c r="A2833" i="4"/>
  <c r="A2826" i="4"/>
  <c r="A2819" i="4"/>
  <c r="A2812" i="4"/>
  <c r="A2805" i="4"/>
  <c r="B2798" i="4"/>
  <c r="A2792" i="4"/>
  <c r="B2785" i="4"/>
  <c r="A2779" i="4"/>
  <c r="B2772" i="4"/>
  <c r="A2766" i="4"/>
  <c r="B2759" i="4"/>
  <c r="A2753" i="4"/>
  <c r="B2746" i="4"/>
  <c r="A2740" i="4"/>
  <c r="A2733" i="4"/>
  <c r="B2726" i="4"/>
  <c r="A2720" i="4"/>
  <c r="B2713" i="4"/>
  <c r="A2707" i="4"/>
  <c r="B2700" i="4"/>
  <c r="A2694" i="4"/>
  <c r="B2687" i="4"/>
  <c r="A2681" i="4"/>
  <c r="B2674" i="4"/>
  <c r="A2668" i="4"/>
  <c r="B2661" i="4"/>
  <c r="B2655" i="4"/>
  <c r="B2649" i="4"/>
  <c r="B2643" i="4"/>
  <c r="B2637" i="4"/>
  <c r="B2631" i="4"/>
  <c r="B2625" i="4"/>
  <c r="B2619" i="4"/>
  <c r="B2613" i="4"/>
  <c r="B2607" i="4"/>
  <c r="B2601" i="4"/>
  <c r="B2595" i="4"/>
  <c r="B2589" i="4"/>
  <c r="B2583" i="4"/>
  <c r="B2577" i="4"/>
  <c r="B2571" i="4"/>
  <c r="B2565" i="4"/>
  <c r="B2559" i="4"/>
  <c r="B2553" i="4"/>
  <c r="B2547" i="4"/>
  <c r="B2541" i="4"/>
  <c r="B2535" i="4"/>
  <c r="B2529" i="4"/>
  <c r="B2523" i="4"/>
  <c r="B2517" i="4"/>
  <c r="B2511" i="4"/>
  <c r="B2505" i="4"/>
  <c r="B2499" i="4"/>
  <c r="B2493" i="4"/>
  <c r="B2487" i="4"/>
  <c r="B2481" i="4"/>
  <c r="B2475" i="4"/>
  <c r="B2469" i="4"/>
  <c r="B2463" i="4"/>
  <c r="B2457" i="4"/>
  <c r="B2451" i="4"/>
  <c r="B2445" i="4"/>
  <c r="B2439" i="4"/>
  <c r="B2433" i="4"/>
  <c r="B2427" i="4"/>
  <c r="B2421" i="4"/>
  <c r="B2415" i="4"/>
  <c r="B2409" i="4"/>
  <c r="B2403" i="4"/>
  <c r="B2397" i="4"/>
  <c r="B2391" i="4"/>
  <c r="B2385" i="4"/>
  <c r="B2379" i="4"/>
  <c r="B2373" i="4"/>
  <c r="B2367" i="4"/>
  <c r="B2361" i="4"/>
  <c r="B2355" i="4"/>
  <c r="B2349" i="4"/>
  <c r="B2343" i="4"/>
  <c r="B2337" i="4"/>
  <c r="B2331" i="4"/>
  <c r="B2325" i="4"/>
  <c r="B2319" i="4"/>
  <c r="B2313" i="4"/>
  <c r="B2307" i="4"/>
  <c r="B2301" i="4"/>
  <c r="B2295" i="4"/>
  <c r="B2289" i="4"/>
  <c r="B2283" i="4"/>
  <c r="B2277" i="4"/>
  <c r="B2271" i="4"/>
  <c r="B2265" i="4"/>
  <c r="B2259" i="4"/>
  <c r="B2253" i="4"/>
  <c r="B2247" i="4"/>
  <c r="B2241" i="4"/>
  <c r="B2235" i="4"/>
  <c r="B2229" i="4"/>
  <c r="B2223" i="4"/>
  <c r="B2217" i="4"/>
  <c r="B2211" i="4"/>
  <c r="B2205" i="4"/>
  <c r="B2199" i="4"/>
  <c r="B2193" i="4"/>
  <c r="B2187" i="4"/>
  <c r="B2181" i="4"/>
  <c r="B2175" i="4"/>
  <c r="B2169" i="4"/>
  <c r="B2163" i="4"/>
  <c r="B2157" i="4"/>
  <c r="B2151" i="4"/>
  <c r="B2145" i="4"/>
  <c r="B2139" i="4"/>
  <c r="B2133" i="4"/>
  <c r="B2127" i="4"/>
  <c r="B2121" i="4"/>
  <c r="B2115" i="4"/>
  <c r="B2109" i="4"/>
  <c r="B2103" i="4"/>
  <c r="B2097" i="4"/>
  <c r="B2091" i="4"/>
  <c r="A3293" i="5"/>
  <c r="B2783" i="5"/>
  <c r="B2403" i="5"/>
  <c r="B2078" i="5"/>
  <c r="A1801" i="5"/>
  <c r="B1608" i="5"/>
  <c r="A1465" i="5"/>
  <c r="B1359" i="5"/>
  <c r="A1283" i="5"/>
  <c r="B1205" i="5"/>
  <c r="A1128" i="5"/>
  <c r="A1064" i="5"/>
  <c r="A1007" i="5"/>
  <c r="B952" i="5"/>
  <c r="A907" i="5"/>
  <c r="B862" i="5"/>
  <c r="A827" i="5"/>
  <c r="A795" i="5"/>
  <c r="B763" i="5"/>
  <c r="A733" i="5"/>
  <c r="B706" i="5"/>
  <c r="A682" i="5"/>
  <c r="A658" i="5"/>
  <c r="A634" i="5"/>
  <c r="A610" i="5"/>
  <c r="A586" i="5"/>
  <c r="A562" i="5"/>
  <c r="A538" i="5"/>
  <c r="A514" i="5"/>
  <c r="A490" i="5"/>
  <c r="A466" i="5"/>
  <c r="A443" i="5"/>
  <c r="B423" i="5"/>
  <c r="B401" i="5"/>
  <c r="A382" i="5"/>
  <c r="A360" i="5"/>
  <c r="B340" i="5"/>
  <c r="B318" i="5"/>
  <c r="A299" i="5"/>
  <c r="B279" i="5"/>
  <c r="B257" i="5"/>
  <c r="A238" i="5"/>
  <c r="A216" i="5"/>
  <c r="B196" i="5"/>
  <c r="B174" i="5"/>
  <c r="A155" i="5"/>
  <c r="B135" i="5"/>
  <c r="B113" i="5"/>
  <c r="A94" i="5"/>
  <c r="A72" i="5"/>
  <c r="B53" i="5"/>
  <c r="B35" i="5"/>
  <c r="B19" i="5"/>
  <c r="B5" i="5"/>
  <c r="B4441" i="4"/>
  <c r="B4427" i="4"/>
  <c r="B4414" i="4"/>
  <c r="B4401" i="4"/>
  <c r="B4388" i="4"/>
  <c r="B4375" i="4"/>
  <c r="A4363" i="4"/>
  <c r="A4351" i="4"/>
  <c r="A4339" i="4"/>
  <c r="A4327" i="4"/>
  <c r="A4315" i="4"/>
  <c r="A4303" i="4"/>
  <c r="A4291" i="4"/>
  <c r="A4279" i="4"/>
  <c r="A4267" i="4"/>
  <c r="A4255" i="4"/>
  <c r="A4243" i="4"/>
  <c r="A4231" i="4"/>
  <c r="A4219" i="4"/>
  <c r="A4207" i="4"/>
  <c r="A4195" i="4"/>
  <c r="A4183" i="4"/>
  <c r="A4171" i="4"/>
  <c r="A4159" i="4"/>
  <c r="A4147" i="4"/>
  <c r="A4135" i="4"/>
  <c r="A4123" i="4"/>
  <c r="A4111" i="4"/>
  <c r="A4099" i="4"/>
  <c r="A4087" i="4"/>
  <c r="A4075" i="4"/>
  <c r="A4063" i="4"/>
  <c r="A4051" i="4"/>
  <c r="A4039" i="4"/>
  <c r="A4027" i="4"/>
  <c r="A4015" i="4"/>
  <c r="A4003" i="4"/>
  <c r="A3991" i="4"/>
  <c r="A3979" i="4"/>
  <c r="A3967" i="4"/>
  <c r="A3955" i="4"/>
  <c r="A3943" i="4"/>
  <c r="A3931" i="4"/>
  <c r="A3919" i="4"/>
  <c r="A3907" i="4"/>
  <c r="A3895" i="4"/>
  <c r="A3883" i="4"/>
  <c r="A3871" i="4"/>
  <c r="A3859" i="4"/>
  <c r="A3847" i="4"/>
  <c r="A3835" i="4"/>
  <c r="A3823" i="4"/>
  <c r="A3811" i="4"/>
  <c r="A3799" i="4"/>
  <c r="A3787" i="4"/>
  <c r="A3775" i="4"/>
  <c r="A3763" i="4"/>
  <c r="A3751" i="4"/>
  <c r="A3739" i="4"/>
  <c r="A3727" i="4"/>
  <c r="A3715" i="4"/>
  <c r="A3703" i="4"/>
  <c r="A3691" i="4"/>
  <c r="A3679" i="4"/>
  <c r="A3667" i="4"/>
  <c r="A3655" i="4"/>
  <c r="A3643" i="4"/>
  <c r="A3631" i="4"/>
  <c r="A3619" i="4"/>
  <c r="A3607" i="4"/>
  <c r="A3595" i="4"/>
  <c r="A3583" i="4"/>
  <c r="A3571" i="4"/>
  <c r="B3560" i="4"/>
  <c r="A3550" i="4"/>
  <c r="A3539" i="4"/>
  <c r="A3528" i="4"/>
  <c r="A3517" i="4"/>
  <c r="B3506" i="4"/>
  <c r="A3496" i="4"/>
  <c r="A3485" i="4"/>
  <c r="A3474" i="4"/>
  <c r="A3463" i="4"/>
  <c r="B3452" i="4"/>
  <c r="A3442" i="4"/>
  <c r="A3431" i="4"/>
  <c r="A3420" i="4"/>
  <c r="A3409" i="4"/>
  <c r="B3398" i="4"/>
  <c r="A3388" i="4"/>
  <c r="B3377" i="4"/>
  <c r="B3368" i="4"/>
  <c r="B3359" i="4"/>
  <c r="B3350" i="4"/>
  <c r="B3341" i="4"/>
  <c r="B3332" i="4"/>
  <c r="B3323" i="4"/>
  <c r="B3314" i="4"/>
  <c r="B3305" i="4"/>
  <c r="B3296" i="4"/>
  <c r="B3287" i="4"/>
  <c r="B3278" i="4"/>
  <c r="B3269" i="4"/>
  <c r="B3260" i="4"/>
  <c r="B3251" i="4"/>
  <c r="B3242" i="4"/>
  <c r="B3233" i="4"/>
  <c r="B3224" i="4"/>
  <c r="B3215" i="4"/>
  <c r="B3206" i="4"/>
  <c r="B3197" i="4"/>
  <c r="B3188" i="4"/>
  <c r="B3179" i="4"/>
  <c r="B3170" i="4"/>
  <c r="B3161" i="4"/>
  <c r="B3152" i="4"/>
  <c r="A3144" i="4"/>
  <c r="B3136" i="4"/>
  <c r="A3128" i="4"/>
  <c r="A3120" i="4"/>
  <c r="B3112" i="4"/>
  <c r="A3104" i="4"/>
  <c r="A3096" i="4"/>
  <c r="B3088" i="4"/>
  <c r="A3080" i="4"/>
  <c r="A3072" i="4"/>
  <c r="B3064" i="4"/>
  <c r="A3056" i="4"/>
  <c r="A3048" i="4"/>
  <c r="B3040" i="4"/>
  <c r="A3032" i="4"/>
  <c r="A3024" i="4"/>
  <c r="B3016" i="4"/>
  <c r="A3008" i="4"/>
  <c r="A3000" i="4"/>
  <c r="B2992" i="4"/>
  <c r="A2984" i="4"/>
  <c r="A2976" i="4"/>
  <c r="A2969" i="4"/>
  <c r="A2962" i="4"/>
  <c r="A2954" i="4"/>
  <c r="A2947" i="4"/>
  <c r="A2940" i="4"/>
  <c r="A2933" i="4"/>
  <c r="A2926" i="4"/>
  <c r="A2918" i="4"/>
  <c r="A2911" i="4"/>
  <c r="A2904" i="4"/>
  <c r="A2897" i="4"/>
  <c r="A2890" i="4"/>
  <c r="A2882" i="4"/>
  <c r="A2875" i="4"/>
  <c r="A2868" i="4"/>
  <c r="A2861" i="4"/>
  <c r="A2854" i="4"/>
  <c r="A2846" i="4"/>
  <c r="A2839" i="4"/>
  <c r="A2832" i="4"/>
  <c r="A2825" i="4"/>
  <c r="A2818" i="4"/>
  <c r="B2810" i="4"/>
  <c r="A2804" i="4"/>
  <c r="B2797" i="4"/>
  <c r="A2791" i="4"/>
  <c r="B2784" i="4"/>
  <c r="A2778" i="4"/>
  <c r="B2771" i="4"/>
  <c r="A2765" i="4"/>
  <c r="B2758" i="4"/>
  <c r="A2752" i="4"/>
  <c r="A2745" i="4"/>
  <c r="B2738" i="4"/>
  <c r="A2732" i="4"/>
  <c r="B2725" i="4"/>
  <c r="A2719" i="4"/>
  <c r="B2712" i="4"/>
  <c r="A2706" i="4"/>
  <c r="B2699" i="4"/>
  <c r="A2693" i="4"/>
  <c r="B2686" i="4"/>
  <c r="A2680" i="4"/>
  <c r="A2673" i="4"/>
  <c r="B2666" i="4"/>
  <c r="B2660" i="4"/>
  <c r="B2654" i="4"/>
  <c r="B2648" i="4"/>
  <c r="B2642" i="4"/>
  <c r="B2636" i="4"/>
  <c r="B2630" i="4"/>
  <c r="B2624" i="4"/>
  <c r="B2618" i="4"/>
  <c r="B2612" i="4"/>
  <c r="B2606" i="4"/>
  <c r="B2600" i="4"/>
  <c r="B2594" i="4"/>
  <c r="B2588" i="4"/>
  <c r="B2582" i="4"/>
  <c r="B2576" i="4"/>
  <c r="B2570" i="4"/>
  <c r="B2564" i="4"/>
  <c r="B2558" i="4"/>
  <c r="B2552" i="4"/>
  <c r="B2546" i="4"/>
  <c r="B2540" i="4"/>
  <c r="B2534" i="4"/>
  <c r="B2528" i="4"/>
  <c r="B2522" i="4"/>
  <c r="B2516" i="4"/>
  <c r="B2510" i="4"/>
  <c r="B2504" i="4"/>
  <c r="B2498" i="4"/>
  <c r="B2492" i="4"/>
  <c r="B2486" i="4"/>
  <c r="B2480" i="4"/>
  <c r="B2474" i="4"/>
  <c r="B2468" i="4"/>
  <c r="B2462" i="4"/>
  <c r="B2456" i="4"/>
  <c r="B2450" i="4"/>
  <c r="B2444" i="4"/>
  <c r="B2438" i="4"/>
  <c r="B2432" i="4"/>
  <c r="B2426" i="4"/>
  <c r="B2420" i="4"/>
  <c r="B2414" i="4"/>
  <c r="B2408" i="4"/>
  <c r="B2402" i="4"/>
  <c r="B2396" i="4"/>
  <c r="B2390" i="4"/>
  <c r="B2384" i="4"/>
  <c r="B2378" i="4"/>
  <c r="B2372" i="4"/>
  <c r="B2366" i="4"/>
  <c r="B2360" i="4"/>
  <c r="B2354" i="4"/>
  <c r="B2348" i="4"/>
  <c r="B2342" i="4"/>
  <c r="B2336" i="4"/>
  <c r="B2330" i="4"/>
  <c r="B2324" i="4"/>
  <c r="B2318" i="4"/>
  <c r="B2312" i="4"/>
  <c r="B2306" i="4"/>
  <c r="B2300" i="4"/>
  <c r="B2294" i="4"/>
  <c r="B2288" i="4"/>
  <c r="B2282" i="4"/>
  <c r="B2276" i="4"/>
  <c r="B2270" i="4"/>
  <c r="B2264" i="4"/>
  <c r="B2258" i="4"/>
  <c r="B2252" i="4"/>
  <c r="B2246" i="4"/>
  <c r="B2240" i="4"/>
  <c r="B2234" i="4"/>
  <c r="B2228" i="4"/>
  <c r="B2222" i="4"/>
  <c r="B2216" i="4"/>
  <c r="B2210" i="4"/>
  <c r="B2204" i="4"/>
  <c r="B2198" i="4"/>
  <c r="B2192" i="4"/>
  <c r="B2186" i="4"/>
  <c r="B2180" i="4"/>
  <c r="B2174" i="4"/>
  <c r="B2168" i="4"/>
  <c r="B2162" i="4"/>
  <c r="B2156" i="4"/>
  <c r="B2150" i="4"/>
  <c r="B2144" i="4"/>
  <c r="B2138" i="4"/>
  <c r="B2132" i="4"/>
  <c r="B2126" i="4"/>
  <c r="B2120" i="4"/>
  <c r="B2114" i="4"/>
  <c r="B2108" i="4"/>
  <c r="B2102" i="4"/>
  <c r="B2096" i="4"/>
  <c r="B2090" i="4"/>
  <c r="B2084" i="4"/>
  <c r="B2078" i="4"/>
  <c r="B2072" i="4"/>
  <c r="B2066" i="4"/>
  <c r="B2060" i="4"/>
  <c r="B2054" i="4"/>
  <c r="B2048" i="4"/>
  <c r="B2042" i="4"/>
  <c r="B2036" i="4"/>
  <c r="B2030" i="4"/>
  <c r="B2024" i="4"/>
  <c r="B2018" i="4"/>
  <c r="B2012" i="4"/>
  <c r="B2006" i="4"/>
  <c r="B2000" i="4"/>
  <c r="B1994" i="4"/>
  <c r="B1988" i="4"/>
  <c r="B1982" i="4"/>
  <c r="B1976" i="4"/>
  <c r="B1970" i="4"/>
  <c r="B1964" i="4"/>
  <c r="B1958" i="4"/>
  <c r="B1952" i="4"/>
  <c r="B1946" i="4"/>
  <c r="B1940" i="4"/>
  <c r="B1934" i="4"/>
  <c r="B1928" i="4"/>
  <c r="B1922" i="4"/>
  <c r="B1916" i="4"/>
  <c r="B1910" i="4"/>
  <c r="B1904" i="4"/>
  <c r="B1898" i="4"/>
  <c r="B1892" i="4"/>
  <c r="B1886" i="4"/>
  <c r="B1880" i="4"/>
  <c r="B1874" i="4"/>
  <c r="B1868" i="4"/>
  <c r="B1862" i="4"/>
  <c r="B1856" i="4"/>
  <c r="B1850" i="4"/>
  <c r="B1844" i="4"/>
  <c r="B1838" i="4"/>
  <c r="B1832" i="4"/>
  <c r="B1826" i="4"/>
  <c r="B1820" i="4"/>
  <c r="B1814" i="4"/>
  <c r="B1808" i="4"/>
  <c r="B1802" i="4"/>
  <c r="B1796" i="4"/>
  <c r="B1790" i="4"/>
  <c r="B1784" i="4"/>
  <c r="B1778" i="4"/>
  <c r="B1772" i="4"/>
  <c r="B1766" i="4"/>
  <c r="B1760" i="4"/>
  <c r="B1754" i="4"/>
  <c r="B1748" i="4"/>
  <c r="B1742" i="4"/>
  <c r="B1736" i="4"/>
  <c r="B1730" i="4"/>
  <c r="B1724" i="4"/>
  <c r="B1718" i="4"/>
  <c r="B1712" i="4"/>
  <c r="B1706" i="4"/>
  <c r="B1700" i="4"/>
  <c r="B1694" i="4"/>
  <c r="B1688" i="4"/>
  <c r="B1682" i="4"/>
  <c r="B1676" i="4"/>
  <c r="B1670" i="4"/>
  <c r="B1664" i="4"/>
  <c r="B1658" i="4"/>
  <c r="B1652" i="4"/>
  <c r="B1646" i="4"/>
  <c r="B1640" i="4"/>
  <c r="B1634" i="4"/>
  <c r="B1628" i="4"/>
  <c r="B1622" i="4"/>
  <c r="B1616" i="4"/>
  <c r="B1610" i="4"/>
  <c r="B1604" i="4"/>
  <c r="B1598" i="4"/>
  <c r="B1592" i="4"/>
  <c r="B1586" i="4"/>
  <c r="B1580" i="4"/>
  <c r="B1574" i="4"/>
  <c r="B1568" i="4"/>
  <c r="B1562" i="4"/>
  <c r="B1556" i="4"/>
  <c r="B1550" i="4"/>
  <c r="B1544" i="4"/>
  <c r="B1538" i="4"/>
  <c r="B1532" i="4"/>
  <c r="B1526" i="4"/>
  <c r="B1520" i="4"/>
  <c r="B1514" i="4"/>
  <c r="B1508" i="4"/>
  <c r="B1502" i="4"/>
  <c r="B1496" i="4"/>
  <c r="B1490" i="4"/>
  <c r="B1484" i="4"/>
  <c r="B1478" i="4"/>
  <c r="B1472" i="4"/>
  <c r="B1466" i="4"/>
  <c r="B1460" i="4"/>
  <c r="B1454" i="4"/>
  <c r="B1448" i="4"/>
  <c r="B1442" i="4"/>
  <c r="B1436" i="4"/>
  <c r="B1430" i="4"/>
  <c r="B1424" i="4"/>
  <c r="B1418" i="4"/>
  <c r="B1412" i="4"/>
  <c r="B1406" i="4"/>
  <c r="B1400" i="4"/>
  <c r="B1394" i="4"/>
  <c r="B1388" i="4"/>
  <c r="B1382" i="4"/>
  <c r="B1376" i="4"/>
  <c r="B1370" i="4"/>
  <c r="B1364" i="4"/>
  <c r="B1358" i="4"/>
  <c r="B1352" i="4"/>
  <c r="B1346" i="4"/>
  <c r="B1340" i="4"/>
  <c r="B1334" i="4"/>
  <c r="B1328" i="4"/>
  <c r="B1322" i="4"/>
  <c r="B1316" i="4"/>
  <c r="B1310" i="4"/>
  <c r="B1304" i="4"/>
  <c r="B1298" i="4"/>
  <c r="B1292" i="4"/>
  <c r="B1286" i="4"/>
  <c r="B1280" i="4"/>
  <c r="B1274" i="4"/>
  <c r="B1268" i="4"/>
  <c r="B1262" i="4"/>
  <c r="B1256" i="4"/>
  <c r="B1250" i="4"/>
  <c r="B1244" i="4"/>
  <c r="B1238" i="4"/>
  <c r="B1232" i="4"/>
  <c r="B1226" i="4"/>
  <c r="B1220" i="4"/>
  <c r="B1214" i="4"/>
  <c r="B1208" i="4"/>
  <c r="B1202" i="4"/>
  <c r="B1196" i="4"/>
  <c r="B1190" i="4"/>
  <c r="B1184" i="4"/>
  <c r="B1178" i="4"/>
  <c r="B1172" i="4"/>
  <c r="B1166" i="4"/>
  <c r="B1160" i="4"/>
  <c r="B1154" i="4"/>
  <c r="B1148" i="4"/>
  <c r="B1142" i="4"/>
  <c r="B1136" i="4"/>
  <c r="B1130" i="4"/>
  <c r="B1124" i="4"/>
  <c r="B1118" i="4"/>
  <c r="B1112" i="4"/>
  <c r="B1106" i="4"/>
  <c r="B1100" i="4"/>
  <c r="B1094" i="4"/>
  <c r="B1088" i="4"/>
  <c r="B1082" i="4"/>
  <c r="B1076" i="4"/>
  <c r="B1070" i="4"/>
  <c r="B1064" i="4"/>
  <c r="B1058" i="4"/>
  <c r="B1052" i="4"/>
  <c r="B1046" i="4"/>
  <c r="B1040" i="4"/>
  <c r="B1034" i="4"/>
  <c r="B1028" i="4"/>
  <c r="B1022" i="4"/>
  <c r="A3292" i="5"/>
  <c r="B2744" i="5"/>
  <c r="A2403" i="5"/>
  <c r="A2078" i="5"/>
  <c r="A1800" i="5"/>
  <c r="A1608" i="5"/>
  <c r="B1464" i="5"/>
  <c r="B1357" i="5"/>
  <c r="B1280" i="5"/>
  <c r="A1205" i="5"/>
  <c r="B1127" i="5"/>
  <c r="B1063" i="5"/>
  <c r="B1006" i="5"/>
  <c r="B951" i="5"/>
  <c r="B906" i="5"/>
  <c r="B861" i="5"/>
  <c r="B826" i="5"/>
  <c r="B794" i="5"/>
  <c r="A763" i="5"/>
  <c r="B732" i="5"/>
  <c r="A706" i="5"/>
  <c r="B681" i="5"/>
  <c r="B657" i="5"/>
  <c r="B633" i="5"/>
  <c r="B609" i="5"/>
  <c r="B585" i="5"/>
  <c r="B561" i="5"/>
  <c r="B537" i="5"/>
  <c r="B513" i="5"/>
  <c r="B489" i="5"/>
  <c r="B465" i="5"/>
  <c r="B442" i="5"/>
  <c r="B420" i="5"/>
  <c r="A401" i="5"/>
  <c r="B381" i="5"/>
  <c r="B359" i="5"/>
  <c r="A340" i="5"/>
  <c r="A318" i="5"/>
  <c r="B298" i="5"/>
  <c r="B276" i="5"/>
  <c r="A257" i="5"/>
  <c r="B237" i="5"/>
  <c r="B215" i="5"/>
  <c r="A196" i="5"/>
  <c r="A174" i="5"/>
  <c r="B154" i="5"/>
  <c r="B132" i="5"/>
  <c r="A113" i="5"/>
  <c r="B93" i="5"/>
  <c r="B71" i="5"/>
  <c r="A53" i="5"/>
  <c r="A35" i="5"/>
  <c r="A19" i="5"/>
  <c r="A5" i="5"/>
  <c r="A4440" i="4"/>
  <c r="A4427" i="4"/>
  <c r="A4414" i="4"/>
  <c r="A4401" i="4"/>
  <c r="A4388" i="4"/>
  <c r="B4374" i="4"/>
  <c r="B4362" i="4"/>
  <c r="B4350" i="4"/>
  <c r="B4338" i="4"/>
  <c r="B4326" i="4"/>
  <c r="B4314" i="4"/>
  <c r="B4302" i="4"/>
  <c r="B4290" i="4"/>
  <c r="B4278" i="4"/>
  <c r="B4266" i="4"/>
  <c r="B4254" i="4"/>
  <c r="B4242" i="4"/>
  <c r="B4230" i="4"/>
  <c r="B4218" i="4"/>
  <c r="B4206" i="4"/>
  <c r="B4194" i="4"/>
  <c r="B4182" i="4"/>
  <c r="B4170" i="4"/>
  <c r="B4158" i="4"/>
  <c r="B4146" i="4"/>
  <c r="B4134" i="4"/>
  <c r="B4122" i="4"/>
  <c r="B4110" i="4"/>
  <c r="B4098" i="4"/>
  <c r="B4086" i="4"/>
  <c r="B4074" i="4"/>
  <c r="B4062" i="4"/>
  <c r="B4050" i="4"/>
  <c r="B4038" i="4"/>
  <c r="B4026" i="4"/>
  <c r="B4014" i="4"/>
  <c r="B4002" i="4"/>
  <c r="B3990" i="4"/>
  <c r="B3978" i="4"/>
  <c r="B3966" i="4"/>
  <c r="B3954" i="4"/>
  <c r="B3942" i="4"/>
  <c r="B3930" i="4"/>
  <c r="B3918" i="4"/>
  <c r="B3906" i="4"/>
  <c r="B3894" i="4"/>
  <c r="B3882" i="4"/>
  <c r="B3870" i="4"/>
  <c r="B3858" i="4"/>
  <c r="B3846" i="4"/>
  <c r="B3834" i="4"/>
  <c r="B3822" i="4"/>
  <c r="B3810" i="4"/>
  <c r="B3798" i="4"/>
  <c r="B3786" i="4"/>
  <c r="B3774" i="4"/>
  <c r="B3762" i="4"/>
  <c r="B3750" i="4"/>
  <c r="B3738" i="4"/>
  <c r="B3726" i="4"/>
  <c r="B3714" i="4"/>
  <c r="B3702" i="4"/>
  <c r="B3690" i="4"/>
  <c r="B3678" i="4"/>
  <c r="B3666" i="4"/>
  <c r="B3654" i="4"/>
  <c r="B3642" i="4"/>
  <c r="B3630" i="4"/>
  <c r="B3618" i="4"/>
  <c r="B3606" i="4"/>
  <c r="B3594" i="4"/>
  <c r="B3582" i="4"/>
  <c r="B3570" i="4"/>
  <c r="B3559" i="4"/>
  <c r="B3549" i="4"/>
  <c r="B3538" i="4"/>
  <c r="B3527" i="4"/>
  <c r="B3516" i="4"/>
  <c r="B3505" i="4"/>
  <c r="B3495" i="4"/>
  <c r="B3484" i="4"/>
  <c r="B3473" i="4"/>
  <c r="B3462" i="4"/>
  <c r="B3451" i="4"/>
  <c r="B3441" i="4"/>
  <c r="B3430" i="4"/>
  <c r="B3419" i="4"/>
  <c r="B3408" i="4"/>
  <c r="B3397" i="4"/>
  <c r="B3387" i="4"/>
  <c r="A3377" i="4"/>
  <c r="A3368" i="4"/>
  <c r="A3359" i="4"/>
  <c r="A3350" i="4"/>
  <c r="A3341" i="4"/>
  <c r="A3332" i="4"/>
  <c r="A3323" i="4"/>
  <c r="A3314" i="4"/>
  <c r="A3305" i="4"/>
  <c r="A3296" i="4"/>
  <c r="A3287" i="4"/>
  <c r="A3278" i="4"/>
  <c r="A3269" i="4"/>
  <c r="A3260" i="4"/>
  <c r="A3251" i="4"/>
  <c r="A3242" i="4"/>
  <c r="A3233" i="4"/>
  <c r="A3224" i="4"/>
  <c r="A3215" i="4"/>
  <c r="A3206" i="4"/>
  <c r="A3197" i="4"/>
  <c r="A3188" i="4"/>
  <c r="A3179" i="4"/>
  <c r="A3170" i="4"/>
  <c r="A3161" i="4"/>
  <c r="A3152" i="4"/>
  <c r="B3143" i="4"/>
  <c r="A3136" i="4"/>
  <c r="A3127" i="4"/>
  <c r="B3119" i="4"/>
  <c r="A3112" i="4"/>
  <c r="A3103" i="4"/>
  <c r="B3095" i="4"/>
  <c r="A3088" i="4"/>
  <c r="A3079" i="4"/>
  <c r="B3071" i="4"/>
  <c r="A3064" i="4"/>
  <c r="A3055" i="4"/>
  <c r="B3047" i="4"/>
  <c r="A3040" i="4"/>
  <c r="A3031" i="4"/>
  <c r="B3023" i="4"/>
  <c r="A3016" i="4"/>
  <c r="A3007" i="4"/>
  <c r="B2999" i="4"/>
  <c r="A2992" i="4"/>
  <c r="A2983" i="4"/>
  <c r="B2975" i="4"/>
  <c r="B2968" i="4"/>
  <c r="B2960" i="4"/>
  <c r="B2953" i="4"/>
  <c r="B2946" i="4"/>
  <c r="B2939" i="4"/>
  <c r="B2932" i="4"/>
  <c r="B2924" i="4"/>
  <c r="B2917" i="4"/>
  <c r="B2910" i="4"/>
  <c r="B2903" i="4"/>
  <c r="B2896" i="4"/>
  <c r="B2888" i="4"/>
  <c r="B2881" i="4"/>
  <c r="B2874" i="4"/>
  <c r="B2867" i="4"/>
  <c r="B2860" i="4"/>
  <c r="B2852" i="4"/>
  <c r="B2845" i="4"/>
  <c r="B2838" i="4"/>
  <c r="B2831" i="4"/>
  <c r="B2824" i="4"/>
  <c r="B2816" i="4"/>
  <c r="A2810" i="4"/>
  <c r="B2803" i="4"/>
  <c r="A2797" i="4"/>
  <c r="B2790" i="4"/>
  <c r="A2784" i="4"/>
  <c r="B2777" i="4"/>
  <c r="A2771" i="4"/>
  <c r="B2764" i="4"/>
  <c r="A2758" i="4"/>
  <c r="A2751" i="4"/>
  <c r="B2744" i="4"/>
  <c r="A2738" i="4"/>
  <c r="B2731" i="4"/>
  <c r="A2725" i="4"/>
  <c r="B2718" i="4"/>
  <c r="A2712" i="4"/>
  <c r="B2705" i="4"/>
  <c r="A2699" i="4"/>
  <c r="B2692" i="4"/>
  <c r="A2686" i="4"/>
  <c r="A2679" i="4"/>
  <c r="B2672" i="4"/>
  <c r="A2666" i="4"/>
  <c r="A2660" i="4"/>
  <c r="A2654" i="4"/>
  <c r="A2648" i="4"/>
  <c r="A2642" i="4"/>
  <c r="A2636" i="4"/>
  <c r="A2630" i="4"/>
  <c r="A2624" i="4"/>
  <c r="A2618" i="4"/>
  <c r="A2612" i="4"/>
  <c r="A2606" i="4"/>
  <c r="A2600" i="4"/>
  <c r="A2594" i="4"/>
  <c r="A2588" i="4"/>
  <c r="A2582" i="4"/>
  <c r="A2576" i="4"/>
  <c r="A2570" i="4"/>
  <c r="A2564" i="4"/>
  <c r="A2558" i="4"/>
  <c r="A2552" i="4"/>
  <c r="A2546" i="4"/>
  <c r="A2540" i="4"/>
  <c r="A2534" i="4"/>
  <c r="A2528" i="4"/>
  <c r="A2522" i="4"/>
  <c r="A2516" i="4"/>
  <c r="A2510" i="4"/>
  <c r="A2504" i="4"/>
  <c r="A2498" i="4"/>
  <c r="A2492" i="4"/>
  <c r="A2486" i="4"/>
  <c r="A2480" i="4"/>
  <c r="A2474" i="4"/>
  <c r="A2468" i="4"/>
  <c r="A2462" i="4"/>
  <c r="A2456" i="4"/>
  <c r="A2450" i="4"/>
  <c r="A2444" i="4"/>
  <c r="A2438" i="4"/>
  <c r="A2432" i="4"/>
  <c r="A2426" i="4"/>
  <c r="A2420" i="4"/>
  <c r="A2414" i="4"/>
  <c r="A2408" i="4"/>
  <c r="A2402" i="4"/>
  <c r="A2396" i="4"/>
  <c r="A2390" i="4"/>
  <c r="A2384" i="4"/>
  <c r="A2378" i="4"/>
  <c r="A2372" i="4"/>
  <c r="A2366" i="4"/>
  <c r="A2360" i="4"/>
  <c r="A2354" i="4"/>
  <c r="A2348" i="4"/>
  <c r="A2342" i="4"/>
  <c r="A2336" i="4"/>
  <c r="A2330" i="4"/>
  <c r="A2324" i="4"/>
  <c r="A2318" i="4"/>
  <c r="A2312" i="4"/>
  <c r="A2306" i="4"/>
  <c r="A2300" i="4"/>
  <c r="A2294" i="4"/>
  <c r="A2288" i="4"/>
  <c r="A2282" i="4"/>
  <c r="A2276" i="4"/>
  <c r="A2270" i="4"/>
  <c r="A2264" i="4"/>
  <c r="A2258" i="4"/>
  <c r="A2252" i="4"/>
  <c r="A2246" i="4"/>
  <c r="A2240" i="4"/>
  <c r="A2234" i="4"/>
  <c r="A2228" i="4"/>
  <c r="A2222" i="4"/>
  <c r="A2216" i="4"/>
  <c r="A2210" i="4"/>
  <c r="A2204" i="4"/>
  <c r="A2198" i="4"/>
  <c r="A2192" i="4"/>
  <c r="A2186" i="4"/>
  <c r="A2180" i="4"/>
  <c r="A2174" i="4"/>
  <c r="A2168" i="4"/>
  <c r="A2162" i="4"/>
  <c r="A2156" i="4"/>
  <c r="A2150" i="4"/>
  <c r="A2144" i="4"/>
  <c r="A2138" i="4"/>
  <c r="A2132" i="4"/>
  <c r="A2126" i="4"/>
  <c r="A2120" i="4"/>
  <c r="A2114" i="4"/>
  <c r="A2108" i="4"/>
  <c r="A2102" i="4"/>
  <c r="A2096" i="4"/>
  <c r="A2090" i="4"/>
  <c r="A2084" i="4"/>
  <c r="A2078" i="4"/>
  <c r="A2072" i="4"/>
  <c r="A2066" i="4"/>
  <c r="A2060" i="4"/>
  <c r="A2054" i="4"/>
  <c r="A2048" i="4"/>
  <c r="A2042" i="4"/>
  <c r="A2036" i="4"/>
  <c r="A2030" i="4"/>
  <c r="A2024" i="4"/>
  <c r="A2018" i="4"/>
  <c r="A2012" i="4"/>
  <c r="A2006" i="4"/>
  <c r="A2000" i="4"/>
  <c r="A1994" i="4"/>
  <c r="A1988" i="4"/>
  <c r="A1982" i="4"/>
  <c r="A1976" i="4"/>
  <c r="A1970" i="4"/>
  <c r="A1964" i="4"/>
  <c r="A1958" i="4"/>
  <c r="A1952" i="4"/>
  <c r="A1946" i="4"/>
  <c r="A1940" i="4"/>
  <c r="A1934" i="4"/>
  <c r="A1928" i="4"/>
  <c r="A1922" i="4"/>
  <c r="A1916" i="4"/>
  <c r="A1910" i="4"/>
  <c r="A1904" i="4"/>
  <c r="A1898" i="4"/>
  <c r="A1892" i="4"/>
  <c r="A1886" i="4"/>
  <c r="A1880" i="4"/>
  <c r="A1874" i="4"/>
  <c r="A1868" i="4"/>
  <c r="A1862" i="4"/>
  <c r="A1856" i="4"/>
  <c r="A1850" i="4"/>
  <c r="A1844" i="4"/>
  <c r="A1838" i="4"/>
  <c r="A1832" i="4"/>
  <c r="A1826" i="4"/>
  <c r="A1820" i="4"/>
  <c r="A1814" i="4"/>
  <c r="A1808" i="4"/>
  <c r="A1802" i="4"/>
  <c r="A1796" i="4"/>
  <c r="A1790" i="4"/>
  <c r="A1784" i="4"/>
  <c r="A1778" i="4"/>
  <c r="A1772" i="4"/>
  <c r="A1766" i="4"/>
  <c r="A1760" i="4"/>
  <c r="A1754" i="4"/>
  <c r="A1748" i="4"/>
  <c r="A1742" i="4"/>
  <c r="A1736" i="4"/>
  <c r="A1730" i="4"/>
  <c r="A1724" i="4"/>
  <c r="A1718" i="4"/>
  <c r="A1712" i="4"/>
  <c r="A1706" i="4"/>
  <c r="A1700" i="4"/>
  <c r="A1694" i="4"/>
  <c r="A1688" i="4"/>
  <c r="A1682" i="4"/>
  <c r="A1676" i="4"/>
  <c r="A1670" i="4"/>
  <c r="A1664" i="4"/>
  <c r="A1658" i="4"/>
  <c r="A1652" i="4"/>
  <c r="A1646" i="4"/>
  <c r="A1640" i="4"/>
  <c r="A1634" i="4"/>
  <c r="A1628" i="4"/>
  <c r="A1622" i="4"/>
  <c r="A1616" i="4"/>
  <c r="A1610" i="4"/>
  <c r="A1604" i="4"/>
  <c r="A1598" i="4"/>
  <c r="A1592" i="4"/>
  <c r="A1586" i="4"/>
  <c r="A1580" i="4"/>
  <c r="A1574" i="4"/>
  <c r="A1568" i="4"/>
  <c r="A1562" i="4"/>
  <c r="A1556" i="4"/>
  <c r="A1550" i="4"/>
  <c r="A1544" i="4"/>
  <c r="A1538" i="4"/>
  <c r="A1532" i="4"/>
  <c r="A1526" i="4"/>
  <c r="A1520" i="4"/>
  <c r="A1514" i="4"/>
  <c r="A1508" i="4"/>
  <c r="A1502" i="4"/>
  <c r="A1496" i="4"/>
  <c r="A1490" i="4"/>
  <c r="A1484" i="4"/>
  <c r="A1478" i="4"/>
  <c r="A1472" i="4"/>
  <c r="A1466" i="4"/>
  <c r="A1460" i="4"/>
  <c r="A1454" i="4"/>
  <c r="A1448" i="4"/>
  <c r="A1442" i="4"/>
  <c r="A1436" i="4"/>
  <c r="A1430" i="4"/>
  <c r="A1424" i="4"/>
  <c r="A1418" i="4"/>
  <c r="A1412" i="4"/>
  <c r="A1406" i="4"/>
  <c r="A1400" i="4"/>
  <c r="A1394" i="4"/>
  <c r="A1388" i="4"/>
  <c r="A1382" i="4"/>
  <c r="A1376" i="4"/>
  <c r="A1370" i="4"/>
  <c r="A1364" i="4"/>
  <c r="A1358" i="4"/>
  <c r="A1352" i="4"/>
  <c r="A1346" i="4"/>
  <c r="A1340" i="4"/>
  <c r="A1334" i="4"/>
  <c r="A1328" i="4"/>
  <c r="A1322" i="4"/>
  <c r="A1316" i="4"/>
  <c r="A1310" i="4"/>
  <c r="A1304" i="4"/>
  <c r="A1298" i="4"/>
  <c r="A1292" i="4"/>
  <c r="A1286" i="4"/>
  <c r="A1280" i="4"/>
  <c r="A1274" i="4"/>
  <c r="A1268" i="4"/>
  <c r="A1262" i="4"/>
  <c r="A1256" i="4"/>
  <c r="A1250" i="4"/>
  <c r="A1244" i="4"/>
  <c r="A1238" i="4"/>
  <c r="A1232" i="4"/>
  <c r="A1226" i="4"/>
  <c r="A1220" i="4"/>
  <c r="A1214" i="4"/>
  <c r="A1208" i="4"/>
  <c r="A1202" i="4"/>
  <c r="A1196" i="4"/>
  <c r="A1190" i="4"/>
  <c r="A1184" i="4"/>
  <c r="A1178" i="4"/>
  <c r="A1172" i="4"/>
  <c r="A1166" i="4"/>
  <c r="A1160" i="4"/>
  <c r="A1154" i="4"/>
  <c r="A1148" i="4"/>
  <c r="A1142" i="4"/>
  <c r="A1136" i="4"/>
  <c r="A1130" i="4"/>
  <c r="A1124" i="4"/>
  <c r="A1118" i="4"/>
  <c r="A1112" i="4"/>
  <c r="A1106" i="4"/>
  <c r="A1100" i="4"/>
  <c r="A1094" i="4"/>
  <c r="A1088" i="4"/>
  <c r="A1082" i="4"/>
  <c r="A1076" i="4"/>
  <c r="A1070" i="4"/>
  <c r="A1064" i="4"/>
  <c r="A1058" i="4"/>
  <c r="A1052" i="4"/>
  <c r="A1046" i="4"/>
  <c r="A1040" i="4"/>
  <c r="A3527" i="5"/>
  <c r="A2653" i="5"/>
  <c r="B2158" i="5"/>
  <c r="B1752" i="5"/>
  <c r="B1499" i="5"/>
  <c r="B1339" i="5"/>
  <c r="A1226" i="5"/>
  <c r="A1110" i="5"/>
  <c r="A1022" i="5"/>
  <c r="B940" i="5"/>
  <c r="A875" i="5"/>
  <c r="A819" i="5"/>
  <c r="B772" i="5"/>
  <c r="B726" i="5"/>
  <c r="A689" i="5"/>
  <c r="A652" i="5"/>
  <c r="A617" i="5"/>
  <c r="A580" i="5"/>
  <c r="A545" i="5"/>
  <c r="A508" i="5"/>
  <c r="A473" i="5"/>
  <c r="B437" i="5"/>
  <c r="A408" i="5"/>
  <c r="B376" i="5"/>
  <c r="A347" i="5"/>
  <c r="B315" i="5"/>
  <c r="A286" i="5"/>
  <c r="A252" i="5"/>
  <c r="B222" i="5"/>
  <c r="A191" i="5"/>
  <c r="B161" i="5"/>
  <c r="A130" i="5"/>
  <c r="B100" i="5"/>
  <c r="B66" i="5"/>
  <c r="B42" i="5"/>
  <c r="A20" i="5"/>
  <c r="B1" i="5"/>
  <c r="A4433" i="4"/>
  <c r="A4415" i="4"/>
  <c r="A4398" i="4"/>
  <c r="B4380" i="4"/>
  <c r="B4363" i="4"/>
  <c r="A4348" i="4"/>
  <c r="A4332" i="4"/>
  <c r="B4315" i="4"/>
  <c r="A4300" i="4"/>
  <c r="A4284" i="4"/>
  <c r="B4267" i="4"/>
  <c r="A4252" i="4"/>
  <c r="A4236" i="4"/>
  <c r="B4219" i="4"/>
  <c r="A4204" i="4"/>
  <c r="A4188" i="4"/>
  <c r="B4171" i="4"/>
  <c r="A4156" i="4"/>
  <c r="A4140" i="4"/>
  <c r="B4123" i="4"/>
  <c r="A4108" i="4"/>
  <c r="A4092" i="4"/>
  <c r="B4075" i="4"/>
  <c r="A4060" i="4"/>
  <c r="A4044" i="4"/>
  <c r="B4027" i="4"/>
  <c r="A4012" i="4"/>
  <c r="A3996" i="4"/>
  <c r="B3979" i="4"/>
  <c r="A3964" i="4"/>
  <c r="A3948" i="4"/>
  <c r="B3931" i="4"/>
  <c r="A3916" i="4"/>
  <c r="A3900" i="4"/>
  <c r="B3883" i="4"/>
  <c r="A3868" i="4"/>
  <c r="A3852" i="4"/>
  <c r="B3835" i="4"/>
  <c r="A3820" i="4"/>
  <c r="A3804" i="4"/>
  <c r="B3787" i="4"/>
  <c r="A3772" i="4"/>
  <c r="A3756" i="4"/>
  <c r="B3739" i="4"/>
  <c r="A3724" i="4"/>
  <c r="A3708" i="4"/>
  <c r="B3691" i="4"/>
  <c r="A3676" i="4"/>
  <c r="A3660" i="4"/>
  <c r="B3643" i="4"/>
  <c r="A3628" i="4"/>
  <c r="A3612" i="4"/>
  <c r="B3595" i="4"/>
  <c r="A3580" i="4"/>
  <c r="B3564" i="4"/>
  <c r="B3550" i="4"/>
  <c r="A3535" i="4"/>
  <c r="B3521" i="4"/>
  <c r="B3507" i="4"/>
  <c r="A3492" i="4"/>
  <c r="B3478" i="4"/>
  <c r="B3463" i="4"/>
  <c r="A3449" i="4"/>
  <c r="B3435" i="4"/>
  <c r="B3420" i="4"/>
  <c r="A3406" i="4"/>
  <c r="B3391" i="4"/>
  <c r="A3378" i="4"/>
  <c r="B3365" i="4"/>
  <c r="A3354" i="4"/>
  <c r="A3342" i="4"/>
  <c r="B3329" i="4"/>
  <c r="A3318" i="4"/>
  <c r="A3306" i="4"/>
  <c r="B3293" i="4"/>
  <c r="A3282" i="4"/>
  <c r="A3270" i="4"/>
  <c r="B3257" i="4"/>
  <c r="A3246" i="4"/>
  <c r="A3234" i="4"/>
  <c r="B3221" i="4"/>
  <c r="A3210" i="4"/>
  <c r="A3198" i="4"/>
  <c r="B3185" i="4"/>
  <c r="A3174" i="4"/>
  <c r="A3162" i="4"/>
  <c r="B3149" i="4"/>
  <c r="A3139" i="4"/>
  <c r="B3128" i="4"/>
  <c r="A3118" i="4"/>
  <c r="B3107" i="4"/>
  <c r="B3096" i="4"/>
  <c r="A3085" i="4"/>
  <c r="A3076" i="4"/>
  <c r="A3065" i="4"/>
  <c r="B3053" i="4"/>
  <c r="A3043" i="4"/>
  <c r="B3032" i="4"/>
  <c r="A3022" i="4"/>
  <c r="B3011" i="4"/>
  <c r="B3000" i="4"/>
  <c r="A2989" i="4"/>
  <c r="A2980" i="4"/>
  <c r="B2969" i="4"/>
  <c r="A2959" i="4"/>
  <c r="B2950" i="4"/>
  <c r="B2940" i="4"/>
  <c r="A2930" i="4"/>
  <c r="B2921" i="4"/>
  <c r="B2911" i="4"/>
  <c r="A2902" i="4"/>
  <c r="B2892" i="4"/>
  <c r="B2882" i="4"/>
  <c r="A2873" i="4"/>
  <c r="B2863" i="4"/>
  <c r="B2854" i="4"/>
  <c r="A2844" i="4"/>
  <c r="B2834" i="4"/>
  <c r="B2825" i="4"/>
  <c r="A2815" i="4"/>
  <c r="A2807" i="4"/>
  <c r="A2798" i="4"/>
  <c r="A2789" i="4"/>
  <c r="B2780" i="4"/>
  <c r="A2772" i="4"/>
  <c r="B2762" i="4"/>
  <c r="B2754" i="4"/>
  <c r="A2746" i="4"/>
  <c r="B2736" i="4"/>
  <c r="B2728" i="4"/>
  <c r="B2719" i="4"/>
  <c r="B2710" i="4"/>
  <c r="A2702" i="4"/>
  <c r="B2693" i="4"/>
  <c r="A2684" i="4"/>
  <c r="A2676" i="4"/>
  <c r="A2667" i="4"/>
  <c r="B2658" i="4"/>
  <c r="A2651" i="4"/>
  <c r="A2643" i="4"/>
  <c r="B2634" i="4"/>
  <c r="A2627" i="4"/>
  <c r="A2619" i="4"/>
  <c r="B2610" i="4"/>
  <c r="A2603" i="4"/>
  <c r="A2595" i="4"/>
  <c r="B2586" i="4"/>
  <c r="A2579" i="4"/>
  <c r="A2571" i="4"/>
  <c r="B2562" i="4"/>
  <c r="A2555" i="4"/>
  <c r="A2547" i="4"/>
  <c r="B2538" i="4"/>
  <c r="A2531" i="4"/>
  <c r="A2523" i="4"/>
  <c r="B2514" i="4"/>
  <c r="A2507" i="4"/>
  <c r="A2499" i="4"/>
  <c r="B2490" i="4"/>
  <c r="A2483" i="4"/>
  <c r="A2475" i="4"/>
  <c r="B2466" i="4"/>
  <c r="A2459" i="4"/>
  <c r="A2451" i="4"/>
  <c r="B2442" i="4"/>
  <c r="A2435" i="4"/>
  <c r="A2427" i="4"/>
  <c r="B2418" i="4"/>
  <c r="A2411" i="4"/>
  <c r="A2403" i="4"/>
  <c r="B2394" i="4"/>
  <c r="A2387" i="4"/>
  <c r="A2379" i="4"/>
  <c r="B2370" i="4"/>
  <c r="A2363" i="4"/>
  <c r="A2355" i="4"/>
  <c r="B2346" i="4"/>
  <c r="A2339" i="4"/>
  <c r="A2331" i="4"/>
  <c r="B2322" i="4"/>
  <c r="A2315" i="4"/>
  <c r="A2307" i="4"/>
  <c r="B2298" i="4"/>
  <c r="A2291" i="4"/>
  <c r="A2283" i="4"/>
  <c r="B2274" i="4"/>
  <c r="A2267" i="4"/>
  <c r="A2259" i="4"/>
  <c r="B2250" i="4"/>
  <c r="A2243" i="4"/>
  <c r="A2235" i="4"/>
  <c r="B2226" i="4"/>
  <c r="A2219" i="4"/>
  <c r="A2211" i="4"/>
  <c r="B2202" i="4"/>
  <c r="A2195" i="4"/>
  <c r="A2187" i="4"/>
  <c r="B2178" i="4"/>
  <c r="A2171" i="4"/>
  <c r="A2163" i="4"/>
  <c r="B2154" i="4"/>
  <c r="A2147" i="4"/>
  <c r="A2139" i="4"/>
  <c r="B2130" i="4"/>
  <c r="A2123" i="4"/>
  <c r="A2115" i="4"/>
  <c r="B2106" i="4"/>
  <c r="A2099" i="4"/>
  <c r="A2091" i="4"/>
  <c r="A2083" i="4"/>
  <c r="A2076" i="4"/>
  <c r="A2069" i="4"/>
  <c r="A2062" i="4"/>
  <c r="A2055" i="4"/>
  <c r="A2047" i="4"/>
  <c r="A2040" i="4"/>
  <c r="A2033" i="4"/>
  <c r="A2026" i="4"/>
  <c r="A2019" i="4"/>
  <c r="A2011" i="4"/>
  <c r="A2004" i="4"/>
  <c r="A1997" i="4"/>
  <c r="A1990" i="4"/>
  <c r="A1983" i="4"/>
  <c r="A1975" i="4"/>
  <c r="A1968" i="4"/>
  <c r="A1961" i="4"/>
  <c r="A1954" i="4"/>
  <c r="A1947" i="4"/>
  <c r="A1939" i="4"/>
  <c r="A1932" i="4"/>
  <c r="A1925" i="4"/>
  <c r="A1918" i="4"/>
  <c r="A1911" i="4"/>
  <c r="A1903" i="4"/>
  <c r="A1896" i="4"/>
  <c r="A1889" i="4"/>
  <c r="A1882" i="4"/>
  <c r="A1875" i="4"/>
  <c r="A1867" i="4"/>
  <c r="A1860" i="4"/>
  <c r="A1853" i="4"/>
  <c r="A1846" i="4"/>
  <c r="A1839" i="4"/>
  <c r="A1831" i="4"/>
  <c r="A1824" i="4"/>
  <c r="A1817" i="4"/>
  <c r="A1810" i="4"/>
  <c r="A1803" i="4"/>
  <c r="A1795" i="4"/>
  <c r="A1788" i="4"/>
  <c r="A1781" i="4"/>
  <c r="A1774" i="4"/>
  <c r="A1767" i="4"/>
  <c r="A1759" i="4"/>
  <c r="A1752" i="4"/>
  <c r="A1745" i="4"/>
  <c r="A1738" i="4"/>
  <c r="A1731" i="4"/>
  <c r="A1723" i="4"/>
  <c r="A1716" i="4"/>
  <c r="A1709" i="4"/>
  <c r="A1702" i="4"/>
  <c r="A1695" i="4"/>
  <c r="A1687" i="4"/>
  <c r="A1680" i="4"/>
  <c r="A1673" i="4"/>
  <c r="A1666" i="4"/>
  <c r="A1659" i="4"/>
  <c r="A1651" i="4"/>
  <c r="A1644" i="4"/>
  <c r="A1637" i="4"/>
  <c r="A1630" i="4"/>
  <c r="A1623" i="4"/>
  <c r="A1615" i="4"/>
  <c r="A1608" i="4"/>
  <c r="A1601" i="4"/>
  <c r="A1594" i="4"/>
  <c r="A1587" i="4"/>
  <c r="A1579" i="4"/>
  <c r="A1572" i="4"/>
  <c r="A1565" i="4"/>
  <c r="A1558" i="4"/>
  <c r="A1551" i="4"/>
  <c r="A1543" i="4"/>
  <c r="A1536" i="4"/>
  <c r="A1529" i="4"/>
  <c r="A1522" i="4"/>
  <c r="A1515" i="4"/>
  <c r="A1507" i="4"/>
  <c r="A1500" i="4"/>
  <c r="A1493" i="4"/>
  <c r="A1486" i="4"/>
  <c r="A1479" i="4"/>
  <c r="A1471" i="4"/>
  <c r="A1464" i="4"/>
  <c r="A1457" i="4"/>
  <c r="A1450" i="4"/>
  <c r="A1443" i="4"/>
  <c r="A1435" i="4"/>
  <c r="A1428" i="4"/>
  <c r="A1421" i="4"/>
  <c r="A1414" i="4"/>
  <c r="A1407" i="4"/>
  <c r="A1399" i="4"/>
  <c r="A1392" i="4"/>
  <c r="A1385" i="4"/>
  <c r="A1378" i="4"/>
  <c r="A1371" i="4"/>
  <c r="A1363" i="4"/>
  <c r="A1356" i="4"/>
  <c r="A1349" i="4"/>
  <c r="A1342" i="4"/>
  <c r="A1335" i="4"/>
  <c r="A1327" i="4"/>
  <c r="A1320" i="4"/>
  <c r="A1313" i="4"/>
  <c r="A1306" i="4"/>
  <c r="A1299" i="4"/>
  <c r="A1291" i="4"/>
  <c r="A1284" i="4"/>
  <c r="A1277" i="4"/>
  <c r="A1270" i="4"/>
  <c r="A1263" i="4"/>
  <c r="A1255" i="4"/>
  <c r="A1248" i="4"/>
  <c r="A1241" i="4"/>
  <c r="A1234" i="4"/>
  <c r="A1227" i="4"/>
  <c r="A1219" i="4"/>
  <c r="A1212" i="4"/>
  <c r="A1205" i="4"/>
  <c r="A1198" i="4"/>
  <c r="A1191" i="4"/>
  <c r="A1183" i="4"/>
  <c r="A1176" i="4"/>
  <c r="A1169" i="4"/>
  <c r="A1162" i="4"/>
  <c r="A1155" i="4"/>
  <c r="A1147" i="4"/>
  <c r="A1140" i="4"/>
  <c r="A1133" i="4"/>
  <c r="A1126" i="4"/>
  <c r="A1119" i="4"/>
  <c r="A1111" i="4"/>
  <c r="A1104" i="4"/>
  <c r="A1097" i="4"/>
  <c r="A1090" i="4"/>
  <c r="A1083" i="4"/>
  <c r="A1075" i="4"/>
  <c r="A1068" i="4"/>
  <c r="A1061" i="4"/>
  <c r="A1054" i="4"/>
  <c r="A1047" i="4"/>
  <c r="A1039" i="4"/>
  <c r="B1032" i="4"/>
  <c r="A1026" i="4"/>
  <c r="B1019" i="4"/>
  <c r="B1013" i="4"/>
  <c r="B1007" i="4"/>
  <c r="B1001" i="4"/>
  <c r="B995" i="4"/>
  <c r="B989" i="4"/>
  <c r="B983" i="4"/>
  <c r="B977" i="4"/>
  <c r="B971" i="4"/>
  <c r="B965" i="4"/>
  <c r="B959" i="4"/>
  <c r="B953" i="4"/>
  <c r="A3512" i="5"/>
  <c r="B2650" i="5"/>
  <c r="B2082" i="5"/>
  <c r="A1752" i="5"/>
  <c r="B1465" i="5"/>
  <c r="A1339" i="5"/>
  <c r="A1224" i="5"/>
  <c r="B1109" i="5"/>
  <c r="B1007" i="5"/>
  <c r="B939" i="5"/>
  <c r="B873" i="5"/>
  <c r="B818" i="5"/>
  <c r="A764" i="5"/>
  <c r="B725" i="5"/>
  <c r="A688" i="5"/>
  <c r="B651" i="5"/>
  <c r="B610" i="5"/>
  <c r="B579" i="5"/>
  <c r="A544" i="5"/>
  <c r="B507" i="5"/>
  <c r="B466" i="5"/>
  <c r="A437" i="5"/>
  <c r="A407" i="5"/>
  <c r="A376" i="5"/>
  <c r="A341" i="5"/>
  <c r="B312" i="5"/>
  <c r="B282" i="5"/>
  <c r="B251" i="5"/>
  <c r="B216" i="5"/>
  <c r="B190" i="5"/>
  <c r="B160" i="5"/>
  <c r="B129" i="5"/>
  <c r="B94" i="5"/>
  <c r="A66" i="5"/>
  <c r="A42" i="5"/>
  <c r="A3211" i="5"/>
  <c r="A2607" i="5"/>
  <c r="B1972" i="5"/>
  <c r="A1704" i="5"/>
  <c r="A1447" i="5"/>
  <c r="A1321" i="5"/>
  <c r="A1188" i="5"/>
  <c r="A1093" i="5"/>
  <c r="B998" i="5"/>
  <c r="A929" i="5"/>
  <c r="B854" i="5"/>
  <c r="A811" i="5"/>
  <c r="B758" i="5"/>
  <c r="B720" i="5"/>
  <c r="A677" i="5"/>
  <c r="B645" i="5"/>
  <c r="B606" i="5"/>
  <c r="B574" i="5"/>
  <c r="A533" i="5"/>
  <c r="B501" i="5"/>
  <c r="B462" i="5"/>
  <c r="B432" i="5"/>
  <c r="B399" i="5"/>
  <c r="B370" i="5"/>
  <c r="B339" i="5"/>
  <c r="B310" i="5"/>
  <c r="A275" i="5"/>
  <c r="A246" i="5"/>
  <c r="A215" i="5"/>
  <c r="A186" i="5"/>
  <c r="B150" i="5"/>
  <c r="A124" i="5"/>
  <c r="B90" i="5"/>
  <c r="A64" i="5"/>
  <c r="B41" i="5"/>
  <c r="A18" i="5"/>
  <c r="A4449" i="4"/>
  <c r="A4432" i="4"/>
  <c r="A4413" i="4"/>
  <c r="B4395" i="4"/>
  <c r="B4379" i="4"/>
  <c r="B4361" i="4"/>
  <c r="B4345" i="4"/>
  <c r="A4331" i="4"/>
  <c r="B4313" i="4"/>
  <c r="B4297" i="4"/>
  <c r="A4283" i="4"/>
  <c r="B4265" i="4"/>
  <c r="B4249" i="4"/>
  <c r="A4235" i="4"/>
  <c r="B4217" i="4"/>
  <c r="B4201" i="4"/>
  <c r="A4187" i="4"/>
  <c r="B4169" i="4"/>
  <c r="B4153" i="4"/>
  <c r="A4139" i="4"/>
  <c r="B4121" i="4"/>
  <c r="B4105" i="4"/>
  <c r="A4091" i="4"/>
  <c r="B4073" i="4"/>
  <c r="B4057" i="4"/>
  <c r="A4043" i="4"/>
  <c r="B4025" i="4"/>
  <c r="B4009" i="4"/>
  <c r="A3995" i="4"/>
  <c r="B3977" i="4"/>
  <c r="B3961" i="4"/>
  <c r="A3947" i="4"/>
  <c r="B3929" i="4"/>
  <c r="B3913" i="4"/>
  <c r="A3899" i="4"/>
  <c r="B3881" i="4"/>
  <c r="B3865" i="4"/>
  <c r="A3851" i="4"/>
  <c r="B3833" i="4"/>
  <c r="B3817" i="4"/>
  <c r="A3803" i="4"/>
  <c r="B3785" i="4"/>
  <c r="B3769" i="4"/>
  <c r="A3755" i="4"/>
  <c r="B3737" i="4"/>
  <c r="B3721" i="4"/>
  <c r="A3707" i="4"/>
  <c r="B3689" i="4"/>
  <c r="B3673" i="4"/>
  <c r="A3659" i="4"/>
  <c r="B3641" i="4"/>
  <c r="B3625" i="4"/>
  <c r="A3611" i="4"/>
  <c r="B3593" i="4"/>
  <c r="B3577" i="4"/>
  <c r="B3563" i="4"/>
  <c r="B3547" i="4"/>
  <c r="A3534" i="4"/>
  <c r="B3520" i="4"/>
  <c r="B3504" i="4"/>
  <c r="A3491" i="4"/>
  <c r="B3477" i="4"/>
  <c r="B3461" i="4"/>
  <c r="A3448" i="4"/>
  <c r="B3433" i="4"/>
  <c r="B3418" i="4"/>
  <c r="B3404" i="4"/>
  <c r="B3390" i="4"/>
  <c r="A3376" i="4"/>
  <c r="B3364" i="4"/>
  <c r="A3353" i="4"/>
  <c r="A3340" i="4"/>
  <c r="B3328" i="4"/>
  <c r="A3317" i="4"/>
  <c r="A3304" i="4"/>
  <c r="B3292" i="4"/>
  <c r="A3281" i="4"/>
  <c r="A3268" i="4"/>
  <c r="B3256" i="4"/>
  <c r="A3245" i="4"/>
  <c r="A3232" i="4"/>
  <c r="B3220" i="4"/>
  <c r="A3209" i="4"/>
  <c r="A3196" i="4"/>
  <c r="B3184" i="4"/>
  <c r="A3173" i="4"/>
  <c r="A3160" i="4"/>
  <c r="B3148" i="4"/>
  <c r="A3138" i="4"/>
  <c r="A3126" i="4"/>
  <c r="A3116" i="4"/>
  <c r="B3106" i="4"/>
  <c r="B3094" i="4"/>
  <c r="A3084" i="4"/>
  <c r="A3074" i="4"/>
  <c r="A3062" i="4"/>
  <c r="B3052" i="4"/>
  <c r="A3042" i="4"/>
  <c r="A3030" i="4"/>
  <c r="A3020" i="4"/>
  <c r="B3010" i="4"/>
  <c r="B2998" i="4"/>
  <c r="A2988" i="4"/>
  <c r="A2978" i="4"/>
  <c r="B2966" i="4"/>
  <c r="A2958" i="4"/>
  <c r="B2948" i="4"/>
  <c r="B2938" i="4"/>
  <c r="A2929" i="4"/>
  <c r="B2920" i="4"/>
  <c r="B2909" i="4"/>
  <c r="A2900" i="4"/>
  <c r="B2891" i="4"/>
  <c r="B2880" i="4"/>
  <c r="A2872" i="4"/>
  <c r="B2862" i="4"/>
  <c r="B2851" i="4"/>
  <c r="A2843" i="4"/>
  <c r="B2833" i="4"/>
  <c r="B2822" i="4"/>
  <c r="A2814" i="4"/>
  <c r="A2806" i="4"/>
  <c r="A2796" i="4"/>
  <c r="A2788" i="4"/>
  <c r="B2779" i="4"/>
  <c r="A2770" i="4"/>
  <c r="B2761" i="4"/>
  <c r="B2753" i="4"/>
  <c r="B2743" i="4"/>
  <c r="B2735" i="4"/>
  <c r="A2727" i="4"/>
  <c r="B2717" i="4"/>
  <c r="A2709" i="4"/>
  <c r="A2701" i="4"/>
  <c r="A2691" i="4"/>
  <c r="A2683" i="4"/>
  <c r="A2675" i="4"/>
  <c r="A2665" i="4"/>
  <c r="B2657" i="4"/>
  <c r="A2650" i="4"/>
  <c r="A2641" i="4"/>
  <c r="B2633" i="4"/>
  <c r="A2626" i="4"/>
  <c r="A2617" i="4"/>
  <c r="B2609" i="4"/>
  <c r="A2602" i="4"/>
  <c r="A2593" i="4"/>
  <c r="B2585" i="4"/>
  <c r="A2578" i="4"/>
  <c r="A2569" i="4"/>
  <c r="B2561" i="4"/>
  <c r="A2554" i="4"/>
  <c r="A2545" i="4"/>
  <c r="B2537" i="4"/>
  <c r="A2530" i="4"/>
  <c r="A2521" i="4"/>
  <c r="B2513" i="4"/>
  <c r="A2506" i="4"/>
  <c r="A2497" i="4"/>
  <c r="B2489" i="4"/>
  <c r="A2482" i="4"/>
  <c r="A2473" i="4"/>
  <c r="B2465" i="4"/>
  <c r="A2458" i="4"/>
  <c r="A2449" i="4"/>
  <c r="B2441" i="4"/>
  <c r="A2434" i="4"/>
  <c r="A2425" i="4"/>
  <c r="B2417" i="4"/>
  <c r="A2410" i="4"/>
  <c r="A2401" i="4"/>
  <c r="B2393" i="4"/>
  <c r="A2386" i="4"/>
  <c r="A2377" i="4"/>
  <c r="B2369" i="4"/>
  <c r="A2362" i="4"/>
  <c r="A2353" i="4"/>
  <c r="B2345" i="4"/>
  <c r="A2338" i="4"/>
  <c r="A2329" i="4"/>
  <c r="B2321" i="4"/>
  <c r="A2314" i="4"/>
  <c r="A2305" i="4"/>
  <c r="B2297" i="4"/>
  <c r="A2290" i="4"/>
  <c r="A2281" i="4"/>
  <c r="B2273" i="4"/>
  <c r="A2266" i="4"/>
  <c r="A2257" i="4"/>
  <c r="B2249" i="4"/>
  <c r="A2242" i="4"/>
  <c r="A2233" i="4"/>
  <c r="B2225" i="4"/>
  <c r="A2218" i="4"/>
  <c r="A2209" i="4"/>
  <c r="B2201" i="4"/>
  <c r="A2194" i="4"/>
  <c r="A2185" i="4"/>
  <c r="B2177" i="4"/>
  <c r="A2170" i="4"/>
  <c r="A2161" i="4"/>
  <c r="B2153" i="4"/>
  <c r="A2146" i="4"/>
  <c r="A2137" i="4"/>
  <c r="B2129" i="4"/>
  <c r="A2122" i="4"/>
  <c r="A2113" i="4"/>
  <c r="B2105" i="4"/>
  <c r="A2098" i="4"/>
  <c r="A2089" i="4"/>
  <c r="A2082" i="4"/>
  <c r="A2075" i="4"/>
  <c r="A2068" i="4"/>
  <c r="A2061" i="4"/>
  <c r="A2053" i="4"/>
  <c r="A2046" i="4"/>
  <c r="A2039" i="4"/>
  <c r="A2032" i="4"/>
  <c r="A2025" i="4"/>
  <c r="A2017" i="4"/>
  <c r="A2010" i="4"/>
  <c r="A2003" i="4"/>
  <c r="A1996" i="4"/>
  <c r="A1989" i="4"/>
  <c r="A1981" i="4"/>
  <c r="A1974" i="4"/>
  <c r="A1967" i="4"/>
  <c r="A1960" i="4"/>
  <c r="A1953" i="4"/>
  <c r="A1945" i="4"/>
  <c r="A1938" i="4"/>
  <c r="A1931" i="4"/>
  <c r="A1924" i="4"/>
  <c r="A1917" i="4"/>
  <c r="A1909" i="4"/>
  <c r="A1902" i="4"/>
  <c r="A1895" i="4"/>
  <c r="A1888" i="4"/>
  <c r="A1881" i="4"/>
  <c r="A1873" i="4"/>
  <c r="A1866" i="4"/>
  <c r="A1859" i="4"/>
  <c r="A1852" i="4"/>
  <c r="A1845" i="4"/>
  <c r="A1837" i="4"/>
  <c r="A1830" i="4"/>
  <c r="A1823" i="4"/>
  <c r="A1816" i="4"/>
  <c r="A1809" i="4"/>
  <c r="A1801" i="4"/>
  <c r="A1794" i="4"/>
  <c r="A1787" i="4"/>
  <c r="A1780" i="4"/>
  <c r="A1773" i="4"/>
  <c r="A1765" i="4"/>
  <c r="A1758" i="4"/>
  <c r="A1751" i="4"/>
  <c r="A1744" i="4"/>
  <c r="A1737" i="4"/>
  <c r="A1729" i="4"/>
  <c r="A1722" i="4"/>
  <c r="A1715" i="4"/>
  <c r="A1708" i="4"/>
  <c r="A1701" i="4"/>
  <c r="A1693" i="4"/>
  <c r="A1686" i="4"/>
  <c r="A1679" i="4"/>
  <c r="A1672" i="4"/>
  <c r="A1665" i="4"/>
  <c r="A1657" i="4"/>
  <c r="A1650" i="4"/>
  <c r="A1643" i="4"/>
  <c r="A1636" i="4"/>
  <c r="A1629" i="4"/>
  <c r="A1621" i="4"/>
  <c r="A1614" i="4"/>
  <c r="A1607" i="4"/>
  <c r="A1600" i="4"/>
  <c r="A1593" i="4"/>
  <c r="A1585" i="4"/>
  <c r="A1578" i="4"/>
  <c r="A1571" i="4"/>
  <c r="A1564" i="4"/>
  <c r="A1557" i="4"/>
  <c r="A1549" i="4"/>
  <c r="A1542" i="4"/>
  <c r="A1535" i="4"/>
  <c r="A1528" i="4"/>
  <c r="A1521" i="4"/>
  <c r="A1513" i="4"/>
  <c r="A1506" i="4"/>
  <c r="A1499" i="4"/>
  <c r="A1492" i="4"/>
  <c r="A1485" i="4"/>
  <c r="A1477" i="4"/>
  <c r="A1470" i="4"/>
  <c r="A1463" i="4"/>
  <c r="A1456" i="4"/>
  <c r="A1449" i="4"/>
  <c r="A1441" i="4"/>
  <c r="A1434" i="4"/>
  <c r="A1427" i="4"/>
  <c r="A1420" i="4"/>
  <c r="A1413" i="4"/>
  <c r="A1405" i="4"/>
  <c r="A1398" i="4"/>
  <c r="A1391" i="4"/>
  <c r="A1384" i="4"/>
  <c r="A1377" i="4"/>
  <c r="A1369" i="4"/>
  <c r="A1362" i="4"/>
  <c r="A1355" i="4"/>
  <c r="A1348" i="4"/>
  <c r="A1341" i="4"/>
  <c r="A1333" i="4"/>
  <c r="A1326" i="4"/>
  <c r="A1319" i="4"/>
  <c r="A1312" i="4"/>
  <c r="A1305" i="4"/>
  <c r="A1297" i="4"/>
  <c r="A1290" i="4"/>
  <c r="A1283" i="4"/>
  <c r="A1276" i="4"/>
  <c r="A1269" i="4"/>
  <c r="A1261" i="4"/>
  <c r="A1254" i="4"/>
  <c r="A1247" i="4"/>
  <c r="A1240" i="4"/>
  <c r="A1233" i="4"/>
  <c r="A1225" i="4"/>
  <c r="A1218" i="4"/>
  <c r="A1211" i="4"/>
  <c r="A1204" i="4"/>
  <c r="A1197" i="4"/>
  <c r="A1189" i="4"/>
  <c r="A1182" i="4"/>
  <c r="A1175" i="4"/>
  <c r="A1168" i="4"/>
  <c r="A1161" i="4"/>
  <c r="A1153" i="4"/>
  <c r="A1146" i="4"/>
  <c r="A1139" i="4"/>
  <c r="A1132" i="4"/>
  <c r="A1125" i="4"/>
  <c r="A1117" i="4"/>
  <c r="A1110" i="4"/>
  <c r="A1103" i="4"/>
  <c r="A1096" i="4"/>
  <c r="A1089" i="4"/>
  <c r="A1081" i="4"/>
  <c r="A1074" i="4"/>
  <c r="A1067" i="4"/>
  <c r="A1060" i="4"/>
  <c r="A1053" i="4"/>
  <c r="A1045" i="4"/>
  <c r="A1038" i="4"/>
  <c r="B1031" i="4"/>
  <c r="A1025" i="4"/>
  <c r="B1018" i="4"/>
  <c r="B1012" i="4"/>
  <c r="B1006" i="4"/>
  <c r="B1000" i="4"/>
  <c r="B994" i="4"/>
  <c r="B988" i="4"/>
  <c r="B982" i="4"/>
  <c r="B976" i="4"/>
  <c r="B970" i="4"/>
  <c r="B964" i="4"/>
  <c r="B958" i="4"/>
  <c r="B952" i="4"/>
  <c r="B3128" i="5"/>
  <c r="A2564" i="5"/>
  <c r="A1946" i="5"/>
  <c r="B1657" i="5"/>
  <c r="A1434" i="5"/>
  <c r="B1302" i="5"/>
  <c r="A1187" i="5"/>
  <c r="A1080" i="5"/>
  <c r="A992" i="5"/>
  <c r="A920" i="5"/>
  <c r="B853" i="5"/>
  <c r="A805" i="5"/>
  <c r="A755" i="5"/>
  <c r="B714" i="5"/>
  <c r="A676" i="5"/>
  <c r="A641" i="5"/>
  <c r="A604" i="5"/>
  <c r="A569" i="5"/>
  <c r="A532" i="5"/>
  <c r="A497" i="5"/>
  <c r="A460" i="5"/>
  <c r="A430" i="5"/>
  <c r="A396" i="5"/>
  <c r="B366" i="5"/>
  <c r="A335" i="5"/>
  <c r="B305" i="5"/>
  <c r="A274" i="5"/>
  <c r="B244" i="5"/>
  <c r="B210" i="5"/>
  <c r="B183" i="5"/>
  <c r="B149" i="5"/>
  <c r="A120" i="5"/>
  <c r="B88" i="5"/>
  <c r="A60" i="5"/>
  <c r="B33" i="5"/>
  <c r="A16" i="5"/>
  <c r="A4446" i="4"/>
  <c r="B4425" i="4"/>
  <c r="B4410" i="4"/>
  <c r="B4393" i="4"/>
  <c r="A4373" i="4"/>
  <c r="B4359" i="4"/>
  <c r="B4343" i="4"/>
  <c r="A4325" i="4"/>
  <c r="B4311" i="4"/>
  <c r="B4295" i="4"/>
  <c r="A4277" i="4"/>
  <c r="B4263" i="4"/>
  <c r="B4247" i="4"/>
  <c r="A4229" i="4"/>
  <c r="B4215" i="4"/>
  <c r="B4199" i="4"/>
  <c r="A4181" i="4"/>
  <c r="B4167" i="4"/>
  <c r="B4151" i="4"/>
  <c r="A4133" i="4"/>
  <c r="B4119" i="4"/>
  <c r="B4103" i="4"/>
  <c r="A4085" i="4"/>
  <c r="B4071" i="4"/>
  <c r="B4055" i="4"/>
  <c r="A4037" i="4"/>
  <c r="B4023" i="4"/>
  <c r="B4007" i="4"/>
  <c r="A3989" i="4"/>
  <c r="B3975" i="4"/>
  <c r="B3959" i="4"/>
  <c r="A3941" i="4"/>
  <c r="B3927" i="4"/>
  <c r="B3911" i="4"/>
  <c r="A3893" i="4"/>
  <c r="B3879" i="4"/>
  <c r="B3863" i="4"/>
  <c r="A3845" i="4"/>
  <c r="B3831" i="4"/>
  <c r="B3815" i="4"/>
  <c r="A3797" i="4"/>
  <c r="B3783" i="4"/>
  <c r="B3767" i="4"/>
  <c r="A3749" i="4"/>
  <c r="B3735" i="4"/>
  <c r="B3719" i="4"/>
  <c r="A3701" i="4"/>
  <c r="B3687" i="4"/>
  <c r="B3671" i="4"/>
  <c r="A3653" i="4"/>
  <c r="B3639" i="4"/>
  <c r="B3623" i="4"/>
  <c r="A3605" i="4"/>
  <c r="B3591" i="4"/>
  <c r="B3575" i="4"/>
  <c r="A3558" i="4"/>
  <c r="B3545" i="4"/>
  <c r="A3532" i="4"/>
  <c r="A3515" i="4"/>
  <c r="B3502" i="4"/>
  <c r="B3488" i="4"/>
  <c r="A3472" i="4"/>
  <c r="B3459" i="4"/>
  <c r="A3445" i="4"/>
  <c r="B3428" i="4"/>
  <c r="B3415" i="4"/>
  <c r="A3402" i="4"/>
  <c r="A3385" i="4"/>
  <c r="A3374" i="4"/>
  <c r="B3362" i="4"/>
  <c r="B3348" i="4"/>
  <c r="A3338" i="4"/>
  <c r="B3326" i="4"/>
  <c r="B3312" i="4"/>
  <c r="A3302" i="4"/>
  <c r="B3290" i="4"/>
  <c r="B3276" i="4"/>
  <c r="A3266" i="4"/>
  <c r="B3254" i="4"/>
  <c r="B3240" i="4"/>
  <c r="A3230" i="4"/>
  <c r="B3218" i="4"/>
  <c r="B3204" i="4"/>
  <c r="A3194" i="4"/>
  <c r="B3182" i="4"/>
  <c r="B3168" i="4"/>
  <c r="A3158" i="4"/>
  <c r="B3146" i="4"/>
  <c r="B3134" i="4"/>
  <c r="A3125" i="4"/>
  <c r="B3114" i="4"/>
  <c r="B3102" i="4"/>
  <c r="B3092" i="4"/>
  <c r="A3083" i="4"/>
  <c r="A3071" i="4"/>
  <c r="B3060" i="4"/>
  <c r="B3050" i="4"/>
  <c r="B3038" i="4"/>
  <c r="A3029" i="4"/>
  <c r="B3018" i="4"/>
  <c r="B3006" i="4"/>
  <c r="B2996" i="4"/>
  <c r="A2987" i="4"/>
  <c r="A2975" i="4"/>
  <c r="B2965" i="4"/>
  <c r="A2957" i="4"/>
  <c r="A2946" i="4"/>
  <c r="B2936" i="4"/>
  <c r="A2928" i="4"/>
  <c r="A2917" i="4"/>
  <c r="B2908" i="4"/>
  <c r="A2899" i="4"/>
  <c r="A2888" i="4"/>
  <c r="B2879" i="4"/>
  <c r="A2870" i="4"/>
  <c r="A2860" i="4"/>
  <c r="B2850" i="4"/>
  <c r="A2842" i="4"/>
  <c r="A2831" i="4"/>
  <c r="B2821" i="4"/>
  <c r="A2813" i="4"/>
  <c r="A2803" i="4"/>
  <c r="A2795" i="4"/>
  <c r="B2786" i="4"/>
  <c r="A2777" i="4"/>
  <c r="B2768" i="4"/>
  <c r="B2760" i="4"/>
  <c r="B2750" i="4"/>
  <c r="B2742" i="4"/>
  <c r="B2734" i="4"/>
  <c r="B2724" i="4"/>
  <c r="B2716" i="4"/>
  <c r="A2708" i="4"/>
  <c r="B2698" i="4"/>
  <c r="A2690" i="4"/>
  <c r="A2682" i="4"/>
  <c r="A2672" i="4"/>
  <c r="A2664" i="4"/>
  <c r="B2656" i="4"/>
  <c r="B2647" i="4"/>
  <c r="A2640" i="4"/>
  <c r="B2632" i="4"/>
  <c r="B2623" i="4"/>
  <c r="A2616" i="4"/>
  <c r="B2608" i="4"/>
  <c r="B2599" i="4"/>
  <c r="A2592" i="4"/>
  <c r="B2584" i="4"/>
  <c r="B2575" i="4"/>
  <c r="A2568" i="4"/>
  <c r="B2560" i="4"/>
  <c r="B2551" i="4"/>
  <c r="A2544" i="4"/>
  <c r="B2536" i="4"/>
  <c r="B2527" i="4"/>
  <c r="A2520" i="4"/>
  <c r="B2512" i="4"/>
  <c r="B2503" i="4"/>
  <c r="A2496" i="4"/>
  <c r="B2488" i="4"/>
  <c r="B2479" i="4"/>
  <c r="A2472" i="4"/>
  <c r="B2464" i="4"/>
  <c r="B2455" i="4"/>
  <c r="A2448" i="4"/>
  <c r="B2440" i="4"/>
  <c r="B2431" i="4"/>
  <c r="A2424" i="4"/>
  <c r="B2416" i="4"/>
  <c r="B2407" i="4"/>
  <c r="A2400" i="4"/>
  <c r="B2392" i="4"/>
  <c r="B2383" i="4"/>
  <c r="A2376" i="4"/>
  <c r="B2368" i="4"/>
  <c r="B2359" i="4"/>
  <c r="A2352" i="4"/>
  <c r="B2344" i="4"/>
  <c r="B2335" i="4"/>
  <c r="A2328" i="4"/>
  <c r="B2320" i="4"/>
  <c r="B2311" i="4"/>
  <c r="A2304" i="4"/>
  <c r="B2296" i="4"/>
  <c r="B2287" i="4"/>
  <c r="A2280" i="4"/>
  <c r="B2272" i="4"/>
  <c r="B2263" i="4"/>
  <c r="A2256" i="4"/>
  <c r="B2248" i="4"/>
  <c r="B2239" i="4"/>
  <c r="A2232" i="4"/>
  <c r="B2224" i="4"/>
  <c r="B2215" i="4"/>
  <c r="A2208" i="4"/>
  <c r="B2200" i="4"/>
  <c r="B2191" i="4"/>
  <c r="A2184" i="4"/>
  <c r="B2176" i="4"/>
  <c r="B2167" i="4"/>
  <c r="A2160" i="4"/>
  <c r="B2152" i="4"/>
  <c r="B2143" i="4"/>
  <c r="A2136" i="4"/>
  <c r="B2128" i="4"/>
  <c r="B2119" i="4"/>
  <c r="A2112" i="4"/>
  <c r="B2104" i="4"/>
  <c r="B2095" i="4"/>
  <c r="A2088" i="4"/>
  <c r="A2081" i="4"/>
  <c r="A2074" i="4"/>
  <c r="A2067" i="4"/>
  <c r="A2059" i="4"/>
  <c r="A2052" i="4"/>
  <c r="A2045" i="4"/>
  <c r="A2038" i="4"/>
  <c r="A2031" i="4"/>
  <c r="A2023" i="4"/>
  <c r="A2016" i="4"/>
  <c r="A2009" i="4"/>
  <c r="A2002" i="4"/>
  <c r="A1995" i="4"/>
  <c r="A1987" i="4"/>
  <c r="A1980" i="4"/>
  <c r="A1973" i="4"/>
  <c r="A1966" i="4"/>
  <c r="A1959" i="4"/>
  <c r="A1951" i="4"/>
  <c r="A1944" i="4"/>
  <c r="A1937" i="4"/>
  <c r="A1930" i="4"/>
  <c r="A1923" i="4"/>
  <c r="A1915" i="4"/>
  <c r="A1908" i="4"/>
  <c r="A1901" i="4"/>
  <c r="A1894" i="4"/>
  <c r="A1887" i="4"/>
  <c r="A1879" i="4"/>
  <c r="A1872" i="4"/>
  <c r="A1865" i="4"/>
  <c r="A1858" i="4"/>
  <c r="A1851" i="4"/>
  <c r="A1843" i="4"/>
  <c r="A1836" i="4"/>
  <c r="A1829" i="4"/>
  <c r="A1822" i="4"/>
  <c r="A1815" i="4"/>
  <c r="A1807" i="4"/>
  <c r="A1800" i="4"/>
  <c r="A1793" i="4"/>
  <c r="A1786" i="4"/>
  <c r="A1779" i="4"/>
  <c r="A1771" i="4"/>
  <c r="A1764" i="4"/>
  <c r="A1757" i="4"/>
  <c r="A1750" i="4"/>
  <c r="A1743" i="4"/>
  <c r="A1735" i="4"/>
  <c r="A1728" i="4"/>
  <c r="A1721" i="4"/>
  <c r="A1714" i="4"/>
  <c r="A1707" i="4"/>
  <c r="A1699" i="4"/>
  <c r="A1692" i="4"/>
  <c r="A1685" i="4"/>
  <c r="A1678" i="4"/>
  <c r="A1671" i="4"/>
  <c r="A1663" i="4"/>
  <c r="A1656" i="4"/>
  <c r="A1649" i="4"/>
  <c r="A1642" i="4"/>
  <c r="A1635" i="4"/>
  <c r="A1627" i="4"/>
  <c r="A1620" i="4"/>
  <c r="A1613" i="4"/>
  <c r="A1606" i="4"/>
  <c r="A1599" i="4"/>
  <c r="A1591" i="4"/>
  <c r="A1584" i="4"/>
  <c r="A1577" i="4"/>
  <c r="A1570" i="4"/>
  <c r="A1563" i="4"/>
  <c r="A1555" i="4"/>
  <c r="A1548" i="4"/>
  <c r="A1541" i="4"/>
  <c r="A1534" i="4"/>
  <c r="A1527" i="4"/>
  <c r="A1519" i="4"/>
  <c r="A1512" i="4"/>
  <c r="A1505" i="4"/>
  <c r="A1498" i="4"/>
  <c r="A1491" i="4"/>
  <c r="A1483" i="4"/>
  <c r="A1476" i="4"/>
  <c r="A1469" i="4"/>
  <c r="A1462" i="4"/>
  <c r="A1455" i="4"/>
  <c r="A1447" i="4"/>
  <c r="A1440" i="4"/>
  <c r="A1433" i="4"/>
  <c r="A1426" i="4"/>
  <c r="A1419" i="4"/>
  <c r="A1411" i="4"/>
  <c r="A1404" i="4"/>
  <c r="A1397" i="4"/>
  <c r="A1390" i="4"/>
  <c r="A1383" i="4"/>
  <c r="A1375" i="4"/>
  <c r="A1368" i="4"/>
  <c r="A1361" i="4"/>
  <c r="A1354" i="4"/>
  <c r="A1347" i="4"/>
  <c r="A1339" i="4"/>
  <c r="A1332" i="4"/>
  <c r="A1325" i="4"/>
  <c r="A1318" i="4"/>
  <c r="A1311" i="4"/>
  <c r="A1303" i="4"/>
  <c r="A1296" i="4"/>
  <c r="A1289" i="4"/>
  <c r="A1282" i="4"/>
  <c r="A1275" i="4"/>
  <c r="A1267" i="4"/>
  <c r="A1260" i="4"/>
  <c r="A1253" i="4"/>
  <c r="A1246" i="4"/>
  <c r="A1239" i="4"/>
  <c r="A1231" i="4"/>
  <c r="A1224" i="4"/>
  <c r="A1217" i="4"/>
  <c r="A1210" i="4"/>
  <c r="A1203" i="4"/>
  <c r="A1195" i="4"/>
  <c r="A1188" i="4"/>
  <c r="A1181" i="4"/>
  <c r="A1174" i="4"/>
  <c r="A1167" i="4"/>
  <c r="A1159" i="4"/>
  <c r="A1152" i="4"/>
  <c r="A1145" i="4"/>
  <c r="A1138" i="4"/>
  <c r="A1131" i="4"/>
  <c r="A1123" i="4"/>
  <c r="A1116" i="4"/>
  <c r="A1109" i="4"/>
  <c r="A1102" i="4"/>
  <c r="A1095" i="4"/>
  <c r="A1087" i="4"/>
  <c r="A1080" i="4"/>
  <c r="A1073" i="4"/>
  <c r="A1066" i="4"/>
  <c r="A1059" i="4"/>
  <c r="A1051" i="4"/>
  <c r="A1044" i="4"/>
  <c r="A1037" i="4"/>
  <c r="B1030" i="4"/>
  <c r="A1024" i="4"/>
  <c r="B1017" i="4"/>
  <c r="B1011" i="4"/>
  <c r="B1005" i="4"/>
  <c r="B999" i="4"/>
  <c r="B993" i="4"/>
  <c r="B987" i="4"/>
  <c r="B981" i="4"/>
  <c r="B975" i="4"/>
  <c r="B969" i="4"/>
  <c r="B963" i="4"/>
  <c r="B957" i="4"/>
  <c r="B951" i="4"/>
  <c r="B945" i="4"/>
  <c r="B939" i="4"/>
  <c r="B933" i="4"/>
  <c r="B927" i="4"/>
  <c r="B921" i="4"/>
  <c r="B915" i="4"/>
  <c r="B909" i="4"/>
  <c r="B903" i="4"/>
  <c r="B897" i="4"/>
  <c r="B891" i="4"/>
  <c r="B885" i="4"/>
  <c r="B879" i="4"/>
  <c r="B873" i="4"/>
  <c r="B867" i="4"/>
  <c r="B861" i="4"/>
  <c r="B855" i="4"/>
  <c r="B849" i="4"/>
  <c r="B843" i="4"/>
  <c r="B837" i="4"/>
  <c r="B831" i="4"/>
  <c r="B825" i="4"/>
  <c r="B819" i="4"/>
  <c r="B813" i="4"/>
  <c r="B807" i="4"/>
  <c r="B801" i="4"/>
  <c r="B795" i="4"/>
  <c r="B789" i="4"/>
  <c r="B783" i="4"/>
  <c r="B777" i="4"/>
  <c r="B771" i="4"/>
  <c r="B765" i="4"/>
  <c r="B759" i="4"/>
  <c r="B753" i="4"/>
  <c r="B747" i="4"/>
  <c r="B741" i="4"/>
  <c r="B735" i="4"/>
  <c r="B729" i="4"/>
  <c r="B723" i="4"/>
  <c r="B717" i="4"/>
  <c r="B711" i="4"/>
  <c r="B705" i="4"/>
  <c r="B699" i="4"/>
  <c r="B693" i="4"/>
  <c r="B687" i="4"/>
  <c r="B681" i="4"/>
  <c r="B675" i="4"/>
  <c r="B669" i="4"/>
  <c r="B663" i="4"/>
  <c r="B657" i="4"/>
  <c r="B651" i="4"/>
  <c r="B645" i="4"/>
  <c r="B639" i="4"/>
  <c r="B633" i="4"/>
  <c r="B627" i="4"/>
  <c r="B621" i="4"/>
  <c r="B615" i="4"/>
  <c r="B609" i="4"/>
  <c r="B603" i="4"/>
  <c r="B597" i="4"/>
  <c r="B591" i="4"/>
  <c r="B585" i="4"/>
  <c r="B579" i="4"/>
  <c r="B573" i="4"/>
  <c r="B567" i="4"/>
  <c r="B561" i="4"/>
  <c r="B555" i="4"/>
  <c r="B549" i="4"/>
  <c r="B543" i="4"/>
  <c r="B537" i="4"/>
  <c r="B531" i="4"/>
  <c r="B525" i="4"/>
  <c r="B519" i="4"/>
  <c r="B513" i="4"/>
  <c r="B507" i="4"/>
  <c r="B501" i="4"/>
  <c r="B495" i="4"/>
  <c r="B489" i="4"/>
  <c r="B483" i="4"/>
  <c r="B477" i="4"/>
  <c r="B3123" i="5"/>
  <c r="B2406" i="5"/>
  <c r="B1945" i="5"/>
  <c r="B1656" i="5"/>
  <c r="B1430" i="5"/>
  <c r="B1283" i="5"/>
  <c r="B1184" i="5"/>
  <c r="A1079" i="5"/>
  <c r="B991" i="5"/>
  <c r="B907" i="5"/>
  <c r="B851" i="5"/>
  <c r="A803" i="5"/>
  <c r="B754" i="5"/>
  <c r="A707" i="5"/>
  <c r="B675" i="5"/>
  <c r="A640" i="5"/>
  <c r="B603" i="5"/>
  <c r="B562" i="5"/>
  <c r="B531" i="5"/>
  <c r="A496" i="5"/>
  <c r="B459" i="5"/>
  <c r="A424" i="5"/>
  <c r="B395" i="5"/>
  <c r="B365" i="5"/>
  <c r="B334" i="5"/>
  <c r="B299" i="5"/>
  <c r="B273" i="5"/>
  <c r="B243" i="5"/>
  <c r="A210" i="5"/>
  <c r="B177" i="5"/>
  <c r="A149" i="5"/>
  <c r="A119" i="5"/>
  <c r="A88" i="5"/>
  <c r="B59" i="5"/>
  <c r="B31" i="5"/>
  <c r="A12" i="5"/>
  <c r="B4445" i="4"/>
  <c r="A4425" i="4"/>
  <c r="B4407" i="4"/>
  <c r="B4392" i="4"/>
  <c r="B4372" i="4"/>
  <c r="B4356" i="4"/>
  <c r="A4343" i="4"/>
  <c r="B4324" i="4"/>
  <c r="B4308" i="4"/>
  <c r="A4295" i="4"/>
  <c r="B4276" i="4"/>
  <c r="B4260" i="4"/>
  <c r="A4247" i="4"/>
  <c r="B4228" i="4"/>
  <c r="B4212" i="4"/>
  <c r="A4199" i="4"/>
  <c r="B4180" i="4"/>
  <c r="B4164" i="4"/>
  <c r="A4151" i="4"/>
  <c r="B4132" i="4"/>
  <c r="B4116" i="4"/>
  <c r="A4103" i="4"/>
  <c r="B4084" i="4"/>
  <c r="B4068" i="4"/>
  <c r="A4055" i="4"/>
  <c r="B4036" i="4"/>
  <c r="B4020" i="4"/>
  <c r="A4007" i="4"/>
  <c r="B3988" i="4"/>
  <c r="B3972" i="4"/>
  <c r="A3959" i="4"/>
  <c r="B3940" i="4"/>
  <c r="B3924" i="4"/>
  <c r="A3911" i="4"/>
  <c r="B3892" i="4"/>
  <c r="B3876" i="4"/>
  <c r="A3863" i="4"/>
  <c r="B3844" i="4"/>
  <c r="B3828" i="4"/>
  <c r="A3815" i="4"/>
  <c r="B3796" i="4"/>
  <c r="B3780" i="4"/>
  <c r="A3767" i="4"/>
  <c r="B3748" i="4"/>
  <c r="B3732" i="4"/>
  <c r="A3719" i="4"/>
  <c r="B3700" i="4"/>
  <c r="B3684" i="4"/>
  <c r="A3671" i="4"/>
  <c r="B3652" i="4"/>
  <c r="B3636" i="4"/>
  <c r="A3623" i="4"/>
  <c r="B3604" i="4"/>
  <c r="B3588" i="4"/>
  <c r="A3575" i="4"/>
  <c r="B3557" i="4"/>
  <c r="A3544" i="4"/>
  <c r="B3531" i="4"/>
  <c r="B3514" i="4"/>
  <c r="B3500" i="4"/>
  <c r="B3487" i="4"/>
  <c r="B3471" i="4"/>
  <c r="A3457" i="4"/>
  <c r="B3444" i="4"/>
  <c r="B3427" i="4"/>
  <c r="A3414" i="4"/>
  <c r="B3401" i="4"/>
  <c r="B3384" i="4"/>
  <c r="B3372" i="4"/>
  <c r="A3362" i="4"/>
  <c r="A3348" i="4"/>
  <c r="B3336" i="4"/>
  <c r="A3326" i="4"/>
  <c r="A3312" i="4"/>
  <c r="B3300" i="4"/>
  <c r="A3290" i="4"/>
  <c r="A3276" i="4"/>
  <c r="B3264" i="4"/>
  <c r="A3254" i="4"/>
  <c r="A3240" i="4"/>
  <c r="B3228" i="4"/>
  <c r="A3218" i="4"/>
  <c r="A3204" i="4"/>
  <c r="B3192" i="4"/>
  <c r="A3182" i="4"/>
  <c r="A3168" i="4"/>
  <c r="B3156" i="4"/>
  <c r="A3146" i="4"/>
  <c r="A3134" i="4"/>
  <c r="B3124" i="4"/>
  <c r="A3114" i="4"/>
  <c r="A3102" i="4"/>
  <c r="A3092" i="4"/>
  <c r="B3082" i="4"/>
  <c r="B3070" i="4"/>
  <c r="A3060" i="4"/>
  <c r="A3050" i="4"/>
  <c r="A3038" i="4"/>
  <c r="B3028" i="4"/>
  <c r="A3018" i="4"/>
  <c r="A3006" i="4"/>
  <c r="A2996" i="4"/>
  <c r="B2986" i="4"/>
  <c r="B2974" i="4"/>
  <c r="A2965" i="4"/>
  <c r="B2956" i="4"/>
  <c r="B2945" i="4"/>
  <c r="A2936" i="4"/>
  <c r="B2927" i="4"/>
  <c r="B2916" i="4"/>
  <c r="A2908" i="4"/>
  <c r="B2898" i="4"/>
  <c r="B2887" i="4"/>
  <c r="A2879" i="4"/>
  <c r="B2869" i="4"/>
  <c r="B2858" i="4"/>
  <c r="A2850" i="4"/>
  <c r="B2840" i="4"/>
  <c r="B2830" i="4"/>
  <c r="A2821" i="4"/>
  <c r="B2812" i="4"/>
  <c r="B2802" i="4"/>
  <c r="B2794" i="4"/>
  <c r="A2786" i="4"/>
  <c r="B2776" i="4"/>
  <c r="A2768" i="4"/>
  <c r="A2760" i="4"/>
  <c r="A2750" i="4"/>
  <c r="A2742" i="4"/>
  <c r="A2734" i="4"/>
  <c r="A2724" i="4"/>
  <c r="A2716" i="4"/>
  <c r="B2707" i="4"/>
  <c r="A2698" i="4"/>
  <c r="B2689" i="4"/>
  <c r="B2681" i="4"/>
  <c r="B2671" i="4"/>
  <c r="B2663" i="4"/>
  <c r="A2656" i="4"/>
  <c r="A2647" i="4"/>
  <c r="B2639" i="4"/>
  <c r="A2632" i="4"/>
  <c r="A2623" i="4"/>
  <c r="B2615" i="4"/>
  <c r="A2608" i="4"/>
  <c r="A2599" i="4"/>
  <c r="B2591" i="4"/>
  <c r="A2584" i="4"/>
  <c r="A2575" i="4"/>
  <c r="B2567" i="4"/>
  <c r="A2560" i="4"/>
  <c r="A2551" i="4"/>
  <c r="B2543" i="4"/>
  <c r="A2536" i="4"/>
  <c r="A2527" i="4"/>
  <c r="B2519" i="4"/>
  <c r="A2512" i="4"/>
  <c r="A2503" i="4"/>
  <c r="B2495" i="4"/>
  <c r="A2488" i="4"/>
  <c r="A2479" i="4"/>
  <c r="B2471" i="4"/>
  <c r="A2464" i="4"/>
  <c r="A2455" i="4"/>
  <c r="B2447" i="4"/>
  <c r="A2440" i="4"/>
  <c r="A2431" i="4"/>
  <c r="B2423" i="4"/>
  <c r="A2416" i="4"/>
  <c r="A2407" i="4"/>
  <c r="B2399" i="4"/>
  <c r="A2392" i="4"/>
  <c r="A2383" i="4"/>
  <c r="B2375" i="4"/>
  <c r="A2368" i="4"/>
  <c r="A2359" i="4"/>
  <c r="B2351" i="4"/>
  <c r="A2344" i="4"/>
  <c r="A2335" i="4"/>
  <c r="B2327" i="4"/>
  <c r="A2320" i="4"/>
  <c r="A2311" i="4"/>
  <c r="B2303" i="4"/>
  <c r="A2296" i="4"/>
  <c r="A2287" i="4"/>
  <c r="B2279" i="4"/>
  <c r="A2272" i="4"/>
  <c r="A2263" i="4"/>
  <c r="B2255" i="4"/>
  <c r="A2248" i="4"/>
  <c r="A2239" i="4"/>
  <c r="B2231" i="4"/>
  <c r="A2224" i="4"/>
  <c r="A2215" i="4"/>
  <c r="B2207" i="4"/>
  <c r="A2200" i="4"/>
  <c r="A2191" i="4"/>
  <c r="B2183" i="4"/>
  <c r="A2176" i="4"/>
  <c r="A2167" i="4"/>
  <c r="B2159" i="4"/>
  <c r="A2152" i="4"/>
  <c r="A2143" i="4"/>
  <c r="B2135" i="4"/>
  <c r="A2128" i="4"/>
  <c r="A2119" i="4"/>
  <c r="B2111" i="4"/>
  <c r="A2104" i="4"/>
  <c r="A2095" i="4"/>
  <c r="B2087" i="4"/>
  <c r="B2080" i="4"/>
  <c r="B2073" i="4"/>
  <c r="B2065" i="4"/>
  <c r="B2058" i="4"/>
  <c r="B2051" i="4"/>
  <c r="B2044" i="4"/>
  <c r="B2037" i="4"/>
  <c r="B2029" i="4"/>
  <c r="B2022" i="4"/>
  <c r="B2015" i="4"/>
  <c r="B2008" i="4"/>
  <c r="B2001" i="4"/>
  <c r="B1993" i="4"/>
  <c r="B1986" i="4"/>
  <c r="B1979" i="4"/>
  <c r="B1972" i="4"/>
  <c r="B1965" i="4"/>
  <c r="B1957" i="4"/>
  <c r="B1950" i="4"/>
  <c r="B1943" i="4"/>
  <c r="B1936" i="4"/>
  <c r="B1929" i="4"/>
  <c r="B1921" i="4"/>
  <c r="B1914" i="4"/>
  <c r="B1907" i="4"/>
  <c r="B1900" i="4"/>
  <c r="B1893" i="4"/>
  <c r="B1885" i="4"/>
  <c r="B1878" i="4"/>
  <c r="B1871" i="4"/>
  <c r="B1864" i="4"/>
  <c r="B1857" i="4"/>
  <c r="B1849" i="4"/>
  <c r="B1842" i="4"/>
  <c r="B1835" i="4"/>
  <c r="B1828" i="4"/>
  <c r="B1821" i="4"/>
  <c r="B1813" i="4"/>
  <c r="B1806" i="4"/>
  <c r="B1799" i="4"/>
  <c r="B1792" i="4"/>
  <c r="B1785" i="4"/>
  <c r="B1777" i="4"/>
  <c r="B1770" i="4"/>
  <c r="B1763" i="4"/>
  <c r="B1756" i="4"/>
  <c r="B1749" i="4"/>
  <c r="B1741" i="4"/>
  <c r="B1734" i="4"/>
  <c r="B1727" i="4"/>
  <c r="B1720" i="4"/>
  <c r="B1713" i="4"/>
  <c r="B1705" i="4"/>
  <c r="B1698" i="4"/>
  <c r="B1691" i="4"/>
  <c r="B1684" i="4"/>
  <c r="B1677" i="4"/>
  <c r="B1669" i="4"/>
  <c r="B1662" i="4"/>
  <c r="B1655" i="4"/>
  <c r="B1648" i="4"/>
  <c r="B1641" i="4"/>
  <c r="B1633" i="4"/>
  <c r="B1626" i="4"/>
  <c r="B1619" i="4"/>
  <c r="B1612" i="4"/>
  <c r="B1605" i="4"/>
  <c r="B1597" i="4"/>
  <c r="B1590" i="4"/>
  <c r="B1583" i="4"/>
  <c r="B1576" i="4"/>
  <c r="B1569" i="4"/>
  <c r="B1561" i="4"/>
  <c r="B1554" i="4"/>
  <c r="B1547" i="4"/>
  <c r="B1540" i="4"/>
  <c r="B1533" i="4"/>
  <c r="B1525" i="4"/>
  <c r="B1518" i="4"/>
  <c r="B1511" i="4"/>
  <c r="B1504" i="4"/>
  <c r="B1497" i="4"/>
  <c r="B1489" i="4"/>
  <c r="B1482" i="4"/>
  <c r="B1475" i="4"/>
  <c r="B1468" i="4"/>
  <c r="B1461" i="4"/>
  <c r="B1453" i="4"/>
  <c r="B1446" i="4"/>
  <c r="B1439" i="4"/>
  <c r="B1432" i="4"/>
  <c r="B1425" i="4"/>
  <c r="B1417" i="4"/>
  <c r="B1410" i="4"/>
  <c r="B1403" i="4"/>
  <c r="B1396" i="4"/>
  <c r="B1389" i="4"/>
  <c r="B1381" i="4"/>
  <c r="B1374" i="4"/>
  <c r="B1367" i="4"/>
  <c r="B1360" i="4"/>
  <c r="B1353" i="4"/>
  <c r="B1345" i="4"/>
  <c r="B1338" i="4"/>
  <c r="B1331" i="4"/>
  <c r="B1324" i="4"/>
  <c r="B1317" i="4"/>
  <c r="B1309" i="4"/>
  <c r="B1302" i="4"/>
  <c r="B1295" i="4"/>
  <c r="B1288" i="4"/>
  <c r="B1281" i="4"/>
  <c r="B1273" i="4"/>
  <c r="B1266" i="4"/>
  <c r="B1259" i="4"/>
  <c r="B1252" i="4"/>
  <c r="B1245" i="4"/>
  <c r="B1237" i="4"/>
  <c r="B1230" i="4"/>
  <c r="B1223" i="4"/>
  <c r="B1216" i="4"/>
  <c r="B1209" i="4"/>
  <c r="B1201" i="4"/>
  <c r="B1194" i="4"/>
  <c r="B1187" i="4"/>
  <c r="B1180" i="4"/>
  <c r="B1173" i="4"/>
  <c r="B1165" i="4"/>
  <c r="B1158" i="4"/>
  <c r="B1151" i="4"/>
  <c r="B1144" i="4"/>
  <c r="B1137" i="4"/>
  <c r="B1129" i="4"/>
  <c r="B1122" i="4"/>
  <c r="B1115" i="4"/>
  <c r="B1108" i="4"/>
  <c r="B1101" i="4"/>
  <c r="B1093" i="4"/>
  <c r="B1086" i="4"/>
  <c r="B1079" i="4"/>
  <c r="B1072" i="4"/>
  <c r="B1065" i="4"/>
  <c r="B1057" i="4"/>
  <c r="B1050" i="4"/>
  <c r="B1043" i="4"/>
  <c r="B1036" i="4"/>
  <c r="A1030" i="4"/>
  <c r="B1023" i="4"/>
  <c r="A1017" i="4"/>
  <c r="A1011" i="4"/>
  <c r="A1005" i="4"/>
  <c r="A999" i="4"/>
  <c r="A993" i="4"/>
  <c r="A987" i="4"/>
  <c r="A981" i="4"/>
  <c r="A975" i="4"/>
  <c r="A969" i="4"/>
  <c r="A963" i="4"/>
  <c r="A957" i="4"/>
  <c r="A951" i="4"/>
  <c r="A945" i="4"/>
  <c r="A939" i="4"/>
  <c r="A933" i="4"/>
  <c r="A927" i="4"/>
  <c r="A921" i="4"/>
  <c r="A915" i="4"/>
  <c r="A909" i="4"/>
  <c r="A903" i="4"/>
  <c r="A897" i="4"/>
  <c r="A891" i="4"/>
  <c r="A885" i="4"/>
  <c r="A879" i="4"/>
  <c r="A873" i="4"/>
  <c r="A867" i="4"/>
  <c r="A861" i="4"/>
  <c r="A855" i="4"/>
  <c r="A849" i="4"/>
  <c r="A843" i="4"/>
  <c r="A837" i="4"/>
  <c r="A831" i="4"/>
  <c r="A825" i="4"/>
  <c r="A819" i="4"/>
  <c r="A813" i="4"/>
  <c r="A807" i="4"/>
  <c r="A801" i="4"/>
  <c r="A795" i="4"/>
  <c r="A789" i="4"/>
  <c r="A783" i="4"/>
  <c r="A777" i="4"/>
  <c r="A771" i="4"/>
  <c r="A765" i="4"/>
  <c r="A759" i="4"/>
  <c r="A753" i="4"/>
  <c r="A747" i="4"/>
  <c r="A741" i="4"/>
  <c r="A735" i="4"/>
  <c r="A729" i="4"/>
  <c r="A723" i="4"/>
  <c r="A717" i="4"/>
  <c r="A711" i="4"/>
  <c r="A705" i="4"/>
  <c r="A699" i="4"/>
  <c r="A693" i="4"/>
  <c r="A687" i="4"/>
  <c r="A681" i="4"/>
  <c r="A675" i="4"/>
  <c r="A669" i="4"/>
  <c r="A663" i="4"/>
  <c r="A657" i="4"/>
  <c r="A651" i="4"/>
  <c r="A645" i="4"/>
  <c r="A639" i="4"/>
  <c r="A633" i="4"/>
  <c r="A627" i="4"/>
  <c r="A621" i="4"/>
  <c r="A615" i="4"/>
  <c r="A609" i="4"/>
  <c r="A603" i="4"/>
  <c r="A597" i="4"/>
  <c r="A591" i="4"/>
  <c r="A585" i="4"/>
  <c r="A579" i="4"/>
  <c r="A573" i="4"/>
  <c r="A567" i="4"/>
  <c r="A561" i="4"/>
  <c r="A555" i="4"/>
  <c r="A549" i="4"/>
  <c r="A543" i="4"/>
  <c r="A537" i="4"/>
  <c r="A531" i="4"/>
  <c r="A525" i="4"/>
  <c r="A519" i="4"/>
  <c r="A513" i="4"/>
  <c r="A507" i="4"/>
  <c r="A501" i="4"/>
  <c r="A495" i="4"/>
  <c r="A489" i="4"/>
  <c r="A483" i="4"/>
  <c r="A477" i="4"/>
  <c r="A471" i="4"/>
  <c r="A465" i="4"/>
  <c r="A459" i="4"/>
  <c r="A453" i="4"/>
  <c r="A447" i="4"/>
  <c r="A441" i="4"/>
  <c r="A435" i="4"/>
  <c r="A429" i="4"/>
  <c r="A423" i="4"/>
  <c r="A417" i="4"/>
  <c r="A411" i="4"/>
  <c r="A405" i="4"/>
  <c r="A399" i="4"/>
  <c r="A393" i="4"/>
  <c r="A387" i="4"/>
  <c r="A381" i="4"/>
  <c r="A375" i="4"/>
  <c r="A369" i="4"/>
  <c r="A363" i="4"/>
  <c r="A357" i="4"/>
  <c r="A351" i="4"/>
  <c r="A345" i="4"/>
  <c r="A339" i="4"/>
  <c r="A333" i="4"/>
  <c r="A327" i="4"/>
  <c r="A321" i="4"/>
  <c r="B3140" i="5"/>
  <c r="B2240" i="5"/>
  <c r="B1565" i="5"/>
  <c r="B1271" i="5"/>
  <c r="B1111" i="5"/>
  <c r="B965" i="5"/>
  <c r="A843" i="5"/>
  <c r="B757" i="5"/>
  <c r="B693" i="5"/>
  <c r="A628" i="5"/>
  <c r="B558" i="5"/>
  <c r="B509" i="5"/>
  <c r="B448" i="5"/>
  <c r="B390" i="5"/>
  <c r="B336" i="5"/>
  <c r="B287" i="5"/>
  <c r="B232" i="5"/>
  <c r="B173" i="5"/>
  <c r="B131" i="5"/>
  <c r="B77" i="5"/>
  <c r="A30" i="5"/>
  <c r="A2" i="5"/>
  <c r="A4424" i="4"/>
  <c r="B4398" i="4"/>
  <c r="B4371" i="4"/>
  <c r="B4348" i="4"/>
  <c r="B4323" i="4"/>
  <c r="B4300" i="4"/>
  <c r="B4275" i="4"/>
  <c r="B4252" i="4"/>
  <c r="B4227" i="4"/>
  <c r="B4204" i="4"/>
  <c r="B4179" i="4"/>
  <c r="B4156" i="4"/>
  <c r="B4131" i="4"/>
  <c r="B4108" i="4"/>
  <c r="B4083" i="4"/>
  <c r="B4060" i="4"/>
  <c r="B4035" i="4"/>
  <c r="B4012" i="4"/>
  <c r="B3987" i="4"/>
  <c r="B3964" i="4"/>
  <c r="B3939" i="4"/>
  <c r="B3916" i="4"/>
  <c r="B3891" i="4"/>
  <c r="B3868" i="4"/>
  <c r="B3843" i="4"/>
  <c r="B3820" i="4"/>
  <c r="B3795" i="4"/>
  <c r="B3772" i="4"/>
  <c r="B3747" i="4"/>
  <c r="B3724" i="4"/>
  <c r="B3699" i="4"/>
  <c r="B3676" i="4"/>
  <c r="B3651" i="4"/>
  <c r="B3628" i="4"/>
  <c r="B3603" i="4"/>
  <c r="B3580" i="4"/>
  <c r="B3556" i="4"/>
  <c r="B3535" i="4"/>
  <c r="B3513" i="4"/>
  <c r="B3492" i="4"/>
  <c r="B3469" i="4"/>
  <c r="B3449" i="4"/>
  <c r="B3426" i="4"/>
  <c r="B3406" i="4"/>
  <c r="B3383" i="4"/>
  <c r="A3366" i="4"/>
  <c r="A3347" i="4"/>
  <c r="A3330" i="4"/>
  <c r="A3311" i="4"/>
  <c r="A3294" i="4"/>
  <c r="A3275" i="4"/>
  <c r="A3258" i="4"/>
  <c r="A3239" i="4"/>
  <c r="A3222" i="4"/>
  <c r="A3203" i="4"/>
  <c r="A3186" i="4"/>
  <c r="A3167" i="4"/>
  <c r="A3150" i="4"/>
  <c r="B3132" i="4"/>
  <c r="B3118" i="4"/>
  <c r="A3101" i="4"/>
  <c r="A3086" i="4"/>
  <c r="B3068" i="4"/>
  <c r="A3054" i="4"/>
  <c r="B3036" i="4"/>
  <c r="B3022" i="4"/>
  <c r="A3005" i="4"/>
  <c r="A2990" i="4"/>
  <c r="B2972" i="4"/>
  <c r="B2959" i="4"/>
  <c r="B2944" i="4"/>
  <c r="B2930" i="4"/>
  <c r="B2915" i="4"/>
  <c r="B2902" i="4"/>
  <c r="B2886" i="4"/>
  <c r="B2873" i="4"/>
  <c r="B2857" i="4"/>
  <c r="B2844" i="4"/>
  <c r="B2828" i="4"/>
  <c r="B2815" i="4"/>
  <c r="B2801" i="4"/>
  <c r="B2789" i="4"/>
  <c r="A2775" i="4"/>
  <c r="A2763" i="4"/>
  <c r="A2749" i="4"/>
  <c r="A2737" i="4"/>
  <c r="A2723" i="4"/>
  <c r="A2711" i="4"/>
  <c r="B2696" i="4"/>
  <c r="B2684" i="4"/>
  <c r="B2670" i="4"/>
  <c r="A2659" i="4"/>
  <c r="A2646" i="4"/>
  <c r="A2635" i="4"/>
  <c r="A2622" i="4"/>
  <c r="A2611" i="4"/>
  <c r="A2598" i="4"/>
  <c r="A2587" i="4"/>
  <c r="A2574" i="4"/>
  <c r="A2563" i="4"/>
  <c r="A2550" i="4"/>
  <c r="A2539" i="4"/>
  <c r="A2526" i="4"/>
  <c r="A2515" i="4"/>
  <c r="A2502" i="4"/>
  <c r="A2491" i="4"/>
  <c r="A2478" i="4"/>
  <c r="A2467" i="4"/>
  <c r="A2454" i="4"/>
  <c r="A2443" i="4"/>
  <c r="A2430" i="4"/>
  <c r="A2419" i="4"/>
  <c r="A2406" i="4"/>
  <c r="A2395" i="4"/>
  <c r="A2382" i="4"/>
  <c r="A2371" i="4"/>
  <c r="A2358" i="4"/>
  <c r="A2347" i="4"/>
  <c r="A2334" i="4"/>
  <c r="A2323" i="4"/>
  <c r="A2310" i="4"/>
  <c r="A2299" i="4"/>
  <c r="A2286" i="4"/>
  <c r="A2275" i="4"/>
  <c r="A2262" i="4"/>
  <c r="A2251" i="4"/>
  <c r="A2238" i="4"/>
  <c r="A2227" i="4"/>
  <c r="A2214" i="4"/>
  <c r="A2203" i="4"/>
  <c r="A2190" i="4"/>
  <c r="A2179" i="4"/>
  <c r="A2166" i="4"/>
  <c r="A2155" i="4"/>
  <c r="A2142" i="4"/>
  <c r="A2131" i="4"/>
  <c r="A2118" i="4"/>
  <c r="A2107" i="4"/>
  <c r="A2094" i="4"/>
  <c r="B2083" i="4"/>
  <c r="B2071" i="4"/>
  <c r="B2062" i="4"/>
  <c r="B2050" i="4"/>
  <c r="B2040" i="4"/>
  <c r="B2028" i="4"/>
  <c r="B2019" i="4"/>
  <c r="B2007" i="4"/>
  <c r="B1997" i="4"/>
  <c r="B1985" i="4"/>
  <c r="B1975" i="4"/>
  <c r="B1963" i="4"/>
  <c r="B1954" i="4"/>
  <c r="B1942" i="4"/>
  <c r="B1932" i="4"/>
  <c r="B1920" i="4"/>
  <c r="B1911" i="4"/>
  <c r="B1899" i="4"/>
  <c r="B1889" i="4"/>
  <c r="B1877" i="4"/>
  <c r="B1867" i="4"/>
  <c r="B1855" i="4"/>
  <c r="B1846" i="4"/>
  <c r="B1834" i="4"/>
  <c r="B1824" i="4"/>
  <c r="B1812" i="4"/>
  <c r="B1803" i="4"/>
  <c r="B1791" i="4"/>
  <c r="B1781" i="4"/>
  <c r="B1769" i="4"/>
  <c r="B1759" i="4"/>
  <c r="B1747" i="4"/>
  <c r="B1738" i="4"/>
  <c r="B1726" i="4"/>
  <c r="B1716" i="4"/>
  <c r="B1704" i="4"/>
  <c r="B1695" i="4"/>
  <c r="B1683" i="4"/>
  <c r="B1673" i="4"/>
  <c r="B1661" i="4"/>
  <c r="B1651" i="4"/>
  <c r="B1639" i="4"/>
  <c r="B1630" i="4"/>
  <c r="B1618" i="4"/>
  <c r="B1608" i="4"/>
  <c r="B1596" i="4"/>
  <c r="B1587" i="4"/>
  <c r="B1575" i="4"/>
  <c r="B1565" i="4"/>
  <c r="B1553" i="4"/>
  <c r="B1543" i="4"/>
  <c r="B1531" i="4"/>
  <c r="B1522" i="4"/>
  <c r="B1510" i="4"/>
  <c r="B1500" i="4"/>
  <c r="B1488" i="4"/>
  <c r="B1479" i="4"/>
  <c r="B1467" i="4"/>
  <c r="B1457" i="4"/>
  <c r="B1445" i="4"/>
  <c r="B1435" i="4"/>
  <c r="B1423" i="4"/>
  <c r="B1414" i="4"/>
  <c r="B1402" i="4"/>
  <c r="B1392" i="4"/>
  <c r="B1380" i="4"/>
  <c r="B1371" i="4"/>
  <c r="B1359" i="4"/>
  <c r="B1349" i="4"/>
  <c r="B1337" i="4"/>
  <c r="B1327" i="4"/>
  <c r="B1315" i="4"/>
  <c r="B1306" i="4"/>
  <c r="B1294" i="4"/>
  <c r="B1284" i="4"/>
  <c r="B1272" i="4"/>
  <c r="B1263" i="4"/>
  <c r="B1251" i="4"/>
  <c r="B1241" i="4"/>
  <c r="B1229" i="4"/>
  <c r="B1219" i="4"/>
  <c r="B1207" i="4"/>
  <c r="B1198" i="4"/>
  <c r="B1186" i="4"/>
  <c r="B1176" i="4"/>
  <c r="B1164" i="4"/>
  <c r="B1155" i="4"/>
  <c r="B1143" i="4"/>
  <c r="B1133" i="4"/>
  <c r="B1121" i="4"/>
  <c r="B1111" i="4"/>
  <c r="B1099" i="4"/>
  <c r="B1090" i="4"/>
  <c r="B1078" i="4"/>
  <c r="B1068" i="4"/>
  <c r="B1056" i="4"/>
  <c r="B1047" i="4"/>
  <c r="B1035" i="4"/>
  <c r="B1026" i="4"/>
  <c r="A1016" i="4"/>
  <c r="A1008" i="4"/>
  <c r="A998" i="4"/>
  <c r="A990" i="4"/>
  <c r="A980" i="4"/>
  <c r="A972" i="4"/>
  <c r="A962" i="4"/>
  <c r="A954" i="4"/>
  <c r="A946" i="4"/>
  <c r="A938" i="4"/>
  <c r="A931" i="4"/>
  <c r="A924" i="4"/>
  <c r="A917" i="4"/>
  <c r="A910" i="4"/>
  <c r="A902" i="4"/>
  <c r="A895" i="4"/>
  <c r="A888" i="4"/>
  <c r="A881" i="4"/>
  <c r="A874" i="4"/>
  <c r="A866" i="4"/>
  <c r="A859" i="4"/>
  <c r="A852" i="4"/>
  <c r="A845" i="4"/>
  <c r="A838" i="4"/>
  <c r="A830" i="4"/>
  <c r="A823" i="4"/>
  <c r="A816" i="4"/>
  <c r="A809" i="4"/>
  <c r="A802" i="4"/>
  <c r="A794" i="4"/>
  <c r="A787" i="4"/>
  <c r="A780" i="4"/>
  <c r="A773" i="4"/>
  <c r="A766" i="4"/>
  <c r="A758" i="4"/>
  <c r="A751" i="4"/>
  <c r="A744" i="4"/>
  <c r="A737" i="4"/>
  <c r="A730" i="4"/>
  <c r="A722" i="4"/>
  <c r="A715" i="4"/>
  <c r="A708" i="4"/>
  <c r="A701" i="4"/>
  <c r="A694" i="4"/>
  <c r="A686" i="4"/>
  <c r="A679" i="4"/>
  <c r="A672" i="4"/>
  <c r="A665" i="4"/>
  <c r="A658" i="4"/>
  <c r="A650" i="4"/>
  <c r="A643" i="4"/>
  <c r="A636" i="4"/>
  <c r="A629" i="4"/>
  <c r="A622" i="4"/>
  <c r="A614" i="4"/>
  <c r="A607" i="4"/>
  <c r="A600" i="4"/>
  <c r="A593" i="4"/>
  <c r="A586" i="4"/>
  <c r="A578" i="4"/>
  <c r="A571" i="4"/>
  <c r="A564" i="4"/>
  <c r="A557" i="4"/>
  <c r="A550" i="4"/>
  <c r="A542" i="4"/>
  <c r="A535" i="4"/>
  <c r="A528" i="4"/>
  <c r="A521" i="4"/>
  <c r="A514" i="4"/>
  <c r="A506" i="4"/>
  <c r="A499" i="4"/>
  <c r="A492" i="4"/>
  <c r="A485" i="4"/>
  <c r="A478" i="4"/>
  <c r="B470" i="4"/>
  <c r="A464" i="4"/>
  <c r="B457" i="4"/>
  <c r="A451" i="4"/>
  <c r="B444" i="4"/>
  <c r="A438" i="4"/>
  <c r="B431" i="4"/>
  <c r="A425" i="4"/>
  <c r="B418" i="4"/>
  <c r="A412" i="4"/>
  <c r="B405" i="4"/>
  <c r="B398" i="4"/>
  <c r="A392" i="4"/>
  <c r="B385" i="4"/>
  <c r="A379" i="4"/>
  <c r="B372" i="4"/>
  <c r="A366" i="4"/>
  <c r="B359" i="4"/>
  <c r="A353" i="4"/>
  <c r="B346" i="4"/>
  <c r="A340" i="4"/>
  <c r="B333" i="4"/>
  <c r="B326" i="4"/>
  <c r="A320" i="4"/>
  <c r="A314" i="4"/>
  <c r="A308" i="4"/>
  <c r="A302" i="4"/>
  <c r="A296" i="4"/>
  <c r="A290" i="4"/>
  <c r="A284" i="4"/>
  <c r="A278" i="4"/>
  <c r="A272" i="4"/>
  <c r="A266" i="4"/>
  <c r="A260" i="4"/>
  <c r="A254" i="4"/>
  <c r="A248" i="4"/>
  <c r="A242" i="4"/>
  <c r="A236" i="4"/>
  <c r="A230" i="4"/>
  <c r="A224" i="4"/>
  <c r="A218" i="4"/>
  <c r="A212" i="4"/>
  <c r="A206" i="4"/>
  <c r="A200" i="4"/>
  <c r="A194" i="4"/>
  <c r="A188" i="4"/>
  <c r="A182" i="4"/>
  <c r="A176" i="4"/>
  <c r="A170" i="4"/>
  <c r="A164" i="4"/>
  <c r="A158" i="4"/>
  <c r="A152" i="4"/>
  <c r="A146" i="4"/>
  <c r="A140" i="4"/>
  <c r="A134" i="4"/>
  <c r="A128" i="4"/>
  <c r="A122" i="4"/>
  <c r="A116" i="4"/>
  <c r="A110" i="4"/>
  <c r="A104" i="4"/>
  <c r="A98" i="4"/>
  <c r="A92" i="4"/>
  <c r="A86" i="4"/>
  <c r="A80" i="4"/>
  <c r="A74" i="4"/>
  <c r="A68" i="4"/>
  <c r="A62" i="4"/>
  <c r="A56" i="4"/>
  <c r="A50" i="4"/>
  <c r="A44" i="4"/>
  <c r="A38" i="4"/>
  <c r="A32" i="4"/>
  <c r="A26" i="4"/>
  <c r="A20" i="4"/>
  <c r="A14" i="4"/>
  <c r="A8" i="4"/>
  <c r="A2" i="4"/>
  <c r="A3065" i="3"/>
  <c r="A3059" i="3"/>
  <c r="A3053" i="3"/>
  <c r="A3047" i="3"/>
  <c r="B2962" i="5"/>
  <c r="A2240" i="5"/>
  <c r="A1565" i="5"/>
  <c r="B1265" i="5"/>
  <c r="B1085" i="5"/>
  <c r="B941" i="5"/>
  <c r="B836" i="5"/>
  <c r="B746" i="5"/>
  <c r="B690" i="5"/>
  <c r="B627" i="5"/>
  <c r="B557" i="5"/>
  <c r="B498" i="5"/>
  <c r="B438" i="5"/>
  <c r="B388" i="5"/>
  <c r="A329" i="5"/>
  <c r="A287" i="5"/>
  <c r="A232" i="5"/>
  <c r="A173" i="5"/>
  <c r="B123" i="5"/>
  <c r="A70" i="5"/>
  <c r="A28" i="5"/>
  <c r="B4421" i="4"/>
  <c r="B4397" i="4"/>
  <c r="B4369" i="4"/>
  <c r="B4347" i="4"/>
  <c r="B4321" i="4"/>
  <c r="B4299" i="4"/>
  <c r="B4273" i="4"/>
  <c r="B4251" i="4"/>
  <c r="B4225" i="4"/>
  <c r="B4203" i="4"/>
  <c r="B4177" i="4"/>
  <c r="B4155" i="4"/>
  <c r="B4129" i="4"/>
  <c r="B4107" i="4"/>
  <c r="B4081" i="4"/>
  <c r="B4059" i="4"/>
  <c r="B4033" i="4"/>
  <c r="B4011" i="4"/>
  <c r="B3985" i="4"/>
  <c r="B3963" i="4"/>
  <c r="B3937" i="4"/>
  <c r="B3915" i="4"/>
  <c r="B3889" i="4"/>
  <c r="B3867" i="4"/>
  <c r="B3841" i="4"/>
  <c r="B3819" i="4"/>
  <c r="B3793" i="4"/>
  <c r="B3771" i="4"/>
  <c r="B3745" i="4"/>
  <c r="B3723" i="4"/>
  <c r="B3697" i="4"/>
  <c r="B3675" i="4"/>
  <c r="B3649" i="4"/>
  <c r="B3627" i="4"/>
  <c r="B3601" i="4"/>
  <c r="B3579" i="4"/>
  <c r="A3556" i="4"/>
  <c r="B3534" i="4"/>
  <c r="B3512" i="4"/>
  <c r="B3491" i="4"/>
  <c r="A3469" i="4"/>
  <c r="B3448" i="4"/>
  <c r="A3426" i="4"/>
  <c r="B3405" i="4"/>
  <c r="A3383" i="4"/>
  <c r="A3365" i="4"/>
  <c r="B3346" i="4"/>
  <c r="A3329" i="4"/>
  <c r="B3310" i="4"/>
  <c r="A3293" i="4"/>
  <c r="B3274" i="4"/>
  <c r="A3257" i="4"/>
  <c r="B3238" i="4"/>
  <c r="A3221" i="4"/>
  <c r="B3202" i="4"/>
  <c r="A3185" i="4"/>
  <c r="B3166" i="4"/>
  <c r="A3149" i="4"/>
  <c r="A3132" i="4"/>
  <c r="B3116" i="4"/>
  <c r="B3100" i="4"/>
  <c r="B3084" i="4"/>
  <c r="A3068" i="4"/>
  <c r="A3053" i="4"/>
  <c r="A3036" i="4"/>
  <c r="B3020" i="4"/>
  <c r="B3004" i="4"/>
  <c r="B2988" i="4"/>
  <c r="A2972" i="4"/>
  <c r="B2958" i="4"/>
  <c r="A2944" i="4"/>
  <c r="B2929" i="4"/>
  <c r="A2915" i="4"/>
  <c r="B2900" i="4"/>
  <c r="A2886" i="4"/>
  <c r="B2872" i="4"/>
  <c r="A2857" i="4"/>
  <c r="B2843" i="4"/>
  <c r="A2828" i="4"/>
  <c r="B2814" i="4"/>
  <c r="A2801" i="4"/>
  <c r="B2788" i="4"/>
  <c r="B2774" i="4"/>
  <c r="A2762" i="4"/>
  <c r="B2748" i="4"/>
  <c r="A2736" i="4"/>
  <c r="B2722" i="4"/>
  <c r="A2710" i="4"/>
  <c r="A2696" i="4"/>
  <c r="B2683" i="4"/>
  <c r="A2670" i="4"/>
  <c r="A2658" i="4"/>
  <c r="B2645" i="4"/>
  <c r="A2634" i="4"/>
  <c r="B2621" i="4"/>
  <c r="A2610" i="4"/>
  <c r="B2597" i="4"/>
  <c r="A2586" i="4"/>
  <c r="B2573" i="4"/>
  <c r="A2562" i="4"/>
  <c r="B2549" i="4"/>
  <c r="A2538" i="4"/>
  <c r="B2525" i="4"/>
  <c r="A2514" i="4"/>
  <c r="B2501" i="4"/>
  <c r="A2490" i="4"/>
  <c r="B2477" i="4"/>
  <c r="A2466" i="4"/>
  <c r="B2453" i="4"/>
  <c r="A2442" i="4"/>
  <c r="B2429" i="4"/>
  <c r="A2418" i="4"/>
  <c r="B2405" i="4"/>
  <c r="A2394" i="4"/>
  <c r="B2381" i="4"/>
  <c r="A2370" i="4"/>
  <c r="B2357" i="4"/>
  <c r="A2346" i="4"/>
  <c r="B2333" i="4"/>
  <c r="A2322" i="4"/>
  <c r="B2309" i="4"/>
  <c r="A2298" i="4"/>
  <c r="B2285" i="4"/>
  <c r="A2274" i="4"/>
  <c r="B2261" i="4"/>
  <c r="A2250" i="4"/>
  <c r="B2237" i="4"/>
  <c r="A2226" i="4"/>
  <c r="B2213" i="4"/>
  <c r="A2202" i="4"/>
  <c r="B2189" i="4"/>
  <c r="A2178" i="4"/>
  <c r="B2165" i="4"/>
  <c r="A2154" i="4"/>
  <c r="B2141" i="4"/>
  <c r="A2130" i="4"/>
  <c r="B2117" i="4"/>
  <c r="A2106" i="4"/>
  <c r="B2093" i="4"/>
  <c r="B2082" i="4"/>
  <c r="A2071" i="4"/>
  <c r="B2061" i="4"/>
  <c r="A2050" i="4"/>
  <c r="B2039" i="4"/>
  <c r="A2028" i="4"/>
  <c r="B2017" i="4"/>
  <c r="A2007" i="4"/>
  <c r="B1996" i="4"/>
  <c r="A1985" i="4"/>
  <c r="B1974" i="4"/>
  <c r="A1963" i="4"/>
  <c r="B1953" i="4"/>
  <c r="A1942" i="4"/>
  <c r="B1931" i="4"/>
  <c r="A1920" i="4"/>
  <c r="B1909" i="4"/>
  <c r="A1899" i="4"/>
  <c r="B1888" i="4"/>
  <c r="A1877" i="4"/>
  <c r="B1866" i="4"/>
  <c r="A1855" i="4"/>
  <c r="B1845" i="4"/>
  <c r="A1834" i="4"/>
  <c r="B1823" i="4"/>
  <c r="A1812" i="4"/>
  <c r="B1801" i="4"/>
  <c r="A1791" i="4"/>
  <c r="B1780" i="4"/>
  <c r="A1769" i="4"/>
  <c r="B1758" i="4"/>
  <c r="A1747" i="4"/>
  <c r="B1737" i="4"/>
  <c r="A1726" i="4"/>
  <c r="B1715" i="4"/>
  <c r="A1704" i="4"/>
  <c r="B1693" i="4"/>
  <c r="A1683" i="4"/>
  <c r="B1672" i="4"/>
  <c r="A1661" i="4"/>
  <c r="B1650" i="4"/>
  <c r="A1639" i="4"/>
  <c r="B1629" i="4"/>
  <c r="A1618" i="4"/>
  <c r="B1607" i="4"/>
  <c r="A1596" i="4"/>
  <c r="B1585" i="4"/>
  <c r="A1575" i="4"/>
  <c r="B1564" i="4"/>
  <c r="A1553" i="4"/>
  <c r="B1542" i="4"/>
  <c r="A1531" i="4"/>
  <c r="B1521" i="4"/>
  <c r="A1510" i="4"/>
  <c r="B1499" i="4"/>
  <c r="A1488" i="4"/>
  <c r="B1477" i="4"/>
  <c r="A1467" i="4"/>
  <c r="B1456" i="4"/>
  <c r="A1445" i="4"/>
  <c r="B1434" i="4"/>
  <c r="A1423" i="4"/>
  <c r="B1413" i="4"/>
  <c r="A1402" i="4"/>
  <c r="B1391" i="4"/>
  <c r="A1380" i="4"/>
  <c r="B1369" i="4"/>
  <c r="A1359" i="4"/>
  <c r="B1348" i="4"/>
  <c r="A1337" i="4"/>
  <c r="B1326" i="4"/>
  <c r="A1315" i="4"/>
  <c r="B1305" i="4"/>
  <c r="A1294" i="4"/>
  <c r="B1283" i="4"/>
  <c r="A1272" i="4"/>
  <c r="B1261" i="4"/>
  <c r="A1251" i="4"/>
  <c r="B1240" i="4"/>
  <c r="A1229" i="4"/>
  <c r="B1218" i="4"/>
  <c r="A1207" i="4"/>
  <c r="B1197" i="4"/>
  <c r="A1186" i="4"/>
  <c r="B1175" i="4"/>
  <c r="A1164" i="4"/>
  <c r="B1153" i="4"/>
  <c r="A1143" i="4"/>
  <c r="B1132" i="4"/>
  <c r="A1121" i="4"/>
  <c r="B1110" i="4"/>
  <c r="A1099" i="4"/>
  <c r="B1089" i="4"/>
  <c r="A1078" i="4"/>
  <c r="B1067" i="4"/>
  <c r="A1056" i="4"/>
  <c r="B1045" i="4"/>
  <c r="A1035" i="4"/>
  <c r="B1025" i="4"/>
  <c r="B1015" i="4"/>
  <c r="A1007" i="4"/>
  <c r="B997" i="4"/>
  <c r="A989" i="4"/>
  <c r="B979" i="4"/>
  <c r="A971" i="4"/>
  <c r="B961" i="4"/>
  <c r="A953" i="4"/>
  <c r="B944" i="4"/>
  <c r="B937" i="4"/>
  <c r="B930" i="4"/>
  <c r="B923" i="4"/>
  <c r="B916" i="4"/>
  <c r="B908" i="4"/>
  <c r="B901" i="4"/>
  <c r="B894" i="4"/>
  <c r="B887" i="4"/>
  <c r="B880" i="4"/>
  <c r="B872" i="4"/>
  <c r="B865" i="4"/>
  <c r="B858" i="4"/>
  <c r="B851" i="4"/>
  <c r="B844" i="4"/>
  <c r="B836" i="4"/>
  <c r="B829" i="4"/>
  <c r="B822" i="4"/>
  <c r="B815" i="4"/>
  <c r="B808" i="4"/>
  <c r="B800" i="4"/>
  <c r="B793" i="4"/>
  <c r="B786" i="4"/>
  <c r="B779" i="4"/>
  <c r="B772" i="4"/>
  <c r="B764" i="4"/>
  <c r="B757" i="4"/>
  <c r="B750" i="4"/>
  <c r="B743" i="4"/>
  <c r="B736" i="4"/>
  <c r="B728" i="4"/>
  <c r="B721" i="4"/>
  <c r="B714" i="4"/>
  <c r="B707" i="4"/>
  <c r="B700" i="4"/>
  <c r="B692" i="4"/>
  <c r="B685" i="4"/>
  <c r="B678" i="4"/>
  <c r="B671" i="4"/>
  <c r="B664" i="4"/>
  <c r="B656" i="4"/>
  <c r="B649" i="4"/>
  <c r="B642" i="4"/>
  <c r="B635" i="4"/>
  <c r="B628" i="4"/>
  <c r="B620" i="4"/>
  <c r="B613" i="4"/>
  <c r="B606" i="4"/>
  <c r="B599" i="4"/>
  <c r="B592" i="4"/>
  <c r="B584" i="4"/>
  <c r="B577" i="4"/>
  <c r="B570" i="4"/>
  <c r="B563" i="4"/>
  <c r="B556" i="4"/>
  <c r="B548" i="4"/>
  <c r="B541" i="4"/>
  <c r="B534" i="4"/>
  <c r="B527" i="4"/>
  <c r="B520" i="4"/>
  <c r="B512" i="4"/>
  <c r="B505" i="4"/>
  <c r="B498" i="4"/>
  <c r="B491" i="4"/>
  <c r="B484" i="4"/>
  <c r="B476" i="4"/>
  <c r="A470" i="4"/>
  <c r="B463" i="4"/>
  <c r="A457" i="4"/>
  <c r="B450" i="4"/>
  <c r="A444" i="4"/>
  <c r="B437" i="4"/>
  <c r="A431" i="4"/>
  <c r="B424" i="4"/>
  <c r="A418" i="4"/>
  <c r="B411" i="4"/>
  <c r="B404" i="4"/>
  <c r="A398" i="4"/>
  <c r="B391" i="4"/>
  <c r="A385" i="4"/>
  <c r="B378" i="4"/>
  <c r="A372" i="4"/>
  <c r="B365" i="4"/>
  <c r="A359" i="4"/>
  <c r="B352" i="4"/>
  <c r="A346" i="4"/>
  <c r="B339" i="4"/>
  <c r="B332" i="4"/>
  <c r="A326" i="4"/>
  <c r="B319" i="4"/>
  <c r="B313" i="4"/>
  <c r="B307" i="4"/>
  <c r="B301" i="4"/>
  <c r="B295" i="4"/>
  <c r="B289" i="4"/>
  <c r="B283" i="4"/>
  <c r="B277" i="4"/>
  <c r="B271" i="4"/>
  <c r="B265" i="4"/>
  <c r="A2921" i="5"/>
  <c r="A1947" i="5"/>
  <c r="B1532" i="5"/>
  <c r="A1262" i="5"/>
  <c r="A1051" i="5"/>
  <c r="A941" i="5"/>
  <c r="B828" i="5"/>
  <c r="B742" i="5"/>
  <c r="B676" i="5"/>
  <c r="B622" i="5"/>
  <c r="A556" i="5"/>
  <c r="A485" i="5"/>
  <c r="A438" i="5"/>
  <c r="B382" i="5"/>
  <c r="B328" i="5"/>
  <c r="B274" i="5"/>
  <c r="B227" i="5"/>
  <c r="B171" i="5"/>
  <c r="B111" i="5"/>
  <c r="B69" i="5"/>
  <c r="B27" i="5"/>
  <c r="B4448" i="4"/>
  <c r="A4421" i="4"/>
  <c r="A4395" i="4"/>
  <c r="A4369" i="4"/>
  <c r="A4345" i="4"/>
  <c r="A4321" i="4"/>
  <c r="A4297" i="4"/>
  <c r="A4273" i="4"/>
  <c r="A4249" i="4"/>
  <c r="A4225" i="4"/>
  <c r="A4201" i="4"/>
  <c r="A4177" i="4"/>
  <c r="A4153" i="4"/>
  <c r="A4129" i="4"/>
  <c r="A4105" i="4"/>
  <c r="A4081" i="4"/>
  <c r="A4057" i="4"/>
  <c r="A4033" i="4"/>
  <c r="A4009" i="4"/>
  <c r="A3985" i="4"/>
  <c r="A3961" i="4"/>
  <c r="A3937" i="4"/>
  <c r="A3913" i="4"/>
  <c r="A3889" i="4"/>
  <c r="A3865" i="4"/>
  <c r="A3841" i="4"/>
  <c r="A3817" i="4"/>
  <c r="A3793" i="4"/>
  <c r="A3769" i="4"/>
  <c r="A3745" i="4"/>
  <c r="A3721" i="4"/>
  <c r="A3697" i="4"/>
  <c r="A3673" i="4"/>
  <c r="A3649" i="4"/>
  <c r="A3625" i="4"/>
  <c r="A3601" i="4"/>
  <c r="A3577" i="4"/>
  <c r="B3555" i="4"/>
  <c r="B3533" i="4"/>
  <c r="B3511" i="4"/>
  <c r="B3490" i="4"/>
  <c r="B3468" i="4"/>
  <c r="B3447" i="4"/>
  <c r="B3425" i="4"/>
  <c r="B3403" i="4"/>
  <c r="B3382" i="4"/>
  <c r="A3364" i="4"/>
  <c r="A3346" i="4"/>
  <c r="A3328" i="4"/>
  <c r="A3310" i="4"/>
  <c r="A3292" i="4"/>
  <c r="A3274" i="4"/>
  <c r="A3256" i="4"/>
  <c r="A3238" i="4"/>
  <c r="A3220" i="4"/>
  <c r="A3202" i="4"/>
  <c r="A3184" i="4"/>
  <c r="A3166" i="4"/>
  <c r="A3148" i="4"/>
  <c r="B3131" i="4"/>
  <c r="A3115" i="4"/>
  <c r="A3100" i="4"/>
  <c r="B3083" i="4"/>
  <c r="A3067" i="4"/>
  <c r="A3052" i="4"/>
  <c r="B3035" i="4"/>
  <c r="A3019" i="4"/>
  <c r="A3004" i="4"/>
  <c r="B2987" i="4"/>
  <c r="B2971" i="4"/>
  <c r="B2957" i="4"/>
  <c r="B2942" i="4"/>
  <c r="B2928" i="4"/>
  <c r="B2914" i="4"/>
  <c r="B2899" i="4"/>
  <c r="B2885" i="4"/>
  <c r="B2870" i="4"/>
  <c r="B2856" i="4"/>
  <c r="B2842" i="4"/>
  <c r="B2827" i="4"/>
  <c r="B2813" i="4"/>
  <c r="B2800" i="4"/>
  <c r="A2787" i="4"/>
  <c r="A2774" i="4"/>
  <c r="A2761" i="4"/>
  <c r="A2748" i="4"/>
  <c r="A2735" i="4"/>
  <c r="A2722" i="4"/>
  <c r="B2708" i="4"/>
  <c r="B2695" i="4"/>
  <c r="B2682" i="4"/>
  <c r="B2669" i="4"/>
  <c r="A2657" i="4"/>
  <c r="A2645" i="4"/>
  <c r="A2633" i="4"/>
  <c r="A2621" i="4"/>
  <c r="A2609" i="4"/>
  <c r="A2597" i="4"/>
  <c r="A2585" i="4"/>
  <c r="A2573" i="4"/>
  <c r="A2561" i="4"/>
  <c r="A2549" i="4"/>
  <c r="A2537" i="4"/>
  <c r="A2525" i="4"/>
  <c r="A2513" i="4"/>
  <c r="A2501" i="4"/>
  <c r="A2489" i="4"/>
  <c r="A2477" i="4"/>
  <c r="A2465" i="4"/>
  <c r="A2453" i="4"/>
  <c r="A2441" i="4"/>
  <c r="A2429" i="4"/>
  <c r="A2417" i="4"/>
  <c r="A2405" i="4"/>
  <c r="A2393" i="4"/>
  <c r="A2381" i="4"/>
  <c r="A2369" i="4"/>
  <c r="A2357" i="4"/>
  <c r="A2345" i="4"/>
  <c r="A2333" i="4"/>
  <c r="A2321" i="4"/>
  <c r="A2309" i="4"/>
  <c r="A2297" i="4"/>
  <c r="A2285" i="4"/>
  <c r="A2273" i="4"/>
  <c r="A2261" i="4"/>
  <c r="A2249" i="4"/>
  <c r="A2237" i="4"/>
  <c r="A2225" i="4"/>
  <c r="A2213" i="4"/>
  <c r="A2201" i="4"/>
  <c r="A2189" i="4"/>
  <c r="A2177" i="4"/>
  <c r="A2165" i="4"/>
  <c r="A2153" i="4"/>
  <c r="A2141" i="4"/>
  <c r="A2129" i="4"/>
  <c r="A2117" i="4"/>
  <c r="A2105" i="4"/>
  <c r="A2093" i="4"/>
  <c r="B2081" i="4"/>
  <c r="B2070" i="4"/>
  <c r="B2059" i="4"/>
  <c r="B2049" i="4"/>
  <c r="B2038" i="4"/>
  <c r="B2027" i="4"/>
  <c r="B2016" i="4"/>
  <c r="B2005" i="4"/>
  <c r="B1995" i="4"/>
  <c r="B1984" i="4"/>
  <c r="B1973" i="4"/>
  <c r="B1962" i="4"/>
  <c r="B1951" i="4"/>
  <c r="B1941" i="4"/>
  <c r="B1930" i="4"/>
  <c r="B1919" i="4"/>
  <c r="B1908" i="4"/>
  <c r="B1897" i="4"/>
  <c r="B1887" i="4"/>
  <c r="B1876" i="4"/>
  <c r="B1865" i="4"/>
  <c r="B1854" i="4"/>
  <c r="B1843" i="4"/>
  <c r="B1833" i="4"/>
  <c r="B1822" i="4"/>
  <c r="B1811" i="4"/>
  <c r="B1800" i="4"/>
  <c r="B1789" i="4"/>
  <c r="B1779" i="4"/>
  <c r="B1768" i="4"/>
  <c r="B1757" i="4"/>
  <c r="B1746" i="4"/>
  <c r="B1735" i="4"/>
  <c r="B1725" i="4"/>
  <c r="B1714" i="4"/>
  <c r="B1703" i="4"/>
  <c r="B1692" i="4"/>
  <c r="B1681" i="4"/>
  <c r="B1671" i="4"/>
  <c r="B1660" i="4"/>
  <c r="B1649" i="4"/>
  <c r="B1638" i="4"/>
  <c r="B1627" i="4"/>
  <c r="B1617" i="4"/>
  <c r="B1606" i="4"/>
  <c r="B1595" i="4"/>
  <c r="B1584" i="4"/>
  <c r="B1573" i="4"/>
  <c r="B1563" i="4"/>
  <c r="B1552" i="4"/>
  <c r="B1541" i="4"/>
  <c r="B1530" i="4"/>
  <c r="B1519" i="4"/>
  <c r="B1509" i="4"/>
  <c r="B1498" i="4"/>
  <c r="B1487" i="4"/>
  <c r="B1476" i="4"/>
  <c r="B1465" i="4"/>
  <c r="B1455" i="4"/>
  <c r="B1444" i="4"/>
  <c r="B1433" i="4"/>
  <c r="B1422" i="4"/>
  <c r="B1411" i="4"/>
  <c r="B1401" i="4"/>
  <c r="B1390" i="4"/>
  <c r="B1379" i="4"/>
  <c r="B1368" i="4"/>
  <c r="B1357" i="4"/>
  <c r="B1347" i="4"/>
  <c r="B1336" i="4"/>
  <c r="B1325" i="4"/>
  <c r="B1314" i="4"/>
  <c r="B1303" i="4"/>
  <c r="B1293" i="4"/>
  <c r="B1282" i="4"/>
  <c r="B1271" i="4"/>
  <c r="B1260" i="4"/>
  <c r="B1249" i="4"/>
  <c r="B1239" i="4"/>
  <c r="B1228" i="4"/>
  <c r="B1217" i="4"/>
  <c r="B1206" i="4"/>
  <c r="B1195" i="4"/>
  <c r="B1185" i="4"/>
  <c r="B1174" i="4"/>
  <c r="B1163" i="4"/>
  <c r="B1152" i="4"/>
  <c r="B1141" i="4"/>
  <c r="B1131" i="4"/>
  <c r="B1120" i="4"/>
  <c r="B1109" i="4"/>
  <c r="B1098" i="4"/>
  <c r="B1087" i="4"/>
  <c r="B1077" i="4"/>
  <c r="B1066" i="4"/>
  <c r="B1055" i="4"/>
  <c r="B1044" i="4"/>
  <c r="A1034" i="4"/>
  <c r="B1024" i="4"/>
  <c r="A1015" i="4"/>
  <c r="A1006" i="4"/>
  <c r="A997" i="4"/>
  <c r="A988" i="4"/>
  <c r="A979" i="4"/>
  <c r="A970" i="4"/>
  <c r="A961" i="4"/>
  <c r="A952" i="4"/>
  <c r="A944" i="4"/>
  <c r="A937" i="4"/>
  <c r="A930" i="4"/>
  <c r="A923" i="4"/>
  <c r="A916" i="4"/>
  <c r="A908" i="4"/>
  <c r="A901" i="4"/>
  <c r="A894" i="4"/>
  <c r="A887" i="4"/>
  <c r="A880" i="4"/>
  <c r="A872" i="4"/>
  <c r="A865" i="4"/>
  <c r="A858" i="4"/>
  <c r="A851" i="4"/>
  <c r="A844" i="4"/>
  <c r="A836" i="4"/>
  <c r="A829" i="4"/>
  <c r="A822" i="4"/>
  <c r="A815" i="4"/>
  <c r="A808" i="4"/>
  <c r="A800" i="4"/>
  <c r="A793" i="4"/>
  <c r="A786" i="4"/>
  <c r="A779" i="4"/>
  <c r="A772" i="4"/>
  <c r="A764" i="4"/>
  <c r="A757" i="4"/>
  <c r="A750" i="4"/>
  <c r="A743" i="4"/>
  <c r="A736" i="4"/>
  <c r="A728" i="4"/>
  <c r="A721" i="4"/>
  <c r="A714" i="4"/>
  <c r="A707" i="4"/>
  <c r="A700" i="4"/>
  <c r="A692" i="4"/>
  <c r="A685" i="4"/>
  <c r="A678" i="4"/>
  <c r="A671" i="4"/>
  <c r="A664" i="4"/>
  <c r="A656" i="4"/>
  <c r="A649" i="4"/>
  <c r="A642" i="4"/>
  <c r="A635" i="4"/>
  <c r="A628" i="4"/>
  <c r="A620" i="4"/>
  <c r="A613" i="4"/>
  <c r="A606" i="4"/>
  <c r="A599" i="4"/>
  <c r="A592" i="4"/>
  <c r="A584" i="4"/>
  <c r="A577" i="4"/>
  <c r="A570" i="4"/>
  <c r="A563" i="4"/>
  <c r="A556" i="4"/>
  <c r="A548" i="4"/>
  <c r="A541" i="4"/>
  <c r="A534" i="4"/>
  <c r="A527" i="4"/>
  <c r="A520" i="4"/>
  <c r="A512" i="4"/>
  <c r="A505" i="4"/>
  <c r="A498" i="4"/>
  <c r="A491" i="4"/>
  <c r="A484" i="4"/>
  <c r="A476" i="4"/>
  <c r="B469" i="4"/>
  <c r="A463" i="4"/>
  <c r="B456" i="4"/>
  <c r="A450" i="4"/>
  <c r="B443" i="4"/>
  <c r="A437" i="4"/>
  <c r="B430" i="4"/>
  <c r="A424" i="4"/>
  <c r="B417" i="4"/>
  <c r="B410" i="4"/>
  <c r="A404" i="4"/>
  <c r="B397" i="4"/>
  <c r="A391" i="4"/>
  <c r="B384" i="4"/>
  <c r="A378" i="4"/>
  <c r="B371" i="4"/>
  <c r="A365" i="4"/>
  <c r="B358" i="4"/>
  <c r="A352" i="4"/>
  <c r="B345" i="4"/>
  <c r="B338" i="4"/>
  <c r="A332" i="4"/>
  <c r="B325" i="4"/>
  <c r="A319" i="4"/>
  <c r="A313" i="4"/>
  <c r="A307" i="4"/>
  <c r="A301" i="4"/>
  <c r="A295" i="4"/>
  <c r="A289" i="4"/>
  <c r="A283" i="4"/>
  <c r="A277" i="4"/>
  <c r="A271" i="4"/>
  <c r="A265" i="4"/>
  <c r="A259" i="4"/>
  <c r="A253" i="4"/>
  <c r="A247" i="4"/>
  <c r="A241" i="4"/>
  <c r="A235" i="4"/>
  <c r="A229" i="4"/>
  <c r="A223" i="4"/>
  <c r="A217" i="4"/>
  <c r="A211" i="4"/>
  <c r="A205" i="4"/>
  <c r="A199" i="4"/>
  <c r="A193" i="4"/>
  <c r="A187" i="4"/>
  <c r="A181" i="4"/>
  <c r="A175" i="4"/>
  <c r="A169" i="4"/>
  <c r="A163" i="4"/>
  <c r="A157" i="4"/>
  <c r="A151" i="4"/>
  <c r="A145" i="4"/>
  <c r="A139" i="4"/>
  <c r="A133" i="4"/>
  <c r="A127" i="4"/>
  <c r="A121" i="4"/>
  <c r="A115" i="4"/>
  <c r="A109" i="4"/>
  <c r="A103" i="4"/>
  <c r="A97" i="4"/>
  <c r="A91" i="4"/>
  <c r="A85" i="4"/>
  <c r="A79" i="4"/>
  <c r="A73" i="4"/>
  <c r="A67" i="4"/>
  <c r="A61" i="4"/>
  <c r="A55" i="4"/>
  <c r="A49" i="4"/>
  <c r="A43" i="4"/>
  <c r="A37" i="4"/>
  <c r="A31" i="4"/>
  <c r="A25" i="4"/>
  <c r="A19" i="4"/>
  <c r="A13" i="4"/>
  <c r="A7" i="4"/>
  <c r="A1" i="4"/>
  <c r="A3064" i="3"/>
  <c r="A3058" i="3"/>
  <c r="A3052" i="3"/>
  <c r="A3046" i="3"/>
  <c r="A3040" i="3"/>
  <c r="A3034" i="3"/>
  <c r="A3028" i="3"/>
  <c r="A3022" i="3"/>
  <c r="A3016" i="3"/>
  <c r="A3010" i="3"/>
  <c r="A3004" i="3"/>
  <c r="A2998" i="3"/>
  <c r="A2992" i="3"/>
  <c r="A2986" i="3"/>
  <c r="A2980" i="3"/>
  <c r="A2974" i="3"/>
  <c r="A2968" i="3"/>
  <c r="A2962" i="3"/>
  <c r="A2956" i="3"/>
  <c r="A2950" i="3"/>
  <c r="A2944" i="3"/>
  <c r="A2938" i="3"/>
  <c r="A2932" i="3"/>
  <c r="A2926" i="3"/>
  <c r="A2920" i="3"/>
  <c r="A2914" i="3"/>
  <c r="A2908" i="3"/>
  <c r="A2902" i="3"/>
  <c r="A2896" i="3"/>
  <c r="A2890" i="3"/>
  <c r="A2884" i="3"/>
  <c r="A2878" i="3"/>
  <c r="A2872" i="3"/>
  <c r="A2866" i="3"/>
  <c r="A2860" i="3"/>
  <c r="A2854" i="3"/>
  <c r="A2848" i="3"/>
  <c r="A2842" i="3"/>
  <c r="A2836" i="3"/>
  <c r="A2830" i="3"/>
  <c r="A2824" i="3"/>
  <c r="A2818" i="3"/>
  <c r="A2812" i="3"/>
  <c r="A2806" i="3"/>
  <c r="A2800" i="3"/>
  <c r="A2794" i="3"/>
  <c r="A2788" i="3"/>
  <c r="A2782" i="3"/>
  <c r="A2776" i="3"/>
  <c r="A2770" i="3"/>
  <c r="A2764" i="3"/>
  <c r="A2758" i="3"/>
  <c r="A2752" i="3"/>
  <c r="A2746" i="3"/>
  <c r="A2740" i="3"/>
  <c r="A2734" i="3"/>
  <c r="A2728" i="3"/>
  <c r="A2722" i="3"/>
  <c r="A2716" i="3"/>
  <c r="A2710" i="3"/>
  <c r="A2704" i="3"/>
  <c r="A2698" i="3"/>
  <c r="A2692" i="3"/>
  <c r="A2686" i="3"/>
  <c r="A2680" i="3"/>
  <c r="A2674" i="3"/>
  <c r="A2668" i="3"/>
  <c r="A2662" i="3"/>
  <c r="A2656" i="3"/>
  <c r="A2650" i="3"/>
  <c r="A2644" i="3"/>
  <c r="A2638" i="3"/>
  <c r="A2632" i="3"/>
  <c r="A2626" i="3"/>
  <c r="A2620" i="3"/>
  <c r="A2614" i="3"/>
  <c r="A2608" i="3"/>
  <c r="A2602" i="3"/>
  <c r="A2596" i="3"/>
  <c r="A2590" i="3"/>
  <c r="A2584" i="3"/>
  <c r="A2578" i="3"/>
  <c r="A2572" i="3"/>
  <c r="A2566" i="3"/>
  <c r="A2560" i="3"/>
  <c r="A2554" i="3"/>
  <c r="A2548" i="3"/>
  <c r="A2542" i="3"/>
  <c r="A2536" i="3"/>
  <c r="A2530" i="3"/>
  <c r="A2524" i="3"/>
  <c r="A2518" i="3"/>
  <c r="A2512" i="3"/>
  <c r="A2506" i="3"/>
  <c r="A2500" i="3"/>
  <c r="A2494" i="3"/>
  <c r="A2488" i="3"/>
  <c r="A2482" i="3"/>
  <c r="A2476" i="3"/>
  <c r="A2470" i="3"/>
  <c r="A2916" i="5"/>
  <c r="B1944" i="5"/>
  <c r="B1436" i="5"/>
  <c r="A1243" i="5"/>
  <c r="A1050" i="5"/>
  <c r="B900" i="5"/>
  <c r="A821" i="5"/>
  <c r="B739" i="5"/>
  <c r="A670" i="5"/>
  <c r="B605" i="5"/>
  <c r="B549" i="5"/>
  <c r="A484" i="5"/>
  <c r="A420" i="5"/>
  <c r="A378" i="5"/>
  <c r="A324" i="5"/>
  <c r="B268" i="5"/>
  <c r="B214" i="5"/>
  <c r="B165" i="5"/>
  <c r="A108" i="5"/>
  <c r="A54" i="5"/>
  <c r="B24" i="5"/>
  <c r="B4439" i="4"/>
  <c r="A4419" i="4"/>
  <c r="B4387" i="4"/>
  <c r="A4367" i="4"/>
  <c r="A4338" i="4"/>
  <c r="A4319" i="4"/>
  <c r="A4290" i="4"/>
  <c r="A4271" i="4"/>
  <c r="A4242" i="4"/>
  <c r="A4223" i="4"/>
  <c r="A4194" i="4"/>
  <c r="A4175" i="4"/>
  <c r="A4146" i="4"/>
  <c r="A4127" i="4"/>
  <c r="A4098" i="4"/>
  <c r="A4079" i="4"/>
  <c r="A4050" i="4"/>
  <c r="A4031" i="4"/>
  <c r="A4002" i="4"/>
  <c r="A3983" i="4"/>
  <c r="A3954" i="4"/>
  <c r="A3935" i="4"/>
  <c r="A3906" i="4"/>
  <c r="A3887" i="4"/>
  <c r="A3858" i="4"/>
  <c r="A3839" i="4"/>
  <c r="A3810" i="4"/>
  <c r="A3791" i="4"/>
  <c r="A3762" i="4"/>
  <c r="A3743" i="4"/>
  <c r="A3714" i="4"/>
  <c r="A3695" i="4"/>
  <c r="A3666" i="4"/>
  <c r="A3647" i="4"/>
  <c r="A3618" i="4"/>
  <c r="A3599" i="4"/>
  <c r="A3570" i="4"/>
  <c r="B3552" i="4"/>
  <c r="A3527" i="4"/>
  <c r="B3509" i="4"/>
  <c r="A3484" i="4"/>
  <c r="B3466" i="4"/>
  <c r="B3440" i="4"/>
  <c r="B3423" i="4"/>
  <c r="A3397" i="4"/>
  <c r="A3380" i="4"/>
  <c r="B3358" i="4"/>
  <c r="A3344" i="4"/>
  <c r="B3322" i="4"/>
  <c r="A3308" i="4"/>
  <c r="B3286" i="4"/>
  <c r="A3272" i="4"/>
  <c r="B3250" i="4"/>
  <c r="A3236" i="4"/>
  <c r="B3214" i="4"/>
  <c r="A3200" i="4"/>
  <c r="B3178" i="4"/>
  <c r="A3164" i="4"/>
  <c r="A3143" i="4"/>
  <c r="B3130" i="4"/>
  <c r="B3110" i="4"/>
  <c r="A3098" i="4"/>
  <c r="B3078" i="4"/>
  <c r="A3066" i="4"/>
  <c r="A3047" i="4"/>
  <c r="B3034" i="4"/>
  <c r="B3014" i="4"/>
  <c r="A3002" i="4"/>
  <c r="B2982" i="4"/>
  <c r="B2970" i="4"/>
  <c r="A2953" i="4"/>
  <c r="B2941" i="4"/>
  <c r="A2924" i="4"/>
  <c r="B2912" i="4"/>
  <c r="A2896" i="4"/>
  <c r="B2884" i="4"/>
  <c r="A2867" i="4"/>
  <c r="B2855" i="4"/>
  <c r="A2838" i="4"/>
  <c r="B2826" i="4"/>
  <c r="B2809" i="4"/>
  <c r="A2799" i="4"/>
  <c r="B2783" i="4"/>
  <c r="A2773" i="4"/>
  <c r="A2757" i="4"/>
  <c r="A2747" i="4"/>
  <c r="A2731" i="4"/>
  <c r="B2720" i="4"/>
  <c r="A2705" i="4"/>
  <c r="B2694" i="4"/>
  <c r="B2678" i="4"/>
  <c r="B2668" i="4"/>
  <c r="B2653" i="4"/>
  <c r="A2644" i="4"/>
  <c r="B2629" i="4"/>
  <c r="A2620" i="4"/>
  <c r="B2605" i="4"/>
  <c r="A2596" i="4"/>
  <c r="B2581" i="4"/>
  <c r="A2572" i="4"/>
  <c r="B2557" i="4"/>
  <c r="A2548" i="4"/>
  <c r="B2533" i="4"/>
  <c r="A2524" i="4"/>
  <c r="B2509" i="4"/>
  <c r="A2500" i="4"/>
  <c r="B2485" i="4"/>
  <c r="A2476" i="4"/>
  <c r="B2461" i="4"/>
  <c r="A2452" i="4"/>
  <c r="B2437" i="4"/>
  <c r="A2428" i="4"/>
  <c r="B2413" i="4"/>
  <c r="A2404" i="4"/>
  <c r="B2389" i="4"/>
  <c r="A2380" i="4"/>
  <c r="B2365" i="4"/>
  <c r="A2356" i="4"/>
  <c r="B2341" i="4"/>
  <c r="A2332" i="4"/>
  <c r="B2317" i="4"/>
  <c r="A2308" i="4"/>
  <c r="B2293" i="4"/>
  <c r="A2284" i="4"/>
  <c r="B2269" i="4"/>
  <c r="A2260" i="4"/>
  <c r="B2245" i="4"/>
  <c r="A2236" i="4"/>
  <c r="B2221" i="4"/>
  <c r="A2212" i="4"/>
  <c r="B2197" i="4"/>
  <c r="A2188" i="4"/>
  <c r="B2173" i="4"/>
  <c r="A2164" i="4"/>
  <c r="B2149" i="4"/>
  <c r="A2140" i="4"/>
  <c r="B2125" i="4"/>
  <c r="A2116" i="4"/>
  <c r="B2101" i="4"/>
  <c r="A2092" i="4"/>
  <c r="B2079" i="4"/>
  <c r="B2069" i="4"/>
  <c r="B2057" i="4"/>
  <c r="B2047" i="4"/>
  <c r="B2035" i="4"/>
  <c r="B2026" i="4"/>
  <c r="B2014" i="4"/>
  <c r="B2004" i="4"/>
  <c r="B1992" i="4"/>
  <c r="B1983" i="4"/>
  <c r="B1971" i="4"/>
  <c r="B1961" i="4"/>
  <c r="B1949" i="4"/>
  <c r="B1939" i="4"/>
  <c r="B1927" i="4"/>
  <c r="B1918" i="4"/>
  <c r="B1906" i="4"/>
  <c r="B1896" i="4"/>
  <c r="B1884" i="4"/>
  <c r="B1875" i="4"/>
  <c r="B1863" i="4"/>
  <c r="B1853" i="4"/>
  <c r="B1841" i="4"/>
  <c r="B1831" i="4"/>
  <c r="B1819" i="4"/>
  <c r="B1810" i="4"/>
  <c r="B1798" i="4"/>
  <c r="B1788" i="4"/>
  <c r="B1776" i="4"/>
  <c r="B1767" i="4"/>
  <c r="B1755" i="4"/>
  <c r="B1745" i="4"/>
  <c r="B1733" i="4"/>
  <c r="B1723" i="4"/>
  <c r="B1711" i="4"/>
  <c r="B1702" i="4"/>
  <c r="B1690" i="4"/>
  <c r="A2917" i="5"/>
  <c r="A1754" i="5"/>
  <c r="B1261" i="5"/>
  <c r="B994" i="5"/>
  <c r="A823" i="5"/>
  <c r="A703" i="5"/>
  <c r="A622" i="5"/>
  <c r="A526" i="5"/>
  <c r="A432" i="5"/>
  <c r="B354" i="5"/>
  <c r="A269" i="5"/>
  <c r="A202" i="5"/>
  <c r="B108" i="5"/>
  <c r="A48" i="5"/>
  <c r="A4442" i="4"/>
  <c r="B4406" i="4"/>
  <c r="B4367" i="4"/>
  <c r="B4332" i="4"/>
  <c r="B4291" i="4"/>
  <c r="B4259" i="4"/>
  <c r="B4223" i="4"/>
  <c r="B4188" i="4"/>
  <c r="B4147" i="4"/>
  <c r="B4115" i="4"/>
  <c r="B4079" i="4"/>
  <c r="B4044" i="4"/>
  <c r="B4003" i="4"/>
  <c r="B3971" i="4"/>
  <c r="B3935" i="4"/>
  <c r="B3900" i="4"/>
  <c r="B3859" i="4"/>
  <c r="B3827" i="4"/>
  <c r="B3791" i="4"/>
  <c r="B3756" i="4"/>
  <c r="B3715" i="4"/>
  <c r="B3683" i="4"/>
  <c r="B3647" i="4"/>
  <c r="B3612" i="4"/>
  <c r="B3571" i="4"/>
  <c r="B3542" i="4"/>
  <c r="A3510" i="4"/>
  <c r="A3479" i="4"/>
  <c r="B3442" i="4"/>
  <c r="A3413" i="4"/>
  <c r="B3380" i="4"/>
  <c r="B3354" i="4"/>
  <c r="A3324" i="4"/>
  <c r="B3299" i="4"/>
  <c r="B3272" i="4"/>
  <c r="B3246" i="4"/>
  <c r="A3216" i="4"/>
  <c r="B3191" i="4"/>
  <c r="B3164" i="4"/>
  <c r="A3140" i="4"/>
  <c r="A3113" i="4"/>
  <c r="B3090" i="4"/>
  <c r="B3066" i="4"/>
  <c r="A3044" i="4"/>
  <c r="A3017" i="4"/>
  <c r="B2994" i="4"/>
  <c r="A2971" i="4"/>
  <c r="A2951" i="4"/>
  <c r="B2926" i="4"/>
  <c r="A2906" i="4"/>
  <c r="A2885" i="4"/>
  <c r="A2864" i="4"/>
  <c r="B2839" i="4"/>
  <c r="A2820" i="4"/>
  <c r="A2800" i="4"/>
  <c r="A2781" i="4"/>
  <c r="A2759" i="4"/>
  <c r="A2741" i="4"/>
  <c r="A2721" i="4"/>
  <c r="B2702" i="4"/>
  <c r="B2680" i="4"/>
  <c r="B2662" i="4"/>
  <c r="B2644" i="4"/>
  <c r="B2627" i="4"/>
  <c r="A2607" i="4"/>
  <c r="B2590" i="4"/>
  <c r="B2572" i="4"/>
  <c r="B2555" i="4"/>
  <c r="A2535" i="4"/>
  <c r="B2518" i="4"/>
  <c r="B2500" i="4"/>
  <c r="B2483" i="4"/>
  <c r="A2463" i="4"/>
  <c r="B2446" i="4"/>
  <c r="B2428" i="4"/>
  <c r="B2411" i="4"/>
  <c r="A2391" i="4"/>
  <c r="B2374" i="4"/>
  <c r="B2356" i="4"/>
  <c r="B2339" i="4"/>
  <c r="A2319" i="4"/>
  <c r="B2302" i="4"/>
  <c r="B2284" i="4"/>
  <c r="B2267" i="4"/>
  <c r="A2247" i="4"/>
  <c r="B2230" i="4"/>
  <c r="B2212" i="4"/>
  <c r="B2195" i="4"/>
  <c r="A2175" i="4"/>
  <c r="B2158" i="4"/>
  <c r="B2140" i="4"/>
  <c r="B2123" i="4"/>
  <c r="A2103" i="4"/>
  <c r="B2086" i="4"/>
  <c r="A2070" i="4"/>
  <c r="B2055" i="4"/>
  <c r="A2037" i="4"/>
  <c r="B2021" i="4"/>
  <c r="A2005" i="4"/>
  <c r="B1990" i="4"/>
  <c r="A1972" i="4"/>
  <c r="B1956" i="4"/>
  <c r="A1941" i="4"/>
  <c r="B1925" i="4"/>
  <c r="A1907" i="4"/>
  <c r="B1891" i="4"/>
  <c r="A1876" i="4"/>
  <c r="B1860" i="4"/>
  <c r="A1842" i="4"/>
  <c r="B1827" i="4"/>
  <c r="A1811" i="4"/>
  <c r="B1795" i="4"/>
  <c r="A1777" i="4"/>
  <c r="B1762" i="4"/>
  <c r="A1746" i="4"/>
  <c r="B1731" i="4"/>
  <c r="A1713" i="4"/>
  <c r="B1697" i="4"/>
  <c r="A1681" i="4"/>
  <c r="B1667" i="4"/>
  <c r="A1654" i="4"/>
  <c r="A1638" i="4"/>
  <c r="B1624" i="4"/>
  <c r="A1611" i="4"/>
  <c r="A1595" i="4"/>
  <c r="B1581" i="4"/>
  <c r="A1567" i="4"/>
  <c r="A1552" i="4"/>
  <c r="B1537" i="4"/>
  <c r="A1524" i="4"/>
  <c r="A1509" i="4"/>
  <c r="B1494" i="4"/>
  <c r="A1481" i="4"/>
  <c r="A1465" i="4"/>
  <c r="B1451" i="4"/>
  <c r="A1438" i="4"/>
  <c r="A1422" i="4"/>
  <c r="B1408" i="4"/>
  <c r="A1395" i="4"/>
  <c r="A1379" i="4"/>
  <c r="B1365" i="4"/>
  <c r="A1351" i="4"/>
  <c r="A1336" i="4"/>
  <c r="B1321" i="4"/>
  <c r="A1308" i="4"/>
  <c r="A1293" i="4"/>
  <c r="B1278" i="4"/>
  <c r="A1265" i="4"/>
  <c r="A1249" i="4"/>
  <c r="B1235" i="4"/>
  <c r="A1222" i="4"/>
  <c r="A1206" i="4"/>
  <c r="B1192" i="4"/>
  <c r="A1179" i="4"/>
  <c r="A1163" i="4"/>
  <c r="B1149" i="4"/>
  <c r="A1135" i="4"/>
  <c r="A1120" i="4"/>
  <c r="B1105" i="4"/>
  <c r="A1092" i="4"/>
  <c r="A1077" i="4"/>
  <c r="B1062" i="4"/>
  <c r="A1049" i="4"/>
  <c r="B1033" i="4"/>
  <c r="A1021" i="4"/>
  <c r="B1009" i="4"/>
  <c r="B996" i="4"/>
  <c r="A985" i="4"/>
  <c r="B973" i="4"/>
  <c r="B960" i="4"/>
  <c r="A949" i="4"/>
  <c r="B940" i="4"/>
  <c r="B929" i="4"/>
  <c r="A920" i="4"/>
  <c r="B911" i="4"/>
  <c r="B900" i="4"/>
  <c r="A892" i="4"/>
  <c r="B882" i="4"/>
  <c r="B871" i="4"/>
  <c r="A863" i="4"/>
  <c r="B853" i="4"/>
  <c r="B842" i="4"/>
  <c r="A834" i="4"/>
  <c r="B824" i="4"/>
  <c r="B814" i="4"/>
  <c r="A805" i="4"/>
  <c r="B796" i="4"/>
  <c r="B785" i="4"/>
  <c r="A776" i="4"/>
  <c r="B767" i="4"/>
  <c r="B756" i="4"/>
  <c r="A748" i="4"/>
  <c r="B738" i="4"/>
  <c r="B727" i="4"/>
  <c r="A719" i="4"/>
  <c r="B709" i="4"/>
  <c r="B698" i="4"/>
  <c r="A690" i="4"/>
  <c r="B680" i="4"/>
  <c r="B670" i="4"/>
  <c r="A661" i="4"/>
  <c r="B652" i="4"/>
  <c r="B641" i="4"/>
  <c r="A632" i="4"/>
  <c r="B623" i="4"/>
  <c r="B612" i="4"/>
  <c r="A604" i="4"/>
  <c r="B594" i="4"/>
  <c r="B583" i="4"/>
  <c r="A575" i="4"/>
  <c r="B565" i="4"/>
  <c r="B554" i="4"/>
  <c r="A546" i="4"/>
  <c r="B536" i="4"/>
  <c r="B526" i="4"/>
  <c r="A517" i="4"/>
  <c r="B508" i="4"/>
  <c r="B497" i="4"/>
  <c r="A488" i="4"/>
  <c r="B479" i="4"/>
  <c r="A469" i="4"/>
  <c r="A461" i="4"/>
  <c r="B452" i="4"/>
  <c r="A443" i="4"/>
  <c r="B434" i="4"/>
  <c r="B426" i="4"/>
  <c r="B416" i="4"/>
  <c r="B408" i="4"/>
  <c r="B400" i="4"/>
  <c r="B390" i="4"/>
  <c r="B382" i="4"/>
  <c r="A374" i="4"/>
  <c r="B364" i="4"/>
  <c r="A356" i="4"/>
  <c r="A348" i="4"/>
  <c r="A338" i="4"/>
  <c r="A330" i="4"/>
  <c r="A322" i="4"/>
  <c r="B312" i="4"/>
  <c r="A305" i="4"/>
  <c r="B297" i="4"/>
  <c r="B288" i="4"/>
  <c r="A281" i="4"/>
  <c r="B273" i="4"/>
  <c r="B264" i="4"/>
  <c r="B257" i="4"/>
  <c r="B250" i="4"/>
  <c r="B243" i="4"/>
  <c r="B236" i="4"/>
  <c r="B228" i="4"/>
  <c r="B221" i="4"/>
  <c r="B214" i="4"/>
  <c r="A2740" i="5"/>
  <c r="A1680" i="5"/>
  <c r="B1232" i="5"/>
  <c r="A978" i="5"/>
  <c r="B806" i="5"/>
  <c r="B701" i="5"/>
  <c r="B597" i="5"/>
  <c r="A521" i="5"/>
  <c r="B419" i="5"/>
  <c r="A354" i="5"/>
  <c r="A264" i="5"/>
  <c r="A192" i="5"/>
  <c r="B107" i="5"/>
  <c r="B43" i="5"/>
  <c r="A4439" i="4"/>
  <c r="A4406" i="4"/>
  <c r="A4362" i="4"/>
  <c r="B4331" i="4"/>
  <c r="B4289" i="4"/>
  <c r="A4259" i="4"/>
  <c r="A4218" i="4"/>
  <c r="B4187" i="4"/>
  <c r="B4145" i="4"/>
  <c r="A4115" i="4"/>
  <c r="A4074" i="4"/>
  <c r="B4043" i="4"/>
  <c r="B4001" i="4"/>
  <c r="A3971" i="4"/>
  <c r="A3930" i="4"/>
  <c r="B3899" i="4"/>
  <c r="B3857" i="4"/>
  <c r="A3827" i="4"/>
  <c r="A3786" i="4"/>
  <c r="B3755" i="4"/>
  <c r="B3713" i="4"/>
  <c r="A3683" i="4"/>
  <c r="A3642" i="4"/>
  <c r="B3611" i="4"/>
  <c r="B3569" i="4"/>
  <c r="B3541" i="4"/>
  <c r="A3505" i="4"/>
  <c r="A3478" i="4"/>
  <c r="B3439" i="4"/>
  <c r="B3412" i="4"/>
  <c r="B3376" i="4"/>
  <c r="B3353" i="4"/>
  <c r="A3322" i="4"/>
  <c r="A3299" i="4"/>
  <c r="B3268" i="4"/>
  <c r="B3245" i="4"/>
  <c r="A3214" i="4"/>
  <c r="A3191" i="4"/>
  <c r="B3160" i="4"/>
  <c r="B3138" i="4"/>
  <c r="A3110" i="4"/>
  <c r="A3090" i="4"/>
  <c r="B3062" i="4"/>
  <c r="B3042" i="4"/>
  <c r="A3014" i="4"/>
  <c r="A2994" i="4"/>
  <c r="A2968" i="4"/>
  <c r="A2950" i="4"/>
  <c r="B2923" i="4"/>
  <c r="B2905" i="4"/>
  <c r="A2881" i="4"/>
  <c r="A2863" i="4"/>
  <c r="B2837" i="4"/>
  <c r="B2819" i="4"/>
  <c r="B2796" i="4"/>
  <c r="A2780" i="4"/>
  <c r="B2756" i="4"/>
  <c r="B2740" i="4"/>
  <c r="A2718" i="4"/>
  <c r="B2701" i="4"/>
  <c r="A2678" i="4"/>
  <c r="A2662" i="4"/>
  <c r="B2641" i="4"/>
  <c r="B2626" i="4"/>
  <c r="A2605" i="4"/>
  <c r="A2590" i="4"/>
  <c r="B2569" i="4"/>
  <c r="B2554" i="4"/>
  <c r="A2533" i="4"/>
  <c r="A2518" i="4"/>
  <c r="B2497" i="4"/>
  <c r="B2482" i="4"/>
  <c r="A2461" i="4"/>
  <c r="A2446" i="4"/>
  <c r="B2425" i="4"/>
  <c r="B2410" i="4"/>
  <c r="A2389" i="4"/>
  <c r="A2374" i="4"/>
  <c r="B2353" i="4"/>
  <c r="B2338" i="4"/>
  <c r="A2317" i="4"/>
  <c r="A2302" i="4"/>
  <c r="B2281" i="4"/>
  <c r="B2266" i="4"/>
  <c r="A2245" i="4"/>
  <c r="A2230" i="4"/>
  <c r="B2209" i="4"/>
  <c r="B2194" i="4"/>
  <c r="A2173" i="4"/>
  <c r="A2158" i="4"/>
  <c r="B2137" i="4"/>
  <c r="B2122" i="4"/>
  <c r="A2101" i="4"/>
  <c r="A2086" i="4"/>
  <c r="B2068" i="4"/>
  <c r="B2053" i="4"/>
  <c r="A2035" i="4"/>
  <c r="A2021" i="4"/>
  <c r="B2003" i="4"/>
  <c r="B1989" i="4"/>
  <c r="A1971" i="4"/>
  <c r="A1956" i="4"/>
  <c r="B1938" i="4"/>
  <c r="B1924" i="4"/>
  <c r="A1906" i="4"/>
  <c r="A1891" i="4"/>
  <c r="B1873" i="4"/>
  <c r="B1859" i="4"/>
  <c r="A1841" i="4"/>
  <c r="A1827" i="4"/>
  <c r="B1809" i="4"/>
  <c r="B1794" i="4"/>
  <c r="A1776" i="4"/>
  <c r="A1762" i="4"/>
  <c r="B1744" i="4"/>
  <c r="B1729" i="4"/>
  <c r="A1711" i="4"/>
  <c r="A1697" i="4"/>
  <c r="B1680" i="4"/>
  <c r="A1667" i="4"/>
  <c r="B1653" i="4"/>
  <c r="B1637" i="4"/>
  <c r="A1624" i="4"/>
  <c r="B1609" i="4"/>
  <c r="B1594" i="4"/>
  <c r="A1581" i="4"/>
  <c r="B1566" i="4"/>
  <c r="B1551" i="4"/>
  <c r="A1537" i="4"/>
  <c r="B1523" i="4"/>
  <c r="B1507" i="4"/>
  <c r="A1494" i="4"/>
  <c r="B1480" i="4"/>
  <c r="B1464" i="4"/>
  <c r="A1451" i="4"/>
  <c r="B1437" i="4"/>
  <c r="B1421" i="4"/>
  <c r="A1408" i="4"/>
  <c r="B1393" i="4"/>
  <c r="B1378" i="4"/>
  <c r="A1365" i="4"/>
  <c r="B1350" i="4"/>
  <c r="B1335" i="4"/>
  <c r="A1321" i="4"/>
  <c r="B1307" i="4"/>
  <c r="B1291" i="4"/>
  <c r="A1278" i="4"/>
  <c r="B1264" i="4"/>
  <c r="B1248" i="4"/>
  <c r="A1235" i="4"/>
  <c r="B1221" i="4"/>
  <c r="B1205" i="4"/>
  <c r="A1192" i="4"/>
  <c r="B1177" i="4"/>
  <c r="B1162" i="4"/>
  <c r="A1149" i="4"/>
  <c r="B1134" i="4"/>
  <c r="B1119" i="4"/>
  <c r="A1105" i="4"/>
  <c r="B1091" i="4"/>
  <c r="B1075" i="4"/>
  <c r="A1062" i="4"/>
  <c r="B1048" i="4"/>
  <c r="A1033" i="4"/>
  <c r="B1020" i="4"/>
  <c r="A1009" i="4"/>
  <c r="A996" i="4"/>
  <c r="B984" i="4"/>
  <c r="A973" i="4"/>
  <c r="A960" i="4"/>
  <c r="B948" i="4"/>
  <c r="A940" i="4"/>
  <c r="A929" i="4"/>
  <c r="B919" i="4"/>
  <c r="A911" i="4"/>
  <c r="A900" i="4"/>
  <c r="B890" i="4"/>
  <c r="A882" i="4"/>
  <c r="A871" i="4"/>
  <c r="B862" i="4"/>
  <c r="A853" i="4"/>
  <c r="A842" i="4"/>
  <c r="B833" i="4"/>
  <c r="A824" i="4"/>
  <c r="A814" i="4"/>
  <c r="B804" i="4"/>
  <c r="A796" i="4"/>
  <c r="A785" i="4"/>
  <c r="B775" i="4"/>
  <c r="A767" i="4"/>
  <c r="A756" i="4"/>
  <c r="B746" i="4"/>
  <c r="A738" i="4"/>
  <c r="A727" i="4"/>
  <c r="B718" i="4"/>
  <c r="A709" i="4"/>
  <c r="A698" i="4"/>
  <c r="B689" i="4"/>
  <c r="A680" i="4"/>
  <c r="A670" i="4"/>
  <c r="B660" i="4"/>
  <c r="A652" i="4"/>
  <c r="A641" i="4"/>
  <c r="B631" i="4"/>
  <c r="A623" i="4"/>
  <c r="A612" i="4"/>
  <c r="B602" i="4"/>
  <c r="A594" i="4"/>
  <c r="A583" i="4"/>
  <c r="B574" i="4"/>
  <c r="A565" i="4"/>
  <c r="A554" i="4"/>
  <c r="B545" i="4"/>
  <c r="A536" i="4"/>
  <c r="A526" i="4"/>
  <c r="B516" i="4"/>
  <c r="A508" i="4"/>
  <c r="A497" i="4"/>
  <c r="B487" i="4"/>
  <c r="A479" i="4"/>
  <c r="B468" i="4"/>
  <c r="B460" i="4"/>
  <c r="A452" i="4"/>
  <c r="B442" i="4"/>
  <c r="A434" i="4"/>
  <c r="A426" i="4"/>
  <c r="B2739" i="5"/>
  <c r="B1566" i="5"/>
  <c r="B1187" i="5"/>
  <c r="B971" i="5"/>
  <c r="B788" i="5"/>
  <c r="A700" i="5"/>
  <c r="B594" i="5"/>
  <c r="B514" i="5"/>
  <c r="A418" i="5"/>
  <c r="A352" i="5"/>
  <c r="A258" i="5"/>
  <c r="B191" i="5"/>
  <c r="B105" i="5"/>
  <c r="B40" i="5"/>
  <c r="B4437" i="4"/>
  <c r="B4404" i="4"/>
  <c r="A4360" i="4"/>
  <c r="A4330" i="4"/>
  <c r="A4288" i="4"/>
  <c r="A4258" i="4"/>
  <c r="A4216" i="4"/>
  <c r="A4186" i="4"/>
  <c r="A4144" i="4"/>
  <c r="A4114" i="4"/>
  <c r="A4072" i="4"/>
  <c r="A4042" i="4"/>
  <c r="A4000" i="4"/>
  <c r="A3970" i="4"/>
  <c r="A3928" i="4"/>
  <c r="A3898" i="4"/>
  <c r="A3856" i="4"/>
  <c r="A3826" i="4"/>
  <c r="A3784" i="4"/>
  <c r="A3754" i="4"/>
  <c r="A3712" i="4"/>
  <c r="A3682" i="4"/>
  <c r="A3640" i="4"/>
  <c r="A3610" i="4"/>
  <c r="A3568" i="4"/>
  <c r="B3540" i="4"/>
  <c r="A3503" i="4"/>
  <c r="B3475" i="4"/>
  <c r="A3438" i="4"/>
  <c r="B3411" i="4"/>
  <c r="B3374" i="4"/>
  <c r="A3352" i="4"/>
  <c r="B3320" i="4"/>
  <c r="A3298" i="4"/>
  <c r="B3266" i="4"/>
  <c r="A3244" i="4"/>
  <c r="B3212" i="4"/>
  <c r="A3190" i="4"/>
  <c r="B3158" i="4"/>
  <c r="A3137" i="4"/>
  <c r="A3109" i="4"/>
  <c r="A3089" i="4"/>
  <c r="A3061" i="4"/>
  <c r="A3041" i="4"/>
  <c r="A3013" i="4"/>
  <c r="A2993" i="4"/>
  <c r="A2966" i="4"/>
  <c r="B2947" i="4"/>
  <c r="A2923" i="4"/>
  <c r="B2904" i="4"/>
  <c r="A2880" i="4"/>
  <c r="B2861" i="4"/>
  <c r="A2837" i="4"/>
  <c r="B2818" i="4"/>
  <c r="B2795" i="4"/>
  <c r="B2778" i="4"/>
  <c r="A2756" i="4"/>
  <c r="A2739" i="4"/>
  <c r="A2717" i="4"/>
  <c r="A2700" i="4"/>
  <c r="B2677" i="4"/>
  <c r="A2661" i="4"/>
  <c r="B2640" i="4"/>
  <c r="A2625" i="4"/>
  <c r="B2604" i="4"/>
  <c r="A2589" i="4"/>
  <c r="B2568" i="4"/>
  <c r="A2553" i="4"/>
  <c r="B2532" i="4"/>
  <c r="A2517" i="4"/>
  <c r="B2496" i="4"/>
  <c r="A2481" i="4"/>
  <c r="B2460" i="4"/>
  <c r="A2445" i="4"/>
  <c r="B2424" i="4"/>
  <c r="A2409" i="4"/>
  <c r="B2388" i="4"/>
  <c r="A2373" i="4"/>
  <c r="B2352" i="4"/>
  <c r="A2337" i="4"/>
  <c r="B2316" i="4"/>
  <c r="A2301" i="4"/>
  <c r="B2280" i="4"/>
  <c r="A2265" i="4"/>
  <c r="B2244" i="4"/>
  <c r="A2229" i="4"/>
  <c r="B2208" i="4"/>
  <c r="A2193" i="4"/>
  <c r="B2172" i="4"/>
  <c r="A2157" i="4"/>
  <c r="B2136" i="4"/>
  <c r="A2121" i="4"/>
  <c r="B2100" i="4"/>
  <c r="B2085" i="4"/>
  <c r="B2067" i="4"/>
  <c r="B2052" i="4"/>
  <c r="B2034" i="4"/>
  <c r="B2020" i="4"/>
  <c r="B2002" i="4"/>
  <c r="B1987" i="4"/>
  <c r="B1969" i="4"/>
  <c r="B1955" i="4"/>
  <c r="B1937" i="4"/>
  <c r="B1923" i="4"/>
  <c r="B1905" i="4"/>
  <c r="B1890" i="4"/>
  <c r="B1872" i="4"/>
  <c r="B1858" i="4"/>
  <c r="B1840" i="4"/>
  <c r="B1825" i="4"/>
  <c r="B1807" i="4"/>
  <c r="B1793" i="4"/>
  <c r="B1775" i="4"/>
  <c r="B1761" i="4"/>
  <c r="B1743" i="4"/>
  <c r="B1728" i="4"/>
  <c r="B1710" i="4"/>
  <c r="B1696" i="4"/>
  <c r="B1679" i="4"/>
  <c r="B1666" i="4"/>
  <c r="A1653" i="4"/>
  <c r="B1636" i="4"/>
  <c r="B1623" i="4"/>
  <c r="A1609" i="4"/>
  <c r="B1593" i="4"/>
  <c r="B1579" i="4"/>
  <c r="A1566" i="4"/>
  <c r="B1549" i="4"/>
  <c r="B1536" i="4"/>
  <c r="A1523" i="4"/>
  <c r="B1506" i="4"/>
  <c r="B1493" i="4"/>
  <c r="A1480" i="4"/>
  <c r="B1463" i="4"/>
  <c r="B1450" i="4"/>
  <c r="A1437" i="4"/>
  <c r="B1420" i="4"/>
  <c r="B1407" i="4"/>
  <c r="A1393" i="4"/>
  <c r="B1377" i="4"/>
  <c r="B1363" i="4"/>
  <c r="A1350" i="4"/>
  <c r="B1333" i="4"/>
  <c r="B1320" i="4"/>
  <c r="A1307" i="4"/>
  <c r="B1290" i="4"/>
  <c r="B1277" i="4"/>
  <c r="A1264" i="4"/>
  <c r="B1247" i="4"/>
  <c r="B1234" i="4"/>
  <c r="A1221" i="4"/>
  <c r="B1204" i="4"/>
  <c r="B1191" i="4"/>
  <c r="A1177" i="4"/>
  <c r="B1161" i="4"/>
  <c r="B1147" i="4"/>
  <c r="A1134" i="4"/>
  <c r="B1117" i="4"/>
  <c r="B1104" i="4"/>
  <c r="A1091" i="4"/>
  <c r="B1074" i="4"/>
  <c r="B1061" i="4"/>
  <c r="A1048" i="4"/>
  <c r="A1032" i="4"/>
  <c r="A1020" i="4"/>
  <c r="B1008" i="4"/>
  <c r="A995" i="4"/>
  <c r="A984" i="4"/>
  <c r="B972" i="4"/>
  <c r="A959" i="4"/>
  <c r="A948" i="4"/>
  <c r="B938" i="4"/>
  <c r="B928" i="4"/>
  <c r="A919" i="4"/>
  <c r="B910" i="4"/>
  <c r="B899" i="4"/>
  <c r="A890" i="4"/>
  <c r="B881" i="4"/>
  <c r="B870" i="4"/>
  <c r="A862" i="4"/>
  <c r="B852" i="4"/>
  <c r="B841" i="4"/>
  <c r="A833" i="4"/>
  <c r="B823" i="4"/>
  <c r="B812" i="4"/>
  <c r="A804" i="4"/>
  <c r="B794" i="4"/>
  <c r="B784" i="4"/>
  <c r="A775" i="4"/>
  <c r="B766" i="4"/>
  <c r="B755" i="4"/>
  <c r="A746" i="4"/>
  <c r="B737" i="4"/>
  <c r="B726" i="4"/>
  <c r="A718" i="4"/>
  <c r="B708" i="4"/>
  <c r="B697" i="4"/>
  <c r="A689" i="4"/>
  <c r="B679" i="4"/>
  <c r="B668" i="4"/>
  <c r="A660" i="4"/>
  <c r="B650" i="4"/>
  <c r="B640" i="4"/>
  <c r="A631" i="4"/>
  <c r="B622" i="4"/>
  <c r="B611" i="4"/>
  <c r="A602" i="4"/>
  <c r="B593" i="4"/>
  <c r="B582" i="4"/>
  <c r="A574" i="4"/>
  <c r="B564" i="4"/>
  <c r="B553" i="4"/>
  <c r="A545" i="4"/>
  <c r="B535" i="4"/>
  <c r="B524" i="4"/>
  <c r="A516" i="4"/>
  <c r="B506" i="4"/>
  <c r="B496" i="4"/>
  <c r="A487" i="4"/>
  <c r="B478" i="4"/>
  <c r="A468" i="4"/>
  <c r="A460" i="4"/>
  <c r="B451" i="4"/>
  <c r="A442" i="4"/>
  <c r="B433" i="4"/>
  <c r="B425" i="4"/>
  <c r="B415" i="4"/>
  <c r="B407" i="4"/>
  <c r="B399" i="4"/>
  <c r="B2568" i="5"/>
  <c r="A1566" i="5"/>
  <c r="B1166" i="5"/>
  <c r="B966" i="5"/>
  <c r="A788" i="5"/>
  <c r="B699" i="5"/>
  <c r="A593" i="5"/>
  <c r="B510" i="5"/>
  <c r="B417" i="5"/>
  <c r="B351" i="5"/>
  <c r="B256" i="5"/>
  <c r="B185" i="5"/>
  <c r="B102" i="5"/>
  <c r="B30" i="5"/>
  <c r="A4437" i="4"/>
  <c r="B4399" i="4"/>
  <c r="A4356" i="4"/>
  <c r="A4324" i="4"/>
  <c r="B4287" i="4"/>
  <c r="A4253" i="4"/>
  <c r="A4212" i="4"/>
  <c r="A4180" i="4"/>
  <c r="B4143" i="4"/>
  <c r="A4109" i="4"/>
  <c r="A4068" i="4"/>
  <c r="A4036" i="4"/>
  <c r="B3999" i="4"/>
  <c r="A3965" i="4"/>
  <c r="A3924" i="4"/>
  <c r="A3892" i="4"/>
  <c r="B3855" i="4"/>
  <c r="A3821" i="4"/>
  <c r="A3780" i="4"/>
  <c r="A3748" i="4"/>
  <c r="B3711" i="4"/>
  <c r="A3677" i="4"/>
  <c r="A3636" i="4"/>
  <c r="A3604" i="4"/>
  <c r="B3567" i="4"/>
  <c r="B3536" i="4"/>
  <c r="B3499" i="4"/>
  <c r="B3470" i="4"/>
  <c r="B3437" i="4"/>
  <c r="A3407" i="4"/>
  <c r="A3372" i="4"/>
  <c r="B3347" i="4"/>
  <c r="A3320" i="4"/>
  <c r="B3294" i="4"/>
  <c r="A3264" i="4"/>
  <c r="B3239" i="4"/>
  <c r="A3212" i="4"/>
  <c r="B3186" i="4"/>
  <c r="A3156" i="4"/>
  <c r="A3133" i="4"/>
  <c r="B3108" i="4"/>
  <c r="B3086" i="4"/>
  <c r="B3059" i="4"/>
  <c r="A3037" i="4"/>
  <c r="B3012" i="4"/>
  <c r="B2990" i="4"/>
  <c r="B2964" i="4"/>
  <c r="A2945" i="4"/>
  <c r="B2922" i="4"/>
  <c r="A2903" i="4"/>
  <c r="B2878" i="4"/>
  <c r="A2858" i="4"/>
  <c r="B2836" i="4"/>
  <c r="A2816" i="4"/>
  <c r="A2794" i="4"/>
  <c r="A2776" i="4"/>
  <c r="B2755" i="4"/>
  <c r="B2737" i="4"/>
  <c r="A2715" i="4"/>
  <c r="A2697" i="4"/>
  <c r="A2677" i="4"/>
  <c r="B2659" i="4"/>
  <c r="A2639" i="4"/>
  <c r="B2622" i="4"/>
  <c r="A2604" i="4"/>
  <c r="B2587" i="4"/>
  <c r="A2567" i="4"/>
  <c r="B2550" i="4"/>
  <c r="A2532" i="4"/>
  <c r="B2515" i="4"/>
  <c r="A2495" i="4"/>
  <c r="B2478" i="4"/>
  <c r="A2460" i="4"/>
  <c r="B2443" i="4"/>
  <c r="A2423" i="4"/>
  <c r="B2406" i="4"/>
  <c r="A2388" i="4"/>
  <c r="B2371" i="4"/>
  <c r="A2351" i="4"/>
  <c r="B2334" i="4"/>
  <c r="A2316" i="4"/>
  <c r="B2299" i="4"/>
  <c r="A2279" i="4"/>
  <c r="B2262" i="4"/>
  <c r="A2244" i="4"/>
  <c r="B2227" i="4"/>
  <c r="A2207" i="4"/>
  <c r="B2190" i="4"/>
  <c r="A2172" i="4"/>
  <c r="B2155" i="4"/>
  <c r="A2135" i="4"/>
  <c r="B2118" i="4"/>
  <c r="A2100" i="4"/>
  <c r="A2085" i="4"/>
  <c r="A2065" i="4"/>
  <c r="A2051" i="4"/>
  <c r="A2034" i="4"/>
  <c r="A2020" i="4"/>
  <c r="A2001" i="4"/>
  <c r="A1986" i="4"/>
  <c r="A1969" i="4"/>
  <c r="A1955" i="4"/>
  <c r="A1936" i="4"/>
  <c r="A1921" i="4"/>
  <c r="A1905" i="4"/>
  <c r="A1890" i="4"/>
  <c r="A1871" i="4"/>
  <c r="A1857" i="4"/>
  <c r="A1840" i="4"/>
  <c r="A1825" i="4"/>
  <c r="A1806" i="4"/>
  <c r="A1792" i="4"/>
  <c r="A1775" i="4"/>
  <c r="A1761" i="4"/>
  <c r="A1741" i="4"/>
  <c r="A1727" i="4"/>
  <c r="A1710" i="4"/>
  <c r="A1696" i="4"/>
  <c r="B1678" i="4"/>
  <c r="B1665" i="4"/>
  <c r="A1648" i="4"/>
  <c r="B1635" i="4"/>
  <c r="B1621" i="4"/>
  <c r="A1605" i="4"/>
  <c r="B1591" i="4"/>
  <c r="B1578" i="4"/>
  <c r="A1561" i="4"/>
  <c r="B1548" i="4"/>
  <c r="B1535" i="4"/>
  <c r="A1518" i="4"/>
  <c r="B1505" i="4"/>
  <c r="B1492" i="4"/>
  <c r="A1475" i="4"/>
  <c r="B1462" i="4"/>
  <c r="B1449" i="4"/>
  <c r="A1432" i="4"/>
  <c r="B1419" i="4"/>
  <c r="B1405" i="4"/>
  <c r="A1389" i="4"/>
  <c r="B1375" i="4"/>
  <c r="B1362" i="4"/>
  <c r="A1345" i="4"/>
  <c r="B1332" i="4"/>
  <c r="B1319" i="4"/>
  <c r="A1302" i="4"/>
  <c r="B1289" i="4"/>
  <c r="B1276" i="4"/>
  <c r="A1259" i="4"/>
  <c r="B1246" i="4"/>
  <c r="B1233" i="4"/>
  <c r="A1216" i="4"/>
  <c r="B1203" i="4"/>
  <c r="B1189" i="4"/>
  <c r="A1173" i="4"/>
  <c r="B1159" i="4"/>
  <c r="B1146" i="4"/>
  <c r="A1129" i="4"/>
  <c r="B1116" i="4"/>
  <c r="B1103" i="4"/>
  <c r="A1086" i="4"/>
  <c r="B1073" i="4"/>
  <c r="B1060" i="4"/>
  <c r="A1043" i="4"/>
  <c r="A1031" i="4"/>
  <c r="A1019" i="4"/>
  <c r="B1004" i="4"/>
  <c r="A994" i="4"/>
  <c r="A983" i="4"/>
  <c r="B968" i="4"/>
  <c r="A958" i="4"/>
  <c r="B947" i="4"/>
  <c r="B936" i="4"/>
  <c r="A928" i="4"/>
  <c r="B918" i="4"/>
  <c r="B907" i="4"/>
  <c r="A899" i="4"/>
  <c r="B889" i="4"/>
  <c r="B878" i="4"/>
  <c r="A870" i="4"/>
  <c r="B860" i="4"/>
  <c r="B850" i="4"/>
  <c r="A841" i="4"/>
  <c r="B832" i="4"/>
  <c r="B821" i="4"/>
  <c r="A812" i="4"/>
  <c r="B803" i="4"/>
  <c r="B792" i="4"/>
  <c r="A784" i="4"/>
  <c r="B774" i="4"/>
  <c r="B763" i="4"/>
  <c r="A755" i="4"/>
  <c r="B745" i="4"/>
  <c r="B734" i="4"/>
  <c r="A726" i="4"/>
  <c r="B716" i="4"/>
  <c r="B706" i="4"/>
  <c r="A697" i="4"/>
  <c r="B688" i="4"/>
  <c r="B677" i="4"/>
  <c r="A668" i="4"/>
  <c r="B659" i="4"/>
  <c r="B648" i="4"/>
  <c r="A640" i="4"/>
  <c r="B630" i="4"/>
  <c r="B619" i="4"/>
  <c r="A611" i="4"/>
  <c r="B601" i="4"/>
  <c r="B590" i="4"/>
  <c r="A582" i="4"/>
  <c r="B572" i="4"/>
  <c r="B562" i="4"/>
  <c r="A553" i="4"/>
  <c r="B544" i="4"/>
  <c r="B533" i="4"/>
  <c r="A524" i="4"/>
  <c r="B515" i="4"/>
  <c r="B504" i="4"/>
  <c r="A496" i="4"/>
  <c r="B486" i="4"/>
  <c r="B475" i="4"/>
  <c r="B467" i="4"/>
  <c r="B459" i="4"/>
  <c r="B449" i="4"/>
  <c r="B441" i="4"/>
  <c r="A433" i="4"/>
  <c r="B423" i="4"/>
  <c r="A415" i="4"/>
  <c r="A407" i="4"/>
  <c r="A397" i="4"/>
  <c r="A389" i="4"/>
  <c r="B380" i="4"/>
  <c r="A371" i="4"/>
  <c r="B362" i="4"/>
  <c r="B354" i="4"/>
  <c r="B344" i="4"/>
  <c r="B336" i="4"/>
  <c r="B328" i="4"/>
  <c r="B318" i="4"/>
  <c r="A311" i="4"/>
  <c r="B303" i="4"/>
  <c r="B294" i="4"/>
  <c r="B2402" i="5"/>
  <c r="B1383" i="5"/>
  <c r="B928" i="5"/>
  <c r="B740" i="5"/>
  <c r="A592" i="5"/>
  <c r="B461" i="5"/>
  <c r="B327" i="5"/>
  <c r="A227" i="5"/>
  <c r="A90" i="5"/>
  <c r="A11" i="5"/>
  <c r="A4389" i="4"/>
  <c r="B4339" i="4"/>
  <c r="B4284" i="4"/>
  <c r="B4236" i="4"/>
  <c r="B4175" i="4"/>
  <c r="B4127" i="4"/>
  <c r="B4067" i="4"/>
  <c r="B4019" i="4"/>
  <c r="B3955" i="4"/>
  <c r="B3907" i="4"/>
  <c r="B3852" i="4"/>
  <c r="B3804" i="4"/>
  <c r="B3743" i="4"/>
  <c r="B3695" i="4"/>
  <c r="B3635" i="4"/>
  <c r="B3587" i="4"/>
  <c r="B3528" i="4"/>
  <c r="B3485" i="4"/>
  <c r="A3436" i="4"/>
  <c r="B3392" i="4"/>
  <c r="B3344" i="4"/>
  <c r="B3308" i="4"/>
  <c r="B3263" i="4"/>
  <c r="B3227" i="4"/>
  <c r="A3180" i="4"/>
  <c r="B3144" i="4"/>
  <c r="A3108" i="4"/>
  <c r="B3076" i="4"/>
  <c r="A3035" i="4"/>
  <c r="B3002" i="4"/>
  <c r="A2964" i="4"/>
  <c r="A2935" i="4"/>
  <c r="B2897" i="4"/>
  <c r="B2868" i="4"/>
  <c r="A2836" i="4"/>
  <c r="B2807" i="4"/>
  <c r="B2773" i="4"/>
  <c r="B2747" i="4"/>
  <c r="B2714" i="4"/>
  <c r="B2688" i="4"/>
  <c r="A2655" i="4"/>
  <c r="A2631" i="4"/>
  <c r="B2603" i="4"/>
  <c r="B2579" i="4"/>
  <c r="B2548" i="4"/>
  <c r="B2524" i="4"/>
  <c r="B2494" i="4"/>
  <c r="B2470" i="4"/>
  <c r="A2439" i="4"/>
  <c r="A2415" i="4"/>
  <c r="B2387" i="4"/>
  <c r="B2363" i="4"/>
  <c r="B2332" i="4"/>
  <c r="B2308" i="4"/>
  <c r="B2278" i="4"/>
  <c r="B2254" i="4"/>
  <c r="A2223" i="4"/>
  <c r="A2199" i="4"/>
  <c r="B2171" i="4"/>
  <c r="B2147" i="4"/>
  <c r="B2116" i="4"/>
  <c r="B2092" i="4"/>
  <c r="B2064" i="4"/>
  <c r="B2043" i="4"/>
  <c r="A2015" i="4"/>
  <c r="A1993" i="4"/>
  <c r="B1968" i="4"/>
  <c r="B1947" i="4"/>
  <c r="A1919" i="4"/>
  <c r="A1897" i="4"/>
  <c r="B1870" i="4"/>
  <c r="B1848" i="4"/>
  <c r="A1821" i="4"/>
  <c r="A1799" i="4"/>
  <c r="B1774" i="4"/>
  <c r="B1752" i="4"/>
  <c r="A1725" i="4"/>
  <c r="A1703" i="4"/>
  <c r="A1677" i="4"/>
  <c r="B1657" i="4"/>
  <c r="A1633" i="4"/>
  <c r="B1614" i="4"/>
  <c r="A1590" i="4"/>
  <c r="B1571" i="4"/>
  <c r="A1547" i="4"/>
  <c r="B1528" i="4"/>
  <c r="A1504" i="4"/>
  <c r="B1485" i="4"/>
  <c r="A1461" i="4"/>
  <c r="B1441" i="4"/>
  <c r="A1417" i="4"/>
  <c r="B1398" i="4"/>
  <c r="A1374" i="4"/>
  <c r="B1355" i="4"/>
  <c r="A1331" i="4"/>
  <c r="B1312" i="4"/>
  <c r="A1288" i="4"/>
  <c r="B1269" i="4"/>
  <c r="A1245" i="4"/>
  <c r="B1225" i="4"/>
  <c r="A1201" i="4"/>
  <c r="B1182" i="4"/>
  <c r="A1158" i="4"/>
  <c r="B1139" i="4"/>
  <c r="A1115" i="4"/>
  <c r="B1096" i="4"/>
  <c r="A1072" i="4"/>
  <c r="B1053" i="4"/>
  <c r="B1029" i="4"/>
  <c r="A1013" i="4"/>
  <c r="B992" i="4"/>
  <c r="A977" i="4"/>
  <c r="B956" i="4"/>
  <c r="B942" i="4"/>
  <c r="B926" i="4"/>
  <c r="B913" i="4"/>
  <c r="B898" i="4"/>
  <c r="B884" i="4"/>
  <c r="B869" i="4"/>
  <c r="B856" i="4"/>
  <c r="B840" i="4"/>
  <c r="B827" i="4"/>
  <c r="B811" i="4"/>
  <c r="B798" i="4"/>
  <c r="B782" i="4"/>
  <c r="B769" i="4"/>
  <c r="B754" i="4"/>
  <c r="B740" i="4"/>
  <c r="B725" i="4"/>
  <c r="B712" i="4"/>
  <c r="B696" i="4"/>
  <c r="B683" i="4"/>
  <c r="B667" i="4"/>
  <c r="B654" i="4"/>
  <c r="B638" i="4"/>
  <c r="B625" i="4"/>
  <c r="B610" i="4"/>
  <c r="B596" i="4"/>
  <c r="B581" i="4"/>
  <c r="B568" i="4"/>
  <c r="B552" i="4"/>
  <c r="B539" i="4"/>
  <c r="B523" i="4"/>
  <c r="B510" i="4"/>
  <c r="B494" i="4"/>
  <c r="B481" i="4"/>
  <c r="A467" i="4"/>
  <c r="A455" i="4"/>
  <c r="B440" i="4"/>
  <c r="B428" i="4"/>
  <c r="A416" i="4"/>
  <c r="B403" i="4"/>
  <c r="A394" i="4"/>
  <c r="A383" i="4"/>
  <c r="A373" i="4"/>
  <c r="B361" i="4"/>
  <c r="B350" i="4"/>
  <c r="B341" i="4"/>
  <c r="B330" i="4"/>
  <c r="B320" i="4"/>
  <c r="A310" i="4"/>
  <c r="A300" i="4"/>
  <c r="B291" i="4"/>
  <c r="A282" i="4"/>
  <c r="A274" i="4"/>
  <c r="A264" i="4"/>
  <c r="B256" i="4"/>
  <c r="A249" i="4"/>
  <c r="B240" i="4"/>
  <c r="A233" i="4"/>
  <c r="B225" i="4"/>
  <c r="B217" i="4"/>
  <c r="B209" i="4"/>
  <c r="B202" i="4"/>
  <c r="B195" i="4"/>
  <c r="B188" i="4"/>
  <c r="B180" i="4"/>
  <c r="B173" i="4"/>
  <c r="B166" i="4"/>
  <c r="B159" i="4"/>
  <c r="B152" i="4"/>
  <c r="B144" i="4"/>
  <c r="B137" i="4"/>
  <c r="B130" i="4"/>
  <c r="B123" i="4"/>
  <c r="B116" i="4"/>
  <c r="B108" i="4"/>
  <c r="B101" i="4"/>
  <c r="B94" i="4"/>
  <c r="B87" i="4"/>
  <c r="B80" i="4"/>
  <c r="B72" i="4"/>
  <c r="B65" i="4"/>
  <c r="B58" i="4"/>
  <c r="B51" i="4"/>
  <c r="B44" i="4"/>
  <c r="B36" i="4"/>
  <c r="B29" i="4"/>
  <c r="B22" i="4"/>
  <c r="B15" i="4"/>
  <c r="B8" i="4"/>
  <c r="B3069" i="3"/>
  <c r="B3062" i="3"/>
  <c r="B3055" i="3"/>
  <c r="B3048" i="3"/>
  <c r="B3041" i="3"/>
  <c r="A3035" i="3"/>
  <c r="B3028" i="3"/>
  <c r="B3021" i="3"/>
  <c r="A3015" i="3"/>
  <c r="B3008" i="3"/>
  <c r="A3002" i="3"/>
  <c r="B2995" i="3"/>
  <c r="A2989" i="3"/>
  <c r="B2982" i="3"/>
  <c r="A2976" i="3"/>
  <c r="B2969" i="3"/>
  <c r="A2963" i="3"/>
  <c r="B2956" i="3"/>
  <c r="B2949" i="3"/>
  <c r="A2943" i="3"/>
  <c r="B2936" i="3"/>
  <c r="A2930" i="3"/>
  <c r="B2923" i="3"/>
  <c r="A2917" i="3"/>
  <c r="B2910" i="3"/>
  <c r="A2904" i="3"/>
  <c r="B2897" i="3"/>
  <c r="A2891" i="3"/>
  <c r="B2884" i="3"/>
  <c r="B2877" i="3"/>
  <c r="A2871" i="3"/>
  <c r="B2864" i="3"/>
  <c r="A2858" i="3"/>
  <c r="B2851" i="3"/>
  <c r="A2845" i="3"/>
  <c r="B2838" i="3"/>
  <c r="A2832" i="3"/>
  <c r="B2825" i="3"/>
  <c r="A2819" i="3"/>
  <c r="B2812" i="3"/>
  <c r="B2805" i="3"/>
  <c r="A2799" i="3"/>
  <c r="B2792" i="3"/>
  <c r="A2786" i="3"/>
  <c r="B2779" i="3"/>
  <c r="A2773" i="3"/>
  <c r="B2766" i="3"/>
  <c r="A2760" i="3"/>
  <c r="B2753" i="3"/>
  <c r="A2747" i="3"/>
  <c r="B2740" i="3"/>
  <c r="B2733" i="3"/>
  <c r="A2727" i="3"/>
  <c r="B2720" i="3"/>
  <c r="A2714" i="3"/>
  <c r="B2707" i="3"/>
  <c r="A2701" i="3"/>
  <c r="B2694" i="3"/>
  <c r="A2688" i="3"/>
  <c r="B2681" i="3"/>
  <c r="A2675" i="3"/>
  <c r="B2668" i="3"/>
  <c r="B2661" i="3"/>
  <c r="A2655" i="3"/>
  <c r="B2648" i="3"/>
  <c r="A2642" i="3"/>
  <c r="B2635" i="3"/>
  <c r="A2629" i="3"/>
  <c r="B2622" i="3"/>
  <c r="A2616" i="3"/>
  <c r="B2609" i="3"/>
  <c r="A2603" i="3"/>
  <c r="B2596" i="3"/>
  <c r="B2589" i="3"/>
  <c r="A2583" i="3"/>
  <c r="B2576" i="3"/>
  <c r="A2570" i="3"/>
  <c r="B2563" i="3"/>
  <c r="A2557" i="3"/>
  <c r="B2550" i="3"/>
  <c r="A2544" i="3"/>
  <c r="B2537" i="3"/>
  <c r="A2531" i="3"/>
  <c r="B2524" i="3"/>
  <c r="B2517" i="3"/>
  <c r="A2511" i="3"/>
  <c r="B2504" i="3"/>
  <c r="A2498" i="3"/>
  <c r="B2491" i="3"/>
  <c r="A2485" i="3"/>
  <c r="B2478" i="3"/>
  <c r="A2472" i="3"/>
  <c r="B2465" i="3"/>
  <c r="B2459" i="3"/>
  <c r="B2453" i="3"/>
  <c r="B2447" i="3"/>
  <c r="B2441" i="3"/>
  <c r="B2435" i="3"/>
  <c r="B2429" i="3"/>
  <c r="B2423" i="3"/>
  <c r="B2417" i="3"/>
  <c r="B2411" i="3"/>
  <c r="B2405" i="3"/>
  <c r="B2399" i="3"/>
  <c r="B2393" i="3"/>
  <c r="B2387" i="3"/>
  <c r="B2381" i="3"/>
  <c r="B2375" i="3"/>
  <c r="B2369" i="3"/>
  <c r="B2363" i="3"/>
  <c r="B2357" i="3"/>
  <c r="B2351" i="3"/>
  <c r="B2345" i="3"/>
  <c r="B2339" i="3"/>
  <c r="B2333" i="3"/>
  <c r="B2327" i="3"/>
  <c r="B2321" i="3"/>
  <c r="B2315" i="3"/>
  <c r="B2309" i="3"/>
  <c r="B2303" i="3"/>
  <c r="B2297" i="3"/>
  <c r="B2291" i="3"/>
  <c r="B2285" i="3"/>
  <c r="B2279" i="3"/>
  <c r="B2273" i="3"/>
  <c r="B2267" i="3"/>
  <c r="B2261" i="3"/>
  <c r="B2255" i="3"/>
  <c r="B2249" i="3"/>
  <c r="B2243" i="3"/>
  <c r="B2237" i="3"/>
  <c r="B2231" i="3"/>
  <c r="B2225" i="3"/>
  <c r="B2219" i="3"/>
  <c r="B2213" i="3"/>
  <c r="B2207" i="3"/>
  <c r="B2201" i="3"/>
  <c r="B2195" i="3"/>
  <c r="B2189" i="3"/>
  <c r="B2183" i="3"/>
  <c r="B2177" i="3"/>
  <c r="B2171" i="3"/>
  <c r="B2165" i="3"/>
  <c r="B2159" i="3"/>
  <c r="B2153" i="3"/>
  <c r="B2147" i="3"/>
  <c r="B2141" i="3"/>
  <c r="B2135" i="3"/>
  <c r="B2129" i="3"/>
  <c r="B2123" i="3"/>
  <c r="B2117" i="3"/>
  <c r="B2111" i="3"/>
  <c r="B2105" i="3"/>
  <c r="B2099" i="3"/>
  <c r="B2093" i="3"/>
  <c r="B2087" i="3"/>
  <c r="B2081" i="3"/>
  <c r="B2075" i="3"/>
  <c r="B2069" i="3"/>
  <c r="B2063" i="3"/>
  <c r="B2057" i="3"/>
  <c r="B2051" i="3"/>
  <c r="B2045" i="3"/>
  <c r="B2039" i="3"/>
  <c r="B2033" i="3"/>
  <c r="B2027" i="3"/>
  <c r="B2021" i="3"/>
  <c r="B2015" i="3"/>
  <c r="B2009" i="3"/>
  <c r="B2003" i="3"/>
  <c r="B1997" i="3"/>
  <c r="B1991" i="3"/>
  <c r="B1985" i="3"/>
  <c r="B1979" i="3"/>
  <c r="B1973" i="3"/>
  <c r="B1967" i="3"/>
  <c r="B1961" i="3"/>
  <c r="B1955" i="3"/>
  <c r="B1949" i="3"/>
  <c r="B1943" i="3"/>
  <c r="B1937" i="3"/>
  <c r="B1931" i="3"/>
  <c r="B1925" i="3"/>
  <c r="B1919" i="3"/>
  <c r="B1913" i="3"/>
  <c r="B1907" i="3"/>
  <c r="B1901" i="3"/>
  <c r="B1895" i="3"/>
  <c r="B1889" i="3"/>
  <c r="B1883" i="3"/>
  <c r="B1877" i="3"/>
  <c r="B1871" i="3"/>
  <c r="B1865" i="3"/>
  <c r="B1859" i="3"/>
  <c r="B1853" i="3"/>
  <c r="B1847" i="3"/>
  <c r="B1841" i="3"/>
  <c r="B1835" i="3"/>
  <c r="B1829" i="3"/>
  <c r="B1823" i="3"/>
  <c r="B1817" i="3"/>
  <c r="B1811" i="3"/>
  <c r="B1805" i="3"/>
  <c r="B1799" i="3"/>
  <c r="B1793" i="3"/>
  <c r="B1787" i="3"/>
  <c r="B1781" i="3"/>
  <c r="B1775" i="3"/>
  <c r="B1769" i="3"/>
  <c r="B1763" i="3"/>
  <c r="B1757" i="3"/>
  <c r="B1751" i="3"/>
  <c r="B1745" i="3"/>
  <c r="B1739" i="3"/>
  <c r="B1733" i="3"/>
  <c r="B1727" i="3"/>
  <c r="B1721" i="3"/>
  <c r="B1715" i="3"/>
  <c r="B1709" i="3"/>
  <c r="B1703" i="3"/>
  <c r="B1697" i="3"/>
  <c r="B1691" i="3"/>
  <c r="B1685" i="3"/>
  <c r="B1679" i="3"/>
  <c r="B1673" i="3"/>
  <c r="B1667" i="3"/>
  <c r="B1661" i="3"/>
  <c r="B1655" i="3"/>
  <c r="B1649" i="3"/>
  <c r="B1643" i="3"/>
  <c r="B1637" i="3"/>
  <c r="B1631" i="3"/>
  <c r="B1625" i="3"/>
  <c r="B1619" i="3"/>
  <c r="B1613" i="3"/>
  <c r="B1607" i="3"/>
  <c r="B1601" i="3"/>
  <c r="B1595" i="3"/>
  <c r="B1589" i="3"/>
  <c r="B1583" i="3"/>
  <c r="B1577" i="3"/>
  <c r="B1571" i="3"/>
  <c r="B1565" i="3"/>
  <c r="B1559" i="3"/>
  <c r="B1553" i="3"/>
  <c r="B1547" i="3"/>
  <c r="B1541" i="3"/>
  <c r="B1535" i="3"/>
  <c r="B1529" i="3"/>
  <c r="B1523" i="3"/>
  <c r="B1517" i="3"/>
  <c r="B1511" i="3"/>
  <c r="B1505" i="3"/>
  <c r="B1499" i="3"/>
  <c r="B1493" i="3"/>
  <c r="B1487" i="3"/>
  <c r="B1481" i="3"/>
  <c r="B1475" i="3"/>
  <c r="B1469" i="3"/>
  <c r="B1463" i="3"/>
  <c r="B1457" i="3"/>
  <c r="B1451" i="3"/>
  <c r="B1445" i="3"/>
  <c r="B1439" i="3"/>
  <c r="B1433" i="3"/>
  <c r="B1427" i="3"/>
  <c r="B1421" i="3"/>
  <c r="B1415" i="3"/>
  <c r="B1409" i="3"/>
  <c r="B1403" i="3"/>
  <c r="B1397" i="3"/>
  <c r="B1391" i="3"/>
  <c r="B1385" i="3"/>
  <c r="B1379" i="3"/>
  <c r="B1373" i="3"/>
  <c r="B1367" i="3"/>
  <c r="B1361" i="3"/>
  <c r="B1355" i="3"/>
  <c r="B1349" i="3"/>
  <c r="B1343" i="3"/>
  <c r="B1337" i="3"/>
  <c r="B1331" i="3"/>
  <c r="B1325" i="3"/>
  <c r="B1319" i="3"/>
  <c r="B1313" i="3"/>
  <c r="B1307" i="3"/>
  <c r="B1301" i="3"/>
  <c r="B1295" i="3"/>
  <c r="B1289" i="3"/>
  <c r="B1283" i="3"/>
  <c r="B1277" i="3"/>
  <c r="B1271" i="3"/>
  <c r="B1265" i="3"/>
  <c r="B1259" i="3"/>
  <c r="B1253" i="3"/>
  <c r="B1247" i="3"/>
  <c r="B1241" i="3"/>
  <c r="B1235" i="3"/>
  <c r="B1229" i="3"/>
  <c r="B1223" i="3"/>
  <c r="A2402" i="5"/>
  <c r="B1340" i="5"/>
  <c r="B899" i="5"/>
  <c r="B727" i="5"/>
  <c r="A581" i="5"/>
  <c r="B453" i="5"/>
  <c r="B316" i="5"/>
  <c r="B204" i="5"/>
  <c r="B82" i="5"/>
  <c r="B10" i="5"/>
  <c r="B4386" i="4"/>
  <c r="B4337" i="4"/>
  <c r="B4283" i="4"/>
  <c r="B4235" i="4"/>
  <c r="A4170" i="4"/>
  <c r="A4122" i="4"/>
  <c r="A4067" i="4"/>
  <c r="A4019" i="4"/>
  <c r="B3953" i="4"/>
  <c r="B3905" i="4"/>
  <c r="B3851" i="4"/>
  <c r="B3803" i="4"/>
  <c r="A3738" i="4"/>
  <c r="A3690" i="4"/>
  <c r="A3635" i="4"/>
  <c r="A3587" i="4"/>
  <c r="B3526" i="4"/>
  <c r="B3483" i="4"/>
  <c r="B3434" i="4"/>
  <c r="A3391" i="4"/>
  <c r="B3340" i="4"/>
  <c r="B3304" i="4"/>
  <c r="A3263" i="4"/>
  <c r="A3227" i="4"/>
  <c r="A3178" i="4"/>
  <c r="B3142" i="4"/>
  <c r="A3107" i="4"/>
  <c r="B3074" i="4"/>
  <c r="B3030" i="4"/>
  <c r="A2999" i="4"/>
  <c r="B2963" i="4"/>
  <c r="B2934" i="4"/>
  <c r="B2894" i="4"/>
  <c r="B2866" i="4"/>
  <c r="A2834" i="4"/>
  <c r="B2806" i="4"/>
  <c r="B2770" i="4"/>
  <c r="A2744" i="4"/>
  <c r="A2714" i="4"/>
  <c r="A2688" i="4"/>
  <c r="A2653" i="4"/>
  <c r="A2629" i="4"/>
  <c r="B2602" i="4"/>
  <c r="B2578" i="4"/>
  <c r="B2545" i="4"/>
  <c r="B2521" i="4"/>
  <c r="A2494" i="4"/>
  <c r="A2470" i="4"/>
  <c r="A2437" i="4"/>
  <c r="A2413" i="4"/>
  <c r="B2386" i="4"/>
  <c r="B2362" i="4"/>
  <c r="B2329" i="4"/>
  <c r="B2305" i="4"/>
  <c r="A2278" i="4"/>
  <c r="A2254" i="4"/>
  <c r="A2221" i="4"/>
  <c r="A2197" i="4"/>
  <c r="B2170" i="4"/>
  <c r="B2146" i="4"/>
  <c r="B2113" i="4"/>
  <c r="B2089" i="4"/>
  <c r="A2064" i="4"/>
  <c r="A2043" i="4"/>
  <c r="A2014" i="4"/>
  <c r="A1992" i="4"/>
  <c r="B1967" i="4"/>
  <c r="B1945" i="4"/>
  <c r="B1917" i="4"/>
  <c r="B1895" i="4"/>
  <c r="A1870" i="4"/>
  <c r="A1848" i="4"/>
  <c r="A1819" i="4"/>
  <c r="A1798" i="4"/>
  <c r="B1773" i="4"/>
  <c r="B1751" i="4"/>
  <c r="B1722" i="4"/>
  <c r="B1701" i="4"/>
  <c r="B1675" i="4"/>
  <c r="B1656" i="4"/>
  <c r="B1632" i="4"/>
  <c r="B1613" i="4"/>
  <c r="B1589" i="4"/>
  <c r="B1570" i="4"/>
  <c r="B1546" i="4"/>
  <c r="B1527" i="4"/>
  <c r="B1503" i="4"/>
  <c r="B1483" i="4"/>
  <c r="B1459" i="4"/>
  <c r="B1440" i="4"/>
  <c r="B1416" i="4"/>
  <c r="B1397" i="4"/>
  <c r="B1373" i="4"/>
  <c r="B1354" i="4"/>
  <c r="B1330" i="4"/>
  <c r="B1311" i="4"/>
  <c r="B1287" i="4"/>
  <c r="B1267" i="4"/>
  <c r="B1243" i="4"/>
  <c r="B1224" i="4"/>
  <c r="B1200" i="4"/>
  <c r="B1181" i="4"/>
  <c r="B1157" i="4"/>
  <c r="B1138" i="4"/>
  <c r="B1114" i="4"/>
  <c r="B1095" i="4"/>
  <c r="B1071" i="4"/>
  <c r="B1051" i="4"/>
  <c r="A1029" i="4"/>
  <c r="A1012" i="4"/>
  <c r="A992" i="4"/>
  <c r="A976" i="4"/>
  <c r="A956" i="4"/>
  <c r="A942" i="4"/>
  <c r="A926" i="4"/>
  <c r="A913" i="4"/>
  <c r="A898" i="4"/>
  <c r="A884" i="4"/>
  <c r="A869" i="4"/>
  <c r="A856" i="4"/>
  <c r="A840" i="4"/>
  <c r="A827" i="4"/>
  <c r="A811" i="4"/>
  <c r="A798" i="4"/>
  <c r="A782" i="4"/>
  <c r="A769" i="4"/>
  <c r="A754" i="4"/>
  <c r="A740" i="4"/>
  <c r="A725" i="4"/>
  <c r="A712" i="4"/>
  <c r="A696" i="4"/>
  <c r="A683" i="4"/>
  <c r="A667" i="4"/>
  <c r="A654" i="4"/>
  <c r="A638" i="4"/>
  <c r="A625" i="4"/>
  <c r="A610" i="4"/>
  <c r="A596" i="4"/>
  <c r="A581" i="4"/>
  <c r="A568" i="4"/>
  <c r="A552" i="4"/>
  <c r="A539" i="4"/>
  <c r="A523" i="4"/>
  <c r="A510" i="4"/>
  <c r="A494" i="4"/>
  <c r="A481" i="4"/>
  <c r="B466" i="4"/>
  <c r="B454" i="4"/>
  <c r="A440" i="4"/>
  <c r="A428" i="4"/>
  <c r="B414" i="4"/>
  <c r="A403" i="4"/>
  <c r="B393" i="4"/>
  <c r="A382" i="4"/>
  <c r="B370" i="4"/>
  <c r="A361" i="4"/>
  <c r="A350" i="4"/>
  <c r="A341" i="4"/>
  <c r="B329" i="4"/>
  <c r="A318" i="4"/>
  <c r="B309" i="4"/>
  <c r="B299" i="4"/>
  <c r="A291" i="4"/>
  <c r="B281" i="4"/>
  <c r="A273" i="4"/>
  <c r="B263" i="4"/>
  <c r="A256" i="4"/>
  <c r="B248" i="4"/>
  <c r="A240" i="4"/>
  <c r="B232" i="4"/>
  <c r="A225" i="4"/>
  <c r="B216" i="4"/>
  <c r="A209" i="4"/>
  <c r="A202" i="4"/>
  <c r="A195" i="4"/>
  <c r="B187" i="4"/>
  <c r="A180" i="4"/>
  <c r="A173" i="4"/>
  <c r="A166" i="4"/>
  <c r="A159" i="4"/>
  <c r="B151" i="4"/>
  <c r="A144" i="4"/>
  <c r="A137" i="4"/>
  <c r="A130" i="4"/>
  <c r="A123" i="4"/>
  <c r="B115" i="4"/>
  <c r="A108" i="4"/>
  <c r="A101" i="4"/>
  <c r="A94" i="4"/>
  <c r="A87" i="4"/>
  <c r="B79" i="4"/>
  <c r="A72" i="4"/>
  <c r="A65" i="4"/>
  <c r="A58" i="4"/>
  <c r="A51" i="4"/>
  <c r="B43" i="4"/>
  <c r="A36" i="4"/>
  <c r="A29" i="4"/>
  <c r="A22" i="4"/>
  <c r="A15" i="4"/>
  <c r="B7" i="4"/>
  <c r="A3069" i="3"/>
  <c r="A3062" i="3"/>
  <c r="A3055" i="3"/>
  <c r="A3048" i="3"/>
  <c r="A3041" i="3"/>
  <c r="B3034" i="3"/>
  <c r="B3027" i="3"/>
  <c r="A3021" i="3"/>
  <c r="B3014" i="3"/>
  <c r="A3008" i="3"/>
  <c r="B3001" i="3"/>
  <c r="A2995" i="3"/>
  <c r="B2988" i="3"/>
  <c r="A2982" i="3"/>
  <c r="B2975" i="3"/>
  <c r="A2969" i="3"/>
  <c r="B2962" i="3"/>
  <c r="B2955" i="3"/>
  <c r="A2949" i="3"/>
  <c r="B2942" i="3"/>
  <c r="A2936" i="3"/>
  <c r="B2929" i="3"/>
  <c r="A2923" i="3"/>
  <c r="B2916" i="3"/>
  <c r="A2910" i="3"/>
  <c r="B2903" i="3"/>
  <c r="A2897" i="3"/>
  <c r="B2890" i="3"/>
  <c r="B2883" i="3"/>
  <c r="A2877" i="3"/>
  <c r="B2870" i="3"/>
  <c r="A2864" i="3"/>
  <c r="B2857" i="3"/>
  <c r="A2851" i="3"/>
  <c r="B2844" i="3"/>
  <c r="A2838" i="3"/>
  <c r="B2831" i="3"/>
  <c r="A2825" i="3"/>
  <c r="B2818" i="3"/>
  <c r="B2811" i="3"/>
  <c r="A2805" i="3"/>
  <c r="B2798" i="3"/>
  <c r="A2792" i="3"/>
  <c r="B2785" i="3"/>
  <c r="A2779" i="3"/>
  <c r="B2772" i="3"/>
  <c r="A2766" i="3"/>
  <c r="B2759" i="3"/>
  <c r="A2753" i="3"/>
  <c r="B2746" i="3"/>
  <c r="B2739" i="3"/>
  <c r="A2733" i="3"/>
  <c r="B2726" i="3"/>
  <c r="A2720" i="3"/>
  <c r="B2713" i="3"/>
  <c r="A2707" i="3"/>
  <c r="B2700" i="3"/>
  <c r="A2694" i="3"/>
  <c r="B2687" i="3"/>
  <c r="A2681" i="3"/>
  <c r="B2674" i="3"/>
  <c r="B2667" i="3"/>
  <c r="A2661" i="3"/>
  <c r="B2654" i="3"/>
  <c r="A2648" i="3"/>
  <c r="B2641" i="3"/>
  <c r="A2635" i="3"/>
  <c r="B2628" i="3"/>
  <c r="A2622" i="3"/>
  <c r="B2615" i="3"/>
  <c r="A2609" i="3"/>
  <c r="B2602" i="3"/>
  <c r="B2595" i="3"/>
  <c r="A2589" i="3"/>
  <c r="B2582" i="3"/>
  <c r="A2576" i="3"/>
  <c r="B2569" i="3"/>
  <c r="A2563" i="3"/>
  <c r="B2556" i="3"/>
  <c r="A2550" i="3"/>
  <c r="B2543" i="3"/>
  <c r="A2537" i="3"/>
  <c r="B2530" i="3"/>
  <c r="B2523" i="3"/>
  <c r="A2517" i="3"/>
  <c r="B2510" i="3"/>
  <c r="A2504" i="3"/>
  <c r="B2497" i="3"/>
  <c r="A2491" i="3"/>
  <c r="B2484" i="3"/>
  <c r="A2478" i="3"/>
  <c r="B2471" i="3"/>
  <c r="A2465" i="3"/>
  <c r="A2459" i="3"/>
  <c r="A2453" i="3"/>
  <c r="A2447" i="3"/>
  <c r="A2441" i="3"/>
  <c r="A2435" i="3"/>
  <c r="A2429" i="3"/>
  <c r="A2423" i="3"/>
  <c r="A2417" i="3"/>
  <c r="A2411" i="3"/>
  <c r="A2405" i="3"/>
  <c r="A2399" i="3"/>
  <c r="A2393" i="3"/>
  <c r="A2387" i="3"/>
  <c r="A2381" i="3"/>
  <c r="A2375" i="3"/>
  <c r="A2369" i="3"/>
  <c r="A2363" i="3"/>
  <c r="A2357" i="3"/>
  <c r="A2351" i="3"/>
  <c r="A2345" i="3"/>
  <c r="A2339" i="3"/>
  <c r="A2333" i="3"/>
  <c r="A2327" i="3"/>
  <c r="A2321" i="3"/>
  <c r="A2315" i="3"/>
  <c r="A2309" i="3"/>
  <c r="A2303" i="3"/>
  <c r="A2297" i="3"/>
  <c r="A2291" i="3"/>
  <c r="A2285" i="3"/>
  <c r="A2279" i="3"/>
  <c r="A2273" i="3"/>
  <c r="A2267" i="3"/>
  <c r="A2261" i="3"/>
  <c r="A2255" i="3"/>
  <c r="A2249" i="3"/>
  <c r="A2243" i="3"/>
  <c r="A2237" i="3"/>
  <c r="A2231" i="3"/>
  <c r="A2225" i="3"/>
  <c r="A2219" i="3"/>
  <c r="A2213" i="3"/>
  <c r="A2207" i="3"/>
  <c r="A2201" i="3"/>
  <c r="A2195" i="3"/>
  <c r="A2189" i="3"/>
  <c r="A2183" i="3"/>
  <c r="A2177" i="3"/>
  <c r="A2171" i="3"/>
  <c r="A2165" i="3"/>
  <c r="A2159" i="3"/>
  <c r="A2153" i="3"/>
  <c r="A2147" i="3"/>
  <c r="A2141" i="3"/>
  <c r="A2135" i="3"/>
  <c r="A2129" i="3"/>
  <c r="A2123" i="3"/>
  <c r="A2117" i="3"/>
  <c r="A2111" i="3"/>
  <c r="A2105" i="3"/>
  <c r="A2099" i="3"/>
  <c r="A2093" i="3"/>
  <c r="A2087" i="3"/>
  <c r="A2081" i="3"/>
  <c r="A2075" i="3"/>
  <c r="A2069" i="3"/>
  <c r="A2063" i="3"/>
  <c r="A2057" i="3"/>
  <c r="A2051" i="3"/>
  <c r="A2045" i="3"/>
  <c r="A2039" i="3"/>
  <c r="A2033" i="3"/>
  <c r="A2027" i="3"/>
  <c r="A2021" i="3"/>
  <c r="A2015" i="3"/>
  <c r="A2009" i="3"/>
  <c r="A2003" i="3"/>
  <c r="A1997" i="3"/>
  <c r="A1991" i="3"/>
  <c r="A1985" i="3"/>
  <c r="A1979" i="3"/>
  <c r="A1973" i="3"/>
  <c r="A1967" i="3"/>
  <c r="A1961" i="3"/>
  <c r="A1955" i="3"/>
  <c r="A1949" i="3"/>
  <c r="A1943" i="3"/>
  <c r="A1937" i="3"/>
  <c r="A1931" i="3"/>
  <c r="A1925" i="3"/>
  <c r="A1919" i="3"/>
  <c r="A1913" i="3"/>
  <c r="A1907" i="3"/>
  <c r="A1901" i="3"/>
  <c r="A1895" i="3"/>
  <c r="A1889" i="3"/>
  <c r="A1883" i="3"/>
  <c r="A1877" i="3"/>
  <c r="A1871" i="3"/>
  <c r="A1865" i="3"/>
  <c r="A1859" i="3"/>
  <c r="A1853" i="3"/>
  <c r="A1847" i="3"/>
  <c r="A1841" i="3"/>
  <c r="A1835" i="3"/>
  <c r="A1829" i="3"/>
  <c r="A1823" i="3"/>
  <c r="A1817" i="3"/>
  <c r="A1811" i="3"/>
  <c r="A1805" i="3"/>
  <c r="A1799" i="3"/>
  <c r="A1793" i="3"/>
  <c r="A1787" i="3"/>
  <c r="A1781" i="3"/>
  <c r="A1775" i="3"/>
  <c r="A1769" i="3"/>
  <c r="A1763" i="3"/>
  <c r="A1757" i="3"/>
  <c r="A1751" i="3"/>
  <c r="A1745" i="3"/>
  <c r="A1739" i="3"/>
  <c r="A1733" i="3"/>
  <c r="A1727" i="3"/>
  <c r="A1721" i="3"/>
  <c r="A1715" i="3"/>
  <c r="A1709" i="3"/>
  <c r="A1703" i="3"/>
  <c r="A1697" i="3"/>
  <c r="A1691" i="3"/>
  <c r="A1685" i="3"/>
  <c r="A1679" i="3"/>
  <c r="A1673" i="3"/>
  <c r="A1667" i="3"/>
  <c r="A1661" i="3"/>
  <c r="A1655" i="3"/>
  <c r="A1649" i="3"/>
  <c r="A1643" i="3"/>
  <c r="A1637" i="3"/>
  <c r="A1631" i="3"/>
  <c r="A1625" i="3"/>
  <c r="A1619" i="3"/>
  <c r="A1613" i="3"/>
  <c r="A1607" i="3"/>
  <c r="A1601" i="3"/>
  <c r="A1595" i="3"/>
  <c r="A1589" i="3"/>
  <c r="A1583" i="3"/>
  <c r="A1577" i="3"/>
  <c r="A1571" i="3"/>
  <c r="A1565" i="3"/>
  <c r="A1559" i="3"/>
  <c r="A1553" i="3"/>
  <c r="A1547" i="3"/>
  <c r="A1541" i="3"/>
  <c r="A1535" i="3"/>
  <c r="A1529" i="3"/>
  <c r="A1523" i="3"/>
  <c r="A1517" i="3"/>
  <c r="A1511" i="3"/>
  <c r="A1505" i="3"/>
  <c r="A1499" i="3"/>
  <c r="A1493" i="3"/>
  <c r="A1487" i="3"/>
  <c r="A1481" i="3"/>
  <c r="A1475" i="3"/>
  <c r="A1469" i="3"/>
  <c r="A1463" i="3"/>
  <c r="A1457" i="3"/>
  <c r="A1451" i="3"/>
  <c r="A1445" i="3"/>
  <c r="A1439" i="3"/>
  <c r="A1433" i="3"/>
  <c r="A1427" i="3"/>
  <c r="A1421" i="3"/>
  <c r="A1415" i="3"/>
  <c r="A1409" i="3"/>
  <c r="A1403" i="3"/>
  <c r="A1397" i="3"/>
  <c r="A1391" i="3"/>
  <c r="A1385" i="3"/>
  <c r="A1379" i="3"/>
  <c r="A1373" i="3"/>
  <c r="A1367" i="3"/>
  <c r="A1361" i="3"/>
  <c r="A1355" i="3"/>
  <c r="A1349" i="3"/>
  <c r="A1343" i="3"/>
  <c r="A1337" i="3"/>
  <c r="A1331" i="3"/>
  <c r="A1325" i="3"/>
  <c r="A1319" i="3"/>
  <c r="A1313" i="3"/>
  <c r="A1307" i="3"/>
  <c r="A1301" i="3"/>
  <c r="A1295" i="3"/>
  <c r="A1289" i="3"/>
  <c r="A1283" i="3"/>
  <c r="A1277" i="3"/>
  <c r="A1271" i="3"/>
  <c r="B2280" i="5"/>
  <c r="A1340" i="5"/>
  <c r="A895" i="5"/>
  <c r="A727" i="5"/>
  <c r="B580" i="5"/>
  <c r="B450" i="5"/>
  <c r="A316" i="5"/>
  <c r="A204" i="5"/>
  <c r="A82" i="5"/>
  <c r="B9" i="5"/>
  <c r="A4385" i="4"/>
  <c r="A4336" i="4"/>
  <c r="A4282" i="4"/>
  <c r="A4234" i="4"/>
  <c r="A4168" i="4"/>
  <c r="A4120" i="4"/>
  <c r="A4066" i="4"/>
  <c r="A4018" i="4"/>
  <c r="A3952" i="4"/>
  <c r="A3904" i="4"/>
  <c r="A3850" i="4"/>
  <c r="A3802" i="4"/>
  <c r="A3736" i="4"/>
  <c r="A3688" i="4"/>
  <c r="A3634" i="4"/>
  <c r="A3586" i="4"/>
  <c r="B3524" i="4"/>
  <c r="A3481" i="4"/>
  <c r="B3432" i="4"/>
  <c r="B3389" i="4"/>
  <c r="B3338" i="4"/>
  <c r="B3302" i="4"/>
  <c r="A3262" i="4"/>
  <c r="A3226" i="4"/>
  <c r="B3176" i="4"/>
  <c r="A3142" i="4"/>
  <c r="B3104" i="4"/>
  <c r="B3072" i="4"/>
  <c r="B3029" i="4"/>
  <c r="A2998" i="4"/>
  <c r="B2962" i="4"/>
  <c r="B2933" i="4"/>
  <c r="A2894" i="4"/>
  <c r="A2866" i="4"/>
  <c r="B2832" i="4"/>
  <c r="B2804" i="4"/>
  <c r="A2769" i="4"/>
  <c r="A2743" i="4"/>
  <c r="A2713" i="4"/>
  <c r="A2687" i="4"/>
  <c r="B2652" i="4"/>
  <c r="B2628" i="4"/>
  <c r="A2601" i="4"/>
  <c r="A2577" i="4"/>
  <c r="B2544" i="4"/>
  <c r="B2520" i="4"/>
  <c r="A2493" i="4"/>
  <c r="A2469" i="4"/>
  <c r="B2436" i="4"/>
  <c r="B2412" i="4"/>
  <c r="A2385" i="4"/>
  <c r="A2361" i="4"/>
  <c r="B2328" i="4"/>
  <c r="B2304" i="4"/>
  <c r="A2277" i="4"/>
  <c r="A2253" i="4"/>
  <c r="B2220" i="4"/>
  <c r="B2196" i="4"/>
  <c r="A2169" i="4"/>
  <c r="A2145" i="4"/>
  <c r="B2112" i="4"/>
  <c r="B2088" i="4"/>
  <c r="B2063" i="4"/>
  <c r="B2041" i="4"/>
  <c r="B2013" i="4"/>
  <c r="B1991" i="4"/>
  <c r="B1966" i="4"/>
  <c r="B1944" i="4"/>
  <c r="B1915" i="4"/>
  <c r="B1894" i="4"/>
  <c r="B1869" i="4"/>
  <c r="B1847" i="4"/>
  <c r="B1818" i="4"/>
  <c r="B1797" i="4"/>
  <c r="B1771" i="4"/>
  <c r="B1750" i="4"/>
  <c r="B1721" i="4"/>
  <c r="B1699" i="4"/>
  <c r="A1675" i="4"/>
  <c r="A1655" i="4"/>
  <c r="A1632" i="4"/>
  <c r="A1612" i="4"/>
  <c r="A1589" i="4"/>
  <c r="A1569" i="4"/>
  <c r="A1546" i="4"/>
  <c r="A1525" i="4"/>
  <c r="A1503" i="4"/>
  <c r="A1482" i="4"/>
  <c r="A1459" i="4"/>
  <c r="A1439" i="4"/>
  <c r="A1416" i="4"/>
  <c r="A1396" i="4"/>
  <c r="A1373" i="4"/>
  <c r="A1353" i="4"/>
  <c r="A1330" i="4"/>
  <c r="A1309" i="4"/>
  <c r="A1287" i="4"/>
  <c r="A1266" i="4"/>
  <c r="A1243" i="4"/>
  <c r="A1223" i="4"/>
  <c r="A1200" i="4"/>
  <c r="A1180" i="4"/>
  <c r="A1157" i="4"/>
  <c r="A1137" i="4"/>
  <c r="A1114" i="4"/>
  <c r="A1093" i="4"/>
  <c r="A1071" i="4"/>
  <c r="A1050" i="4"/>
  <c r="A1028" i="4"/>
  <c r="B1010" i="4"/>
  <c r="B991" i="4"/>
  <c r="B974" i="4"/>
  <c r="B955" i="4"/>
  <c r="B941" i="4"/>
  <c r="B925" i="4"/>
  <c r="B912" i="4"/>
  <c r="B896" i="4"/>
  <c r="B883" i="4"/>
  <c r="B868" i="4"/>
  <c r="B854" i="4"/>
  <c r="B839" i="4"/>
  <c r="B826" i="4"/>
  <c r="B810" i="4"/>
  <c r="B797" i="4"/>
  <c r="B781" i="4"/>
  <c r="B768" i="4"/>
  <c r="B752" i="4"/>
  <c r="B739" i="4"/>
  <c r="B724" i="4"/>
  <c r="B710" i="4"/>
  <c r="B695" i="4"/>
  <c r="B682" i="4"/>
  <c r="B666" i="4"/>
  <c r="B653" i="4"/>
  <c r="B637" i="4"/>
  <c r="B624" i="4"/>
  <c r="B608" i="4"/>
  <c r="B595" i="4"/>
  <c r="B580" i="4"/>
  <c r="B566" i="4"/>
  <c r="B551" i="4"/>
  <c r="B538" i="4"/>
  <c r="B522" i="4"/>
  <c r="B509" i="4"/>
  <c r="B493" i="4"/>
  <c r="B480" i="4"/>
  <c r="A466" i="4"/>
  <c r="A454" i="4"/>
  <c r="B439" i="4"/>
  <c r="B427" i="4"/>
  <c r="A414" i="4"/>
  <c r="B402" i="4"/>
  <c r="B392" i="4"/>
  <c r="B381" i="4"/>
  <c r="A370" i="4"/>
  <c r="B360" i="4"/>
  <c r="B349" i="4"/>
  <c r="B340" i="4"/>
  <c r="A329" i="4"/>
  <c r="B317" i="4"/>
  <c r="A309" i="4"/>
  <c r="A299" i="4"/>
  <c r="B290" i="4"/>
  <c r="B280" i="4"/>
  <c r="B272" i="4"/>
  <c r="A263" i="4"/>
  <c r="B255" i="4"/>
  <c r="B247" i="4"/>
  <c r="B239" i="4"/>
  <c r="A232" i="4"/>
  <c r="B224" i="4"/>
  <c r="A216" i="4"/>
  <c r="B208" i="4"/>
  <c r="B201" i="4"/>
  <c r="B194" i="4"/>
  <c r="B186" i="4"/>
  <c r="B179" i="4"/>
  <c r="B172" i="4"/>
  <c r="B165" i="4"/>
  <c r="B158" i="4"/>
  <c r="B150" i="4"/>
  <c r="B143" i="4"/>
  <c r="B136" i="4"/>
  <c r="B129" i="4"/>
  <c r="B122" i="4"/>
  <c r="B114" i="4"/>
  <c r="B107" i="4"/>
  <c r="B100" i="4"/>
  <c r="B93" i="4"/>
  <c r="B86" i="4"/>
  <c r="B78" i="4"/>
  <c r="B71" i="4"/>
  <c r="B64" i="4"/>
  <c r="B57" i="4"/>
  <c r="B50" i="4"/>
  <c r="B42" i="4"/>
  <c r="B35" i="4"/>
  <c r="B28" i="4"/>
  <c r="B21" i="4"/>
  <c r="B14" i="4"/>
  <c r="B6" i="4"/>
  <c r="B3068" i="3"/>
  <c r="B3061" i="3"/>
  <c r="B3054" i="3"/>
  <c r="B3047" i="3"/>
  <c r="B3040" i="3"/>
  <c r="B3033" i="3"/>
  <c r="A3027" i="3"/>
  <c r="B3020" i="3"/>
  <c r="A3014" i="3"/>
  <c r="B3007" i="3"/>
  <c r="A3001" i="3"/>
  <c r="B2994" i="3"/>
  <c r="A2988" i="3"/>
  <c r="B2981" i="3"/>
  <c r="A2975" i="3"/>
  <c r="B2968" i="3"/>
  <c r="B2961" i="3"/>
  <c r="A2955" i="3"/>
  <c r="B2948" i="3"/>
  <c r="A2942" i="3"/>
  <c r="B2935" i="3"/>
  <c r="A2929" i="3"/>
  <c r="B2922" i="3"/>
  <c r="A2916" i="3"/>
  <c r="B2909" i="3"/>
  <c r="A2903" i="3"/>
  <c r="B2896" i="3"/>
  <c r="B2889" i="3"/>
  <c r="A2883" i="3"/>
  <c r="B2876" i="3"/>
  <c r="A2870" i="3"/>
  <c r="B2863" i="3"/>
  <c r="A2857" i="3"/>
  <c r="B2850" i="3"/>
  <c r="A2844" i="3"/>
  <c r="B2837" i="3"/>
  <c r="A2831" i="3"/>
  <c r="B2824" i="3"/>
  <c r="B2817" i="3"/>
  <c r="A2811" i="3"/>
  <c r="B2804" i="3"/>
  <c r="A2798" i="3"/>
  <c r="B2791" i="3"/>
  <c r="A2785" i="3"/>
  <c r="B2778" i="3"/>
  <c r="A2772" i="3"/>
  <c r="B2765" i="3"/>
  <c r="A2759" i="3"/>
  <c r="B2752" i="3"/>
  <c r="B2745" i="3"/>
  <c r="A2739" i="3"/>
  <c r="B2732" i="3"/>
  <c r="A2726" i="3"/>
  <c r="B2719" i="3"/>
  <c r="A2713" i="3"/>
  <c r="B2706" i="3"/>
  <c r="A2700" i="3"/>
  <c r="B2693" i="3"/>
  <c r="A2687" i="3"/>
  <c r="B2680" i="3"/>
  <c r="B2673" i="3"/>
  <c r="A2667" i="3"/>
  <c r="B2660" i="3"/>
  <c r="A2654" i="3"/>
  <c r="B2647" i="3"/>
  <c r="A2641" i="3"/>
  <c r="B2634" i="3"/>
  <c r="A2628" i="3"/>
  <c r="B2621" i="3"/>
  <c r="A2615" i="3"/>
  <c r="B2608" i="3"/>
  <c r="B2601" i="3"/>
  <c r="A2595" i="3"/>
  <c r="B2588" i="3"/>
  <c r="A2582" i="3"/>
  <c r="B2575" i="3"/>
  <c r="A2569" i="3"/>
  <c r="B2562" i="3"/>
  <c r="A2556" i="3"/>
  <c r="B2549" i="3"/>
  <c r="A2543" i="3"/>
  <c r="B2536" i="3"/>
  <c r="B2529" i="3"/>
  <c r="A2523" i="3"/>
  <c r="B2516" i="3"/>
  <c r="A2510" i="3"/>
  <c r="B2503" i="3"/>
  <c r="A2497" i="3"/>
  <c r="B2490" i="3"/>
  <c r="A2484" i="3"/>
  <c r="B2477" i="3"/>
  <c r="A2471" i="3"/>
  <c r="B2464" i="3"/>
  <c r="B2458" i="3"/>
  <c r="B2452" i="3"/>
  <c r="B2446" i="3"/>
  <c r="B2440" i="3"/>
  <c r="B2434" i="3"/>
  <c r="B2428" i="3"/>
  <c r="B2422" i="3"/>
  <c r="B2416" i="3"/>
  <c r="B2410" i="3"/>
  <c r="B2404" i="3"/>
  <c r="B2398" i="3"/>
  <c r="B2392" i="3"/>
  <c r="B2386" i="3"/>
  <c r="B2380" i="3"/>
  <c r="B2374" i="3"/>
  <c r="B2368" i="3"/>
  <c r="B2362" i="3"/>
  <c r="B2356" i="3"/>
  <c r="B2350" i="3"/>
  <c r="B2344" i="3"/>
  <c r="B2338" i="3"/>
  <c r="B2332" i="3"/>
  <c r="B2326" i="3"/>
  <c r="B2320" i="3"/>
  <c r="B2314" i="3"/>
  <c r="B2308" i="3"/>
  <c r="B2302" i="3"/>
  <c r="B2296" i="3"/>
  <c r="B2290" i="3"/>
  <c r="B2284" i="3"/>
  <c r="B2278" i="3"/>
  <c r="B2272" i="3"/>
  <c r="B2266" i="3"/>
  <c r="B2260" i="3"/>
  <c r="B2254" i="3"/>
  <c r="B2248" i="3"/>
  <c r="B2242" i="3"/>
  <c r="B2236" i="3"/>
  <c r="B2230" i="3"/>
  <c r="B2224" i="3"/>
  <c r="B2218" i="3"/>
  <c r="B2212" i="3"/>
  <c r="B2206" i="3"/>
  <c r="B2200" i="3"/>
  <c r="B2194" i="3"/>
  <c r="B2188" i="3"/>
  <c r="B2182" i="3"/>
  <c r="B2176" i="3"/>
  <c r="B2170" i="3"/>
  <c r="B2164" i="3"/>
  <c r="B2158" i="3"/>
  <c r="B2152" i="3"/>
  <c r="B2146" i="3"/>
  <c r="B2140" i="3"/>
  <c r="B2134" i="3"/>
  <c r="B2128" i="3"/>
  <c r="B2122" i="3"/>
  <c r="B2116" i="3"/>
  <c r="B2110" i="3"/>
  <c r="B2104" i="3"/>
  <c r="B2098" i="3"/>
  <c r="B2092" i="3"/>
  <c r="B2086" i="3"/>
  <c r="B2080" i="3"/>
  <c r="B2074" i="3"/>
  <c r="B2068" i="3"/>
  <c r="B2062" i="3"/>
  <c r="B2056" i="3"/>
  <c r="B2050" i="3"/>
  <c r="B2044" i="3"/>
  <c r="B2038" i="3"/>
  <c r="B2032" i="3"/>
  <c r="B2026" i="3"/>
  <c r="B2020" i="3"/>
  <c r="B2014" i="3"/>
  <c r="B2008" i="3"/>
  <c r="B2002" i="3"/>
  <c r="B1996" i="3"/>
  <c r="B1990" i="3"/>
  <c r="B1984" i="3"/>
  <c r="B1978" i="3"/>
  <c r="B1972" i="3"/>
  <c r="B1966" i="3"/>
  <c r="B1960" i="3"/>
  <c r="B1954" i="3"/>
  <c r="B1948" i="3"/>
  <c r="B1942" i="3"/>
  <c r="B1936" i="3"/>
  <c r="B1930" i="3"/>
  <c r="B1924" i="3"/>
  <c r="B1918" i="3"/>
  <c r="B1912" i="3"/>
  <c r="B1906" i="3"/>
  <c r="B1900" i="3"/>
  <c r="B1894" i="3"/>
  <c r="B1888" i="3"/>
  <c r="B1882" i="3"/>
  <c r="B1876" i="3"/>
  <c r="B1870" i="3"/>
  <c r="B1864" i="3"/>
  <c r="B1858" i="3"/>
  <c r="B1852" i="3"/>
  <c r="B1846" i="3"/>
  <c r="B1840" i="3"/>
  <c r="B1834" i="3"/>
  <c r="B1828" i="3"/>
  <c r="B1822" i="3"/>
  <c r="B1816" i="3"/>
  <c r="B1810" i="3"/>
  <c r="B1804" i="3"/>
  <c r="B1798" i="3"/>
  <c r="B1792" i="3"/>
  <c r="B1786" i="3"/>
  <c r="B1780" i="3"/>
  <c r="B1774" i="3"/>
  <c r="B1768" i="3"/>
  <c r="B1762" i="3"/>
  <c r="B1756" i="3"/>
  <c r="B1750" i="3"/>
  <c r="B1744" i="3"/>
  <c r="B1738" i="3"/>
  <c r="B1732" i="3"/>
  <c r="B1726" i="3"/>
  <c r="B1720" i="3"/>
  <c r="B1714" i="3"/>
  <c r="B1708" i="3"/>
  <c r="B1702" i="3"/>
  <c r="B1696" i="3"/>
  <c r="B1690" i="3"/>
  <c r="B1684" i="3"/>
  <c r="B1678" i="3"/>
  <c r="B1672" i="3"/>
  <c r="B1666" i="3"/>
  <c r="B1660" i="3"/>
  <c r="B1654" i="3"/>
  <c r="B1648" i="3"/>
  <c r="B1642" i="3"/>
  <c r="B1636" i="3"/>
  <c r="B1630" i="3"/>
  <c r="B1624" i="3"/>
  <c r="B1618" i="3"/>
  <c r="B1612" i="3"/>
  <c r="B1606" i="3"/>
  <c r="B1600" i="3"/>
  <c r="B1594" i="3"/>
  <c r="B1588" i="3"/>
  <c r="B1582" i="3"/>
  <c r="B1576" i="3"/>
  <c r="B1570" i="3"/>
  <c r="B1564" i="3"/>
  <c r="B1558" i="3"/>
  <c r="B1552" i="3"/>
  <c r="B1546" i="3"/>
  <c r="B1540" i="3"/>
  <c r="B1534" i="3"/>
  <c r="B1528" i="3"/>
  <c r="B1522" i="3"/>
  <c r="B1516" i="3"/>
  <c r="B1510" i="3"/>
  <c r="B1504" i="3"/>
  <c r="B1498" i="3"/>
  <c r="B1492" i="3"/>
  <c r="B1486" i="3"/>
  <c r="B1480" i="3"/>
  <c r="B1474" i="3"/>
  <c r="B1468" i="3"/>
  <c r="B1462" i="3"/>
  <c r="B1456" i="3"/>
  <c r="B1450" i="3"/>
  <c r="B1444" i="3"/>
  <c r="B1438" i="3"/>
  <c r="B1432" i="3"/>
  <c r="B1426" i="3"/>
  <c r="B1420" i="3"/>
  <c r="B1414" i="3"/>
  <c r="B1408" i="3"/>
  <c r="B1402" i="3"/>
  <c r="B1396" i="3"/>
  <c r="B1390" i="3"/>
  <c r="B1384" i="3"/>
  <c r="B1378" i="3"/>
  <c r="B1372" i="3"/>
  <c r="B1366" i="3"/>
  <c r="B1360" i="3"/>
  <c r="B1354" i="3"/>
  <c r="B1348" i="3"/>
  <c r="B1342" i="3"/>
  <c r="B1336" i="3"/>
  <c r="B1330" i="3"/>
  <c r="B1324" i="3"/>
  <c r="B1318" i="3"/>
  <c r="B1312" i="3"/>
  <c r="B1306" i="3"/>
  <c r="B1300" i="3"/>
  <c r="B1294" i="3"/>
  <c r="B2244" i="5"/>
  <c r="A1320" i="5"/>
  <c r="B894" i="5"/>
  <c r="B719" i="5"/>
  <c r="A574" i="5"/>
  <c r="B449" i="5"/>
  <c r="A310" i="5"/>
  <c r="A203" i="5"/>
  <c r="B78" i="5"/>
  <c r="B3" i="5"/>
  <c r="B4384" i="4"/>
  <c r="B4335" i="4"/>
  <c r="A4276" i="4"/>
  <c r="A4228" i="4"/>
  <c r="A4164" i="4"/>
  <c r="A4116" i="4"/>
  <c r="A4061" i="4"/>
  <c r="A4013" i="4"/>
  <c r="B3951" i="4"/>
  <c r="B3903" i="4"/>
  <c r="A3844" i="4"/>
  <c r="A3796" i="4"/>
  <c r="A3732" i="4"/>
  <c r="A3684" i="4"/>
  <c r="A3629" i="4"/>
  <c r="A3581" i="4"/>
  <c r="B3523" i="4"/>
  <c r="B3480" i="4"/>
  <c r="A3427" i="4"/>
  <c r="A3384" i="4"/>
  <c r="A3336" i="4"/>
  <c r="A3300" i="4"/>
  <c r="B3258" i="4"/>
  <c r="B3222" i="4"/>
  <c r="A3176" i="4"/>
  <c r="B3140" i="4"/>
  <c r="B3101" i="4"/>
  <c r="A3070" i="4"/>
  <c r="A3028" i="4"/>
  <c r="A2995" i="4"/>
  <c r="A2960" i="4"/>
  <c r="A2932" i="4"/>
  <c r="B2893" i="4"/>
  <c r="B2864" i="4"/>
  <c r="A2830" i="4"/>
  <c r="A2802" i="4"/>
  <c r="B2767" i="4"/>
  <c r="B2741" i="4"/>
  <c r="B2711" i="4"/>
  <c r="A2685" i="4"/>
  <c r="A2652" i="4"/>
  <c r="A2628" i="4"/>
  <c r="B2598" i="4"/>
  <c r="B2574" i="4"/>
  <c r="A2543" i="4"/>
  <c r="A2519" i="4"/>
  <c r="B2491" i="4"/>
  <c r="B2467" i="4"/>
  <c r="A2436" i="4"/>
  <c r="A2412" i="4"/>
  <c r="B2382" i="4"/>
  <c r="B2358" i="4"/>
  <c r="A2327" i="4"/>
  <c r="A2303" i="4"/>
  <c r="B2275" i="4"/>
  <c r="B2251" i="4"/>
  <c r="A2220" i="4"/>
  <c r="A2196" i="4"/>
  <c r="B2166" i="4"/>
  <c r="B2142" i="4"/>
  <c r="A2111" i="4"/>
  <c r="A2087" i="4"/>
  <c r="A2063" i="4"/>
  <c r="A2041" i="4"/>
  <c r="A2013" i="4"/>
  <c r="A1991" i="4"/>
  <c r="A1965" i="4"/>
  <c r="A1943" i="4"/>
  <c r="A1914" i="4"/>
  <c r="A1893" i="4"/>
  <c r="A1869" i="4"/>
  <c r="A1847" i="4"/>
  <c r="A1818" i="4"/>
  <c r="A1797" i="4"/>
  <c r="A1770" i="4"/>
  <c r="A1749" i="4"/>
  <c r="A1720" i="4"/>
  <c r="A1698" i="4"/>
  <c r="B1674" i="4"/>
  <c r="B1654" i="4"/>
  <c r="B1631" i="4"/>
  <c r="B1611" i="4"/>
  <c r="B1588" i="4"/>
  <c r="B1567" i="4"/>
  <c r="B1545" i="4"/>
  <c r="B1524" i="4"/>
  <c r="B1501" i="4"/>
  <c r="B1481" i="4"/>
  <c r="B1458" i="4"/>
  <c r="B1438" i="4"/>
  <c r="B1415" i="4"/>
  <c r="B1395" i="4"/>
  <c r="B1372" i="4"/>
  <c r="B1351" i="4"/>
  <c r="B1329" i="4"/>
  <c r="B1308" i="4"/>
  <c r="B1285" i="4"/>
  <c r="B1265" i="4"/>
  <c r="B1242" i="4"/>
  <c r="B1222" i="4"/>
  <c r="B1199" i="4"/>
  <c r="B1179" i="4"/>
  <c r="B1156" i="4"/>
  <c r="B1135" i="4"/>
  <c r="B1113" i="4"/>
  <c r="B1092" i="4"/>
  <c r="B1069" i="4"/>
  <c r="B1049" i="4"/>
  <c r="B1027" i="4"/>
  <c r="A1010" i="4"/>
  <c r="A991" i="4"/>
  <c r="A974" i="4"/>
  <c r="A955" i="4"/>
  <c r="A941" i="4"/>
  <c r="A925" i="4"/>
  <c r="A912" i="4"/>
  <c r="A896" i="4"/>
  <c r="A883" i="4"/>
  <c r="A868" i="4"/>
  <c r="A854" i="4"/>
  <c r="A839" i="4"/>
  <c r="A826" i="4"/>
  <c r="A810" i="4"/>
  <c r="A797" i="4"/>
  <c r="A781" i="4"/>
  <c r="A768" i="4"/>
  <c r="A752" i="4"/>
  <c r="A739" i="4"/>
  <c r="A724" i="4"/>
  <c r="A710" i="4"/>
  <c r="A695" i="4"/>
  <c r="A682" i="4"/>
  <c r="A666" i="4"/>
  <c r="A653" i="4"/>
  <c r="A637" i="4"/>
  <c r="A624" i="4"/>
  <c r="A608" i="4"/>
  <c r="A595" i="4"/>
  <c r="A580" i="4"/>
  <c r="A566" i="4"/>
  <c r="A551" i="4"/>
  <c r="A538" i="4"/>
  <c r="A522" i="4"/>
  <c r="A509" i="4"/>
  <c r="A493" i="4"/>
  <c r="A480" i="4"/>
  <c r="B465" i="4"/>
  <c r="B453" i="4"/>
  <c r="A439" i="4"/>
  <c r="A427" i="4"/>
  <c r="B413" i="4"/>
  <c r="A402" i="4"/>
  <c r="A390" i="4"/>
  <c r="A380" i="4"/>
  <c r="B369" i="4"/>
  <c r="A360" i="4"/>
  <c r="A349" i="4"/>
  <c r="B337" i="4"/>
  <c r="A328" i="4"/>
  <c r="A317" i="4"/>
  <c r="B308" i="4"/>
  <c r="B298" i="4"/>
  <c r="A1945" i="5"/>
  <c r="A1166" i="5"/>
  <c r="B882" i="5"/>
  <c r="B670" i="5"/>
  <c r="B555" i="5"/>
  <c r="A412" i="5"/>
  <c r="A298" i="5"/>
  <c r="B168" i="5"/>
  <c r="B63" i="5"/>
  <c r="B4433" i="4"/>
  <c r="B4381" i="4"/>
  <c r="B4319" i="4"/>
  <c r="B4271" i="4"/>
  <c r="B4211" i="4"/>
  <c r="B4163" i="4"/>
  <c r="B4099" i="4"/>
  <c r="B4051" i="4"/>
  <c r="B3996" i="4"/>
  <c r="B3948" i="4"/>
  <c r="B3887" i="4"/>
  <c r="B3839" i="4"/>
  <c r="B3779" i="4"/>
  <c r="B3731" i="4"/>
  <c r="B3667" i="4"/>
  <c r="B3619" i="4"/>
  <c r="A3565" i="4"/>
  <c r="A3522" i="4"/>
  <c r="A3467" i="4"/>
  <c r="A3424" i="4"/>
  <c r="B3371" i="4"/>
  <c r="B3335" i="4"/>
  <c r="A3288" i="4"/>
  <c r="A3252" i="4"/>
  <c r="B3210" i="4"/>
  <c r="B3174" i="4"/>
  <c r="A3131" i="4"/>
  <c r="B3098" i="4"/>
  <c r="A3059" i="4"/>
  <c r="B3026" i="4"/>
  <c r="B2984" i="4"/>
  <c r="B2954" i="4"/>
  <c r="A2922" i="4"/>
  <c r="A2893" i="4"/>
  <c r="A2856" i="4"/>
  <c r="A2827" i="4"/>
  <c r="A2793" i="4"/>
  <c r="A2767" i="4"/>
  <c r="B2732" i="4"/>
  <c r="B2706" i="4"/>
  <c r="B2676" i="4"/>
  <c r="B2651" i="4"/>
  <c r="B2620" i="4"/>
  <c r="B2596" i="4"/>
  <c r="B2566" i="4"/>
  <c r="B2542" i="4"/>
  <c r="A2511" i="4"/>
  <c r="A2487" i="4"/>
  <c r="B2459" i="4"/>
  <c r="B2435" i="4"/>
  <c r="B2404" i="4"/>
  <c r="B2380" i="4"/>
  <c r="B2350" i="4"/>
  <c r="B2326" i="4"/>
  <c r="A2295" i="4"/>
  <c r="A2271" i="4"/>
  <c r="B2243" i="4"/>
  <c r="B2219" i="4"/>
  <c r="B2188" i="4"/>
  <c r="B2164" i="4"/>
  <c r="B2134" i="4"/>
  <c r="B2110" i="4"/>
  <c r="A2080" i="4"/>
  <c r="A2058" i="4"/>
  <c r="B2033" i="4"/>
  <c r="B2011" i="4"/>
  <c r="A1984" i="4"/>
  <c r="A1962" i="4"/>
  <c r="B1935" i="4"/>
  <c r="B1913" i="4"/>
  <c r="A1885" i="4"/>
  <c r="A1864" i="4"/>
  <c r="B1839" i="4"/>
  <c r="B1817" i="4"/>
  <c r="A1789" i="4"/>
  <c r="A1768" i="4"/>
  <c r="B1740" i="4"/>
  <c r="B1719" i="4"/>
  <c r="A1691" i="4"/>
  <c r="A1674" i="4"/>
  <c r="B1647" i="4"/>
  <c r="A1631" i="4"/>
  <c r="B1603" i="4"/>
  <c r="A1588" i="4"/>
  <c r="B1560" i="4"/>
  <c r="A1545" i="4"/>
  <c r="B1517" i="4"/>
  <c r="A1501" i="4"/>
  <c r="B1474" i="4"/>
  <c r="A1458" i="4"/>
  <c r="B1431" i="4"/>
  <c r="A1415" i="4"/>
  <c r="B1387" i="4"/>
  <c r="A1372" i="4"/>
  <c r="B1344" i="4"/>
  <c r="A1329" i="4"/>
  <c r="B1301" i="4"/>
  <c r="A1285" i="4"/>
  <c r="B1258" i="4"/>
  <c r="A1242" i="4"/>
  <c r="B1215" i="4"/>
  <c r="A1199" i="4"/>
  <c r="B1171" i="4"/>
  <c r="A1156" i="4"/>
  <c r="B1128" i="4"/>
  <c r="A1113" i="4"/>
  <c r="B1085" i="4"/>
  <c r="A1069" i="4"/>
  <c r="B1042" i="4"/>
  <c r="A1027" i="4"/>
  <c r="A1004" i="4"/>
  <c r="B990" i="4"/>
  <c r="A968" i="4"/>
  <c r="B954" i="4"/>
  <c r="A936" i="4"/>
  <c r="B924" i="4"/>
  <c r="A907" i="4"/>
  <c r="B895" i="4"/>
  <c r="A878" i="4"/>
  <c r="B866" i="4"/>
  <c r="A850" i="4"/>
  <c r="B838" i="4"/>
  <c r="A821" i="4"/>
  <c r="B809" i="4"/>
  <c r="A792" i="4"/>
  <c r="B780" i="4"/>
  <c r="A763" i="4"/>
  <c r="B751" i="4"/>
  <c r="A734" i="4"/>
  <c r="B722" i="4"/>
  <c r="A706" i="4"/>
  <c r="B694" i="4"/>
  <c r="A677" i="4"/>
  <c r="B665" i="4"/>
  <c r="A648" i="4"/>
  <c r="B636" i="4"/>
  <c r="A619" i="4"/>
  <c r="B607" i="4"/>
  <c r="A590" i="4"/>
  <c r="B578" i="4"/>
  <c r="A562" i="4"/>
  <c r="B550" i="4"/>
  <c r="A533" i="4"/>
  <c r="B521" i="4"/>
  <c r="A504" i="4"/>
  <c r="B492" i="4"/>
  <c r="A475" i="4"/>
  <c r="B464" i="4"/>
  <c r="A449" i="4"/>
  <c r="B438" i="4"/>
  <c r="B422" i="4"/>
  <c r="A413" i="4"/>
  <c r="B401" i="4"/>
  <c r="B389" i="4"/>
  <c r="B379" i="4"/>
  <c r="B368" i="4"/>
  <c r="A358" i="4"/>
  <c r="B348" i="4"/>
  <c r="A337" i="4"/>
  <c r="B327" i="4"/>
  <c r="B316" i="4"/>
  <c r="B306" i="4"/>
  <c r="A298" i="4"/>
  <c r="B287" i="4"/>
  <c r="B279" i="4"/>
  <c r="A270" i="4"/>
  <c r="A262" i="4"/>
  <c r="B254" i="4"/>
  <c r="A246" i="4"/>
  <c r="B238" i="4"/>
  <c r="A231" i="4"/>
  <c r="B222" i="4"/>
  <c r="A215" i="4"/>
  <c r="B207" i="4"/>
  <c r="B200" i="4"/>
  <c r="B192" i="4"/>
  <c r="B185" i="4"/>
  <c r="B178" i="4"/>
  <c r="B171" i="4"/>
  <c r="B164" i="4"/>
  <c r="B156" i="4"/>
  <c r="B149" i="4"/>
  <c r="B142" i="4"/>
  <c r="B135" i="4"/>
  <c r="B128" i="4"/>
  <c r="B120" i="4"/>
  <c r="B113" i="4"/>
  <c r="B106" i="4"/>
  <c r="B99" i="4"/>
  <c r="B92" i="4"/>
  <c r="B84" i="4"/>
  <c r="B77" i="4"/>
  <c r="B70" i="4"/>
  <c r="B63" i="4"/>
  <c r="B56" i="4"/>
  <c r="B48" i="4"/>
  <c r="B41" i="4"/>
  <c r="B34" i="4"/>
  <c r="B27" i="4"/>
  <c r="B20" i="4"/>
  <c r="B12" i="4"/>
  <c r="B5" i="4"/>
  <c r="A1850" i="5"/>
  <c r="B1036" i="5"/>
  <c r="B653" i="5"/>
  <c r="B396" i="5"/>
  <c r="A233" i="5"/>
  <c r="B18" i="5"/>
  <c r="A4372" i="4"/>
  <c r="A4266" i="4"/>
  <c r="A4192" i="4"/>
  <c r="B4092" i="4"/>
  <c r="A3994" i="4"/>
  <c r="A3917" i="4"/>
  <c r="B3809" i="4"/>
  <c r="A3725" i="4"/>
  <c r="B3617" i="4"/>
  <c r="A3546" i="4"/>
  <c r="A3456" i="4"/>
  <c r="A3370" i="4"/>
  <c r="B3311" i="4"/>
  <c r="B3232" i="4"/>
  <c r="B3167" i="4"/>
  <c r="A3095" i="4"/>
  <c r="A3046" i="4"/>
  <c r="B2980" i="4"/>
  <c r="B2918" i="4"/>
  <c r="A2874" i="4"/>
  <c r="A2809" i="4"/>
  <c r="A2764" i="4"/>
  <c r="B2704" i="4"/>
  <c r="B2664" i="4"/>
  <c r="B2614" i="4"/>
  <c r="A2565" i="4"/>
  <c r="B2526" i="4"/>
  <c r="B2473" i="4"/>
  <c r="B2430" i="4"/>
  <c r="B2377" i="4"/>
  <c r="B2340" i="4"/>
  <c r="B2291" i="4"/>
  <c r="A2241" i="4"/>
  <c r="B2203" i="4"/>
  <c r="A2149" i="4"/>
  <c r="B2107" i="4"/>
  <c r="A2057" i="4"/>
  <c r="B2023" i="4"/>
  <c r="B1978" i="4"/>
  <c r="B1933" i="4"/>
  <c r="A1900" i="4"/>
  <c r="B1852" i="4"/>
  <c r="A1813" i="4"/>
  <c r="B1765" i="4"/>
  <c r="B1732" i="4"/>
  <c r="B1687" i="4"/>
  <c r="B1645" i="4"/>
  <c r="B1615" i="4"/>
  <c r="A1576" i="4"/>
  <c r="A1539" i="4"/>
  <c r="A1497" i="4"/>
  <c r="B1469" i="4"/>
  <c r="B1428" i="4"/>
  <c r="B1386" i="4"/>
  <c r="B1356" i="4"/>
  <c r="A1317" i="4"/>
  <c r="A1279" i="4"/>
  <c r="A1237" i="4"/>
  <c r="B1210" i="4"/>
  <c r="B1169" i="4"/>
  <c r="B1127" i="4"/>
  <c r="B1097" i="4"/>
  <c r="A1057" i="4"/>
  <c r="B1021" i="4"/>
  <c r="B986" i="4"/>
  <c r="A964" i="4"/>
  <c r="A934" i="4"/>
  <c r="A906" i="4"/>
  <c r="A886" i="4"/>
  <c r="B859" i="4"/>
  <c r="B834" i="4"/>
  <c r="B806" i="4"/>
  <c r="A788" i="4"/>
  <c r="A761" i="4"/>
  <c r="A733" i="4"/>
  <c r="A713" i="4"/>
  <c r="B686" i="4"/>
  <c r="B661" i="4"/>
  <c r="B634" i="4"/>
  <c r="A616" i="4"/>
  <c r="A588" i="4"/>
  <c r="A560" i="4"/>
  <c r="A540" i="4"/>
  <c r="B514" i="4"/>
  <c r="B488" i="4"/>
  <c r="B462" i="4"/>
  <c r="B445" i="4"/>
  <c r="B420" i="4"/>
  <c r="A400" i="4"/>
  <c r="B383" i="4"/>
  <c r="A364" i="4"/>
  <c r="A344" i="4"/>
  <c r="A325" i="4"/>
  <c r="B311" i="4"/>
  <c r="B293" i="4"/>
  <c r="A280" i="4"/>
  <c r="A268" i="4"/>
  <c r="A255" i="4"/>
  <c r="A244" i="4"/>
  <c r="B231" i="4"/>
  <c r="A220" i="4"/>
  <c r="A208" i="4"/>
  <c r="B197" i="4"/>
  <c r="A186" i="4"/>
  <c r="B176" i="4"/>
  <c r="A165" i="4"/>
  <c r="B154" i="4"/>
  <c r="A143" i="4"/>
  <c r="B132" i="4"/>
  <c r="B121" i="4"/>
  <c r="B111" i="4"/>
  <c r="A100" i="4"/>
  <c r="B89" i="4"/>
  <c r="A78" i="4"/>
  <c r="B68" i="4"/>
  <c r="A57" i="4"/>
  <c r="B46" i="4"/>
  <c r="A35" i="4"/>
  <c r="B24" i="4"/>
  <c r="B13" i="4"/>
  <c r="B3" i="4"/>
  <c r="A3063" i="3"/>
  <c r="B3052" i="3"/>
  <c r="B3043" i="3"/>
  <c r="B3035" i="3"/>
  <c r="B3025" i="3"/>
  <c r="B3017" i="3"/>
  <c r="A3009" i="3"/>
  <c r="B2999" i="3"/>
  <c r="A2991" i="3"/>
  <c r="A2983" i="3"/>
  <c r="A2973" i="3"/>
  <c r="A2965" i="3"/>
  <c r="A2957" i="3"/>
  <c r="A2947" i="3"/>
  <c r="A2939" i="3"/>
  <c r="B2930" i="3"/>
  <c r="A2921" i="3"/>
  <c r="B2912" i="3"/>
  <c r="B2904" i="3"/>
  <c r="B2894" i="3"/>
  <c r="B2886" i="3"/>
  <c r="B2878" i="3"/>
  <c r="B2868" i="3"/>
  <c r="B2860" i="3"/>
  <c r="A2852" i="3"/>
  <c r="B2842" i="3"/>
  <c r="A2834" i="3"/>
  <c r="A2826" i="3"/>
  <c r="A2816" i="3"/>
  <c r="A2808" i="3"/>
  <c r="B2799" i="3"/>
  <c r="A2790" i="3"/>
  <c r="B2781" i="3"/>
  <c r="B2773" i="3"/>
  <c r="B2763" i="3"/>
  <c r="B2755" i="3"/>
  <c r="B2747" i="3"/>
  <c r="B2737" i="3"/>
  <c r="B2729" i="3"/>
  <c r="A2721" i="3"/>
  <c r="B2711" i="3"/>
  <c r="A2703" i="3"/>
  <c r="A2695" i="3"/>
  <c r="A2685" i="3"/>
  <c r="A2677" i="3"/>
  <c r="A2669" i="3"/>
  <c r="A2659" i="3"/>
  <c r="A2651" i="3"/>
  <c r="B2642" i="3"/>
  <c r="A2633" i="3"/>
  <c r="B2624" i="3"/>
  <c r="B2616" i="3"/>
  <c r="B2606" i="3"/>
  <c r="B2598" i="3"/>
  <c r="B2590" i="3"/>
  <c r="B2580" i="3"/>
  <c r="B2572" i="3"/>
  <c r="A2564" i="3"/>
  <c r="B2554" i="3"/>
  <c r="A2546" i="3"/>
  <c r="A2538" i="3"/>
  <c r="A2528" i="3"/>
  <c r="A2520" i="3"/>
  <c r="B2511" i="3"/>
  <c r="A2502" i="3"/>
  <c r="B2493" i="3"/>
  <c r="B2485" i="3"/>
  <c r="B2475" i="3"/>
  <c r="B2467" i="3"/>
  <c r="A2460" i="3"/>
  <c r="A2451" i="3"/>
  <c r="B2443" i="3"/>
  <c r="A2436" i="3"/>
  <c r="A2427" i="3"/>
  <c r="B2419" i="3"/>
  <c r="A2412" i="3"/>
  <c r="A2403" i="3"/>
  <c r="B2395" i="3"/>
  <c r="A2388" i="3"/>
  <c r="A2379" i="3"/>
  <c r="B2371" i="3"/>
  <c r="A2364" i="3"/>
  <c r="A2355" i="3"/>
  <c r="B2347" i="3"/>
  <c r="A2340" i="3"/>
  <c r="A2331" i="3"/>
  <c r="B2323" i="3"/>
  <c r="A2316" i="3"/>
  <c r="A2307" i="3"/>
  <c r="B2299" i="3"/>
  <c r="A2292" i="3"/>
  <c r="A2283" i="3"/>
  <c r="B2275" i="3"/>
  <c r="A2268" i="3"/>
  <c r="A2259" i="3"/>
  <c r="B2251" i="3"/>
  <c r="A2244" i="3"/>
  <c r="A2235" i="3"/>
  <c r="B2227" i="3"/>
  <c r="A2220" i="3"/>
  <c r="A2211" i="3"/>
  <c r="B2203" i="3"/>
  <c r="A2196" i="3"/>
  <c r="A2187" i="3"/>
  <c r="B2179" i="3"/>
  <c r="A2172" i="3"/>
  <c r="A2163" i="3"/>
  <c r="B2155" i="3"/>
  <c r="A2148" i="3"/>
  <c r="A2139" i="3"/>
  <c r="B2131" i="3"/>
  <c r="A2124" i="3"/>
  <c r="A2115" i="3"/>
  <c r="B2107" i="3"/>
  <c r="A2100" i="3"/>
  <c r="A2091" i="3"/>
  <c r="B2083" i="3"/>
  <c r="A2076" i="3"/>
  <c r="A2067" i="3"/>
  <c r="B2059" i="3"/>
  <c r="A2052" i="3"/>
  <c r="A2043" i="3"/>
  <c r="B2035" i="3"/>
  <c r="A2028" i="3"/>
  <c r="A2019" i="3"/>
  <c r="B2011" i="3"/>
  <c r="A2004" i="3"/>
  <c r="A1995" i="3"/>
  <c r="B1987" i="3"/>
  <c r="A1980" i="3"/>
  <c r="A1971" i="3"/>
  <c r="B1963" i="3"/>
  <c r="A1956" i="3"/>
  <c r="A1947" i="3"/>
  <c r="B1939" i="3"/>
  <c r="A1932" i="3"/>
  <c r="A1923" i="3"/>
  <c r="B1915" i="3"/>
  <c r="A1908" i="3"/>
  <c r="A1899" i="3"/>
  <c r="B1891" i="3"/>
  <c r="A1884" i="3"/>
  <c r="A1875" i="3"/>
  <c r="B1867" i="3"/>
  <c r="A1860" i="3"/>
  <c r="A1851" i="3"/>
  <c r="B1843" i="3"/>
  <c r="A1836" i="3"/>
  <c r="A1827" i="3"/>
  <c r="B1819" i="3"/>
  <c r="A1812" i="3"/>
  <c r="A1803" i="3"/>
  <c r="B1795" i="3"/>
  <c r="A1788" i="3"/>
  <c r="A1779" i="3"/>
  <c r="B1771" i="3"/>
  <c r="A1764" i="3"/>
  <c r="A1755" i="3"/>
  <c r="B1747" i="3"/>
  <c r="A1740" i="3"/>
  <c r="A1731" i="3"/>
  <c r="B1723" i="3"/>
  <c r="A1716" i="3"/>
  <c r="A1707" i="3"/>
  <c r="B1699" i="3"/>
  <c r="A1692" i="3"/>
  <c r="A1683" i="3"/>
  <c r="B1675" i="3"/>
  <c r="A1668" i="3"/>
  <c r="A1659" i="3"/>
  <c r="B1651" i="3"/>
  <c r="A1644" i="3"/>
  <c r="A1635" i="3"/>
  <c r="B1627" i="3"/>
  <c r="A1620" i="3"/>
  <c r="A1611" i="3"/>
  <c r="B1603" i="3"/>
  <c r="A1596" i="3"/>
  <c r="A1587" i="3"/>
  <c r="B1579" i="3"/>
  <c r="A1572" i="3"/>
  <c r="A1563" i="3"/>
  <c r="B1555" i="3"/>
  <c r="A1548" i="3"/>
  <c r="A1539" i="3"/>
  <c r="B1531" i="3"/>
  <c r="A1524" i="3"/>
  <c r="A1515" i="3"/>
  <c r="B1507" i="3"/>
  <c r="A1500" i="3"/>
  <c r="A1491" i="3"/>
  <c r="B1483" i="3"/>
  <c r="A1476" i="3"/>
  <c r="A1467" i="3"/>
  <c r="B1459" i="3"/>
  <c r="A1452" i="3"/>
  <c r="A1443" i="3"/>
  <c r="B1435" i="3"/>
  <c r="A1428" i="3"/>
  <c r="A1419" i="3"/>
  <c r="B1411" i="3"/>
  <c r="A1404" i="3"/>
  <c r="A1395" i="3"/>
  <c r="B1387" i="3"/>
  <c r="A1380" i="3"/>
  <c r="A1371" i="3"/>
  <c r="B1363" i="3"/>
  <c r="A1356" i="3"/>
  <c r="A1347" i="3"/>
  <c r="B1339" i="3"/>
  <c r="A1332" i="3"/>
  <c r="A1323" i="3"/>
  <c r="B1315" i="3"/>
  <c r="A1308" i="3"/>
  <c r="A1299" i="3"/>
  <c r="B1291" i="3"/>
  <c r="B1284" i="3"/>
  <c r="B1276" i="3"/>
  <c r="B1269" i="3"/>
  <c r="A1263" i="3"/>
  <c r="B1256" i="3"/>
  <c r="A1250" i="3"/>
  <c r="B1243" i="3"/>
  <c r="A1237" i="3"/>
  <c r="B1230" i="3"/>
  <c r="A1224" i="3"/>
  <c r="B1217" i="3"/>
  <c r="B1211" i="3"/>
  <c r="B1205" i="3"/>
  <c r="B1199" i="3"/>
  <c r="B1193" i="3"/>
  <c r="B1187" i="3"/>
  <c r="B1181" i="3"/>
  <c r="B1175" i="3"/>
  <c r="B1169" i="3"/>
  <c r="B1163" i="3"/>
  <c r="B1157" i="3"/>
  <c r="B1151" i="3"/>
  <c r="B1145" i="3"/>
  <c r="B1139" i="3"/>
  <c r="B1133" i="3"/>
  <c r="B1127" i="3"/>
  <c r="B1121" i="3"/>
  <c r="B1115" i="3"/>
  <c r="B1109" i="3"/>
  <c r="B1103" i="3"/>
  <c r="B1097" i="3"/>
  <c r="B1091" i="3"/>
  <c r="B1085" i="3"/>
  <c r="B1079" i="3"/>
  <c r="B1073" i="3"/>
  <c r="B1067" i="3"/>
  <c r="B1061" i="3"/>
  <c r="B1055" i="3"/>
  <c r="B1049" i="3"/>
  <c r="B1043" i="3"/>
  <c r="B1037" i="3"/>
  <c r="B1031" i="3"/>
  <c r="B1025" i="3"/>
  <c r="B1019" i="3"/>
  <c r="B1013" i="3"/>
  <c r="B1007" i="3"/>
  <c r="B1001" i="3"/>
  <c r="B995" i="3"/>
  <c r="B989" i="3"/>
  <c r="B983" i="3"/>
  <c r="B977" i="3"/>
  <c r="B971" i="3"/>
  <c r="B965" i="3"/>
  <c r="B959" i="3"/>
  <c r="B953" i="3"/>
  <c r="B947" i="3"/>
  <c r="B941" i="3"/>
  <c r="B935" i="3"/>
  <c r="B929" i="3"/>
  <c r="B923" i="3"/>
  <c r="B917" i="3"/>
  <c r="B911" i="3"/>
  <c r="B905" i="3"/>
  <c r="B899" i="3"/>
  <c r="B893" i="3"/>
  <c r="B887" i="3"/>
  <c r="B881" i="3"/>
  <c r="B875" i="3"/>
  <c r="B869" i="3"/>
  <c r="B863" i="3"/>
  <c r="B857" i="3"/>
  <c r="B851" i="3"/>
  <c r="B845" i="3"/>
  <c r="B839" i="3"/>
  <c r="B833" i="3"/>
  <c r="B827" i="3"/>
  <c r="B821" i="3"/>
  <c r="B815" i="3"/>
  <c r="B809" i="3"/>
  <c r="B803" i="3"/>
  <c r="B797" i="3"/>
  <c r="B791" i="3"/>
  <c r="B785" i="3"/>
  <c r="B779" i="3"/>
  <c r="B773" i="3"/>
  <c r="B767" i="3"/>
  <c r="B761" i="3"/>
  <c r="B755" i="3"/>
  <c r="B749" i="3"/>
  <c r="B743" i="3"/>
  <c r="B737" i="3"/>
  <c r="B731" i="3"/>
  <c r="B725" i="3"/>
  <c r="B719" i="3"/>
  <c r="B713" i="3"/>
  <c r="B707" i="3"/>
  <c r="B701" i="3"/>
  <c r="B695" i="3"/>
  <c r="B689" i="3"/>
  <c r="B683" i="3"/>
  <c r="B677" i="3"/>
  <c r="B671" i="3"/>
  <c r="B665" i="3"/>
  <c r="B659" i="3"/>
  <c r="B653" i="3"/>
  <c r="B647" i="3"/>
  <c r="B641" i="3"/>
  <c r="B635" i="3"/>
  <c r="B629" i="3"/>
  <c r="B623" i="3"/>
  <c r="B617" i="3"/>
  <c r="B611" i="3"/>
  <c r="B605" i="3"/>
  <c r="B599" i="3"/>
  <c r="B593" i="3"/>
  <c r="B587" i="3"/>
  <c r="B581" i="3"/>
  <c r="B575" i="3"/>
  <c r="B569" i="3"/>
  <c r="B563" i="3"/>
  <c r="B557" i="3"/>
  <c r="B551" i="3"/>
  <c r="B545" i="3"/>
  <c r="B539" i="3"/>
  <c r="B533" i="3"/>
  <c r="B527" i="3"/>
  <c r="B521" i="3"/>
  <c r="B515" i="3"/>
  <c r="B509" i="3"/>
  <c r="B503" i="3"/>
  <c r="B497" i="3"/>
  <c r="B491" i="3"/>
  <c r="B485" i="3"/>
  <c r="B479" i="3"/>
  <c r="B473" i="3"/>
  <c r="B467" i="3"/>
  <c r="B461" i="3"/>
  <c r="B455" i="3"/>
  <c r="B449" i="3"/>
  <c r="B443" i="3"/>
  <c r="B437" i="3"/>
  <c r="B431" i="3"/>
  <c r="B425" i="3"/>
  <c r="B419" i="3"/>
  <c r="B413" i="3"/>
  <c r="B407" i="3"/>
  <c r="B401" i="3"/>
  <c r="B395" i="3"/>
  <c r="B389" i="3"/>
  <c r="B383" i="3"/>
  <c r="B377" i="3"/>
  <c r="B371" i="3"/>
  <c r="B365" i="3"/>
  <c r="B359" i="3"/>
  <c r="B353" i="3"/>
  <c r="B347" i="3"/>
  <c r="B341" i="3"/>
  <c r="B335" i="3"/>
  <c r="B329" i="3"/>
  <c r="B323" i="3"/>
  <c r="B317" i="3"/>
  <c r="B311" i="3"/>
  <c r="B305" i="3"/>
  <c r="B299" i="3"/>
  <c r="B293" i="3"/>
  <c r="B287" i="3"/>
  <c r="B281" i="3"/>
  <c r="B275" i="3"/>
  <c r="B269" i="3"/>
  <c r="B263" i="3"/>
  <c r="B257" i="3"/>
  <c r="B251" i="3"/>
  <c r="B245" i="3"/>
  <c r="B239" i="3"/>
  <c r="B233" i="3"/>
  <c r="B227" i="3"/>
  <c r="B221" i="3"/>
  <c r="B215" i="3"/>
  <c r="B209" i="3"/>
  <c r="B203" i="3"/>
  <c r="B197" i="3"/>
  <c r="B191" i="3"/>
  <c r="B185" i="3"/>
  <c r="B179" i="3"/>
  <c r="B173" i="3"/>
  <c r="B167" i="3"/>
  <c r="B161" i="3"/>
  <c r="B155" i="3"/>
  <c r="B149" i="3"/>
  <c r="B143" i="3"/>
  <c r="B137" i="3"/>
  <c r="B131" i="3"/>
  <c r="B125" i="3"/>
  <c r="B119" i="3"/>
  <c r="B113" i="3"/>
  <c r="B107" i="3"/>
  <c r="B101" i="3"/>
  <c r="B95" i="3"/>
  <c r="B89" i="3"/>
  <c r="B83" i="3"/>
  <c r="B77" i="3"/>
  <c r="B71" i="3"/>
  <c r="B65" i="3"/>
  <c r="B59" i="3"/>
  <c r="B53" i="3"/>
  <c r="B47" i="3"/>
  <c r="B41" i="3"/>
  <c r="B35" i="3"/>
  <c r="B29" i="3"/>
  <c r="B23" i="3"/>
  <c r="B17" i="3"/>
  <c r="B11" i="3"/>
  <c r="B5" i="3"/>
  <c r="B4449" i="2"/>
  <c r="B4443" i="2"/>
  <c r="B4437" i="2"/>
  <c r="B4431" i="2"/>
  <c r="B4425" i="2"/>
  <c r="B4419" i="2"/>
  <c r="B4413" i="2"/>
  <c r="B4407" i="2"/>
  <c r="B4401" i="2"/>
  <c r="B4395" i="2"/>
  <c r="B4389" i="2"/>
  <c r="B4383" i="2"/>
  <c r="B4377" i="2"/>
  <c r="B4371" i="2"/>
  <c r="B4365" i="2"/>
  <c r="B4359" i="2"/>
  <c r="B4353" i="2"/>
  <c r="B4347" i="2"/>
  <c r="B4341" i="2"/>
  <c r="B4335" i="2"/>
  <c r="B4329" i="2"/>
  <c r="B4323" i="2"/>
  <c r="B4317" i="2"/>
  <c r="B4311" i="2"/>
  <c r="B4305" i="2"/>
  <c r="B4299" i="2"/>
  <c r="B4293" i="2"/>
  <c r="B4287" i="2"/>
  <c r="B4281" i="2"/>
  <c r="B4275" i="2"/>
  <c r="B4269" i="2"/>
  <c r="B4263" i="2"/>
  <c r="B4257" i="2"/>
  <c r="B4251" i="2"/>
  <c r="B4245" i="2"/>
  <c r="B4239" i="2"/>
  <c r="B4233" i="2"/>
  <c r="B4227" i="2"/>
  <c r="B4221" i="2"/>
  <c r="B4215" i="2"/>
  <c r="B4209" i="2"/>
  <c r="B4203" i="2"/>
  <c r="B4197" i="2"/>
  <c r="B4191" i="2"/>
  <c r="B4185" i="2"/>
  <c r="B4179" i="2"/>
  <c r="B4173" i="2"/>
  <c r="B4167" i="2"/>
  <c r="B4161" i="2"/>
  <c r="B4155" i="2"/>
  <c r="B4149" i="2"/>
  <c r="B4143" i="2"/>
  <c r="B4137" i="2"/>
  <c r="B4131" i="2"/>
  <c r="B4125" i="2"/>
  <c r="B4119" i="2"/>
  <c r="B4113" i="2"/>
  <c r="B4107" i="2"/>
  <c r="B4101" i="2"/>
  <c r="B4095" i="2"/>
  <c r="B4089" i="2"/>
  <c r="B4083" i="2"/>
  <c r="B4077" i="2"/>
  <c r="B4071" i="2"/>
  <c r="B4065" i="2"/>
  <c r="B4059" i="2"/>
  <c r="B4053" i="2"/>
  <c r="B4047" i="2"/>
  <c r="B4041" i="2"/>
  <c r="B4035" i="2"/>
  <c r="B4029" i="2"/>
  <c r="B4023" i="2"/>
  <c r="B4017" i="2"/>
  <c r="B4011" i="2"/>
  <c r="B4005" i="2"/>
  <c r="B3999" i="2"/>
  <c r="B3993" i="2"/>
  <c r="B3987" i="2"/>
  <c r="B3981" i="2"/>
  <c r="B3975" i="2"/>
  <c r="B3969" i="2"/>
  <c r="B3963" i="2"/>
  <c r="B3957" i="2"/>
  <c r="B3951" i="2"/>
  <c r="B3945" i="2"/>
  <c r="B3939" i="2"/>
  <c r="B3933" i="2"/>
  <c r="B3927" i="2"/>
  <c r="B3921" i="2"/>
  <c r="B3915" i="2"/>
  <c r="B3909" i="2"/>
  <c r="B3903" i="2"/>
  <c r="B3897" i="2"/>
  <c r="B3891" i="2"/>
  <c r="B3885" i="2"/>
  <c r="B3879" i="2"/>
  <c r="B3873" i="2"/>
  <c r="B3867" i="2"/>
  <c r="B3861" i="2"/>
  <c r="B3855" i="2"/>
  <c r="B3849" i="2"/>
  <c r="B3843" i="2"/>
  <c r="B3837" i="2"/>
  <c r="B3831" i="2"/>
  <c r="B3825" i="2"/>
  <c r="B3819" i="2"/>
  <c r="B3813" i="2"/>
  <c r="B3807" i="2"/>
  <c r="B3801" i="2"/>
  <c r="B3795" i="2"/>
  <c r="B3789" i="2"/>
  <c r="B3783" i="2"/>
  <c r="B3777" i="2"/>
  <c r="B3771" i="2"/>
  <c r="B3765" i="2"/>
  <c r="B3759" i="2"/>
  <c r="B3753" i="2"/>
  <c r="B3747" i="2"/>
  <c r="B3741" i="2"/>
  <c r="B3735" i="2"/>
  <c r="B3729" i="2"/>
  <c r="B3723" i="2"/>
  <c r="B3717" i="2"/>
  <c r="B3711" i="2"/>
  <c r="B3705" i="2"/>
  <c r="B3699" i="2"/>
  <c r="B3693" i="2"/>
  <c r="B3687" i="2"/>
  <c r="B3681" i="2"/>
  <c r="B3675" i="2"/>
  <c r="B3669" i="2"/>
  <c r="B3663" i="2"/>
  <c r="B3657" i="2"/>
  <c r="B3651" i="2"/>
  <c r="B3645" i="2"/>
  <c r="B3639" i="2"/>
  <c r="B3633" i="2"/>
  <c r="B3627" i="2"/>
  <c r="B3621" i="2"/>
  <c r="B3615" i="2"/>
  <c r="B3609" i="2"/>
  <c r="B3603" i="2"/>
  <c r="B3597" i="2"/>
  <c r="B3591" i="2"/>
  <c r="B3585" i="2"/>
  <c r="B3579" i="2"/>
  <c r="B3573" i="2"/>
  <c r="B3567" i="2"/>
  <c r="B3561" i="2"/>
  <c r="B3555" i="2"/>
  <c r="B3549" i="2"/>
  <c r="B3543" i="2"/>
  <c r="B3537" i="2"/>
  <c r="B3531" i="2"/>
  <c r="B3525" i="2"/>
  <c r="B3519" i="2"/>
  <c r="B3513" i="2"/>
  <c r="B3507" i="2"/>
  <c r="B3501" i="2"/>
  <c r="B3495" i="2"/>
  <c r="B3489" i="2"/>
  <c r="B3483" i="2"/>
  <c r="B3477" i="2"/>
  <c r="B3471" i="2"/>
  <c r="B3465" i="2"/>
  <c r="B3459" i="2"/>
  <c r="B3453" i="2"/>
  <c r="B3447" i="2"/>
  <c r="B3441" i="2"/>
  <c r="B3435" i="2"/>
  <c r="B3429" i="2"/>
  <c r="B3423" i="2"/>
  <c r="B3417" i="2"/>
  <c r="B3411" i="2"/>
  <c r="B3405" i="2"/>
  <c r="B3399" i="2"/>
  <c r="B3393" i="2"/>
  <c r="B3387" i="2"/>
  <c r="B3381" i="2"/>
  <c r="B3375" i="2"/>
  <c r="B3369" i="2"/>
  <c r="B3363" i="2"/>
  <c r="B3357" i="2"/>
  <c r="B3351" i="2"/>
  <c r="B3345" i="2"/>
  <c r="B3339" i="2"/>
  <c r="B3333" i="2"/>
  <c r="B3327" i="2"/>
  <c r="B3321" i="2"/>
  <c r="B3315" i="2"/>
  <c r="B3309" i="2"/>
  <c r="B3303" i="2"/>
  <c r="B3297" i="2"/>
  <c r="B3291" i="2"/>
  <c r="B3285" i="2"/>
  <c r="B3279" i="2"/>
  <c r="B3273" i="2"/>
  <c r="B3267" i="2"/>
  <c r="B3261" i="2"/>
  <c r="B3255" i="2"/>
  <c r="B3249" i="2"/>
  <c r="B3243" i="2"/>
  <c r="B3237" i="2"/>
  <c r="B3231" i="2"/>
  <c r="B3225" i="2"/>
  <c r="B3219" i="2"/>
  <c r="B3213" i="2"/>
  <c r="B3207" i="2"/>
  <c r="B3201" i="2"/>
  <c r="B3195" i="2"/>
  <c r="B3189" i="2"/>
  <c r="B3183" i="2"/>
  <c r="B3177" i="2"/>
  <c r="B3171" i="2"/>
  <c r="B3165" i="2"/>
  <c r="B3159" i="2"/>
  <c r="B3153" i="2"/>
  <c r="B3147" i="2"/>
  <c r="B3141" i="2"/>
  <c r="B3135" i="2"/>
  <c r="B3129" i="2"/>
  <c r="B3123" i="2"/>
  <c r="B3117" i="2"/>
  <c r="B3111" i="2"/>
  <c r="B3105" i="2"/>
  <c r="B3099" i="2"/>
  <c r="B3093" i="2"/>
  <c r="B3087" i="2"/>
  <c r="B3081" i="2"/>
  <c r="B3075" i="2"/>
  <c r="B3069" i="2"/>
  <c r="B3063" i="2"/>
  <c r="B3057" i="2"/>
  <c r="B3051" i="2"/>
  <c r="B3045" i="2"/>
  <c r="B3039" i="2"/>
  <c r="B3033" i="2"/>
  <c r="B3027" i="2"/>
  <c r="B3021" i="2"/>
  <c r="B3015" i="2"/>
  <c r="B3009" i="2"/>
  <c r="B3003" i="2"/>
  <c r="B2997" i="2"/>
  <c r="B2991" i="2"/>
  <c r="B2985" i="2"/>
  <c r="B2979" i="2"/>
  <c r="B2973" i="2"/>
  <c r="B2967" i="2"/>
  <c r="B2961" i="2"/>
  <c r="B2955" i="2"/>
  <c r="B2949" i="2"/>
  <c r="B2943" i="2"/>
  <c r="B2937" i="2"/>
  <c r="B2931" i="2"/>
  <c r="B2925" i="2"/>
  <c r="B2919" i="2"/>
  <c r="B2913" i="2"/>
  <c r="B2907" i="2"/>
  <c r="B2901" i="2"/>
  <c r="B2895" i="2"/>
  <c r="B2889" i="2"/>
  <c r="B2883" i="2"/>
  <c r="B2877" i="2"/>
  <c r="B2871" i="2"/>
  <c r="B2865" i="2"/>
  <c r="B2859" i="2"/>
  <c r="B2853" i="2"/>
  <c r="B2847" i="2"/>
  <c r="B2841" i="2"/>
  <c r="B2835" i="2"/>
  <c r="B2829" i="2"/>
  <c r="B2823" i="2"/>
  <c r="B2817" i="2"/>
  <c r="B2811" i="2"/>
  <c r="B2805" i="2"/>
  <c r="B2799" i="2"/>
  <c r="B2793" i="2"/>
  <c r="B2787" i="2"/>
  <c r="B2781" i="2"/>
  <c r="B2775" i="2"/>
  <c r="B2769" i="2"/>
  <c r="B2763" i="2"/>
  <c r="B2757" i="2"/>
  <c r="B2751" i="2"/>
  <c r="B2745" i="2"/>
  <c r="B2739" i="2"/>
  <c r="B2733" i="2"/>
  <c r="B2727" i="2"/>
  <c r="B2721" i="2"/>
  <c r="B2715" i="2"/>
  <c r="B2709" i="2"/>
  <c r="B2703" i="2"/>
  <c r="B2697" i="2"/>
  <c r="B2691" i="2"/>
  <c r="B2685" i="2"/>
  <c r="B2679" i="2"/>
  <c r="B2673" i="2"/>
  <c r="B2667" i="2"/>
  <c r="B2661" i="2"/>
  <c r="B2655" i="2"/>
  <c r="B2649" i="2"/>
  <c r="B2643" i="2"/>
  <c r="B2637" i="2"/>
  <c r="B2631" i="2"/>
  <c r="B2625" i="2"/>
  <c r="B2619" i="2"/>
  <c r="B2613" i="2"/>
  <c r="B2607" i="2"/>
  <c r="B2601" i="2"/>
  <c r="B2595" i="2"/>
  <c r="B2589" i="2"/>
  <c r="A1848" i="5"/>
  <c r="B1035" i="5"/>
  <c r="B642" i="5"/>
  <c r="B393" i="5"/>
  <c r="B162" i="5"/>
  <c r="B16" i="5"/>
  <c r="B4355" i="4"/>
  <c r="A4264" i="4"/>
  <c r="B4191" i="4"/>
  <c r="B4091" i="4"/>
  <c r="A3988" i="4"/>
  <c r="A3882" i="4"/>
  <c r="A3808" i="4"/>
  <c r="B3708" i="4"/>
  <c r="A3616" i="4"/>
  <c r="B3543" i="4"/>
  <c r="B3455" i="4"/>
  <c r="B3366" i="4"/>
  <c r="A3286" i="4"/>
  <c r="B3230" i="4"/>
  <c r="B3155" i="4"/>
  <c r="A3094" i="4"/>
  <c r="B3044" i="4"/>
  <c r="B2978" i="4"/>
  <c r="A2916" i="4"/>
  <c r="A2852" i="4"/>
  <c r="B2808" i="4"/>
  <c r="A2755" i="4"/>
  <c r="A2704" i="4"/>
  <c r="A2663" i="4"/>
  <c r="A2614" i="4"/>
  <c r="B2563" i="4"/>
  <c r="A2509" i="4"/>
  <c r="B2472" i="4"/>
  <c r="B2422" i="4"/>
  <c r="B2376" i="4"/>
  <c r="A2340" i="4"/>
  <c r="B2290" i="4"/>
  <c r="B2238" i="4"/>
  <c r="B2185" i="4"/>
  <c r="B2148" i="4"/>
  <c r="B2099" i="4"/>
  <c r="B2056" i="4"/>
  <c r="A2022" i="4"/>
  <c r="A1978" i="4"/>
  <c r="A1933" i="4"/>
  <c r="A1884" i="4"/>
  <c r="B1851" i="4"/>
  <c r="B1805" i="4"/>
  <c r="B1764" i="4"/>
  <c r="A1732" i="4"/>
  <c r="B1686" i="4"/>
  <c r="A1645" i="4"/>
  <c r="A1603" i="4"/>
  <c r="A1573" i="4"/>
  <c r="B1534" i="4"/>
  <c r="B1495" i="4"/>
  <c r="A1468" i="4"/>
  <c r="B1427" i="4"/>
  <c r="A1386" i="4"/>
  <c r="A1344" i="4"/>
  <c r="A1314" i="4"/>
  <c r="B1275" i="4"/>
  <c r="B1236" i="4"/>
  <c r="A1209" i="4"/>
  <c r="B1168" i="4"/>
  <c r="A1127" i="4"/>
  <c r="A1085" i="4"/>
  <c r="A1055" i="4"/>
  <c r="A1018" i="4"/>
  <c r="A986" i="4"/>
  <c r="B962" i="4"/>
  <c r="B932" i="4"/>
  <c r="B905" i="4"/>
  <c r="B877" i="4"/>
  <c r="B857" i="4"/>
  <c r="A832" i="4"/>
  <c r="A806" i="4"/>
  <c r="B787" i="4"/>
  <c r="B760" i="4"/>
  <c r="B732" i="4"/>
  <c r="B704" i="4"/>
  <c r="B684" i="4"/>
  <c r="A659" i="4"/>
  <c r="A634" i="4"/>
  <c r="B614" i="4"/>
  <c r="B587" i="4"/>
  <c r="B559" i="4"/>
  <c r="B532" i="4"/>
  <c r="B511" i="4"/>
  <c r="A486" i="4"/>
  <c r="A462" i="4"/>
  <c r="A445" i="4"/>
  <c r="A420" i="4"/>
  <c r="B396" i="4"/>
  <c r="B377" i="4"/>
  <c r="B363" i="4"/>
  <c r="B343" i="4"/>
  <c r="B324" i="4"/>
  <c r="B310" i="4"/>
  <c r="A293" i="4"/>
  <c r="A279" i="4"/>
  <c r="B267" i="4"/>
  <c r="B253" i="4"/>
  <c r="A243" i="4"/>
  <c r="B230" i="4"/>
  <c r="B219" i="4"/>
  <c r="A207" i="4"/>
  <c r="A197" i="4"/>
  <c r="A185" i="4"/>
  <c r="B175" i="4"/>
  <c r="B163" i="4"/>
  <c r="A154" i="4"/>
  <c r="A142" i="4"/>
  <c r="A132" i="4"/>
  <c r="A120" i="4"/>
  <c r="A111" i="4"/>
  <c r="A99" i="4"/>
  <c r="A89" i="4"/>
  <c r="A77" i="4"/>
  <c r="B67" i="4"/>
  <c r="B55" i="4"/>
  <c r="A46" i="4"/>
  <c r="A34" i="4"/>
  <c r="A24" i="4"/>
  <c r="A12" i="4"/>
  <c r="A3" i="4"/>
  <c r="A3061" i="3"/>
  <c r="B3051" i="3"/>
  <c r="A3043" i="3"/>
  <c r="A3033" i="3"/>
  <c r="A3025" i="3"/>
  <c r="A3017" i="3"/>
  <c r="A3007" i="3"/>
  <c r="A2999" i="3"/>
  <c r="B2990" i="3"/>
  <c r="A2981" i="3"/>
  <c r="B2972" i="3"/>
  <c r="B2964" i="3"/>
  <c r="B2954" i="3"/>
  <c r="B2946" i="3"/>
  <c r="B2938" i="3"/>
  <c r="B2928" i="3"/>
  <c r="B2920" i="3"/>
  <c r="A2912" i="3"/>
  <c r="B2902" i="3"/>
  <c r="A2894" i="3"/>
  <c r="A2886" i="3"/>
  <c r="A2876" i="3"/>
  <c r="A2868" i="3"/>
  <c r="B2859" i="3"/>
  <c r="A2850" i="3"/>
  <c r="B2841" i="3"/>
  <c r="B2833" i="3"/>
  <c r="B2823" i="3"/>
  <c r="B2815" i="3"/>
  <c r="B2807" i="3"/>
  <c r="B2797" i="3"/>
  <c r="B2789" i="3"/>
  <c r="A2781" i="3"/>
  <c r="B2771" i="3"/>
  <c r="A2763" i="3"/>
  <c r="A2755" i="3"/>
  <c r="A2745" i="3"/>
  <c r="A2737" i="3"/>
  <c r="A2729" i="3"/>
  <c r="A2719" i="3"/>
  <c r="A2711" i="3"/>
  <c r="B2702" i="3"/>
  <c r="A2693" i="3"/>
  <c r="B2684" i="3"/>
  <c r="B2676" i="3"/>
  <c r="B2666" i="3"/>
  <c r="B2658" i="3"/>
  <c r="B2650" i="3"/>
  <c r="B2640" i="3"/>
  <c r="B2632" i="3"/>
  <c r="A2624" i="3"/>
  <c r="B2614" i="3"/>
  <c r="A2606" i="3"/>
  <c r="A2598" i="3"/>
  <c r="A2588" i="3"/>
  <c r="A2580" i="3"/>
  <c r="B2571" i="3"/>
  <c r="A2562" i="3"/>
  <c r="B2553" i="3"/>
  <c r="B2545" i="3"/>
  <c r="B2535" i="3"/>
  <c r="B2527" i="3"/>
  <c r="B2519" i="3"/>
  <c r="B2509" i="3"/>
  <c r="B2501" i="3"/>
  <c r="A2493" i="3"/>
  <c r="B2483" i="3"/>
  <c r="A2475" i="3"/>
  <c r="A2467" i="3"/>
  <c r="A2458" i="3"/>
  <c r="B2450" i="3"/>
  <c r="A2443" i="3"/>
  <c r="A2434" i="3"/>
  <c r="B2426" i="3"/>
  <c r="A2419" i="3"/>
  <c r="A2410" i="3"/>
  <c r="B2402" i="3"/>
  <c r="A2395" i="3"/>
  <c r="A2386" i="3"/>
  <c r="B2378" i="3"/>
  <c r="A2371" i="3"/>
  <c r="A2362" i="3"/>
  <c r="B2354" i="3"/>
  <c r="A2347" i="3"/>
  <c r="A2338" i="3"/>
  <c r="B2330" i="3"/>
  <c r="A2323" i="3"/>
  <c r="A2314" i="3"/>
  <c r="B2306" i="3"/>
  <c r="A2299" i="3"/>
  <c r="A2290" i="3"/>
  <c r="B2282" i="3"/>
  <c r="A2275" i="3"/>
  <c r="A2266" i="3"/>
  <c r="B2258" i="3"/>
  <c r="A2251" i="3"/>
  <c r="A2242" i="3"/>
  <c r="B2234" i="3"/>
  <c r="A2227" i="3"/>
  <c r="A2218" i="3"/>
  <c r="B2210" i="3"/>
  <c r="A2203" i="3"/>
  <c r="A2194" i="3"/>
  <c r="B2186" i="3"/>
  <c r="A2179" i="3"/>
  <c r="A2170" i="3"/>
  <c r="B2162" i="3"/>
  <c r="A2155" i="3"/>
  <c r="A2146" i="3"/>
  <c r="B2138" i="3"/>
  <c r="A2131" i="3"/>
  <c r="A2122" i="3"/>
  <c r="B2114" i="3"/>
  <c r="A2107" i="3"/>
  <c r="A2098" i="3"/>
  <c r="B2090" i="3"/>
  <c r="A2083" i="3"/>
  <c r="A2074" i="3"/>
  <c r="B2066" i="3"/>
  <c r="A2059" i="3"/>
  <c r="A2050" i="3"/>
  <c r="B2042" i="3"/>
  <c r="A2035" i="3"/>
  <c r="A2026" i="3"/>
  <c r="B2018" i="3"/>
  <c r="A2011" i="3"/>
  <c r="A2002" i="3"/>
  <c r="B1994" i="3"/>
  <c r="A1987" i="3"/>
  <c r="A1978" i="3"/>
  <c r="B1970" i="3"/>
  <c r="A1963" i="3"/>
  <c r="A1954" i="3"/>
  <c r="B1946" i="3"/>
  <c r="A1939" i="3"/>
  <c r="A1930" i="3"/>
  <c r="B1922" i="3"/>
  <c r="A1915" i="3"/>
  <c r="A1906" i="3"/>
  <c r="B1898" i="3"/>
  <c r="A1891" i="3"/>
  <c r="A1882" i="3"/>
  <c r="B1874" i="3"/>
  <c r="A1867" i="3"/>
  <c r="A1858" i="3"/>
  <c r="B1850" i="3"/>
  <c r="A1843" i="3"/>
  <c r="A1834" i="3"/>
  <c r="B1826" i="3"/>
  <c r="A1819" i="3"/>
  <c r="A1810" i="3"/>
  <c r="B1802" i="3"/>
  <c r="A1795" i="3"/>
  <c r="A1786" i="3"/>
  <c r="B1778" i="3"/>
  <c r="A1771" i="3"/>
  <c r="A1762" i="3"/>
  <c r="B1754" i="3"/>
  <c r="A1747" i="3"/>
  <c r="A1738" i="3"/>
  <c r="B1730" i="3"/>
  <c r="A1723" i="3"/>
  <c r="A1714" i="3"/>
  <c r="B1706" i="3"/>
  <c r="A1699" i="3"/>
  <c r="A1690" i="3"/>
  <c r="B1682" i="3"/>
  <c r="A1675" i="3"/>
  <c r="A1666" i="3"/>
  <c r="B1658" i="3"/>
  <c r="A1651" i="3"/>
  <c r="A1642" i="3"/>
  <c r="B1634" i="3"/>
  <c r="A1627" i="3"/>
  <c r="A1618" i="3"/>
  <c r="B1610" i="3"/>
  <c r="A1603" i="3"/>
  <c r="A1594" i="3"/>
  <c r="B1586" i="3"/>
  <c r="A1579" i="3"/>
  <c r="A1570" i="3"/>
  <c r="B1562" i="3"/>
  <c r="A1555" i="3"/>
  <c r="A1546" i="3"/>
  <c r="B1538" i="3"/>
  <c r="A1531" i="3"/>
  <c r="A1522" i="3"/>
  <c r="B1514" i="3"/>
  <c r="A1507" i="3"/>
  <c r="A1498" i="3"/>
  <c r="B1490" i="3"/>
  <c r="A1483" i="3"/>
  <c r="A1474" i="3"/>
  <c r="B1466" i="3"/>
  <c r="A1459" i="3"/>
  <c r="A1450" i="3"/>
  <c r="B1442" i="3"/>
  <c r="A1435" i="3"/>
  <c r="A1426" i="3"/>
  <c r="B1418" i="3"/>
  <c r="A1411" i="3"/>
  <c r="A1402" i="3"/>
  <c r="B1394" i="3"/>
  <c r="A1387" i="3"/>
  <c r="A1378" i="3"/>
  <c r="B1370" i="3"/>
  <c r="A1363" i="3"/>
  <c r="A1354" i="3"/>
  <c r="B1346" i="3"/>
  <c r="A1339" i="3"/>
  <c r="A1330" i="3"/>
  <c r="B1322" i="3"/>
  <c r="A1315" i="3"/>
  <c r="A1306" i="3"/>
  <c r="B1298" i="3"/>
  <c r="A1291" i="3"/>
  <c r="A1284" i="3"/>
  <c r="A1276" i="3"/>
  <c r="A1269" i="3"/>
  <c r="B1262" i="3"/>
  <c r="A1256" i="3"/>
  <c r="B1249" i="3"/>
  <c r="A1243" i="3"/>
  <c r="B1236" i="3"/>
  <c r="A1230" i="3"/>
  <c r="A1223" i="3"/>
  <c r="A1217" i="3"/>
  <c r="A1211" i="3"/>
  <c r="A1205" i="3"/>
  <c r="A1199" i="3"/>
  <c r="A1193" i="3"/>
  <c r="A1187" i="3"/>
  <c r="A1181" i="3"/>
  <c r="A1175" i="3"/>
  <c r="A1169" i="3"/>
  <c r="A1163" i="3"/>
  <c r="A1157" i="3"/>
  <c r="A1151" i="3"/>
  <c r="A1145" i="3"/>
  <c r="A1139" i="3"/>
  <c r="A1133" i="3"/>
  <c r="A1127" i="3"/>
  <c r="A1121" i="3"/>
  <c r="A1115" i="3"/>
  <c r="A1109" i="3"/>
  <c r="A1103" i="3"/>
  <c r="A1097" i="3"/>
  <c r="A1091" i="3"/>
  <c r="A1085" i="3"/>
  <c r="A1079" i="3"/>
  <c r="A1073" i="3"/>
  <c r="A1067" i="3"/>
  <c r="A1061" i="3"/>
  <c r="A1055" i="3"/>
  <c r="A1049" i="3"/>
  <c r="A1043" i="3"/>
  <c r="A1037" i="3"/>
  <c r="A1031" i="3"/>
  <c r="A1025" i="3"/>
  <c r="A1019" i="3"/>
  <c r="A1013" i="3"/>
  <c r="A1007" i="3"/>
  <c r="A1001" i="3"/>
  <c r="A995" i="3"/>
  <c r="A989" i="3"/>
  <c r="A983" i="3"/>
  <c r="A977" i="3"/>
  <c r="A971" i="3"/>
  <c r="A965" i="3"/>
  <c r="A959" i="3"/>
  <c r="A953" i="3"/>
  <c r="A947" i="3"/>
  <c r="A941" i="3"/>
  <c r="A935" i="3"/>
  <c r="A929" i="3"/>
  <c r="A923" i="3"/>
  <c r="A917" i="3"/>
  <c r="A911" i="3"/>
  <c r="A905" i="3"/>
  <c r="A899" i="3"/>
  <c r="A893" i="3"/>
  <c r="A887" i="3"/>
  <c r="A881" i="3"/>
  <c r="A875" i="3"/>
  <c r="A869" i="3"/>
  <c r="A863" i="3"/>
  <c r="A857" i="3"/>
  <c r="A851" i="3"/>
  <c r="A845" i="3"/>
  <c r="A839" i="3"/>
  <c r="A833" i="3"/>
  <c r="A827" i="3"/>
  <c r="A821" i="3"/>
  <c r="A815" i="3"/>
  <c r="A809" i="3"/>
  <c r="A803" i="3"/>
  <c r="A797" i="3"/>
  <c r="A791" i="3"/>
  <c r="A785" i="3"/>
  <c r="A779" i="3"/>
  <c r="A773" i="3"/>
  <c r="A767" i="3"/>
  <c r="A761" i="3"/>
  <c r="A755" i="3"/>
  <c r="A749" i="3"/>
  <c r="A743" i="3"/>
  <c r="A737" i="3"/>
  <c r="A731" i="3"/>
  <c r="A725" i="3"/>
  <c r="A719" i="3"/>
  <c r="A713" i="3"/>
  <c r="A707" i="3"/>
  <c r="A701" i="3"/>
  <c r="A695" i="3"/>
  <c r="A689" i="3"/>
  <c r="A683" i="3"/>
  <c r="A677" i="3"/>
  <c r="A671" i="3"/>
  <c r="A665" i="3"/>
  <c r="A659" i="3"/>
  <c r="A653" i="3"/>
  <c r="A647" i="3"/>
  <c r="A641" i="3"/>
  <c r="A635" i="3"/>
  <c r="A629" i="3"/>
  <c r="A623" i="3"/>
  <c r="A617" i="3"/>
  <c r="A611" i="3"/>
  <c r="A605" i="3"/>
  <c r="A599" i="3"/>
  <c r="A593" i="3"/>
  <c r="A587" i="3"/>
  <c r="A581" i="3"/>
  <c r="A575" i="3"/>
  <c r="A569" i="3"/>
  <c r="A563" i="3"/>
  <c r="A557" i="3"/>
  <c r="A551" i="3"/>
  <c r="A545" i="3"/>
  <c r="A539" i="3"/>
  <c r="A533" i="3"/>
  <c r="A527" i="3"/>
  <c r="A521" i="3"/>
  <c r="A515" i="3"/>
  <c r="A509" i="3"/>
  <c r="A503" i="3"/>
  <c r="A497" i="3"/>
  <c r="A491" i="3"/>
  <c r="A485" i="3"/>
  <c r="A479" i="3"/>
  <c r="A473" i="3"/>
  <c r="A467" i="3"/>
  <c r="A461" i="3"/>
  <c r="A455" i="3"/>
  <c r="A449" i="3"/>
  <c r="A443" i="3"/>
  <c r="A437" i="3"/>
  <c r="A431" i="3"/>
  <c r="A425" i="3"/>
  <c r="A419" i="3"/>
  <c r="A413" i="3"/>
  <c r="A407" i="3"/>
  <c r="A401" i="3"/>
  <c r="A395" i="3"/>
  <c r="A389" i="3"/>
  <c r="A383" i="3"/>
  <c r="A377" i="3"/>
  <c r="A371" i="3"/>
  <c r="A365" i="3"/>
  <c r="A359" i="3"/>
  <c r="A353" i="3"/>
  <c r="A347" i="3"/>
  <c r="A341" i="3"/>
  <c r="A335" i="3"/>
  <c r="A329" i="3"/>
  <c r="A323" i="3"/>
  <c r="A317" i="3"/>
  <c r="A311" i="3"/>
  <c r="A305" i="3"/>
  <c r="A299" i="3"/>
  <c r="A293" i="3"/>
  <c r="A287" i="3"/>
  <c r="A281" i="3"/>
  <c r="A275" i="3"/>
  <c r="A1776" i="5"/>
  <c r="B876" i="5"/>
  <c r="A629" i="5"/>
  <c r="B378" i="5"/>
  <c r="A150" i="5"/>
  <c r="B11" i="5"/>
  <c r="A4355" i="4"/>
  <c r="A4260" i="4"/>
  <c r="A4163" i="4"/>
  <c r="A4090" i="4"/>
  <c r="B3983" i="4"/>
  <c r="A3880" i="4"/>
  <c r="B3807" i="4"/>
  <c r="B3707" i="4"/>
  <c r="B3615" i="4"/>
  <c r="A3521" i="4"/>
  <c r="B3454" i="4"/>
  <c r="A3360" i="4"/>
  <c r="B3284" i="4"/>
  <c r="A3228" i="4"/>
  <c r="A3155" i="4"/>
  <c r="A3091" i="4"/>
  <c r="A3026" i="4"/>
  <c r="B2976" i="4"/>
  <c r="A2914" i="4"/>
  <c r="A2851" i="4"/>
  <c r="A2808" i="4"/>
  <c r="A2754" i="4"/>
  <c r="A2703" i="4"/>
  <c r="B2650" i="4"/>
  <c r="A2613" i="4"/>
  <c r="A2559" i="4"/>
  <c r="B2508" i="4"/>
  <c r="A2471" i="4"/>
  <c r="A2422" i="4"/>
  <c r="A2375" i="4"/>
  <c r="A2326" i="4"/>
  <c r="A2289" i="4"/>
  <c r="B2236" i="4"/>
  <c r="B2184" i="4"/>
  <c r="A2148" i="4"/>
  <c r="B2098" i="4"/>
  <c r="A2056" i="4"/>
  <c r="B2010" i="4"/>
  <c r="B1977" i="4"/>
  <c r="A1929" i="4"/>
  <c r="B1883" i="4"/>
  <c r="A1849" i="4"/>
  <c r="A1805" i="4"/>
  <c r="A1763" i="4"/>
  <c r="A1719" i="4"/>
  <c r="B1685" i="4"/>
  <c r="B1644" i="4"/>
  <c r="B1602" i="4"/>
  <c r="B1572" i="4"/>
  <c r="A1533" i="4"/>
  <c r="A1495" i="4"/>
  <c r="A1453" i="4"/>
  <c r="B1426" i="4"/>
  <c r="B1385" i="4"/>
  <c r="B1343" i="4"/>
  <c r="B1313" i="4"/>
  <c r="A1273" i="4"/>
  <c r="A1236" i="4"/>
  <c r="A1194" i="4"/>
  <c r="B1167" i="4"/>
  <c r="B1126" i="4"/>
  <c r="B1084" i="4"/>
  <c r="B1054" i="4"/>
  <c r="B1016" i="4"/>
  <c r="B985" i="4"/>
  <c r="B950" i="4"/>
  <c r="A932" i="4"/>
  <c r="A905" i="4"/>
  <c r="A877" i="4"/>
  <c r="A857" i="4"/>
  <c r="B830" i="4"/>
  <c r="B805" i="4"/>
  <c r="B778" i="4"/>
  <c r="A760" i="4"/>
  <c r="A732" i="4"/>
  <c r="A704" i="4"/>
  <c r="A684" i="4"/>
  <c r="B658" i="4"/>
  <c r="B632" i="4"/>
  <c r="B605" i="4"/>
  <c r="A587" i="4"/>
  <c r="A559" i="4"/>
  <c r="A532" i="4"/>
  <c r="A511" i="4"/>
  <c r="B485" i="4"/>
  <c r="B461" i="4"/>
  <c r="B436" i="4"/>
  <c r="B419" i="4"/>
  <c r="A396" i="4"/>
  <c r="A377" i="4"/>
  <c r="A362" i="4"/>
  <c r="A343" i="4"/>
  <c r="A324" i="4"/>
  <c r="A306" i="4"/>
  <c r="B292" i="4"/>
  <c r="B278" i="4"/>
  <c r="A267" i="4"/>
  <c r="B252" i="4"/>
  <c r="B242" i="4"/>
  <c r="B229" i="4"/>
  <c r="A219" i="4"/>
  <c r="B206" i="4"/>
  <c r="B196" i="4"/>
  <c r="B184" i="4"/>
  <c r="B174" i="4"/>
  <c r="B162" i="4"/>
  <c r="B153" i="4"/>
  <c r="B141" i="4"/>
  <c r="B131" i="4"/>
  <c r="B119" i="4"/>
  <c r="B110" i="4"/>
  <c r="B98" i="4"/>
  <c r="B88" i="4"/>
  <c r="B76" i="4"/>
  <c r="B66" i="4"/>
  <c r="B54" i="4"/>
  <c r="B45" i="4"/>
  <c r="B33" i="4"/>
  <c r="B23" i="4"/>
  <c r="B11" i="4"/>
  <c r="B2" i="4"/>
  <c r="B3060" i="3"/>
  <c r="A3051" i="3"/>
  <c r="B3042" i="3"/>
  <c r="B3032" i="3"/>
  <c r="B3024" i="3"/>
  <c r="B3016" i="3"/>
  <c r="B3006" i="3"/>
  <c r="B2998" i="3"/>
  <c r="A2990" i="3"/>
  <c r="B2980" i="3"/>
  <c r="A2972" i="3"/>
  <c r="A2964" i="3"/>
  <c r="A2954" i="3"/>
  <c r="A2946" i="3"/>
  <c r="B2937" i="3"/>
  <c r="A2928" i="3"/>
  <c r="B2919" i="3"/>
  <c r="B2911" i="3"/>
  <c r="B2901" i="3"/>
  <c r="B2893" i="3"/>
  <c r="B2885" i="3"/>
  <c r="B2875" i="3"/>
  <c r="B2867" i="3"/>
  <c r="A2859" i="3"/>
  <c r="B2849" i="3"/>
  <c r="A2841" i="3"/>
  <c r="A2833" i="3"/>
  <c r="A2823" i="3"/>
  <c r="A2815" i="3"/>
  <c r="A2807" i="3"/>
  <c r="A2797" i="3"/>
  <c r="A2789" i="3"/>
  <c r="B2780" i="3"/>
  <c r="A2771" i="3"/>
  <c r="B2762" i="3"/>
  <c r="B2754" i="3"/>
  <c r="B2744" i="3"/>
  <c r="B2736" i="3"/>
  <c r="B2728" i="3"/>
  <c r="B2718" i="3"/>
  <c r="B2710" i="3"/>
  <c r="A2702" i="3"/>
  <c r="B2692" i="3"/>
  <c r="A2684" i="3"/>
  <c r="A2676" i="3"/>
  <c r="A2666" i="3"/>
  <c r="A2658" i="3"/>
  <c r="B2649" i="3"/>
  <c r="A2640" i="3"/>
  <c r="B2631" i="3"/>
  <c r="B2623" i="3"/>
  <c r="B2613" i="3"/>
  <c r="B2605" i="3"/>
  <c r="B2597" i="3"/>
  <c r="B2587" i="3"/>
  <c r="B2579" i="3"/>
  <c r="A2571" i="3"/>
  <c r="B2561" i="3"/>
  <c r="A2553" i="3"/>
  <c r="A2545" i="3"/>
  <c r="A2535" i="3"/>
  <c r="A2527" i="3"/>
  <c r="A2519" i="3"/>
  <c r="A2509" i="3"/>
  <c r="A2501" i="3"/>
  <c r="B2492" i="3"/>
  <c r="A2483" i="3"/>
  <c r="B2474" i="3"/>
  <c r="B2466" i="3"/>
  <c r="B2457" i="3"/>
  <c r="A2450" i="3"/>
  <c r="B2442" i="3"/>
  <c r="B2433" i="3"/>
  <c r="A2426" i="3"/>
  <c r="B2418" i="3"/>
  <c r="B2409" i="3"/>
  <c r="A2402" i="3"/>
  <c r="B2394" i="3"/>
  <c r="B2385" i="3"/>
  <c r="A2378" i="3"/>
  <c r="B2370" i="3"/>
  <c r="B2361" i="3"/>
  <c r="A2354" i="3"/>
  <c r="B2346" i="3"/>
  <c r="B2337" i="3"/>
  <c r="A2330" i="3"/>
  <c r="B2322" i="3"/>
  <c r="B2313" i="3"/>
  <c r="A2306" i="3"/>
  <c r="B2298" i="3"/>
  <c r="B2289" i="3"/>
  <c r="A2282" i="3"/>
  <c r="B2274" i="3"/>
  <c r="B2265" i="3"/>
  <c r="A2258" i="3"/>
  <c r="B2250" i="3"/>
  <c r="B2241" i="3"/>
  <c r="A2234" i="3"/>
  <c r="B2226" i="3"/>
  <c r="B2217" i="3"/>
  <c r="A2210" i="3"/>
  <c r="B2202" i="3"/>
  <c r="B2193" i="3"/>
  <c r="A2186" i="3"/>
  <c r="B2178" i="3"/>
  <c r="B2169" i="3"/>
  <c r="A2162" i="3"/>
  <c r="B2154" i="3"/>
  <c r="B2145" i="3"/>
  <c r="A2138" i="3"/>
  <c r="B2130" i="3"/>
  <c r="B2121" i="3"/>
  <c r="A2114" i="3"/>
  <c r="B2106" i="3"/>
  <c r="B2097" i="3"/>
  <c r="A2090" i="3"/>
  <c r="B2082" i="3"/>
  <c r="B2073" i="3"/>
  <c r="A2066" i="3"/>
  <c r="B2058" i="3"/>
  <c r="B2049" i="3"/>
  <c r="A2042" i="3"/>
  <c r="B2034" i="3"/>
  <c r="B2025" i="3"/>
  <c r="A2018" i="3"/>
  <c r="B2010" i="3"/>
  <c r="B2001" i="3"/>
  <c r="A1994" i="3"/>
  <c r="B1986" i="3"/>
  <c r="B1977" i="3"/>
  <c r="A1970" i="3"/>
  <c r="B1962" i="3"/>
  <c r="B1953" i="3"/>
  <c r="A1946" i="3"/>
  <c r="B1938" i="3"/>
  <c r="B1929" i="3"/>
  <c r="A1922" i="3"/>
  <c r="B1914" i="3"/>
  <c r="B1905" i="3"/>
  <c r="A1898" i="3"/>
  <c r="B1890" i="3"/>
  <c r="B1881" i="3"/>
  <c r="A1874" i="3"/>
  <c r="B1866" i="3"/>
  <c r="B1857" i="3"/>
  <c r="A1850" i="3"/>
  <c r="B1842" i="3"/>
  <c r="B1833" i="3"/>
  <c r="A1826" i="3"/>
  <c r="B1818" i="3"/>
  <c r="B1809" i="3"/>
  <c r="A1802" i="3"/>
  <c r="B1794" i="3"/>
  <c r="B1785" i="3"/>
  <c r="A1778" i="3"/>
  <c r="B1770" i="3"/>
  <c r="B1761" i="3"/>
  <c r="A1754" i="3"/>
  <c r="B1746" i="3"/>
  <c r="B1737" i="3"/>
  <c r="A1730" i="3"/>
  <c r="B1722" i="3"/>
  <c r="B1713" i="3"/>
  <c r="A1706" i="3"/>
  <c r="B1698" i="3"/>
  <c r="B1689" i="3"/>
  <c r="A1682" i="3"/>
  <c r="B1674" i="3"/>
  <c r="B1665" i="3"/>
  <c r="A1658" i="3"/>
  <c r="B1650" i="3"/>
  <c r="B1641" i="3"/>
  <c r="A1634" i="3"/>
  <c r="B1626" i="3"/>
  <c r="B1617" i="3"/>
  <c r="A1610" i="3"/>
  <c r="B1602" i="3"/>
  <c r="B1593" i="3"/>
  <c r="A1586" i="3"/>
  <c r="B1578" i="3"/>
  <c r="B1569" i="3"/>
  <c r="A1562" i="3"/>
  <c r="B1554" i="3"/>
  <c r="B1545" i="3"/>
  <c r="A1538" i="3"/>
  <c r="B1530" i="3"/>
  <c r="B1521" i="3"/>
  <c r="A1514" i="3"/>
  <c r="B1506" i="3"/>
  <c r="B1497" i="3"/>
  <c r="A1490" i="3"/>
  <c r="B1482" i="3"/>
  <c r="B1473" i="3"/>
  <c r="A1466" i="3"/>
  <c r="B1458" i="3"/>
  <c r="B1449" i="3"/>
  <c r="A1442" i="3"/>
  <c r="B1434" i="3"/>
  <c r="B1425" i="3"/>
  <c r="A1418" i="3"/>
  <c r="B1410" i="3"/>
  <c r="B1401" i="3"/>
  <c r="A1394" i="3"/>
  <c r="B1386" i="3"/>
  <c r="B1377" i="3"/>
  <c r="A1370" i="3"/>
  <c r="B1362" i="3"/>
  <c r="B1353" i="3"/>
  <c r="A1346" i="3"/>
  <c r="B1338" i="3"/>
  <c r="B1329" i="3"/>
  <c r="A1322" i="3"/>
  <c r="B1314" i="3"/>
  <c r="B1305" i="3"/>
  <c r="A1298" i="3"/>
  <c r="B1290" i="3"/>
  <c r="B1282" i="3"/>
  <c r="B1275" i="3"/>
  <c r="B1268" i="3"/>
  <c r="A1262" i="3"/>
  <c r="B1255" i="3"/>
  <c r="A1249" i="3"/>
  <c r="B1242" i="3"/>
  <c r="A1236" i="3"/>
  <c r="A1229" i="3"/>
  <c r="B1222" i="3"/>
  <c r="B1216" i="3"/>
  <c r="B1210" i="3"/>
  <c r="B1204" i="3"/>
  <c r="B1198" i="3"/>
  <c r="B1192" i="3"/>
  <c r="B1186" i="3"/>
  <c r="B1180" i="3"/>
  <c r="B1174" i="3"/>
  <c r="B1168" i="3"/>
  <c r="B1162" i="3"/>
  <c r="B1156" i="3"/>
  <c r="B1150" i="3"/>
  <c r="B1144" i="3"/>
  <c r="B1138" i="3"/>
  <c r="B1132" i="3"/>
  <c r="B1126" i="3"/>
  <c r="B1120" i="3"/>
  <c r="B1114" i="3"/>
  <c r="B1108" i="3"/>
  <c r="B1102" i="3"/>
  <c r="B1096" i="3"/>
  <c r="B1090" i="3"/>
  <c r="B1084" i="3"/>
  <c r="B1078" i="3"/>
  <c r="B1072" i="3"/>
  <c r="B1066" i="3"/>
  <c r="B1060" i="3"/>
  <c r="B1054" i="3"/>
  <c r="B1048" i="3"/>
  <c r="B1042" i="3"/>
  <c r="B1036" i="3"/>
  <c r="B1030" i="3"/>
  <c r="B1024" i="3"/>
  <c r="B1018" i="3"/>
  <c r="B1012" i="3"/>
  <c r="B1006" i="3"/>
  <c r="B1000" i="3"/>
  <c r="B994" i="3"/>
  <c r="B988" i="3"/>
  <c r="B982" i="3"/>
  <c r="B976" i="3"/>
  <c r="B970" i="3"/>
  <c r="B964" i="3"/>
  <c r="B958" i="3"/>
  <c r="B952" i="3"/>
  <c r="B946" i="3"/>
  <c r="B940" i="3"/>
  <c r="B934" i="3"/>
  <c r="B928" i="3"/>
  <c r="B922" i="3"/>
  <c r="B916" i="3"/>
  <c r="B910" i="3"/>
  <c r="B904" i="3"/>
  <c r="B898" i="3"/>
  <c r="B892" i="3"/>
  <c r="B886" i="3"/>
  <c r="B880" i="3"/>
  <c r="B874" i="3"/>
  <c r="B868" i="3"/>
  <c r="B862" i="3"/>
  <c r="B856" i="3"/>
  <c r="B850" i="3"/>
  <c r="B844" i="3"/>
  <c r="B838" i="3"/>
  <c r="B832" i="3"/>
  <c r="B826" i="3"/>
  <c r="B820" i="3"/>
  <c r="B814" i="3"/>
  <c r="B808" i="3"/>
  <c r="B802" i="3"/>
  <c r="B796" i="3"/>
  <c r="B790" i="3"/>
  <c r="B784" i="3"/>
  <c r="B778" i="3"/>
  <c r="B772" i="3"/>
  <c r="B766" i="3"/>
  <c r="B760" i="3"/>
  <c r="B754" i="3"/>
  <c r="B748" i="3"/>
  <c r="B742" i="3"/>
  <c r="B736" i="3"/>
  <c r="B730" i="3"/>
  <c r="B724" i="3"/>
  <c r="B718" i="3"/>
  <c r="B712" i="3"/>
  <c r="B706" i="3"/>
  <c r="B700" i="3"/>
  <c r="B694" i="3"/>
  <c r="B688" i="3"/>
  <c r="B682" i="3"/>
  <c r="B676" i="3"/>
  <c r="B670" i="3"/>
  <c r="B664" i="3"/>
  <c r="B658" i="3"/>
  <c r="B652" i="3"/>
  <c r="B646" i="3"/>
  <c r="B640" i="3"/>
  <c r="B634" i="3"/>
  <c r="B628" i="3"/>
  <c r="B622" i="3"/>
  <c r="B616" i="3"/>
  <c r="B610" i="3"/>
  <c r="B604" i="3"/>
  <c r="B598" i="3"/>
  <c r="B592" i="3"/>
  <c r="B586" i="3"/>
  <c r="B580" i="3"/>
  <c r="B574" i="3"/>
  <c r="B568" i="3"/>
  <c r="B562" i="3"/>
  <c r="B556" i="3"/>
  <c r="B550" i="3"/>
  <c r="B544" i="3"/>
  <c r="B538" i="3"/>
  <c r="B532" i="3"/>
  <c r="B526" i="3"/>
  <c r="B520" i="3"/>
  <c r="B514" i="3"/>
  <c r="B508" i="3"/>
  <c r="B502" i="3"/>
  <c r="B496" i="3"/>
  <c r="B490" i="3"/>
  <c r="B484" i="3"/>
  <c r="B478" i="3"/>
  <c r="B472" i="3"/>
  <c r="B466" i="3"/>
  <c r="B460" i="3"/>
  <c r="B454" i="3"/>
  <c r="B448" i="3"/>
  <c r="B442" i="3"/>
  <c r="B436" i="3"/>
  <c r="B430" i="3"/>
  <c r="B424" i="3"/>
  <c r="B418" i="3"/>
  <c r="B412" i="3"/>
  <c r="B406" i="3"/>
  <c r="B400" i="3"/>
  <c r="B394" i="3"/>
  <c r="B388" i="3"/>
  <c r="B382" i="3"/>
  <c r="B376" i="3"/>
  <c r="B370" i="3"/>
  <c r="B364" i="3"/>
  <c r="B358" i="3"/>
  <c r="B352" i="3"/>
  <c r="B346" i="3"/>
  <c r="B340" i="3"/>
  <c r="B334" i="3"/>
  <c r="B328" i="3"/>
  <c r="B322" i="3"/>
  <c r="B316" i="3"/>
  <c r="B310" i="3"/>
  <c r="B304" i="3"/>
  <c r="B298" i="3"/>
  <c r="B292" i="3"/>
  <c r="B286" i="3"/>
  <c r="B280" i="3"/>
  <c r="B274" i="3"/>
  <c r="B268" i="3"/>
  <c r="B262" i="3"/>
  <c r="B256" i="3"/>
  <c r="B250" i="3"/>
  <c r="B244" i="3"/>
  <c r="B238" i="3"/>
  <c r="B232" i="3"/>
  <c r="B226" i="3"/>
  <c r="B220" i="3"/>
  <c r="B214" i="3"/>
  <c r="B208" i="3"/>
  <c r="B202" i="3"/>
  <c r="B196" i="3"/>
  <c r="B190" i="3"/>
  <c r="B184" i="3"/>
  <c r="B178" i="3"/>
  <c r="B172" i="3"/>
  <c r="B166" i="3"/>
  <c r="B160" i="3"/>
  <c r="B154" i="3"/>
  <c r="B148" i="3"/>
  <c r="B142" i="3"/>
  <c r="B136" i="3"/>
  <c r="B130" i="3"/>
  <c r="B124" i="3"/>
  <c r="B118" i="3"/>
  <c r="B112" i="3"/>
  <c r="B106" i="3"/>
  <c r="B100" i="3"/>
  <c r="B94" i="3"/>
  <c r="B88" i="3"/>
  <c r="B82" i="3"/>
  <c r="B76" i="3"/>
  <c r="B70" i="3"/>
  <c r="B64" i="3"/>
  <c r="B58" i="3"/>
  <c r="B52" i="3"/>
  <c r="B46" i="3"/>
  <c r="B40" i="3"/>
  <c r="B34" i="3"/>
  <c r="B28" i="3"/>
  <c r="B22" i="3"/>
  <c r="B16" i="3"/>
  <c r="B10" i="3"/>
  <c r="B4" i="3"/>
  <c r="B4448" i="2"/>
  <c r="B4442" i="2"/>
  <c r="B4436" i="2"/>
  <c r="B4430" i="2"/>
  <c r="B4424" i="2"/>
  <c r="B4418" i="2"/>
  <c r="B4412" i="2"/>
  <c r="B4406" i="2"/>
  <c r="B4400" i="2"/>
  <c r="B4394" i="2"/>
  <c r="B4388" i="2"/>
  <c r="B4382" i="2"/>
  <c r="B4376" i="2"/>
  <c r="B4370" i="2"/>
  <c r="B4364" i="2"/>
  <c r="B4358" i="2"/>
  <c r="B4352" i="2"/>
  <c r="B4346" i="2"/>
  <c r="B4340" i="2"/>
  <c r="B4334" i="2"/>
  <c r="B4328" i="2"/>
  <c r="B4322" i="2"/>
  <c r="B4316" i="2"/>
  <c r="B4310" i="2"/>
  <c r="B4304" i="2"/>
  <c r="B4298" i="2"/>
  <c r="B4292" i="2"/>
  <c r="B4286" i="2"/>
  <c r="B4280" i="2"/>
  <c r="B4274" i="2"/>
  <c r="B4268" i="2"/>
  <c r="B4262" i="2"/>
  <c r="B4256" i="2"/>
  <c r="B4250" i="2"/>
  <c r="B4244" i="2"/>
  <c r="B4238" i="2"/>
  <c r="B4232" i="2"/>
  <c r="B4226" i="2"/>
  <c r="B4220" i="2"/>
  <c r="B4214" i="2"/>
  <c r="B4208" i="2"/>
  <c r="B4202" i="2"/>
  <c r="B4196" i="2"/>
  <c r="B4190" i="2"/>
  <c r="B4184" i="2"/>
  <c r="B4178" i="2"/>
  <c r="B4172" i="2"/>
  <c r="B4166" i="2"/>
  <c r="B4160" i="2"/>
  <c r="B4154" i="2"/>
  <c r="B4148" i="2"/>
  <c r="B4142" i="2"/>
  <c r="B4136" i="2"/>
  <c r="B4130" i="2"/>
  <c r="B4124" i="2"/>
  <c r="B4118" i="2"/>
  <c r="B4112" i="2"/>
  <c r="B4106" i="2"/>
  <c r="B4100" i="2"/>
  <c r="B4094" i="2"/>
  <c r="B4088" i="2"/>
  <c r="B4082" i="2"/>
  <c r="B4076" i="2"/>
  <c r="B4070" i="2"/>
  <c r="B4064" i="2"/>
  <c r="B4058" i="2"/>
  <c r="B4052" i="2"/>
  <c r="B4046" i="2"/>
  <c r="B4040" i="2"/>
  <c r="B4034" i="2"/>
  <c r="B4028" i="2"/>
  <c r="B4022" i="2"/>
  <c r="B4016" i="2"/>
  <c r="B4010" i="2"/>
  <c r="B4004" i="2"/>
  <c r="B3998" i="2"/>
  <c r="B3992" i="2"/>
  <c r="B3986" i="2"/>
  <c r="B3980" i="2"/>
  <c r="B3974" i="2"/>
  <c r="B3968" i="2"/>
  <c r="B3962" i="2"/>
  <c r="B3956" i="2"/>
  <c r="B3950" i="2"/>
  <c r="B3944" i="2"/>
  <c r="B3938" i="2"/>
  <c r="B3932" i="2"/>
  <c r="B3926" i="2"/>
  <c r="B3920" i="2"/>
  <c r="B3914" i="2"/>
  <c r="B3908" i="2"/>
  <c r="B3902" i="2"/>
  <c r="B3896" i="2"/>
  <c r="B3890" i="2"/>
  <c r="B3884" i="2"/>
  <c r="B3878" i="2"/>
  <c r="B3872" i="2"/>
  <c r="B3866" i="2"/>
  <c r="B3860" i="2"/>
  <c r="B3854" i="2"/>
  <c r="B3848" i="2"/>
  <c r="B3842" i="2"/>
  <c r="B3836" i="2"/>
  <c r="B3830" i="2"/>
  <c r="B3824" i="2"/>
  <c r="B3818" i="2"/>
  <c r="B3812" i="2"/>
  <c r="B3806" i="2"/>
  <c r="B3800" i="2"/>
  <c r="B3794" i="2"/>
  <c r="B3788" i="2"/>
  <c r="B3782" i="2"/>
  <c r="B3776" i="2"/>
  <c r="B3770" i="2"/>
  <c r="B3764" i="2"/>
  <c r="B3758" i="2"/>
  <c r="B3752" i="2"/>
  <c r="B3746" i="2"/>
  <c r="B3740" i="2"/>
  <c r="B3734" i="2"/>
  <c r="B3728" i="2"/>
  <c r="B3722" i="2"/>
  <c r="B3716" i="2"/>
  <c r="B3710" i="2"/>
  <c r="B3704" i="2"/>
  <c r="B3698" i="2"/>
  <c r="B3692" i="2"/>
  <c r="B3686" i="2"/>
  <c r="B3680" i="2"/>
  <c r="B3674" i="2"/>
  <c r="B3668" i="2"/>
  <c r="B3662" i="2"/>
  <c r="B3656" i="2"/>
  <c r="B3650" i="2"/>
  <c r="B3644" i="2"/>
  <c r="B3638" i="2"/>
  <c r="B3632" i="2"/>
  <c r="B3626" i="2"/>
  <c r="B3620" i="2"/>
  <c r="B3614" i="2"/>
  <c r="B3608" i="2"/>
  <c r="B3602" i="2"/>
  <c r="B3596" i="2"/>
  <c r="B3590" i="2"/>
  <c r="B3584" i="2"/>
  <c r="B3578" i="2"/>
  <c r="B3572" i="2"/>
  <c r="B3566" i="2"/>
  <c r="B3560" i="2"/>
  <c r="B3554" i="2"/>
  <c r="B3548" i="2"/>
  <c r="B3542" i="2"/>
  <c r="B3536" i="2"/>
  <c r="B3530" i="2"/>
  <c r="B3524" i="2"/>
  <c r="B3518" i="2"/>
  <c r="B3512" i="2"/>
  <c r="B3506" i="2"/>
  <c r="B3500" i="2"/>
  <c r="B3494" i="2"/>
  <c r="B3488" i="2"/>
  <c r="B3482" i="2"/>
  <c r="B3476" i="2"/>
  <c r="B3470" i="2"/>
  <c r="B3464" i="2"/>
  <c r="B3458" i="2"/>
  <c r="B3452" i="2"/>
  <c r="B3446" i="2"/>
  <c r="B3440" i="2"/>
  <c r="B3434" i="2"/>
  <c r="B3428" i="2"/>
  <c r="B3422" i="2"/>
  <c r="B3416" i="2"/>
  <c r="B3410" i="2"/>
  <c r="B3404" i="2"/>
  <c r="B3398" i="2"/>
  <c r="B3392" i="2"/>
  <c r="B3386" i="2"/>
  <c r="B3380" i="2"/>
  <c r="B3374" i="2"/>
  <c r="B3368" i="2"/>
  <c r="B3362" i="2"/>
  <c r="B3356" i="2"/>
  <c r="B3350" i="2"/>
  <c r="B3344" i="2"/>
  <c r="B3338" i="2"/>
  <c r="B3332" i="2"/>
  <c r="B3326" i="2"/>
  <c r="B3320" i="2"/>
  <c r="B3314" i="2"/>
  <c r="B3308" i="2"/>
  <c r="B3302" i="2"/>
  <c r="B3296" i="2"/>
  <c r="B3290" i="2"/>
  <c r="B3284" i="2"/>
  <c r="B3278" i="2"/>
  <c r="B3272" i="2"/>
  <c r="B3266" i="2"/>
  <c r="B3260" i="2"/>
  <c r="B3254" i="2"/>
  <c r="B3248" i="2"/>
  <c r="B3242" i="2"/>
  <c r="B3236" i="2"/>
  <c r="B3230" i="2"/>
  <c r="B3224" i="2"/>
  <c r="B3218" i="2"/>
  <c r="B3212" i="2"/>
  <c r="B3206" i="2"/>
  <c r="B3200" i="2"/>
  <c r="B3194" i="2"/>
  <c r="B3188" i="2"/>
  <c r="B3182" i="2"/>
  <c r="B3176" i="2"/>
  <c r="B3170" i="2"/>
  <c r="B3164" i="2"/>
  <c r="B3158" i="2"/>
  <c r="B3152" i="2"/>
  <c r="B3146" i="2"/>
  <c r="B3140" i="2"/>
  <c r="B3134" i="2"/>
  <c r="B3128" i="2"/>
  <c r="B3122" i="2"/>
  <c r="B3116" i="2"/>
  <c r="B3110" i="2"/>
  <c r="B3104" i="2"/>
  <c r="B3098" i="2"/>
  <c r="B3092" i="2"/>
  <c r="B3086" i="2"/>
  <c r="B3080" i="2"/>
  <c r="B3074" i="2"/>
  <c r="B3068" i="2"/>
  <c r="B3062" i="2"/>
  <c r="B3056" i="2"/>
  <c r="B3050" i="2"/>
  <c r="B3044" i="2"/>
  <c r="B3038" i="2"/>
  <c r="B3032" i="2"/>
  <c r="B3026" i="2"/>
  <c r="B3020" i="2"/>
  <c r="B3014" i="2"/>
  <c r="B3008" i="2"/>
  <c r="B3002" i="2"/>
  <c r="B2996" i="2"/>
  <c r="B2990" i="2"/>
  <c r="B2984" i="2"/>
  <c r="B2978" i="2"/>
  <c r="B2972" i="2"/>
  <c r="B2966" i="2"/>
  <c r="B2960" i="2"/>
  <c r="B2954" i="2"/>
  <c r="B2948" i="2"/>
  <c r="B2942" i="2"/>
  <c r="B2936" i="2"/>
  <c r="B2930" i="2"/>
  <c r="B2924" i="2"/>
  <c r="B2918" i="2"/>
  <c r="B2912" i="2"/>
  <c r="B2906" i="2"/>
  <c r="B2900" i="2"/>
  <c r="B2894" i="2"/>
  <c r="B2888" i="2"/>
  <c r="B2882" i="2"/>
  <c r="B2876" i="2"/>
  <c r="B2870" i="2"/>
  <c r="B2864" i="2"/>
  <c r="B2858" i="2"/>
  <c r="B2852" i="2"/>
  <c r="B2846" i="2"/>
  <c r="B2840" i="2"/>
  <c r="B2834" i="2"/>
  <c r="B2828" i="2"/>
  <c r="B2822" i="2"/>
  <c r="B2816" i="2"/>
  <c r="B2810" i="2"/>
  <c r="B2804" i="2"/>
  <c r="B2798" i="2"/>
  <c r="B2792" i="2"/>
  <c r="B2786" i="2"/>
  <c r="B2780" i="2"/>
  <c r="B2774" i="2"/>
  <c r="B2768" i="2"/>
  <c r="B2762" i="2"/>
  <c r="B2756" i="2"/>
  <c r="B2750" i="2"/>
  <c r="B2744" i="2"/>
  <c r="B2738" i="2"/>
  <c r="B2732" i="2"/>
  <c r="B2726" i="2"/>
  <c r="B2720" i="2"/>
  <c r="B2714" i="2"/>
  <c r="B2708" i="2"/>
  <c r="B2702" i="2"/>
  <c r="B2696" i="2"/>
  <c r="B2690" i="2"/>
  <c r="B2684" i="2"/>
  <c r="B2678" i="2"/>
  <c r="B2672" i="2"/>
  <c r="B2666" i="2"/>
  <c r="B2660" i="2"/>
  <c r="B2654" i="2"/>
  <c r="B2648" i="2"/>
  <c r="B2642" i="2"/>
  <c r="B2636" i="2"/>
  <c r="B2630" i="2"/>
  <c r="B2624" i="2"/>
  <c r="B2618" i="2"/>
  <c r="B2612" i="2"/>
  <c r="B2606" i="2"/>
  <c r="B2600" i="2"/>
  <c r="B2594" i="2"/>
  <c r="B2588" i="2"/>
  <c r="B2582" i="2"/>
  <c r="A1532" i="5"/>
  <c r="A854" i="5"/>
  <c r="B628" i="5"/>
  <c r="A370" i="5"/>
  <c r="B144" i="5"/>
  <c r="B4432" i="4"/>
  <c r="A4354" i="4"/>
  <c r="B4243" i="4"/>
  <c r="A4162" i="4"/>
  <c r="A4084" i="4"/>
  <c r="A3978" i="4"/>
  <c r="A3876" i="4"/>
  <c r="A3779" i="4"/>
  <c r="A3706" i="4"/>
  <c r="B3599" i="4"/>
  <c r="B3519" i="4"/>
  <c r="A3450" i="4"/>
  <c r="A3358" i="4"/>
  <c r="A3284" i="4"/>
  <c r="B3209" i="4"/>
  <c r="A3154" i="4"/>
  <c r="B3080" i="4"/>
  <c r="B3024" i="4"/>
  <c r="A2974" i="4"/>
  <c r="A2910" i="4"/>
  <c r="B2849" i="4"/>
  <c r="B2792" i="4"/>
  <c r="B2752" i="4"/>
  <c r="A2695" i="4"/>
  <c r="A2649" i="4"/>
  <c r="B2611" i="4"/>
  <c r="A2557" i="4"/>
  <c r="A2508" i="4"/>
  <c r="B2458" i="4"/>
  <c r="A2421" i="4"/>
  <c r="A2367" i="4"/>
  <c r="A2325" i="4"/>
  <c r="B2286" i="4"/>
  <c r="B2233" i="4"/>
  <c r="A2183" i="4"/>
  <c r="A2134" i="4"/>
  <c r="A2097" i="4"/>
  <c r="A2049" i="4"/>
  <c r="B2009" i="4"/>
  <c r="A1977" i="4"/>
  <c r="A1927" i="4"/>
  <c r="A1883" i="4"/>
  <c r="B1837" i="4"/>
  <c r="B1804" i="4"/>
  <c r="A1756" i="4"/>
  <c r="B1717" i="4"/>
  <c r="A1684" i="4"/>
  <c r="B1643" i="4"/>
  <c r="A1602" i="4"/>
  <c r="A1560" i="4"/>
  <c r="A1530" i="4"/>
  <c r="B1491" i="4"/>
  <c r="B1452" i="4"/>
  <c r="A1425" i="4"/>
  <c r="B1384" i="4"/>
  <c r="A1343" i="4"/>
  <c r="A1301" i="4"/>
  <c r="A1271" i="4"/>
  <c r="B1231" i="4"/>
  <c r="B1193" i="4"/>
  <c r="A1165" i="4"/>
  <c r="B1125" i="4"/>
  <c r="A1084" i="4"/>
  <c r="A1042" i="4"/>
  <c r="B1014" i="4"/>
  <c r="A982" i="4"/>
  <c r="A950" i="4"/>
  <c r="B931" i="4"/>
  <c r="B904" i="4"/>
  <c r="B876" i="4"/>
  <c r="B848" i="4"/>
  <c r="B828" i="4"/>
  <c r="A803" i="4"/>
  <c r="A778" i="4"/>
  <c r="B758" i="4"/>
  <c r="B731" i="4"/>
  <c r="B703" i="4"/>
  <c r="B676" i="4"/>
  <c r="B655" i="4"/>
  <c r="A630" i="4"/>
  <c r="A605" i="4"/>
  <c r="B586" i="4"/>
  <c r="B558" i="4"/>
  <c r="B530" i="4"/>
  <c r="B503" i="4"/>
  <c r="B482" i="4"/>
  <c r="B458" i="4"/>
  <c r="A436" i="4"/>
  <c r="A419" i="4"/>
  <c r="B395" i="4"/>
  <c r="B376" i="4"/>
  <c r="B357" i="4"/>
  <c r="B342" i="4"/>
  <c r="B323" i="4"/>
  <c r="B305" i="4"/>
  <c r="A292" i="4"/>
  <c r="B276" i="4"/>
  <c r="B266" i="4"/>
  <c r="A252" i="4"/>
  <c r="B241" i="4"/>
  <c r="A228" i="4"/>
  <c r="B218" i="4"/>
  <c r="B205" i="4"/>
  <c r="A196" i="4"/>
  <c r="A184" i="4"/>
  <c r="A174" i="4"/>
  <c r="A162" i="4"/>
  <c r="A153" i="4"/>
  <c r="A141" i="4"/>
  <c r="A131" i="4"/>
  <c r="A119" i="4"/>
  <c r="B109" i="4"/>
  <c r="B97" i="4"/>
  <c r="A88" i="4"/>
  <c r="A76" i="4"/>
  <c r="A66" i="4"/>
  <c r="A54" i="4"/>
  <c r="A45" i="4"/>
  <c r="A33" i="4"/>
  <c r="A23" i="4"/>
  <c r="A11" i="4"/>
  <c r="B1" i="4"/>
  <c r="A3060" i="3"/>
  <c r="B3050" i="3"/>
  <c r="A3042" i="3"/>
  <c r="A3032" i="3"/>
  <c r="A3024" i="3"/>
  <c r="B3015" i="3"/>
  <c r="A3006" i="3"/>
  <c r="B2997" i="3"/>
  <c r="B2989" i="3"/>
  <c r="B2979" i="3"/>
  <c r="B2971" i="3"/>
  <c r="B2963" i="3"/>
  <c r="B2953" i="3"/>
  <c r="B2945" i="3"/>
  <c r="A2937" i="3"/>
  <c r="B2927" i="3"/>
  <c r="A2919" i="3"/>
  <c r="A2911" i="3"/>
  <c r="A2901" i="3"/>
  <c r="A2893" i="3"/>
  <c r="A2885" i="3"/>
  <c r="A2875" i="3"/>
  <c r="A2867" i="3"/>
  <c r="B2858" i="3"/>
  <c r="A2849" i="3"/>
  <c r="B2840" i="3"/>
  <c r="B1405" i="5"/>
  <c r="B843" i="5"/>
  <c r="B546" i="5"/>
  <c r="A358" i="5"/>
  <c r="A144" i="5"/>
  <c r="A4431" i="4"/>
  <c r="A4349" i="4"/>
  <c r="B4241" i="4"/>
  <c r="A4157" i="4"/>
  <c r="B4049" i="4"/>
  <c r="A3976" i="4"/>
  <c r="B3875" i="4"/>
  <c r="A3778" i="4"/>
  <c r="A3700" i="4"/>
  <c r="A3594" i="4"/>
  <c r="A3514" i="4"/>
  <c r="A3419" i="4"/>
  <c r="B3356" i="4"/>
  <c r="B3282" i="4"/>
  <c r="A3208" i="4"/>
  <c r="B3150" i="4"/>
  <c r="A3078" i="4"/>
  <c r="A3023" i="4"/>
  <c r="B2952" i="4"/>
  <c r="A2909" i="4"/>
  <c r="A2849" i="4"/>
  <c r="B2791" i="4"/>
  <c r="B2749" i="4"/>
  <c r="A2692" i="4"/>
  <c r="B2646" i="4"/>
  <c r="B2593" i="4"/>
  <c r="B2556" i="4"/>
  <c r="B2507" i="4"/>
  <c r="A2457" i="4"/>
  <c r="B2419" i="4"/>
  <c r="A2365" i="4"/>
  <c r="B2323" i="4"/>
  <c r="A2269" i="4"/>
  <c r="B2232" i="4"/>
  <c r="B2182" i="4"/>
  <c r="A2133" i="4"/>
  <c r="B2094" i="4"/>
  <c r="B2046" i="4"/>
  <c r="A2008" i="4"/>
  <c r="B1960" i="4"/>
  <c r="B1926" i="4"/>
  <c r="B1882" i="4"/>
  <c r="B1836" i="4"/>
  <c r="A1804" i="4"/>
  <c r="A1755" i="4"/>
  <c r="A1717" i="4"/>
  <c r="A1669" i="4"/>
  <c r="B1642" i="4"/>
  <c r="B1601" i="4"/>
  <c r="B1559" i="4"/>
  <c r="B1529" i="4"/>
  <c r="A1489" i="4"/>
  <c r="A1452" i="4"/>
  <c r="A1410" i="4"/>
  <c r="B1383" i="4"/>
  <c r="B1342" i="4"/>
  <c r="B1300" i="4"/>
  <c r="B1270" i="4"/>
  <c r="A1230" i="4"/>
  <c r="A1193" i="4"/>
  <c r="A1151" i="4"/>
  <c r="B1123" i="4"/>
  <c r="B1083" i="4"/>
  <c r="B1041" i="4"/>
  <c r="A1014" i="4"/>
  <c r="B980" i="4"/>
  <c r="B949" i="4"/>
  <c r="B922" i="4"/>
  <c r="A904" i="4"/>
  <c r="A876" i="4"/>
  <c r="A848" i="4"/>
  <c r="A828" i="4"/>
  <c r="B802" i="4"/>
  <c r="B776" i="4"/>
  <c r="B749" i="4"/>
  <c r="A731" i="4"/>
  <c r="A703" i="4"/>
  <c r="A676" i="4"/>
  <c r="A655" i="4"/>
  <c r="B629" i="4"/>
  <c r="B604" i="4"/>
  <c r="B576" i="4"/>
  <c r="A558" i="4"/>
  <c r="A530" i="4"/>
  <c r="A503" i="4"/>
  <c r="A482" i="4"/>
  <c r="A458" i="4"/>
  <c r="B435" i="4"/>
  <c r="B412" i="4"/>
  <c r="A395" i="4"/>
  <c r="A376" i="4"/>
  <c r="B356" i="4"/>
  <c r="A342" i="4"/>
  <c r="A323" i="4"/>
  <c r="B304" i="4"/>
  <c r="A288" i="4"/>
  <c r="A276" i="4"/>
  <c r="B262" i="4"/>
  <c r="B251" i="4"/>
  <c r="A239" i="4"/>
  <c r="B227" i="4"/>
  <c r="B215" i="4"/>
  <c r="B204" i="4"/>
  <c r="B193" i="4"/>
  <c r="B183" i="4"/>
  <c r="A172" i="4"/>
  <c r="B161" i="4"/>
  <c r="A150" i="4"/>
  <c r="B140" i="4"/>
  <c r="A129" i="4"/>
  <c r="B118" i="4"/>
  <c r="A107" i="4"/>
  <c r="B96" i="4"/>
  <c r="B85" i="4"/>
  <c r="B75" i="4"/>
  <c r="A64" i="4"/>
  <c r="B53" i="4"/>
  <c r="A42" i="4"/>
  <c r="B32" i="4"/>
  <c r="A21" i="4"/>
  <c r="B10" i="4"/>
  <c r="A3068" i="3"/>
  <c r="B3059" i="3"/>
  <c r="A3050" i="3"/>
  <c r="B3039" i="3"/>
  <c r="B3031" i="3"/>
  <c r="B3023" i="3"/>
  <c r="B3013" i="3"/>
  <c r="B3005" i="3"/>
  <c r="A2997" i="3"/>
  <c r="B2987" i="3"/>
  <c r="A2979" i="3"/>
  <c r="A2971" i="3"/>
  <c r="A2961" i="3"/>
  <c r="A2953" i="3"/>
  <c r="A2945" i="3"/>
  <c r="A2935" i="3"/>
  <c r="A2927" i="3"/>
  <c r="B2918" i="3"/>
  <c r="A2909" i="3"/>
  <c r="B2900" i="3"/>
  <c r="B2892" i="3"/>
  <c r="B2882" i="3"/>
  <c r="B2874" i="3"/>
  <c r="B2866" i="3"/>
  <c r="B2856" i="3"/>
  <c r="B2848" i="3"/>
  <c r="A2840" i="3"/>
  <c r="B2830" i="3"/>
  <c r="A2822" i="3"/>
  <c r="A2814" i="3"/>
  <c r="A2804" i="3"/>
  <c r="A2796" i="3"/>
  <c r="B2787" i="3"/>
  <c r="A2778" i="3"/>
  <c r="B2769" i="3"/>
  <c r="B2761" i="3"/>
  <c r="B2751" i="3"/>
  <c r="B2743" i="3"/>
  <c r="B2735" i="3"/>
  <c r="B2725" i="3"/>
  <c r="B2717" i="3"/>
  <c r="A2709" i="3"/>
  <c r="B2699" i="3"/>
  <c r="A2691" i="3"/>
  <c r="A2683" i="3"/>
  <c r="A2673" i="3"/>
  <c r="A2665" i="3"/>
  <c r="A2657" i="3"/>
  <c r="A2647" i="3"/>
  <c r="A2639" i="3"/>
  <c r="B2630" i="3"/>
  <c r="A2621" i="3"/>
  <c r="B2612" i="3"/>
  <c r="B2604" i="3"/>
  <c r="B2594" i="3"/>
  <c r="B2586" i="3"/>
  <c r="B2578" i="3"/>
  <c r="B2568" i="3"/>
  <c r="B2560" i="3"/>
  <c r="A2552" i="3"/>
  <c r="B2542" i="3"/>
  <c r="A2534" i="3"/>
  <c r="A2526" i="3"/>
  <c r="A2516" i="3"/>
  <c r="A2508" i="3"/>
  <c r="B2499" i="3"/>
  <c r="A2490" i="3"/>
  <c r="B2481" i="3"/>
  <c r="B2473" i="3"/>
  <c r="A2464" i="3"/>
  <c r="B2456" i="3"/>
  <c r="A2449" i="3"/>
  <c r="A2440" i="3"/>
  <c r="B2432" i="3"/>
  <c r="A2425" i="3"/>
  <c r="A2416" i="3"/>
  <c r="B2408" i="3"/>
  <c r="A2401" i="3"/>
  <c r="A2392" i="3"/>
  <c r="B2384" i="3"/>
  <c r="A2377" i="3"/>
  <c r="A2368" i="3"/>
  <c r="B2360" i="3"/>
  <c r="A2353" i="3"/>
  <c r="A2344" i="3"/>
  <c r="B2336" i="3"/>
  <c r="A2329" i="3"/>
  <c r="A2320" i="3"/>
  <c r="B2312" i="3"/>
  <c r="A2305" i="3"/>
  <c r="A2296" i="3"/>
  <c r="B2288" i="3"/>
  <c r="A2281" i="3"/>
  <c r="A2272" i="3"/>
  <c r="B2264" i="3"/>
  <c r="A2257" i="3"/>
  <c r="A2248" i="3"/>
  <c r="B2240" i="3"/>
  <c r="A2233" i="3"/>
  <c r="A2224" i="3"/>
  <c r="B2216" i="3"/>
  <c r="A2209" i="3"/>
  <c r="A2200" i="3"/>
  <c r="B2192" i="3"/>
  <c r="A2185" i="3"/>
  <c r="A2176" i="3"/>
  <c r="B2168" i="3"/>
  <c r="A2161" i="3"/>
  <c r="A2152" i="3"/>
  <c r="B2144" i="3"/>
  <c r="A2137" i="3"/>
  <c r="A2128" i="3"/>
  <c r="B2120" i="3"/>
  <c r="A2113" i="3"/>
  <c r="A2104" i="3"/>
  <c r="B2096" i="3"/>
  <c r="A2089" i="3"/>
  <c r="A2080" i="3"/>
  <c r="B2072" i="3"/>
  <c r="A2065" i="3"/>
  <c r="A2056" i="3"/>
  <c r="B2048" i="3"/>
  <c r="A2041" i="3"/>
  <c r="A2032" i="3"/>
  <c r="B2024" i="3"/>
  <c r="A2017" i="3"/>
  <c r="A2008" i="3"/>
  <c r="B2000" i="3"/>
  <c r="A1993" i="3"/>
  <c r="A1984" i="3"/>
  <c r="B1976" i="3"/>
  <c r="A1969" i="3"/>
  <c r="A1960" i="3"/>
  <c r="B1952" i="3"/>
  <c r="A1945" i="3"/>
  <c r="A1936" i="3"/>
  <c r="B1928" i="3"/>
  <c r="A1921" i="3"/>
  <c r="A1912" i="3"/>
  <c r="B1904" i="3"/>
  <c r="A1897" i="3"/>
  <c r="A1888" i="3"/>
  <c r="B1880" i="3"/>
  <c r="A1873" i="3"/>
  <c r="A1864" i="3"/>
  <c r="B1856" i="3"/>
  <c r="A1849" i="3"/>
  <c r="A1840" i="3"/>
  <c r="B1832" i="3"/>
  <c r="A1825" i="3"/>
  <c r="A1816" i="3"/>
  <c r="B1808" i="3"/>
  <c r="A1801" i="3"/>
  <c r="A1792" i="3"/>
  <c r="B1784" i="3"/>
  <c r="A1777" i="3"/>
  <c r="A1768" i="3"/>
  <c r="B1760" i="3"/>
  <c r="A1753" i="3"/>
  <c r="A1744" i="3"/>
  <c r="B1736" i="3"/>
  <c r="A1729" i="3"/>
  <c r="A1720" i="3"/>
  <c r="B1712" i="3"/>
  <c r="A1705" i="3"/>
  <c r="A1696" i="3"/>
  <c r="B1688" i="3"/>
  <c r="A1681" i="3"/>
  <c r="A1672" i="3"/>
  <c r="B1664" i="3"/>
  <c r="A1657" i="3"/>
  <c r="A1648" i="3"/>
  <c r="B1640" i="3"/>
  <c r="A1633" i="3"/>
  <c r="A1624" i="3"/>
  <c r="B1616" i="3"/>
  <c r="A1609" i="3"/>
  <c r="A1600" i="3"/>
  <c r="B1592" i="3"/>
  <c r="A1585" i="3"/>
  <c r="A1576" i="3"/>
  <c r="B1568" i="3"/>
  <c r="A1561" i="3"/>
  <c r="A1552" i="3"/>
  <c r="B1544" i="3"/>
  <c r="A1537" i="3"/>
  <c r="A1528" i="3"/>
  <c r="B1520" i="3"/>
  <c r="A1513" i="3"/>
  <c r="A1504" i="3"/>
  <c r="B1496" i="3"/>
  <c r="A1489" i="3"/>
  <c r="A1480" i="3"/>
  <c r="B1472" i="3"/>
  <c r="A1465" i="3"/>
  <c r="A1456" i="3"/>
  <c r="B1448" i="3"/>
  <c r="A1441" i="3"/>
  <c r="A1432" i="3"/>
  <c r="B1424" i="3"/>
  <c r="B1394" i="5"/>
  <c r="B658" i="5"/>
  <c r="A293" i="5"/>
  <c r="B4419" i="4"/>
  <c r="A4301" i="4"/>
  <c r="B4097" i="4"/>
  <c r="A3946" i="4"/>
  <c r="A3773" i="4"/>
  <c r="A3658" i="4"/>
  <c r="A3493" i="4"/>
  <c r="A3335" i="4"/>
  <c r="B3236" i="4"/>
  <c r="A3122" i="4"/>
  <c r="B3008" i="4"/>
  <c r="B2906" i="4"/>
  <c r="B2820" i="4"/>
  <c r="A2729" i="4"/>
  <c r="A2638" i="4"/>
  <c r="A2566" i="4"/>
  <c r="B2484" i="4"/>
  <c r="A2399" i="4"/>
  <c r="B2315" i="4"/>
  <c r="A2255" i="4"/>
  <c r="B2161" i="4"/>
  <c r="B2077" i="4"/>
  <c r="B2025" i="4"/>
  <c r="B1948" i="4"/>
  <c r="A1878" i="4"/>
  <c r="B1787" i="4"/>
  <c r="A1734" i="4"/>
  <c r="A1662" i="4"/>
  <c r="B1599" i="4"/>
  <c r="B1539" i="4"/>
  <c r="A1473" i="4"/>
  <c r="B1404" i="4"/>
  <c r="B1341" i="4"/>
  <c r="A1281" i="4"/>
  <c r="B1213" i="4"/>
  <c r="A1150" i="4"/>
  <c r="A1098" i="4"/>
  <c r="A1036" i="4"/>
  <c r="B967" i="4"/>
  <c r="A922" i="4"/>
  <c r="B888" i="4"/>
  <c r="A846" i="4"/>
  <c r="A799" i="4"/>
  <c r="B761" i="4"/>
  <c r="A716" i="4"/>
  <c r="B673" i="4"/>
  <c r="B626" i="4"/>
  <c r="A589" i="4"/>
  <c r="B546" i="4"/>
  <c r="A502" i="4"/>
  <c r="B471" i="4"/>
  <c r="A422" i="4"/>
  <c r="A388" i="4"/>
  <c r="B355" i="4"/>
  <c r="B331" i="4"/>
  <c r="B300" i="4"/>
  <c r="A275" i="4"/>
  <c r="A257" i="4"/>
  <c r="B234" i="4"/>
  <c r="A213" i="4"/>
  <c r="A192" i="4"/>
  <c r="B177" i="4"/>
  <c r="B157" i="4"/>
  <c r="B138" i="4"/>
  <c r="A124" i="4"/>
  <c r="B103" i="4"/>
  <c r="A83" i="4"/>
  <c r="A63" i="4"/>
  <c r="B47" i="4"/>
  <c r="A28" i="4"/>
  <c r="B9" i="4"/>
  <c r="B3063" i="3"/>
  <c r="A3045" i="3"/>
  <c r="A3030" i="3"/>
  <c r="A3013" i="3"/>
  <c r="B3000" i="3"/>
  <c r="A2985" i="3"/>
  <c r="A2970" i="3"/>
  <c r="B2957" i="3"/>
  <c r="B2940" i="3"/>
  <c r="A2925" i="3"/>
  <c r="B2908" i="3"/>
  <c r="B2895" i="3"/>
  <c r="B2880" i="3"/>
  <c r="A2865" i="3"/>
  <c r="B2852" i="3"/>
  <c r="B2835" i="3"/>
  <c r="B2821" i="3"/>
  <c r="B2809" i="3"/>
  <c r="B2795" i="3"/>
  <c r="B2783" i="3"/>
  <c r="A2769" i="3"/>
  <c r="A2757" i="3"/>
  <c r="A2743" i="3"/>
  <c r="A2731" i="3"/>
  <c r="A2717" i="3"/>
  <c r="A2705" i="3"/>
  <c r="B2690" i="3"/>
  <c r="B2678" i="3"/>
  <c r="B2664" i="3"/>
  <c r="B2652" i="3"/>
  <c r="B2638" i="3"/>
  <c r="B2626" i="3"/>
  <c r="A2612" i="3"/>
  <c r="A2600" i="3"/>
  <c r="A2586" i="3"/>
  <c r="A2574" i="3"/>
  <c r="B2559" i="3"/>
  <c r="B2547" i="3"/>
  <c r="B2533" i="3"/>
  <c r="B2521" i="3"/>
  <c r="B2507" i="3"/>
  <c r="B2495" i="3"/>
  <c r="A2481" i="3"/>
  <c r="A2469" i="3"/>
  <c r="A2456" i="3"/>
  <c r="A2445" i="3"/>
  <c r="A2432" i="3"/>
  <c r="A2421" i="3"/>
  <c r="A2408" i="3"/>
  <c r="A2397" i="3"/>
  <c r="A2384" i="3"/>
  <c r="A2373" i="3"/>
  <c r="A2360" i="3"/>
  <c r="A2349" i="3"/>
  <c r="A2336" i="3"/>
  <c r="A2325" i="3"/>
  <c r="A2312" i="3"/>
  <c r="A2301" i="3"/>
  <c r="A2288" i="3"/>
  <c r="A2277" i="3"/>
  <c r="A2264" i="3"/>
  <c r="A2253" i="3"/>
  <c r="A2240" i="3"/>
  <c r="A2229" i="3"/>
  <c r="A2216" i="3"/>
  <c r="A2205" i="3"/>
  <c r="A2192" i="3"/>
  <c r="A2181" i="3"/>
  <c r="A2168" i="3"/>
  <c r="A2157" i="3"/>
  <c r="A2144" i="3"/>
  <c r="A2133" i="3"/>
  <c r="A2120" i="3"/>
  <c r="A2109" i="3"/>
  <c r="A2096" i="3"/>
  <c r="A2085" i="3"/>
  <c r="A2072" i="3"/>
  <c r="A2061" i="3"/>
  <c r="A2048" i="3"/>
  <c r="A2037" i="3"/>
  <c r="A2024" i="3"/>
  <c r="A2013" i="3"/>
  <c r="A2000" i="3"/>
  <c r="A1989" i="3"/>
  <c r="A1976" i="3"/>
  <c r="A1965" i="3"/>
  <c r="A1952" i="3"/>
  <c r="A1941" i="3"/>
  <c r="A1928" i="3"/>
  <c r="A1917" i="3"/>
  <c r="A1904" i="3"/>
  <c r="A1893" i="3"/>
  <c r="A1880" i="3"/>
  <c r="A1869" i="3"/>
  <c r="A1856" i="3"/>
  <c r="A1845" i="3"/>
  <c r="A1832" i="3"/>
  <c r="A1821" i="3"/>
  <c r="A1808" i="3"/>
  <c r="A1797" i="3"/>
  <c r="A1784" i="3"/>
  <c r="A1773" i="3"/>
  <c r="A1760" i="3"/>
  <c r="A1749" i="3"/>
  <c r="A1736" i="3"/>
  <c r="A1725" i="3"/>
  <c r="A1712" i="3"/>
  <c r="A1701" i="3"/>
  <c r="A1688" i="3"/>
  <c r="A1677" i="3"/>
  <c r="A1664" i="3"/>
  <c r="A1653" i="3"/>
  <c r="A1640" i="3"/>
  <c r="A1629" i="3"/>
  <c r="A1616" i="3"/>
  <c r="A1605" i="3"/>
  <c r="A1592" i="3"/>
  <c r="A1581" i="3"/>
  <c r="A1568" i="3"/>
  <c r="A1557" i="3"/>
  <c r="A1544" i="3"/>
  <c r="A1533" i="3"/>
  <c r="A1520" i="3"/>
  <c r="A1509" i="3"/>
  <c r="A1496" i="3"/>
  <c r="A1485" i="3"/>
  <c r="A1472" i="3"/>
  <c r="A1461" i="3"/>
  <c r="A1448" i="3"/>
  <c r="A1437" i="3"/>
  <c r="A1424" i="3"/>
  <c r="B1413" i="3"/>
  <c r="B1404" i="3"/>
  <c r="B1392" i="3"/>
  <c r="A1382" i="3"/>
  <c r="B1371" i="3"/>
  <c r="B1359" i="3"/>
  <c r="B1350" i="3"/>
  <c r="A1340" i="3"/>
  <c r="A1328" i="3"/>
  <c r="B1317" i="3"/>
  <c r="B1308" i="3"/>
  <c r="B1296" i="3"/>
  <c r="B1286" i="3"/>
  <c r="A1278" i="3"/>
  <c r="A1267" i="3"/>
  <c r="B1258" i="3"/>
  <c r="B1250" i="3"/>
  <c r="B1240" i="3"/>
  <c r="B1232" i="3"/>
  <c r="B1224" i="3"/>
  <c r="A1215" i="3"/>
  <c r="B1207" i="3"/>
  <c r="A1200" i="3"/>
  <c r="A1191" i="3"/>
  <c r="B1183" i="3"/>
  <c r="A1176" i="3"/>
  <c r="A1167" i="3"/>
  <c r="B1159" i="3"/>
  <c r="A1152" i="3"/>
  <c r="A1143" i="3"/>
  <c r="B1135" i="3"/>
  <c r="A1128" i="3"/>
  <c r="A1119" i="3"/>
  <c r="B1111" i="3"/>
  <c r="A1104" i="3"/>
  <c r="A1095" i="3"/>
  <c r="B1087" i="3"/>
  <c r="A1080" i="3"/>
  <c r="A1071" i="3"/>
  <c r="B1063" i="3"/>
  <c r="A1056" i="3"/>
  <c r="A1047" i="3"/>
  <c r="B1039" i="3"/>
  <c r="A1032" i="3"/>
  <c r="A1023" i="3"/>
  <c r="B1015" i="3"/>
  <c r="A1008" i="3"/>
  <c r="A999" i="3"/>
  <c r="B991" i="3"/>
  <c r="A984" i="3"/>
  <c r="A975" i="3"/>
  <c r="B967" i="3"/>
  <c r="A960" i="3"/>
  <c r="A951" i="3"/>
  <c r="B943" i="3"/>
  <c r="A936" i="3"/>
  <c r="A927" i="3"/>
  <c r="B919" i="3"/>
  <c r="A912" i="3"/>
  <c r="A903" i="3"/>
  <c r="B895" i="3"/>
  <c r="A888" i="3"/>
  <c r="A879" i="3"/>
  <c r="B871" i="3"/>
  <c r="A864" i="3"/>
  <c r="A855" i="3"/>
  <c r="B847" i="3"/>
  <c r="A840" i="3"/>
  <c r="A831" i="3"/>
  <c r="B823" i="3"/>
  <c r="A816" i="3"/>
  <c r="A807" i="3"/>
  <c r="B799" i="3"/>
  <c r="A792" i="3"/>
  <c r="A783" i="3"/>
  <c r="B775" i="3"/>
  <c r="A768" i="3"/>
  <c r="A759" i="3"/>
  <c r="B751" i="3"/>
  <c r="A744" i="3"/>
  <c r="A735" i="3"/>
  <c r="B727" i="3"/>
  <c r="A720" i="3"/>
  <c r="A711" i="3"/>
  <c r="B703" i="3"/>
  <c r="A696" i="3"/>
  <c r="A687" i="3"/>
  <c r="B679" i="3"/>
  <c r="A672" i="3"/>
  <c r="A663" i="3"/>
  <c r="B655" i="3"/>
  <c r="A648" i="3"/>
  <c r="A639" i="3"/>
  <c r="B631" i="3"/>
  <c r="A624" i="3"/>
  <c r="A615" i="3"/>
  <c r="B607" i="3"/>
  <c r="A600" i="3"/>
  <c r="A591" i="3"/>
  <c r="B583" i="3"/>
  <c r="A576" i="3"/>
  <c r="A567" i="3"/>
  <c r="B559" i="3"/>
  <c r="A552" i="3"/>
  <c r="A543" i="3"/>
  <c r="B535" i="3"/>
  <c r="A528" i="3"/>
  <c r="A519" i="3"/>
  <c r="B511" i="3"/>
  <c r="A504" i="3"/>
  <c r="A495" i="3"/>
  <c r="B487" i="3"/>
  <c r="A480" i="3"/>
  <c r="A471" i="3"/>
  <c r="B463" i="3"/>
  <c r="A456" i="3"/>
  <c r="A447" i="3"/>
  <c r="B439" i="3"/>
  <c r="A432" i="3"/>
  <c r="A423" i="3"/>
  <c r="B415" i="3"/>
  <c r="A408" i="3"/>
  <c r="A399" i="3"/>
  <c r="B391" i="3"/>
  <c r="A384" i="3"/>
  <c r="A375" i="3"/>
  <c r="B367" i="3"/>
  <c r="A360" i="3"/>
  <c r="A351" i="3"/>
  <c r="B343" i="3"/>
  <c r="A336" i="3"/>
  <c r="A327" i="3"/>
  <c r="B319" i="3"/>
  <c r="A312" i="3"/>
  <c r="A303" i="3"/>
  <c r="B295" i="3"/>
  <c r="A288" i="3"/>
  <c r="A279" i="3"/>
  <c r="B271" i="3"/>
  <c r="B264" i="3"/>
  <c r="A257" i="3"/>
  <c r="B249" i="3"/>
  <c r="B242" i="3"/>
  <c r="B235" i="3"/>
  <c r="B228" i="3"/>
  <c r="A221" i="3"/>
  <c r="B213" i="3"/>
  <c r="B206" i="3"/>
  <c r="B199" i="3"/>
  <c r="B192" i="3"/>
  <c r="A185" i="3"/>
  <c r="B177" i="3"/>
  <c r="B170" i="3"/>
  <c r="B163" i="3"/>
  <c r="B156" i="3"/>
  <c r="A149" i="3"/>
  <c r="B141" i="3"/>
  <c r="B134" i="3"/>
  <c r="B127" i="3"/>
  <c r="B120" i="3"/>
  <c r="A113" i="3"/>
  <c r="B105" i="3"/>
  <c r="B98" i="3"/>
  <c r="B91" i="3"/>
  <c r="B84" i="3"/>
  <c r="A77" i="3"/>
  <c r="B69" i="3"/>
  <c r="B62" i="3"/>
  <c r="B55" i="3"/>
  <c r="B48" i="3"/>
  <c r="A41" i="3"/>
  <c r="B33" i="3"/>
  <c r="B26" i="3"/>
  <c r="B19" i="3"/>
  <c r="B12" i="3"/>
  <c r="A5" i="3"/>
  <c r="B4447" i="2"/>
  <c r="B4440" i="2"/>
  <c r="B4433" i="2"/>
  <c r="B4426" i="2"/>
  <c r="A4419" i="2"/>
  <c r="B4411" i="2"/>
  <c r="B4404" i="2"/>
  <c r="B4397" i="2"/>
  <c r="B4390" i="2"/>
  <c r="A4383" i="2"/>
  <c r="B4375" i="2"/>
  <c r="B4368" i="2"/>
  <c r="B4361" i="2"/>
  <c r="B4354" i="2"/>
  <c r="A4347" i="2"/>
  <c r="B4339" i="2"/>
  <c r="B4332" i="2"/>
  <c r="B4325" i="2"/>
  <c r="B4318" i="2"/>
  <c r="A4311" i="2"/>
  <c r="B4303" i="2"/>
  <c r="B4296" i="2"/>
  <c r="B4289" i="2"/>
  <c r="B4282" i="2"/>
  <c r="A4275" i="2"/>
  <c r="B4267" i="2"/>
  <c r="B4260" i="2"/>
  <c r="B4253" i="2"/>
  <c r="B4246" i="2"/>
  <c r="A4239" i="2"/>
  <c r="B4231" i="2"/>
  <c r="B4224" i="2"/>
  <c r="B4217" i="2"/>
  <c r="B4210" i="2"/>
  <c r="A4203" i="2"/>
  <c r="B4195" i="2"/>
  <c r="B4188" i="2"/>
  <c r="B4181" i="2"/>
  <c r="B4174" i="2"/>
  <c r="A4167" i="2"/>
  <c r="B4159" i="2"/>
  <c r="B4152" i="2"/>
  <c r="B4145" i="2"/>
  <c r="B4138" i="2"/>
  <c r="A4131" i="2"/>
  <c r="B4123" i="2"/>
  <c r="B4116" i="2"/>
  <c r="B4109" i="2"/>
  <c r="B4102" i="2"/>
  <c r="A4095" i="2"/>
  <c r="B4087" i="2"/>
  <c r="B4080" i="2"/>
  <c r="B4073" i="2"/>
  <c r="B4066" i="2"/>
  <c r="A4059" i="2"/>
  <c r="B4051" i="2"/>
  <c r="B4044" i="2"/>
  <c r="B4037" i="2"/>
  <c r="B4030" i="2"/>
  <c r="A4023" i="2"/>
  <c r="B4015" i="2"/>
  <c r="B4008" i="2"/>
  <c r="B4001" i="2"/>
  <c r="B3994" i="2"/>
  <c r="A3987" i="2"/>
  <c r="B3979" i="2"/>
  <c r="B3972" i="2"/>
  <c r="B3965" i="2"/>
  <c r="B3958" i="2"/>
  <c r="A3951" i="2"/>
  <c r="B3943" i="2"/>
  <c r="B3936" i="2"/>
  <c r="B3929" i="2"/>
  <c r="B3922" i="2"/>
  <c r="A3915" i="2"/>
  <c r="B3907" i="2"/>
  <c r="B3900" i="2"/>
  <c r="B3893" i="2"/>
  <c r="B3886" i="2"/>
  <c r="A3879" i="2"/>
  <c r="B3871" i="2"/>
  <c r="B3864" i="2"/>
  <c r="B3857" i="2"/>
  <c r="B3850" i="2"/>
  <c r="A3843" i="2"/>
  <c r="B3835" i="2"/>
  <c r="B3828" i="2"/>
  <c r="B3821" i="2"/>
  <c r="B3814" i="2"/>
  <c r="A3807" i="2"/>
  <c r="B3799" i="2"/>
  <c r="B3792" i="2"/>
  <c r="B3785" i="2"/>
  <c r="B3778" i="2"/>
  <c r="A3771" i="2"/>
  <c r="B3763" i="2"/>
  <c r="B3756" i="2"/>
  <c r="B3749" i="2"/>
  <c r="B3742" i="2"/>
  <c r="A3735" i="2"/>
  <c r="B3727" i="2"/>
  <c r="B3720" i="2"/>
  <c r="B3713" i="2"/>
  <c r="B3706" i="2"/>
  <c r="A3699" i="2"/>
  <c r="B3691" i="2"/>
  <c r="B3684" i="2"/>
  <c r="B3677" i="2"/>
  <c r="B3670" i="2"/>
  <c r="A3663" i="2"/>
  <c r="B3655" i="2"/>
  <c r="B3648" i="2"/>
  <c r="B3641" i="2"/>
  <c r="B3634" i="2"/>
  <c r="A3627" i="2"/>
  <c r="B3619" i="2"/>
  <c r="B3612" i="2"/>
  <c r="B1117" i="5"/>
  <c r="B484" i="5"/>
  <c r="A142" i="5"/>
  <c r="A4380" i="4"/>
  <c r="A4210" i="4"/>
  <c r="B4047" i="4"/>
  <c r="A3922" i="4"/>
  <c r="B3759" i="4"/>
  <c r="A3564" i="4"/>
  <c r="B3416" i="4"/>
  <c r="B3317" i="4"/>
  <c r="B3194" i="4"/>
  <c r="A3077" i="4"/>
  <c r="A2981" i="4"/>
  <c r="A2878" i="4"/>
  <c r="A2783" i="4"/>
  <c r="B2690" i="4"/>
  <c r="B2616" i="4"/>
  <c r="B2539" i="4"/>
  <c r="B2452" i="4"/>
  <c r="B2395" i="4"/>
  <c r="A2293" i="4"/>
  <c r="A2217" i="4"/>
  <c r="B2131" i="4"/>
  <c r="B2074" i="4"/>
  <c r="A1998" i="4"/>
  <c r="A1913" i="4"/>
  <c r="A1854" i="4"/>
  <c r="A1783" i="4"/>
  <c r="B1707" i="4"/>
  <c r="A1641" i="4"/>
  <c r="A1582" i="4"/>
  <c r="B1515" i="4"/>
  <c r="A1446" i="4"/>
  <c r="A1387" i="4"/>
  <c r="B1323" i="4"/>
  <c r="A1257" i="4"/>
  <c r="B1188" i="4"/>
  <c r="B1140" i="4"/>
  <c r="A1065" i="4"/>
  <c r="A1003" i="4"/>
  <c r="A965" i="4"/>
  <c r="B914" i="4"/>
  <c r="B874" i="4"/>
  <c r="B820" i="4"/>
  <c r="A790" i="4"/>
  <c r="B744" i="4"/>
  <c r="A702" i="4"/>
  <c r="A662" i="4"/>
  <c r="B617" i="4"/>
  <c r="A572" i="4"/>
  <c r="B529" i="4"/>
  <c r="B490" i="4"/>
  <c r="A448" i="4"/>
  <c r="B409" i="4"/>
  <c r="A384" i="4"/>
  <c r="B351" i="4"/>
  <c r="A316" i="4"/>
  <c r="A287" i="4"/>
  <c r="A269" i="4"/>
  <c r="B246" i="4"/>
  <c r="B226" i="4"/>
  <c r="A210" i="4"/>
  <c r="A190" i="4"/>
  <c r="B169" i="4"/>
  <c r="A149" i="4"/>
  <c r="B134" i="4"/>
  <c r="A114" i="4"/>
  <c r="B95" i="4"/>
  <c r="A81" i="4"/>
  <c r="A60" i="4"/>
  <c r="A40" i="4"/>
  <c r="B19" i="4"/>
  <c r="B4" i="4"/>
  <c r="B3056" i="3"/>
  <c r="B3038" i="3"/>
  <c r="A3026" i="3"/>
  <c r="A3011" i="3"/>
  <c r="A2994" i="3"/>
  <c r="B2978" i="3"/>
  <c r="A2966" i="3"/>
  <c r="A2951" i="3"/>
  <c r="A2934" i="3"/>
  <c r="B2921" i="3"/>
  <c r="A2906" i="3"/>
  <c r="A2889" i="3"/>
  <c r="A2874" i="3"/>
  <c r="B2861" i="3"/>
  <c r="A2846" i="3"/>
  <c r="B2829" i="3"/>
  <c r="B2819" i="3"/>
  <c r="B2803" i="3"/>
  <c r="A2793" i="3"/>
  <c r="B2777" i="3"/>
  <c r="A2767" i="3"/>
  <c r="A2751" i="3"/>
  <c r="A2741" i="3"/>
  <c r="A2725" i="3"/>
  <c r="B2714" i="3"/>
  <c r="A2699" i="3"/>
  <c r="B2688" i="3"/>
  <c r="B2672" i="3"/>
  <c r="B2662" i="3"/>
  <c r="B2646" i="3"/>
  <c r="A2636" i="3"/>
  <c r="B2620" i="3"/>
  <c r="A2610" i="3"/>
  <c r="A2594" i="3"/>
  <c r="B2583" i="3"/>
  <c r="A2568" i="3"/>
  <c r="B2557" i="3"/>
  <c r="B2541" i="3"/>
  <c r="B2531" i="3"/>
  <c r="B2515" i="3"/>
  <c r="A2505" i="3"/>
  <c r="B2489" i="3"/>
  <c r="A2479" i="3"/>
  <c r="B2463" i="3"/>
  <c r="A2454" i="3"/>
  <c r="B2439" i="3"/>
  <c r="A2430" i="3"/>
  <c r="B2415" i="3"/>
  <c r="A2406" i="3"/>
  <c r="B2391" i="3"/>
  <c r="A2382" i="3"/>
  <c r="B2367" i="3"/>
  <c r="A2358" i="3"/>
  <c r="B2343" i="3"/>
  <c r="A2334" i="3"/>
  <c r="B2319" i="3"/>
  <c r="A2310" i="3"/>
  <c r="B2295" i="3"/>
  <c r="A2286" i="3"/>
  <c r="B2271" i="3"/>
  <c r="A2262" i="3"/>
  <c r="B2247" i="3"/>
  <c r="A2238" i="3"/>
  <c r="B2223" i="3"/>
  <c r="A2214" i="3"/>
  <c r="B2199" i="3"/>
  <c r="A2190" i="3"/>
  <c r="B2175" i="3"/>
  <c r="A2166" i="3"/>
  <c r="B2151" i="3"/>
  <c r="A2142" i="3"/>
  <c r="B2127" i="3"/>
  <c r="A2118" i="3"/>
  <c r="B2103" i="3"/>
  <c r="A2094" i="3"/>
  <c r="B2079" i="3"/>
  <c r="A2070" i="3"/>
  <c r="B2055" i="3"/>
  <c r="A2046" i="3"/>
  <c r="B2031" i="3"/>
  <c r="A2022" i="3"/>
  <c r="B2007" i="3"/>
  <c r="A1998" i="3"/>
  <c r="B1983" i="3"/>
  <c r="A1974" i="3"/>
  <c r="B1959" i="3"/>
  <c r="A1950" i="3"/>
  <c r="B1935" i="3"/>
  <c r="A1926" i="3"/>
  <c r="B1911" i="3"/>
  <c r="A1902" i="3"/>
  <c r="B1887" i="3"/>
  <c r="A1878" i="3"/>
  <c r="B1863" i="3"/>
  <c r="A1854" i="3"/>
  <c r="B1839" i="3"/>
  <c r="A1830" i="3"/>
  <c r="B1815" i="3"/>
  <c r="A1806" i="3"/>
  <c r="B1791" i="3"/>
  <c r="A1782" i="3"/>
  <c r="B1767" i="3"/>
  <c r="A1758" i="3"/>
  <c r="B1743" i="3"/>
  <c r="A1734" i="3"/>
  <c r="B1719" i="3"/>
  <c r="A1710" i="3"/>
  <c r="B1695" i="3"/>
  <c r="A1686" i="3"/>
  <c r="B1671" i="3"/>
  <c r="A1662" i="3"/>
  <c r="B1647" i="3"/>
  <c r="A1638" i="3"/>
  <c r="B1623" i="3"/>
  <c r="A1614" i="3"/>
  <c r="B1599" i="3"/>
  <c r="A1590" i="3"/>
  <c r="B1575" i="3"/>
  <c r="A1566" i="3"/>
  <c r="B1551" i="3"/>
  <c r="A1542" i="3"/>
  <c r="B1527" i="3"/>
  <c r="A1518" i="3"/>
  <c r="B1503" i="3"/>
  <c r="A1494" i="3"/>
  <c r="B1479" i="3"/>
  <c r="A1470" i="3"/>
  <c r="B1455" i="3"/>
  <c r="A1446" i="3"/>
  <c r="B1431" i="3"/>
  <c r="A1422" i="3"/>
  <c r="A1410" i="3"/>
  <c r="B1399" i="3"/>
  <c r="A1389" i="3"/>
  <c r="A1377" i="3"/>
  <c r="A1368" i="3"/>
  <c r="B1357" i="3"/>
  <c r="B1345" i="3"/>
  <c r="A1335" i="3"/>
  <c r="A1326" i="3"/>
  <c r="A1314" i="3"/>
  <c r="B1303" i="3"/>
  <c r="A1293" i="3"/>
  <c r="A1282" i="3"/>
  <c r="B1273" i="3"/>
  <c r="B1264" i="3"/>
  <c r="A1255" i="3"/>
  <c r="B1246" i="3"/>
  <c r="B1238" i="3"/>
  <c r="B1228" i="3"/>
  <c r="B1220" i="3"/>
  <c r="A1213" i="3"/>
  <c r="A1204" i="3"/>
  <c r="B1196" i="3"/>
  <c r="A1189" i="3"/>
  <c r="A1180" i="3"/>
  <c r="B1172" i="3"/>
  <c r="A1165" i="3"/>
  <c r="A1156" i="3"/>
  <c r="B1148" i="3"/>
  <c r="A1141" i="3"/>
  <c r="A1132" i="3"/>
  <c r="B1124" i="3"/>
  <c r="A1117" i="3"/>
  <c r="A1108" i="3"/>
  <c r="B1100" i="3"/>
  <c r="A1093" i="3"/>
  <c r="A1084" i="3"/>
  <c r="B1076" i="3"/>
  <c r="A1069" i="3"/>
  <c r="A1060" i="3"/>
  <c r="B1052" i="3"/>
  <c r="A1045" i="3"/>
  <c r="A1036" i="3"/>
  <c r="B1028" i="3"/>
  <c r="A1021" i="3"/>
  <c r="A1012" i="3"/>
  <c r="B1004" i="3"/>
  <c r="A997" i="3"/>
  <c r="A988" i="3"/>
  <c r="B980" i="3"/>
  <c r="A973" i="3"/>
  <c r="A964" i="3"/>
  <c r="B956" i="3"/>
  <c r="A949" i="3"/>
  <c r="A940" i="3"/>
  <c r="B932" i="3"/>
  <c r="A925" i="3"/>
  <c r="A916" i="3"/>
  <c r="B908" i="3"/>
  <c r="A901" i="3"/>
  <c r="A892" i="3"/>
  <c r="B884" i="3"/>
  <c r="A877" i="3"/>
  <c r="A868" i="3"/>
  <c r="B860" i="3"/>
  <c r="A853" i="3"/>
  <c r="A844" i="3"/>
  <c r="B836" i="3"/>
  <c r="A829" i="3"/>
  <c r="A820" i="3"/>
  <c r="B812" i="3"/>
  <c r="A805" i="3"/>
  <c r="A796" i="3"/>
  <c r="B788" i="3"/>
  <c r="A781" i="3"/>
  <c r="A772" i="3"/>
  <c r="B764" i="3"/>
  <c r="A757" i="3"/>
  <c r="A748" i="3"/>
  <c r="B740" i="3"/>
  <c r="A733" i="3"/>
  <c r="A724" i="3"/>
  <c r="B716" i="3"/>
  <c r="A709" i="3"/>
  <c r="A700" i="3"/>
  <c r="B692" i="3"/>
  <c r="A685" i="3"/>
  <c r="A676" i="3"/>
  <c r="B668" i="3"/>
  <c r="A661" i="3"/>
  <c r="A652" i="3"/>
  <c r="B644" i="3"/>
  <c r="A637" i="3"/>
  <c r="A628" i="3"/>
  <c r="B620" i="3"/>
  <c r="A613" i="3"/>
  <c r="A604" i="3"/>
  <c r="B596" i="3"/>
  <c r="A589" i="3"/>
  <c r="A580" i="3"/>
  <c r="B572" i="3"/>
  <c r="A565" i="3"/>
  <c r="A556" i="3"/>
  <c r="B548" i="3"/>
  <c r="A541" i="3"/>
  <c r="A532" i="3"/>
  <c r="B524" i="3"/>
  <c r="A517" i="3"/>
  <c r="A508" i="3"/>
  <c r="B500" i="3"/>
  <c r="A493" i="3"/>
  <c r="A484" i="3"/>
  <c r="B476" i="3"/>
  <c r="A469" i="3"/>
  <c r="A460" i="3"/>
  <c r="B452" i="3"/>
  <c r="A445" i="3"/>
  <c r="A436" i="3"/>
  <c r="B428" i="3"/>
  <c r="A421" i="3"/>
  <c r="A412" i="3"/>
  <c r="B404" i="3"/>
  <c r="A397" i="3"/>
  <c r="A388" i="3"/>
  <c r="B380" i="3"/>
  <c r="A373" i="3"/>
  <c r="A364" i="3"/>
  <c r="B356" i="3"/>
  <c r="A349" i="3"/>
  <c r="A340" i="3"/>
  <c r="B332" i="3"/>
  <c r="A325" i="3"/>
  <c r="A316" i="3"/>
  <c r="B308" i="3"/>
  <c r="A301" i="3"/>
  <c r="A292" i="3"/>
  <c r="B284" i="3"/>
  <c r="A277" i="3"/>
  <c r="A269" i="3"/>
  <c r="B261" i="3"/>
  <c r="B254" i="3"/>
  <c r="B247" i="3"/>
  <c r="B240" i="3"/>
  <c r="A233" i="3"/>
  <c r="B225" i="3"/>
  <c r="B218" i="3"/>
  <c r="B211" i="3"/>
  <c r="B204" i="3"/>
  <c r="A197" i="3"/>
  <c r="B189" i="3"/>
  <c r="B182" i="3"/>
  <c r="B175" i="3"/>
  <c r="B168" i="3"/>
  <c r="A161" i="3"/>
  <c r="B153" i="3"/>
  <c r="B146" i="3"/>
  <c r="B139" i="3"/>
  <c r="B132" i="3"/>
  <c r="A125" i="3"/>
  <c r="B117" i="3"/>
  <c r="B110" i="3"/>
  <c r="B103" i="3"/>
  <c r="B96" i="3"/>
  <c r="A89" i="3"/>
  <c r="B81" i="3"/>
  <c r="B74" i="3"/>
  <c r="B67" i="3"/>
  <c r="B60" i="3"/>
  <c r="A53" i="3"/>
  <c r="B45" i="3"/>
  <c r="B38" i="3"/>
  <c r="B31" i="3"/>
  <c r="B24" i="3"/>
  <c r="A17" i="3"/>
  <c r="B9" i="3"/>
  <c r="B2" i="3"/>
  <c r="B4445" i="2"/>
  <c r="B4438" i="2"/>
  <c r="A4431" i="2"/>
  <c r="B4423" i="2"/>
  <c r="B4416" i="2"/>
  <c r="B4409" i="2"/>
  <c r="B4402" i="2"/>
  <c r="A4395" i="2"/>
  <c r="B4387" i="2"/>
  <c r="B4380" i="2"/>
  <c r="B4373" i="2"/>
  <c r="B4366" i="2"/>
  <c r="A4359" i="2"/>
  <c r="B4351" i="2"/>
  <c r="B4344" i="2"/>
  <c r="B4337" i="2"/>
  <c r="B4330" i="2"/>
  <c r="A4323" i="2"/>
  <c r="B4315" i="2"/>
  <c r="B4308" i="2"/>
  <c r="B4301" i="2"/>
  <c r="B4294" i="2"/>
  <c r="A4287" i="2"/>
  <c r="B4279" i="2"/>
  <c r="B4272" i="2"/>
  <c r="B4265" i="2"/>
  <c r="B4258" i="2"/>
  <c r="A4251" i="2"/>
  <c r="B4243" i="2"/>
  <c r="B4236" i="2"/>
  <c r="B4229" i="2"/>
  <c r="B4222" i="2"/>
  <c r="A4215" i="2"/>
  <c r="B4207" i="2"/>
  <c r="B4200" i="2"/>
  <c r="B4193" i="2"/>
  <c r="B4186" i="2"/>
  <c r="A4179" i="2"/>
  <c r="B4171" i="2"/>
  <c r="B4164" i="2"/>
  <c r="B4157" i="2"/>
  <c r="B4150" i="2"/>
  <c r="A4143" i="2"/>
  <c r="B4135" i="2"/>
  <c r="B4128" i="2"/>
  <c r="B4121" i="2"/>
  <c r="B4114" i="2"/>
  <c r="A4107" i="2"/>
  <c r="B4099" i="2"/>
  <c r="B4092" i="2"/>
  <c r="B4085" i="2"/>
  <c r="B4078" i="2"/>
  <c r="A4071" i="2"/>
  <c r="B4063" i="2"/>
  <c r="B4056" i="2"/>
  <c r="B4049" i="2"/>
  <c r="B4042" i="2"/>
  <c r="A4035" i="2"/>
  <c r="B4027" i="2"/>
  <c r="B4020" i="2"/>
  <c r="B4013" i="2"/>
  <c r="B4006" i="2"/>
  <c r="A3999" i="2"/>
  <c r="B3991" i="2"/>
  <c r="B3984" i="2"/>
  <c r="B3977" i="2"/>
  <c r="B3970" i="2"/>
  <c r="A3963" i="2"/>
  <c r="B3955" i="2"/>
  <c r="B3948" i="2"/>
  <c r="B3941" i="2"/>
  <c r="B3934" i="2"/>
  <c r="A3927" i="2"/>
  <c r="B3919" i="2"/>
  <c r="B3912" i="2"/>
  <c r="B3905" i="2"/>
  <c r="B3898" i="2"/>
  <c r="A3891" i="2"/>
  <c r="B3883" i="2"/>
  <c r="B3876" i="2"/>
  <c r="B3869" i="2"/>
  <c r="B3862" i="2"/>
  <c r="A3855" i="2"/>
  <c r="B3847" i="2"/>
  <c r="B3840" i="2"/>
  <c r="B3833" i="2"/>
  <c r="B3826" i="2"/>
  <c r="A3819" i="2"/>
  <c r="B3811" i="2"/>
  <c r="B3804" i="2"/>
  <c r="B3797" i="2"/>
  <c r="B3790" i="2"/>
  <c r="A3783" i="2"/>
  <c r="B3775" i="2"/>
  <c r="B3768" i="2"/>
  <c r="B3761" i="2"/>
  <c r="B3754" i="2"/>
  <c r="A3747" i="2"/>
  <c r="B3739" i="2"/>
  <c r="B3732" i="2"/>
  <c r="B3725" i="2"/>
  <c r="B3718" i="2"/>
  <c r="A3711" i="2"/>
  <c r="B3703" i="2"/>
  <c r="B3696" i="2"/>
  <c r="B3689" i="2"/>
  <c r="B3682" i="2"/>
  <c r="A3675" i="2"/>
  <c r="B3667" i="2"/>
  <c r="B3660" i="2"/>
  <c r="B3653" i="2"/>
  <c r="B3646" i="2"/>
  <c r="A3639" i="2"/>
  <c r="B3631" i="2"/>
  <c r="B3624" i="2"/>
  <c r="B3617" i="2"/>
  <c r="B3610" i="2"/>
  <c r="A3603" i="2"/>
  <c r="B3595" i="2"/>
  <c r="B3588" i="2"/>
  <c r="B3581" i="2"/>
  <c r="B3574" i="2"/>
  <c r="A3567" i="2"/>
  <c r="B3559" i="2"/>
  <c r="B3552" i="2"/>
  <c r="B3545" i="2"/>
  <c r="B3538" i="2"/>
  <c r="A3531" i="2"/>
  <c r="B3523" i="2"/>
  <c r="B3516" i="2"/>
  <c r="B3509" i="2"/>
  <c r="B3502" i="2"/>
  <c r="A3495" i="2"/>
  <c r="B3487" i="2"/>
  <c r="B3480" i="2"/>
  <c r="B3473" i="2"/>
  <c r="B3466" i="2"/>
  <c r="A3459" i="2"/>
  <c r="B3451" i="2"/>
  <c r="B3444" i="2"/>
  <c r="B3437" i="2"/>
  <c r="B3430" i="2"/>
  <c r="A3423" i="2"/>
  <c r="B3415" i="2"/>
  <c r="B3408" i="2"/>
  <c r="B3401" i="2"/>
  <c r="B3394" i="2"/>
  <c r="A3387" i="2"/>
  <c r="B3379" i="2"/>
  <c r="B3372" i="2"/>
  <c r="B3365" i="2"/>
  <c r="B3358" i="2"/>
  <c r="A3351" i="2"/>
  <c r="B3343" i="2"/>
  <c r="B3336" i="2"/>
  <c r="B3329" i="2"/>
  <c r="B3322" i="2"/>
  <c r="A3315" i="2"/>
  <c r="B3307" i="2"/>
  <c r="B3300" i="2"/>
  <c r="B3293" i="2"/>
  <c r="B3286" i="2"/>
  <c r="A3279" i="2"/>
  <c r="B3271" i="2"/>
  <c r="B3264" i="2"/>
  <c r="B3257" i="2"/>
  <c r="B3250" i="2"/>
  <c r="A3243" i="2"/>
  <c r="B3235" i="2"/>
  <c r="B3228" i="2"/>
  <c r="B3221" i="2"/>
  <c r="B3214" i="2"/>
  <c r="A3207" i="2"/>
  <c r="B3199" i="2"/>
  <c r="B3192" i="2"/>
  <c r="B3185" i="2"/>
  <c r="B3178" i="2"/>
  <c r="A3171" i="2"/>
  <c r="B3163" i="2"/>
  <c r="B3156" i="2"/>
  <c r="B3149" i="2"/>
  <c r="B3142" i="2"/>
  <c r="A3135" i="2"/>
  <c r="B3127" i="2"/>
  <c r="B3120" i="2"/>
  <c r="B3113" i="2"/>
  <c r="B3106" i="2"/>
  <c r="A3099" i="2"/>
  <c r="B3091" i="2"/>
  <c r="B3084" i="2"/>
  <c r="B3077" i="2"/>
  <c r="B3070" i="2"/>
  <c r="A3063" i="2"/>
  <c r="B3055" i="2"/>
  <c r="B3048" i="2"/>
  <c r="B3041" i="2"/>
  <c r="B3034" i="2"/>
  <c r="A3027" i="2"/>
  <c r="B3019" i="2"/>
  <c r="B3012" i="2"/>
  <c r="B3005" i="2"/>
  <c r="B2998" i="2"/>
  <c r="A2991" i="2"/>
  <c r="B2983" i="2"/>
  <c r="B2976" i="2"/>
  <c r="B2969" i="2"/>
  <c r="B2962" i="2"/>
  <c r="A2955" i="2"/>
  <c r="B2947" i="2"/>
  <c r="B2940" i="2"/>
  <c r="B2933" i="2"/>
  <c r="B2926" i="2"/>
  <c r="A2919" i="2"/>
  <c r="B2911" i="2"/>
  <c r="B2904" i="2"/>
  <c r="B2897" i="2"/>
  <c r="B2890" i="2"/>
  <c r="A2883" i="2"/>
  <c r="B2875" i="2"/>
  <c r="B2868" i="2"/>
  <c r="B2861" i="2"/>
  <c r="B2854" i="2"/>
  <c r="A2847" i="2"/>
  <c r="B2839" i="2"/>
  <c r="B2832" i="2"/>
  <c r="B2825" i="2"/>
  <c r="B2818" i="2"/>
  <c r="A2811" i="2"/>
  <c r="B2803" i="2"/>
  <c r="B2796" i="2"/>
  <c r="B2789" i="2"/>
  <c r="B2782" i="2"/>
  <c r="A2775" i="2"/>
  <c r="B2767" i="2"/>
  <c r="B2760" i="2"/>
  <c r="B2753" i="2"/>
  <c r="B2746" i="2"/>
  <c r="A2739" i="2"/>
  <c r="B2731" i="2"/>
  <c r="B2724" i="2"/>
  <c r="B2717" i="2"/>
  <c r="B2710" i="2"/>
  <c r="A2703" i="2"/>
  <c r="B2695" i="2"/>
  <c r="B2688" i="2"/>
  <c r="B2681" i="2"/>
  <c r="B2674" i="2"/>
  <c r="A2667" i="2"/>
  <c r="B2659" i="2"/>
  <c r="B2652" i="2"/>
  <c r="B2645" i="2"/>
  <c r="B2638" i="2"/>
  <c r="A2631" i="2"/>
  <c r="B2623" i="2"/>
  <c r="B2616" i="2"/>
  <c r="B2609" i="2"/>
  <c r="B2602" i="2"/>
  <c r="A2595" i="2"/>
  <c r="B2587" i="2"/>
  <c r="A2581" i="2"/>
  <c r="A2575" i="2"/>
  <c r="A2569" i="2"/>
  <c r="A2563" i="2"/>
  <c r="A2557" i="2"/>
  <c r="A2551" i="2"/>
  <c r="A2545" i="2"/>
  <c r="A2539" i="2"/>
  <c r="A2533" i="2"/>
  <c r="A2527" i="2"/>
  <c r="A2521" i="2"/>
  <c r="A2515" i="2"/>
  <c r="A2509" i="2"/>
  <c r="A2503" i="2"/>
  <c r="A2497" i="2"/>
  <c r="A2491" i="2"/>
  <c r="A2485" i="2"/>
  <c r="A2479" i="2"/>
  <c r="A2473" i="2"/>
  <c r="A2467" i="2"/>
  <c r="A2461" i="2"/>
  <c r="A2455" i="2"/>
  <c r="A2449" i="2"/>
  <c r="A2443" i="2"/>
  <c r="A2437" i="2"/>
  <c r="A2431" i="2"/>
  <c r="A2425" i="2"/>
  <c r="A2419" i="2"/>
  <c r="A2413" i="2"/>
  <c r="A2407" i="2"/>
  <c r="A2401" i="2"/>
  <c r="A2395" i="2"/>
  <c r="A2389" i="2"/>
  <c r="A2383" i="2"/>
  <c r="A2377" i="2"/>
  <c r="A2371" i="2"/>
  <c r="A2365" i="2"/>
  <c r="A2359" i="2"/>
  <c r="A2353" i="2"/>
  <c r="A2347" i="2"/>
  <c r="A2341" i="2"/>
  <c r="A2335" i="2"/>
  <c r="A2329" i="2"/>
  <c r="A2323" i="2"/>
  <c r="A2317" i="2"/>
  <c r="A2311" i="2"/>
  <c r="A2305" i="2"/>
  <c r="A2299" i="2"/>
  <c r="A2293" i="2"/>
  <c r="A2287" i="2"/>
  <c r="A2281" i="2"/>
  <c r="A2275" i="2"/>
  <c r="A2269" i="2"/>
  <c r="A2263" i="2"/>
  <c r="A2257" i="2"/>
  <c r="A2251" i="2"/>
  <c r="A2245" i="2"/>
  <c r="A2239" i="2"/>
  <c r="A2233" i="2"/>
  <c r="A2227" i="2"/>
  <c r="A2221" i="2"/>
  <c r="A2215" i="2"/>
  <c r="A2209" i="2"/>
  <c r="A2203" i="2"/>
  <c r="A2197" i="2"/>
  <c r="A2191" i="2"/>
  <c r="A2185" i="2"/>
  <c r="A2179" i="2"/>
  <c r="A2173" i="2"/>
  <c r="A2167" i="2"/>
  <c r="A2161" i="2"/>
  <c r="A2155" i="2"/>
  <c r="A2149" i="2"/>
  <c r="A2143" i="2"/>
  <c r="A2137" i="2"/>
  <c r="A2131" i="2"/>
  <c r="A2125" i="2"/>
  <c r="A2119" i="2"/>
  <c r="A2113" i="2"/>
  <c r="A2107" i="2"/>
  <c r="A2101" i="2"/>
  <c r="A2095" i="2"/>
  <c r="A2089" i="2"/>
  <c r="A2083" i="2"/>
  <c r="A2077" i="2"/>
  <c r="A2071" i="2"/>
  <c r="A2065" i="2"/>
  <c r="A2059" i="2"/>
  <c r="A2053" i="2"/>
  <c r="A2047" i="2"/>
  <c r="A2041" i="2"/>
  <c r="A2035" i="2"/>
  <c r="A2029" i="2"/>
  <c r="A2023" i="2"/>
  <c r="A2017" i="2"/>
  <c r="A2011" i="2"/>
  <c r="A2005" i="2"/>
  <c r="A1999" i="2"/>
  <c r="A1993" i="2"/>
  <c r="A1987" i="2"/>
  <c r="A1981" i="2"/>
  <c r="A1975" i="2"/>
  <c r="A1969" i="2"/>
  <c r="A1963" i="2"/>
  <c r="A1957" i="2"/>
  <c r="A1951" i="2"/>
  <c r="A1945" i="2"/>
  <c r="A1939" i="2"/>
  <c r="A1933" i="2"/>
  <c r="A1927" i="2"/>
  <c r="A1921" i="2"/>
  <c r="A1915" i="2"/>
  <c r="A1909" i="2"/>
  <c r="A1903" i="2"/>
  <c r="A1897" i="2"/>
  <c r="A1891" i="2"/>
  <c r="A1885" i="2"/>
  <c r="A1879" i="2"/>
  <c r="A1873" i="2"/>
  <c r="A1867" i="2"/>
  <c r="A1861" i="2"/>
  <c r="A1855" i="2"/>
  <c r="A1849" i="2"/>
  <c r="A1843" i="2"/>
  <c r="A1837" i="2"/>
  <c r="A1831" i="2"/>
  <c r="A1825" i="2"/>
  <c r="A1819" i="2"/>
  <c r="A1813" i="2"/>
  <c r="A1807" i="2"/>
  <c r="A1801" i="2"/>
  <c r="A1795" i="2"/>
  <c r="A1789" i="2"/>
  <c r="A1783" i="2"/>
  <c r="A1777" i="2"/>
  <c r="A1771" i="2"/>
  <c r="A1765" i="2"/>
  <c r="A1759" i="2"/>
  <c r="A1753" i="2"/>
  <c r="A1747" i="2"/>
  <c r="A1741" i="2"/>
  <c r="A1735" i="2"/>
  <c r="A1729" i="2"/>
  <c r="A1723" i="2"/>
  <c r="A1717" i="2"/>
  <c r="A1711" i="2"/>
  <c r="A1705" i="2"/>
  <c r="A1699" i="2"/>
  <c r="A1693" i="2"/>
  <c r="A1687" i="2"/>
  <c r="A1681" i="2"/>
  <c r="A1675" i="2"/>
  <c r="A1669" i="2"/>
  <c r="A1663" i="2"/>
  <c r="A1657" i="2"/>
  <c r="A1651" i="2"/>
  <c r="A1645" i="2"/>
  <c r="A1639" i="2"/>
  <c r="A1633" i="2"/>
  <c r="A1627" i="2"/>
  <c r="A1621" i="2"/>
  <c r="A1615" i="2"/>
  <c r="A1609" i="2"/>
  <c r="A1603" i="2"/>
  <c r="A1597" i="2"/>
  <c r="A1591" i="2"/>
  <c r="A1585" i="2"/>
  <c r="A1579" i="2"/>
  <c r="A1573" i="2"/>
  <c r="A1567" i="2"/>
  <c r="A1561" i="2"/>
  <c r="A1555" i="2"/>
  <c r="A1549" i="2"/>
  <c r="A1543" i="2"/>
  <c r="A1537" i="2"/>
  <c r="A1531" i="2"/>
  <c r="A1525" i="2"/>
  <c r="A1519" i="2"/>
  <c r="A1513" i="2"/>
  <c r="A1507" i="2"/>
  <c r="A1501" i="2"/>
  <c r="A1495" i="2"/>
  <c r="A1489" i="2"/>
  <c r="A1483" i="2"/>
  <c r="A1477" i="2"/>
  <c r="A1471" i="2"/>
  <c r="A1465" i="2"/>
  <c r="A1459" i="2"/>
  <c r="A1453" i="2"/>
  <c r="A1447" i="2"/>
  <c r="A1441" i="2"/>
  <c r="A1435" i="2"/>
  <c r="A1429" i="2"/>
  <c r="A1423" i="2"/>
  <c r="A1417" i="2"/>
  <c r="A1411" i="2"/>
  <c r="A1405" i="2"/>
  <c r="A1399" i="2"/>
  <c r="A1393" i="2"/>
  <c r="A1387" i="2"/>
  <c r="A1381" i="2"/>
  <c r="A1375" i="2"/>
  <c r="A1369" i="2"/>
  <c r="A1363" i="2"/>
  <c r="A1357" i="2"/>
  <c r="A1351" i="2"/>
  <c r="A1345" i="2"/>
  <c r="A1339" i="2"/>
  <c r="A1333" i="2"/>
  <c r="A1327" i="2"/>
  <c r="A1321" i="2"/>
  <c r="A1315" i="2"/>
  <c r="A1309" i="2"/>
  <c r="A1303" i="2"/>
  <c r="A1297" i="2"/>
  <c r="A1291" i="2"/>
  <c r="A1285" i="2"/>
  <c r="A1279" i="2"/>
  <c r="A1273" i="2"/>
  <c r="A1267" i="2"/>
  <c r="A1261" i="2"/>
  <c r="A1255" i="2"/>
  <c r="A1249" i="2"/>
  <c r="A1243" i="2"/>
  <c r="A1237" i="2"/>
  <c r="A1231" i="2"/>
  <c r="A1225" i="2"/>
  <c r="A1219" i="2"/>
  <c r="A1213" i="2"/>
  <c r="A1207" i="2"/>
  <c r="A1201" i="2"/>
  <c r="A1195" i="2"/>
  <c r="A1189" i="2"/>
  <c r="A1183" i="2"/>
  <c r="A1177" i="2"/>
  <c r="A1171" i="2"/>
  <c r="A1165" i="2"/>
  <c r="A1159" i="2"/>
  <c r="A1153" i="2"/>
  <c r="A1147" i="2"/>
  <c r="A1141" i="2"/>
  <c r="A1135" i="2"/>
  <c r="A1129" i="2"/>
  <c r="A1123" i="2"/>
  <c r="A1117" i="2"/>
  <c r="A1111" i="2"/>
  <c r="A1105" i="2"/>
  <c r="A1099" i="2"/>
  <c r="A1093" i="2"/>
  <c r="A1087" i="2"/>
  <c r="A1081" i="2"/>
  <c r="A1075" i="2"/>
  <c r="A1069" i="2"/>
  <c r="A1063" i="2"/>
  <c r="A1057" i="2"/>
  <c r="A1051" i="2"/>
  <c r="A1045" i="2"/>
  <c r="A1039" i="2"/>
  <c r="A1033" i="2"/>
  <c r="A1027" i="2"/>
  <c r="A1021" i="2"/>
  <c r="A1015" i="2"/>
  <c r="A1009" i="2"/>
  <c r="A1003" i="2"/>
  <c r="A997" i="2"/>
  <c r="A991" i="2"/>
  <c r="A985" i="2"/>
  <c r="A979" i="2"/>
  <c r="A973" i="2"/>
  <c r="A967" i="2"/>
  <c r="A961" i="2"/>
  <c r="A955" i="2"/>
  <c r="A949" i="2"/>
  <c r="A943" i="2"/>
  <c r="A937" i="2"/>
  <c r="A931" i="2"/>
  <c r="A925" i="2"/>
  <c r="A919" i="2"/>
  <c r="A913" i="2"/>
  <c r="A907" i="2"/>
  <c r="A901" i="2"/>
  <c r="A895" i="2"/>
  <c r="A889" i="2"/>
  <c r="A883" i="2"/>
  <c r="A877" i="2"/>
  <c r="A871" i="2"/>
  <c r="A865" i="2"/>
  <c r="A859" i="2"/>
  <c r="A853" i="2"/>
  <c r="A847" i="2"/>
  <c r="A841" i="2"/>
  <c r="A835" i="2"/>
  <c r="A829" i="2"/>
  <c r="A823" i="2"/>
  <c r="A817" i="2"/>
  <c r="A811" i="2"/>
  <c r="A805" i="2"/>
  <c r="A799" i="2"/>
  <c r="A793" i="2"/>
  <c r="A787" i="2"/>
  <c r="A781" i="2"/>
  <c r="A775" i="2"/>
  <c r="A769" i="2"/>
  <c r="A763" i="2"/>
  <c r="A757" i="2"/>
  <c r="A751" i="2"/>
  <c r="A745" i="2"/>
  <c r="A739" i="2"/>
  <c r="A733" i="2"/>
  <c r="A727" i="2"/>
  <c r="A721" i="2"/>
  <c r="A715" i="2"/>
  <c r="A709" i="2"/>
  <c r="A703" i="2"/>
  <c r="A697" i="2"/>
  <c r="A691" i="2"/>
  <c r="A685" i="2"/>
  <c r="A679" i="2"/>
  <c r="A673" i="2"/>
  <c r="A667" i="2"/>
  <c r="A661" i="2"/>
  <c r="A655" i="2"/>
  <c r="A649" i="2"/>
  <c r="A643" i="2"/>
  <c r="A637" i="2"/>
  <c r="A631" i="2"/>
  <c r="A625" i="2"/>
  <c r="A619" i="2"/>
  <c r="A613" i="2"/>
  <c r="A607" i="2"/>
  <c r="A601" i="2"/>
  <c r="A595" i="2"/>
  <c r="A589" i="2"/>
  <c r="A583" i="2"/>
  <c r="A577" i="2"/>
  <c r="A571" i="2"/>
  <c r="A565" i="2"/>
  <c r="A559" i="2"/>
  <c r="A553" i="2"/>
  <c r="A547" i="2"/>
  <c r="A541" i="2"/>
  <c r="A535" i="2"/>
  <c r="A529" i="2"/>
  <c r="A523" i="2"/>
  <c r="A517" i="2"/>
  <c r="A511" i="2"/>
  <c r="A505" i="2"/>
  <c r="A499" i="2"/>
  <c r="A493" i="2"/>
  <c r="A487" i="2"/>
  <c r="A481" i="2"/>
  <c r="A475" i="2"/>
  <c r="A469" i="2"/>
  <c r="A463" i="2"/>
  <c r="A457" i="2"/>
  <c r="A451" i="2"/>
  <c r="A445" i="2"/>
  <c r="A439" i="2"/>
  <c r="A433" i="2"/>
  <c r="A427" i="2"/>
  <c r="A421" i="2"/>
  <c r="A415" i="2"/>
  <c r="A409" i="2"/>
  <c r="A403" i="2"/>
  <c r="A397" i="2"/>
  <c r="A391" i="2"/>
  <c r="A385" i="2"/>
  <c r="A379" i="2"/>
  <c r="A373" i="2"/>
  <c r="A367" i="2"/>
  <c r="A361" i="2"/>
  <c r="A355" i="2"/>
  <c r="A349" i="2"/>
  <c r="A343" i="2"/>
  <c r="A337" i="2"/>
  <c r="A331" i="2"/>
  <c r="A325" i="2"/>
  <c r="A319" i="2"/>
  <c r="A313" i="2"/>
  <c r="A307" i="2"/>
  <c r="A301" i="2"/>
  <c r="A295" i="2"/>
  <c r="A289" i="2"/>
  <c r="B1386" i="5"/>
  <c r="B526" i="5"/>
  <c r="A132" i="5"/>
  <c r="A4308" i="4"/>
  <c r="A4138" i="4"/>
  <c r="A3940" i="4"/>
  <c r="A3760" i="4"/>
  <c r="A3557" i="4"/>
  <c r="A3395" i="4"/>
  <c r="B3248" i="4"/>
  <c r="B3120" i="4"/>
  <c r="B2981" i="4"/>
  <c r="B2875" i="4"/>
  <c r="B2765" i="4"/>
  <c r="B2665" i="4"/>
  <c r="A2556" i="4"/>
  <c r="B2454" i="4"/>
  <c r="A2364" i="4"/>
  <c r="A2268" i="4"/>
  <c r="A2181" i="4"/>
  <c r="A2077" i="4"/>
  <c r="B1998" i="4"/>
  <c r="A1912" i="4"/>
  <c r="B1829" i="4"/>
  <c r="B1739" i="4"/>
  <c r="A1660" i="4"/>
  <c r="B1582" i="4"/>
  <c r="B1512" i="4"/>
  <c r="B1429" i="4"/>
  <c r="A1360" i="4"/>
  <c r="B1279" i="4"/>
  <c r="B1211" i="4"/>
  <c r="A1122" i="4"/>
  <c r="A1041" i="4"/>
  <c r="B978" i="4"/>
  <c r="B920" i="4"/>
  <c r="A875" i="4"/>
  <c r="B818" i="4"/>
  <c r="B770" i="4"/>
  <c r="A720" i="4"/>
  <c r="A673" i="4"/>
  <c r="A618" i="4"/>
  <c r="B569" i="4"/>
  <c r="A518" i="4"/>
  <c r="B472" i="4"/>
  <c r="B421" i="4"/>
  <c r="A386" i="4"/>
  <c r="A347" i="4"/>
  <c r="A312" i="4"/>
  <c r="B282" i="4"/>
  <c r="A251" i="4"/>
  <c r="A227" i="4"/>
  <c r="B203" i="4"/>
  <c r="B182" i="4"/>
  <c r="B160" i="4"/>
  <c r="A138" i="4"/>
  <c r="A117" i="4"/>
  <c r="A93" i="4"/>
  <c r="A71" i="4"/>
  <c r="B49" i="4"/>
  <c r="A27" i="4"/>
  <c r="A5" i="4"/>
  <c r="A3054" i="3"/>
  <c r="B3036" i="3"/>
  <c r="B3018" i="3"/>
  <c r="A3000" i="3"/>
  <c r="B2983" i="3"/>
  <c r="B2960" i="3"/>
  <c r="B2944" i="3"/>
  <c r="B2926" i="3"/>
  <c r="B2907" i="3"/>
  <c r="B2891" i="3"/>
  <c r="A2873" i="3"/>
  <c r="A2855" i="3"/>
  <c r="A2837" i="3"/>
  <c r="A2821" i="3"/>
  <c r="B2806" i="3"/>
  <c r="B2790" i="3"/>
  <c r="A2775" i="3"/>
  <c r="B2758" i="3"/>
  <c r="B2742" i="3"/>
  <c r="B2727" i="3"/>
  <c r="A2712" i="3"/>
  <c r="B2696" i="3"/>
  <c r="B2679" i="3"/>
  <c r="A2664" i="3"/>
  <c r="A2649" i="3"/>
  <c r="B2633" i="3"/>
  <c r="A2618" i="3"/>
  <c r="A2601" i="3"/>
  <c r="B2585" i="3"/>
  <c r="B2570" i="3"/>
  <c r="A2555" i="3"/>
  <c r="B2539" i="3"/>
  <c r="B2522" i="3"/>
  <c r="A2507" i="3"/>
  <c r="A2492" i="3"/>
  <c r="B2476" i="3"/>
  <c r="B2461" i="3"/>
  <c r="A2446" i="3"/>
  <c r="B2431" i="3"/>
  <c r="A2418" i="3"/>
  <c r="B2403" i="3"/>
  <c r="B2389" i="3"/>
  <c r="A2374" i="3"/>
  <c r="B2359" i="3"/>
  <c r="A2346" i="3"/>
  <c r="B2331" i="3"/>
  <c r="B2317" i="3"/>
  <c r="A2302" i="3"/>
  <c r="B2287" i="3"/>
  <c r="A2274" i="3"/>
  <c r="B2259" i="3"/>
  <c r="B2245" i="3"/>
  <c r="A2230" i="3"/>
  <c r="B2215" i="3"/>
  <c r="A2202" i="3"/>
  <c r="B2187" i="3"/>
  <c r="B2173" i="3"/>
  <c r="A2158" i="3"/>
  <c r="B2143" i="3"/>
  <c r="A2130" i="3"/>
  <c r="B2115" i="3"/>
  <c r="B2101" i="3"/>
  <c r="A2086" i="3"/>
  <c r="B2071" i="3"/>
  <c r="A2058" i="3"/>
  <c r="B2043" i="3"/>
  <c r="B2029" i="3"/>
  <c r="A2014" i="3"/>
  <c r="B1999" i="3"/>
  <c r="A1986" i="3"/>
  <c r="B1971" i="3"/>
  <c r="B1957" i="3"/>
  <c r="A1942" i="3"/>
  <c r="B1927" i="3"/>
  <c r="A1914" i="3"/>
  <c r="B1899" i="3"/>
  <c r="B1885" i="3"/>
  <c r="A1870" i="3"/>
  <c r="B1855" i="3"/>
  <c r="A1842" i="3"/>
  <c r="B1827" i="3"/>
  <c r="B1813" i="3"/>
  <c r="A1798" i="3"/>
  <c r="B1783" i="3"/>
  <c r="A1770" i="3"/>
  <c r="B1755" i="3"/>
  <c r="B1741" i="3"/>
  <c r="A1726" i="3"/>
  <c r="B1711" i="3"/>
  <c r="A1698" i="3"/>
  <c r="B1683" i="3"/>
  <c r="B1669" i="3"/>
  <c r="A1654" i="3"/>
  <c r="B1639" i="3"/>
  <c r="A1626" i="3"/>
  <c r="B1611" i="3"/>
  <c r="B1597" i="3"/>
  <c r="A1582" i="3"/>
  <c r="B1567" i="3"/>
  <c r="A1554" i="3"/>
  <c r="B1539" i="3"/>
  <c r="B1525" i="3"/>
  <c r="A1510" i="3"/>
  <c r="B1495" i="3"/>
  <c r="A1482" i="3"/>
  <c r="B1467" i="3"/>
  <c r="B1453" i="3"/>
  <c r="A1438" i="3"/>
  <c r="B1423" i="3"/>
  <c r="A1412" i="3"/>
  <c r="B1398" i="3"/>
  <c r="A1384" i="3"/>
  <c r="A1374" i="3"/>
  <c r="A1359" i="3"/>
  <c r="B1347" i="3"/>
  <c r="A1334" i="3"/>
  <c r="A1321" i="3"/>
  <c r="B1309" i="3"/>
  <c r="A1296" i="3"/>
  <c r="A1285" i="3"/>
  <c r="B1272" i="3"/>
  <c r="A1261" i="3"/>
  <c r="B1251" i="3"/>
  <c r="A1240" i="3"/>
  <c r="A1231" i="3"/>
  <c r="B1219" i="3"/>
  <c r="B1209" i="3"/>
  <c r="A1201" i="3"/>
  <c r="B1190" i="3"/>
  <c r="A1182" i="3"/>
  <c r="B1171" i="3"/>
  <c r="B1161" i="3"/>
  <c r="A1153" i="3"/>
  <c r="B1142" i="3"/>
  <c r="A1134" i="3"/>
  <c r="B1123" i="3"/>
  <c r="B1113" i="3"/>
  <c r="A1105" i="3"/>
  <c r="B1094" i="3"/>
  <c r="A1086" i="3"/>
  <c r="B1075" i="3"/>
  <c r="B1065" i="3"/>
  <c r="A1057" i="3"/>
  <c r="B1046" i="3"/>
  <c r="A1038" i="3"/>
  <c r="B1027" i="3"/>
  <c r="B1017" i="3"/>
  <c r="A1009" i="3"/>
  <c r="B998" i="3"/>
  <c r="A990" i="3"/>
  <c r="B979" i="3"/>
  <c r="B969" i="3"/>
  <c r="A961" i="3"/>
  <c r="B950" i="3"/>
  <c r="A942" i="3"/>
  <c r="B931" i="3"/>
  <c r="B921" i="3"/>
  <c r="A913" i="3"/>
  <c r="B902" i="3"/>
  <c r="A894" i="3"/>
  <c r="B883" i="3"/>
  <c r="B873" i="3"/>
  <c r="A865" i="3"/>
  <c r="B854" i="3"/>
  <c r="A846" i="3"/>
  <c r="B835" i="3"/>
  <c r="B825" i="3"/>
  <c r="A817" i="3"/>
  <c r="B806" i="3"/>
  <c r="A798" i="3"/>
  <c r="B787" i="3"/>
  <c r="B777" i="3"/>
  <c r="A769" i="3"/>
  <c r="B758" i="3"/>
  <c r="A750" i="3"/>
  <c r="B739" i="3"/>
  <c r="B729" i="3"/>
  <c r="A721" i="3"/>
  <c r="B710" i="3"/>
  <c r="A702" i="3"/>
  <c r="B691" i="3"/>
  <c r="B681" i="3"/>
  <c r="A673" i="3"/>
  <c r="B662" i="3"/>
  <c r="A654" i="3"/>
  <c r="B643" i="3"/>
  <c r="B633" i="3"/>
  <c r="A625" i="3"/>
  <c r="B614" i="3"/>
  <c r="A606" i="3"/>
  <c r="B595" i="3"/>
  <c r="B585" i="3"/>
  <c r="A577" i="3"/>
  <c r="B566" i="3"/>
  <c r="A558" i="3"/>
  <c r="B547" i="3"/>
  <c r="B537" i="3"/>
  <c r="A529" i="3"/>
  <c r="B518" i="3"/>
  <c r="A510" i="3"/>
  <c r="B499" i="3"/>
  <c r="B489" i="3"/>
  <c r="A481" i="3"/>
  <c r="B470" i="3"/>
  <c r="A462" i="3"/>
  <c r="B451" i="3"/>
  <c r="B441" i="3"/>
  <c r="A433" i="3"/>
  <c r="B422" i="3"/>
  <c r="A414" i="3"/>
  <c r="B403" i="3"/>
  <c r="B393" i="3"/>
  <c r="A385" i="3"/>
  <c r="B374" i="3"/>
  <c r="A366" i="3"/>
  <c r="B355" i="3"/>
  <c r="B345" i="3"/>
  <c r="A337" i="3"/>
  <c r="B326" i="3"/>
  <c r="A318" i="3"/>
  <c r="B307" i="3"/>
  <c r="B297" i="3"/>
  <c r="A289" i="3"/>
  <c r="B278" i="3"/>
  <c r="A270" i="3"/>
  <c r="B260" i="3"/>
  <c r="B252" i="3"/>
  <c r="B243" i="3"/>
  <c r="A235" i="3"/>
  <c r="A226" i="3"/>
  <c r="B217" i="3"/>
  <c r="A209" i="3"/>
  <c r="B200" i="3"/>
  <c r="A192" i="3"/>
  <c r="A183" i="3"/>
  <c r="B174" i="3"/>
  <c r="B165" i="3"/>
  <c r="B157" i="3"/>
  <c r="A148" i="3"/>
  <c r="A140" i="3"/>
  <c r="A131" i="3"/>
  <c r="B122" i="3"/>
  <c r="B114" i="3"/>
  <c r="A105" i="3"/>
  <c r="A97" i="3"/>
  <c r="B87" i="3"/>
  <c r="B79" i="3"/>
  <c r="A71" i="3"/>
  <c r="A62" i="3"/>
  <c r="A54" i="3"/>
  <c r="B44" i="3"/>
  <c r="B36" i="3"/>
  <c r="B27" i="3"/>
  <c r="A19" i="3"/>
  <c r="A10" i="3"/>
  <c r="B1" i="3"/>
  <c r="A4443" i="2"/>
  <c r="B4434" i="2"/>
  <c r="A4426" i="2"/>
  <c r="A4417" i="2"/>
  <c r="B4408" i="2"/>
  <c r="B4399" i="2"/>
  <c r="B4391" i="2"/>
  <c r="A4382" i="2"/>
  <c r="A4374" i="2"/>
  <c r="A4365" i="2"/>
  <c r="B4356" i="2"/>
  <c r="B4348" i="2"/>
  <c r="A4339" i="2"/>
  <c r="A4331" i="2"/>
  <c r="B4321" i="2"/>
  <c r="B4313" i="2"/>
  <c r="A4305" i="2"/>
  <c r="A4296" i="2"/>
  <c r="A4288" i="2"/>
  <c r="B4278" i="2"/>
  <c r="B4270" i="2"/>
  <c r="B4261" i="2"/>
  <c r="A4253" i="2"/>
  <c r="A4244" i="2"/>
  <c r="B4235" i="2"/>
  <c r="A4227" i="2"/>
  <c r="B4218" i="2"/>
  <c r="A4210" i="2"/>
  <c r="A4201" i="2"/>
  <c r="B4192" i="2"/>
  <c r="B4183" i="2"/>
  <c r="B4175" i="2"/>
  <c r="A4166" i="2"/>
  <c r="A4158" i="2"/>
  <c r="A4149" i="2"/>
  <c r="B4140" i="2"/>
  <c r="B4132" i="2"/>
  <c r="A4123" i="2"/>
  <c r="A4115" i="2"/>
  <c r="B4105" i="2"/>
  <c r="B4097" i="2"/>
  <c r="A4089" i="2"/>
  <c r="A4080" i="2"/>
  <c r="A4072" i="2"/>
  <c r="B4062" i="2"/>
  <c r="B4054" i="2"/>
  <c r="B4045" i="2"/>
  <c r="A4037" i="2"/>
  <c r="A4028" i="2"/>
  <c r="B4019" i="2"/>
  <c r="A4011" i="2"/>
  <c r="B4002" i="2"/>
  <c r="A3994" i="2"/>
  <c r="A3985" i="2"/>
  <c r="B3976" i="2"/>
  <c r="B3967" i="2"/>
  <c r="B3959" i="2"/>
  <c r="A3950" i="2"/>
  <c r="A3942" i="2"/>
  <c r="A3933" i="2"/>
  <c r="B3924" i="2"/>
  <c r="B3916" i="2"/>
  <c r="A3907" i="2"/>
  <c r="A3899" i="2"/>
  <c r="B3889" i="2"/>
  <c r="B3881" i="2"/>
  <c r="A3873" i="2"/>
  <c r="A3864" i="2"/>
  <c r="A3856" i="2"/>
  <c r="B3846" i="2"/>
  <c r="B3838" i="2"/>
  <c r="B3829" i="2"/>
  <c r="A3821" i="2"/>
  <c r="A3812" i="2"/>
  <c r="B3803" i="2"/>
  <c r="A3795" i="2"/>
  <c r="B3786" i="2"/>
  <c r="A3778" i="2"/>
  <c r="A3769" i="2"/>
  <c r="B3760" i="2"/>
  <c r="B3751" i="2"/>
  <c r="B3743" i="2"/>
  <c r="A3734" i="2"/>
  <c r="A3726" i="2"/>
  <c r="A3717" i="2"/>
  <c r="B3708" i="2"/>
  <c r="B3700" i="2"/>
  <c r="A3691" i="2"/>
  <c r="A3683" i="2"/>
  <c r="B3673" i="2"/>
  <c r="B3665" i="2"/>
  <c r="A3657" i="2"/>
  <c r="A3648" i="2"/>
  <c r="A3640" i="2"/>
  <c r="B3630" i="2"/>
  <c r="B3622" i="2"/>
  <c r="B3613" i="2"/>
  <c r="B3605" i="2"/>
  <c r="A3598" i="2"/>
  <c r="B3589" i="2"/>
  <c r="A3582" i="2"/>
  <c r="A3574" i="2"/>
  <c r="B3565" i="2"/>
  <c r="A3558" i="2"/>
  <c r="B3550" i="2"/>
  <c r="A3542" i="2"/>
  <c r="B3534" i="2"/>
  <c r="A3527" i="2"/>
  <c r="A3519" i="2"/>
  <c r="A3511" i="2"/>
  <c r="B3503" i="2"/>
  <c r="A3496" i="2"/>
  <c r="A3487" i="2"/>
  <c r="B3479" i="2"/>
  <c r="A3472" i="2"/>
  <c r="B3463" i="2"/>
  <c r="A3456" i="2"/>
  <c r="B3448" i="2"/>
  <c r="A3440" i="2"/>
  <c r="B3432" i="2"/>
  <c r="A3425" i="2"/>
  <c r="A3417" i="2"/>
  <c r="A3409" i="2"/>
  <c r="A3401" i="2"/>
  <c r="A3393" i="2"/>
  <c r="A3385" i="2"/>
  <c r="B3377" i="2"/>
  <c r="A3370" i="2"/>
  <c r="B3361" i="2"/>
  <c r="A3354" i="2"/>
  <c r="B3346" i="2"/>
  <c r="A3338" i="2"/>
  <c r="B3330" i="2"/>
  <c r="A3323" i="2"/>
  <c r="A3314" i="2"/>
  <c r="B3306" i="2"/>
  <c r="A3299" i="2"/>
  <c r="A3291" i="2"/>
  <c r="A3283" i="2"/>
  <c r="B3275" i="2"/>
  <c r="A3268" i="2"/>
  <c r="B3259" i="2"/>
  <c r="A3252" i="2"/>
  <c r="B3244" i="2"/>
  <c r="A3236" i="2"/>
  <c r="A3228" i="2"/>
  <c r="B3220" i="2"/>
  <c r="A3212" i="2"/>
  <c r="B3204" i="2"/>
  <c r="A3197" i="2"/>
  <c r="A3189" i="2"/>
  <c r="A3181" i="2"/>
  <c r="B3173" i="2"/>
  <c r="A3166" i="2"/>
  <c r="B3157" i="2"/>
  <c r="A3150" i="2"/>
  <c r="A3142" i="2"/>
  <c r="B3133" i="2"/>
  <c r="A3126" i="2"/>
  <c r="B3118" i="2"/>
  <c r="A3110" i="2"/>
  <c r="B3102" i="2"/>
  <c r="A3095" i="2"/>
  <c r="A3087" i="2"/>
  <c r="A3079" i="2"/>
  <c r="B3071" i="2"/>
  <c r="A3064" i="2"/>
  <c r="A3055" i="2"/>
  <c r="B3047" i="2"/>
  <c r="A3040" i="2"/>
  <c r="B3031" i="2"/>
  <c r="A3024" i="2"/>
  <c r="B3016" i="2"/>
  <c r="A3008" i="2"/>
  <c r="B3000" i="2"/>
  <c r="A2993" i="2"/>
  <c r="A2985" i="2"/>
  <c r="A2977" i="2"/>
  <c r="A2969" i="2"/>
  <c r="A2961" i="2"/>
  <c r="A2953" i="2"/>
  <c r="B2945" i="2"/>
  <c r="A2938" i="2"/>
  <c r="B2929" i="2"/>
  <c r="A2922" i="2"/>
  <c r="B2914" i="2"/>
  <c r="A2906" i="2"/>
  <c r="B2898" i="2"/>
  <c r="A2891" i="2"/>
  <c r="A2882" i="2"/>
  <c r="B2874" i="2"/>
  <c r="A2867" i="2"/>
  <c r="A2859" i="2"/>
  <c r="A2851" i="2"/>
  <c r="B2843" i="2"/>
  <c r="A2836" i="2"/>
  <c r="B2827" i="2"/>
  <c r="A2820" i="2"/>
  <c r="B2812" i="2"/>
  <c r="A2804" i="2"/>
  <c r="A2796" i="2"/>
  <c r="B2788" i="2"/>
  <c r="A2780" i="2"/>
  <c r="B2772" i="2"/>
  <c r="A2765" i="2"/>
  <c r="A2757" i="2"/>
  <c r="A2749" i="2"/>
  <c r="B2741" i="2"/>
  <c r="A2734" i="2"/>
  <c r="B2725" i="2"/>
  <c r="A2718" i="2"/>
  <c r="A2710" i="2"/>
  <c r="B2701" i="2"/>
  <c r="A2694" i="2"/>
  <c r="B2686" i="2"/>
  <c r="A2678" i="2"/>
  <c r="B2670" i="2"/>
  <c r="A2663" i="2"/>
  <c r="A2655" i="2"/>
  <c r="A2647" i="2"/>
  <c r="B2639" i="2"/>
  <c r="A2632" i="2"/>
  <c r="A2623" i="2"/>
  <c r="B2615" i="2"/>
  <c r="A2608" i="2"/>
  <c r="B2599" i="2"/>
  <c r="A2592" i="2"/>
  <c r="B2584" i="2"/>
  <c r="B2577" i="2"/>
  <c r="A2571" i="2"/>
  <c r="B2564" i="2"/>
  <c r="A2558" i="2"/>
  <c r="B2551" i="2"/>
  <c r="B2544" i="2"/>
  <c r="A2538" i="2"/>
  <c r="B2531" i="2"/>
  <c r="A2525" i="2"/>
  <c r="B2518" i="2"/>
  <c r="A2512" i="2"/>
  <c r="B2505" i="2"/>
  <c r="A2499" i="2"/>
  <c r="B2492" i="2"/>
  <c r="A2486" i="2"/>
  <c r="B2479" i="2"/>
  <c r="B2472" i="2"/>
  <c r="A2466" i="2"/>
  <c r="B2459" i="2"/>
  <c r="A2453" i="2"/>
  <c r="B2446" i="2"/>
  <c r="A2440" i="2"/>
  <c r="B2433" i="2"/>
  <c r="A2427" i="2"/>
  <c r="B2420" i="2"/>
  <c r="A2414" i="2"/>
  <c r="B2407" i="2"/>
  <c r="B2400" i="2"/>
  <c r="A2394" i="2"/>
  <c r="B2387" i="2"/>
  <c r="A2381" i="2"/>
  <c r="B2374" i="2"/>
  <c r="A2368" i="2"/>
  <c r="B2361" i="2"/>
  <c r="A2355" i="2"/>
  <c r="B2348" i="2"/>
  <c r="A2342" i="2"/>
  <c r="B2335" i="2"/>
  <c r="B2328" i="2"/>
  <c r="A2322" i="2"/>
  <c r="B2315" i="2"/>
  <c r="A2309" i="2"/>
  <c r="B2302" i="2"/>
  <c r="A2296" i="2"/>
  <c r="B2289" i="2"/>
  <c r="A2283" i="2"/>
  <c r="B2276" i="2"/>
  <c r="A2270" i="2"/>
  <c r="B2263" i="2"/>
  <c r="B2256" i="2"/>
  <c r="A2250" i="2"/>
  <c r="B2243" i="2"/>
  <c r="A2237" i="2"/>
  <c r="B2230" i="2"/>
  <c r="A2224" i="2"/>
  <c r="B2217" i="2"/>
  <c r="A2211" i="2"/>
  <c r="B2204" i="2"/>
  <c r="A2198" i="2"/>
  <c r="B2191" i="2"/>
  <c r="B2184" i="2"/>
  <c r="A2178" i="2"/>
  <c r="B2171" i="2"/>
  <c r="A2165" i="2"/>
  <c r="B2158" i="2"/>
  <c r="A2152" i="2"/>
  <c r="B2145" i="2"/>
  <c r="A2139" i="2"/>
  <c r="B2132" i="2"/>
  <c r="A2126" i="2"/>
  <c r="B2119" i="2"/>
  <c r="B2112" i="2"/>
  <c r="A2106" i="2"/>
  <c r="B2099" i="2"/>
  <c r="A2093" i="2"/>
  <c r="B2086" i="2"/>
  <c r="A2080" i="2"/>
  <c r="B2073" i="2"/>
  <c r="A2067" i="2"/>
  <c r="B2060" i="2"/>
  <c r="A2054" i="2"/>
  <c r="B2047" i="2"/>
  <c r="B2040" i="2"/>
  <c r="A2034" i="2"/>
  <c r="B2027" i="2"/>
  <c r="A2021" i="2"/>
  <c r="B2014" i="2"/>
  <c r="A2008" i="2"/>
  <c r="B2001" i="2"/>
  <c r="A1995" i="2"/>
  <c r="B1988" i="2"/>
  <c r="A1982" i="2"/>
  <c r="B1975" i="2"/>
  <c r="B1968" i="2"/>
  <c r="A1962" i="2"/>
  <c r="B1955" i="2"/>
  <c r="A1949" i="2"/>
  <c r="B1942" i="2"/>
  <c r="A1936" i="2"/>
  <c r="B1929" i="2"/>
  <c r="A1923" i="2"/>
  <c r="B1916" i="2"/>
  <c r="A1910" i="2"/>
  <c r="B1903" i="2"/>
  <c r="B1896" i="2"/>
  <c r="A1890" i="2"/>
  <c r="B1883" i="2"/>
  <c r="A1877" i="2"/>
  <c r="B1870" i="2"/>
  <c r="A1864" i="2"/>
  <c r="B1857" i="2"/>
  <c r="A1851" i="2"/>
  <c r="B1844" i="2"/>
  <c r="A1838" i="2"/>
  <c r="B1831" i="2"/>
  <c r="B1824" i="2"/>
  <c r="A1818" i="2"/>
  <c r="B1811" i="2"/>
  <c r="A1805" i="2"/>
  <c r="B1798" i="2"/>
  <c r="A1792" i="2"/>
  <c r="B1785" i="2"/>
  <c r="A1779" i="2"/>
  <c r="B1772" i="2"/>
  <c r="A1766" i="2"/>
  <c r="B1759" i="2"/>
  <c r="B1752" i="2"/>
  <c r="A1746" i="2"/>
  <c r="B1739" i="2"/>
  <c r="A1733" i="2"/>
  <c r="B1726" i="2"/>
  <c r="A1720" i="2"/>
  <c r="B1713" i="2"/>
  <c r="A1707" i="2"/>
  <c r="B1700" i="2"/>
  <c r="A1694" i="2"/>
  <c r="B1687" i="2"/>
  <c r="B1680" i="2"/>
  <c r="A1674" i="2"/>
  <c r="B1667" i="2"/>
  <c r="A1661" i="2"/>
  <c r="B1654" i="2"/>
  <c r="A1648" i="2"/>
  <c r="B1641" i="2"/>
  <c r="A1635" i="2"/>
  <c r="B1628" i="2"/>
  <c r="A1622" i="2"/>
  <c r="B1615" i="2"/>
  <c r="B1608" i="2"/>
  <c r="A1602" i="2"/>
  <c r="B1595" i="2"/>
  <c r="A1589" i="2"/>
  <c r="B1582" i="2"/>
  <c r="A1576" i="2"/>
  <c r="B1569" i="2"/>
  <c r="A1563" i="2"/>
  <c r="B1556" i="2"/>
  <c r="A1550" i="2"/>
  <c r="B1543" i="2"/>
  <c r="B1536" i="2"/>
  <c r="A1530" i="2"/>
  <c r="B1523" i="2"/>
  <c r="A1517" i="2"/>
  <c r="B1510" i="2"/>
  <c r="A1504" i="2"/>
  <c r="B1497" i="2"/>
  <c r="A1491" i="2"/>
  <c r="B1484" i="2"/>
  <c r="A1478" i="2"/>
  <c r="B1471" i="2"/>
  <c r="B1464" i="2"/>
  <c r="A1458" i="2"/>
  <c r="B1451" i="2"/>
  <c r="A1445" i="2"/>
  <c r="B1438" i="2"/>
  <c r="A1432" i="2"/>
  <c r="B1425" i="2"/>
  <c r="A1419" i="2"/>
  <c r="B1412" i="2"/>
  <c r="A1406" i="2"/>
  <c r="B1399" i="2"/>
  <c r="B1392" i="2"/>
  <c r="A1386" i="2"/>
  <c r="B1379" i="2"/>
  <c r="A1373" i="2"/>
  <c r="B1366" i="2"/>
  <c r="A1360" i="2"/>
  <c r="B1353" i="2"/>
  <c r="A1347" i="2"/>
  <c r="B1340" i="2"/>
  <c r="A1334" i="2"/>
  <c r="B1327" i="2"/>
  <c r="B1320" i="2"/>
  <c r="A1314" i="2"/>
  <c r="B1307" i="2"/>
  <c r="A1301" i="2"/>
  <c r="B1294" i="2"/>
  <c r="A1288" i="2"/>
  <c r="B1281" i="2"/>
  <c r="A1275" i="2"/>
  <c r="B1268" i="2"/>
  <c r="A1262" i="2"/>
  <c r="B1255" i="2"/>
  <c r="B1248" i="2"/>
  <c r="A1242" i="2"/>
  <c r="B1235" i="2"/>
  <c r="A1229" i="2"/>
  <c r="B1222" i="2"/>
  <c r="A1216" i="2"/>
  <c r="B1209" i="2"/>
  <c r="A1203" i="2"/>
  <c r="B1196" i="2"/>
  <c r="A1190" i="2"/>
  <c r="B1183" i="2"/>
  <c r="B1176" i="2"/>
  <c r="A1170" i="2"/>
  <c r="B1163" i="2"/>
  <c r="A1157" i="2"/>
  <c r="B1150" i="2"/>
  <c r="A1144" i="2"/>
  <c r="B1137" i="2"/>
  <c r="A1131" i="2"/>
  <c r="B1124" i="2"/>
  <c r="A1118" i="2"/>
  <c r="B1111" i="2"/>
  <c r="B1104" i="2"/>
  <c r="A1098" i="2"/>
  <c r="B1091" i="2"/>
  <c r="A1085" i="2"/>
  <c r="B1078" i="2"/>
  <c r="A1072" i="2"/>
  <c r="B1065" i="2"/>
  <c r="A1059" i="2"/>
  <c r="B1052" i="2"/>
  <c r="A1046" i="2"/>
  <c r="B1039" i="2"/>
  <c r="B1032" i="2"/>
  <c r="A1026" i="2"/>
  <c r="B1019" i="2"/>
  <c r="A1013" i="2"/>
  <c r="B1006" i="2"/>
  <c r="A1000" i="2"/>
  <c r="B993" i="2"/>
  <c r="A987" i="2"/>
  <c r="B980" i="2"/>
  <c r="A974" i="2"/>
  <c r="B967" i="2"/>
  <c r="B960" i="2"/>
  <c r="A954" i="2"/>
  <c r="B947" i="2"/>
  <c r="A941" i="2"/>
  <c r="B934" i="2"/>
  <c r="A928" i="2"/>
  <c r="B921" i="2"/>
  <c r="A915" i="2"/>
  <c r="B908" i="2"/>
  <c r="A902" i="2"/>
  <c r="B895" i="2"/>
  <c r="B888" i="2"/>
  <c r="A882" i="2"/>
  <c r="B875" i="2"/>
  <c r="A869" i="2"/>
  <c r="B862" i="2"/>
  <c r="A856" i="2"/>
  <c r="B849" i="2"/>
  <c r="A843" i="2"/>
  <c r="B836" i="2"/>
  <c r="A830" i="2"/>
  <c r="B823" i="2"/>
  <c r="B816" i="2"/>
  <c r="A810" i="2"/>
  <c r="B803" i="2"/>
  <c r="A797" i="2"/>
  <c r="B790" i="2"/>
  <c r="A784" i="2"/>
  <c r="B777" i="2"/>
  <c r="A771" i="2"/>
  <c r="B764" i="2"/>
  <c r="A758" i="2"/>
  <c r="B751" i="2"/>
  <c r="B744" i="2"/>
  <c r="A738" i="2"/>
  <c r="B731" i="2"/>
  <c r="A725" i="2"/>
  <c r="B718" i="2"/>
  <c r="A712" i="2"/>
  <c r="B705" i="2"/>
  <c r="A699" i="2"/>
  <c r="B692" i="2"/>
  <c r="A686" i="2"/>
  <c r="B679" i="2"/>
  <c r="B672" i="2"/>
  <c r="A666" i="2"/>
  <c r="B659" i="2"/>
  <c r="A653" i="2"/>
  <c r="B646" i="2"/>
  <c r="A640" i="2"/>
  <c r="B633" i="2"/>
  <c r="A627" i="2"/>
  <c r="B620" i="2"/>
  <c r="A614" i="2"/>
  <c r="B607" i="2"/>
  <c r="B600" i="2"/>
  <c r="A594" i="2"/>
  <c r="B587" i="2"/>
  <c r="A581" i="2"/>
  <c r="B574" i="2"/>
  <c r="A568" i="2"/>
  <c r="B561" i="2"/>
  <c r="A555" i="2"/>
  <c r="B548" i="2"/>
  <c r="A542" i="2"/>
  <c r="B535" i="2"/>
  <c r="B528" i="2"/>
  <c r="A522" i="2"/>
  <c r="B515" i="2"/>
  <c r="A509" i="2"/>
  <c r="B502" i="2"/>
  <c r="A496" i="2"/>
  <c r="B489" i="2"/>
  <c r="A483" i="2"/>
  <c r="B476" i="2"/>
  <c r="A470" i="2"/>
  <c r="B463" i="2"/>
  <c r="B456" i="2"/>
  <c r="A450" i="2"/>
  <c r="B443" i="2"/>
  <c r="A437" i="2"/>
  <c r="B430" i="2"/>
  <c r="A424" i="2"/>
  <c r="B417" i="2"/>
  <c r="A411" i="2"/>
  <c r="B404" i="2"/>
  <c r="A398" i="2"/>
  <c r="B391" i="2"/>
  <c r="B384" i="2"/>
  <c r="A378" i="2"/>
  <c r="B371" i="2"/>
  <c r="A365" i="2"/>
  <c r="B358" i="2"/>
  <c r="A352" i="2"/>
  <c r="B345" i="2"/>
  <c r="A339" i="2"/>
  <c r="B332" i="2"/>
  <c r="A326" i="2"/>
  <c r="B319" i="2"/>
  <c r="B312" i="2"/>
  <c r="A306" i="2"/>
  <c r="B299" i="2"/>
  <c r="A293" i="2"/>
  <c r="B286" i="2"/>
  <c r="B280" i="2"/>
  <c r="B274" i="2"/>
  <c r="B268" i="2"/>
  <c r="B262" i="2"/>
  <c r="B256" i="2"/>
  <c r="B250" i="2"/>
  <c r="B244" i="2"/>
  <c r="B238" i="2"/>
  <c r="B232" i="2"/>
  <c r="B226" i="2"/>
  <c r="B220" i="2"/>
  <c r="B214" i="2"/>
  <c r="B208" i="2"/>
  <c r="B202" i="2"/>
  <c r="B196" i="2"/>
  <c r="B190" i="2"/>
  <c r="B184" i="2"/>
  <c r="B178" i="2"/>
  <c r="B172" i="2"/>
  <c r="B166" i="2"/>
  <c r="B160" i="2"/>
  <c r="B154" i="2"/>
  <c r="B148" i="2"/>
  <c r="B142" i="2"/>
  <c r="B136" i="2"/>
  <c r="B130" i="2"/>
  <c r="B124" i="2"/>
  <c r="B118" i="2"/>
  <c r="B112" i="2"/>
  <c r="B106" i="2"/>
  <c r="B100" i="2"/>
  <c r="B94" i="2"/>
  <c r="B88" i="2"/>
  <c r="B82" i="2"/>
  <c r="B76" i="2"/>
  <c r="B70" i="2"/>
  <c r="B64" i="2"/>
  <c r="B58" i="2"/>
  <c r="B52" i="2"/>
  <c r="B46" i="2"/>
  <c r="B40" i="2"/>
  <c r="B34" i="2"/>
  <c r="B28" i="2"/>
  <c r="B22" i="2"/>
  <c r="B16" i="2"/>
  <c r="B10" i="2"/>
  <c r="B4" i="2"/>
  <c r="A2100" i="1"/>
  <c r="A2028" i="1"/>
  <c r="B2077" i="1"/>
  <c r="B2005" i="1"/>
  <c r="A2071" i="1"/>
  <c r="B2126" i="1"/>
  <c r="B2054" i="1"/>
  <c r="A2114" i="1"/>
  <c r="A2042" i="1"/>
  <c r="B2091" i="1"/>
  <c r="B2019" i="1"/>
  <c r="A2049" i="1"/>
  <c r="B1949" i="1"/>
  <c r="B1877" i="1"/>
  <c r="B1805" i="1"/>
  <c r="B1733" i="1"/>
  <c r="B1661" i="1"/>
  <c r="B1589" i="1"/>
  <c r="B2080" i="1"/>
  <c r="A1967" i="1"/>
  <c r="A1895" i="1"/>
  <c r="A1823" i="1"/>
  <c r="A1751" i="1"/>
  <c r="A1679" i="1"/>
  <c r="A1607" i="1"/>
  <c r="A2056" i="1"/>
  <c r="B1950" i="1"/>
  <c r="B1878" i="1"/>
  <c r="B1806" i="1"/>
  <c r="B1734" i="1"/>
  <c r="B1662" i="1"/>
  <c r="B1590" i="1"/>
  <c r="B2075" i="1"/>
  <c r="A1974" i="1"/>
  <c r="A1902" i="1"/>
  <c r="A1830" i="1"/>
  <c r="A1758" i="1"/>
  <c r="A1686" i="1"/>
  <c r="A1614" i="1"/>
  <c r="A1542" i="1"/>
  <c r="A2002" i="1"/>
  <c r="B1927" i="1"/>
  <c r="B1855" i="1"/>
  <c r="B1783" i="1"/>
  <c r="B1711" i="1"/>
  <c r="B1639" i="1"/>
  <c r="B2118" i="1"/>
  <c r="A1975" i="1"/>
  <c r="A1903" i="1"/>
  <c r="A1831" i="1"/>
  <c r="A1759" i="1"/>
  <c r="A1687" i="1"/>
  <c r="A1615" i="1"/>
  <c r="A2127" i="1"/>
  <c r="B1928" i="1"/>
  <c r="B1784" i="1"/>
  <c r="B1640" i="1"/>
  <c r="A1519" i="1"/>
  <c r="A1447" i="1"/>
  <c r="A1375" i="1"/>
  <c r="A1303" i="1"/>
  <c r="B2098" i="1"/>
  <c r="A1916" i="1"/>
  <c r="A1772" i="1"/>
  <c r="A1628" i="1"/>
  <c r="B1520" i="1"/>
  <c r="B1448" i="1"/>
  <c r="B1376" i="1"/>
  <c r="B1304" i="1"/>
  <c r="A2098" i="1"/>
  <c r="B1899" i="1"/>
  <c r="B1755" i="1"/>
  <c r="B1611" i="1"/>
  <c r="A1514" i="1"/>
  <c r="A1442" i="1"/>
  <c r="A1370" i="1"/>
  <c r="A1298" i="1"/>
  <c r="B2003" i="1"/>
  <c r="A1863" i="1"/>
  <c r="B1148" i="5"/>
  <c r="B483" i="5"/>
  <c r="B52" i="5"/>
  <c r="B4307" i="4"/>
  <c r="A4132" i="4"/>
  <c r="B3923" i="4"/>
  <c r="A3731" i="4"/>
  <c r="A3553" i="4"/>
  <c r="B3394" i="4"/>
  <c r="A3248" i="4"/>
  <c r="A3119" i="4"/>
  <c r="A2952" i="4"/>
  <c r="B2848" i="4"/>
  <c r="B2730" i="4"/>
  <c r="B2638" i="4"/>
  <c r="A2542" i="4"/>
  <c r="B2449" i="4"/>
  <c r="A2350" i="4"/>
  <c r="B2260" i="4"/>
  <c r="B2179" i="4"/>
  <c r="B2076" i="4"/>
  <c r="B1981" i="4"/>
  <c r="B1903" i="4"/>
  <c r="A1828" i="4"/>
  <c r="A1739" i="4"/>
  <c r="B1659" i="4"/>
  <c r="B1577" i="4"/>
  <c r="A1511" i="4"/>
  <c r="A1429" i="4"/>
  <c r="A1357" i="4"/>
  <c r="A1258" i="4"/>
  <c r="A1187" i="4"/>
  <c r="A1108" i="4"/>
  <c r="B1039" i="4"/>
  <c r="A978" i="4"/>
  <c r="A918" i="4"/>
  <c r="B864" i="4"/>
  <c r="A818" i="4"/>
  <c r="A770" i="4"/>
  <c r="B719" i="4"/>
  <c r="B672" i="4"/>
  <c r="A617" i="4"/>
  <c r="A569" i="4"/>
  <c r="B517" i="4"/>
  <c r="A472" i="4"/>
  <c r="A421" i="4"/>
  <c r="B375" i="4"/>
  <c r="A336" i="4"/>
  <c r="A304" i="4"/>
  <c r="B275" i="4"/>
  <c r="A250" i="4"/>
  <c r="A226" i="4"/>
  <c r="A203" i="4"/>
  <c r="B181" i="4"/>
  <c r="A160" i="4"/>
  <c r="A136" i="4"/>
  <c r="A113" i="4"/>
  <c r="B91" i="4"/>
  <c r="A70" i="4"/>
  <c r="A48" i="4"/>
  <c r="B26" i="4"/>
  <c r="A4" i="4"/>
  <c r="B3053" i="3"/>
  <c r="A3036" i="3"/>
  <c r="A3018" i="3"/>
  <c r="B2996" i="3"/>
  <c r="A2978" i="3"/>
  <c r="A2960" i="3"/>
  <c r="B2943" i="3"/>
  <c r="B2925" i="3"/>
  <c r="A2907" i="3"/>
  <c r="B2888" i="3"/>
  <c r="B2872" i="3"/>
  <c r="B2854" i="3"/>
  <c r="B2836" i="3"/>
  <c r="B2820" i="3"/>
  <c r="A2803" i="3"/>
  <c r="B2788" i="3"/>
  <c r="B2774" i="3"/>
  <c r="B2757" i="3"/>
  <c r="A2742" i="3"/>
  <c r="B2724" i="3"/>
  <c r="B2709" i="3"/>
  <c r="A2696" i="3"/>
  <c r="A2679" i="3"/>
  <c r="B2663" i="3"/>
  <c r="A2646" i="3"/>
  <c r="A2631" i="3"/>
  <c r="B2617" i="3"/>
  <c r="B2600" i="3"/>
  <c r="A2585" i="3"/>
  <c r="B2567" i="3"/>
  <c r="B2552" i="3"/>
  <c r="A2539" i="3"/>
  <c r="A2522" i="3"/>
  <c r="B2506" i="3"/>
  <c r="A2489" i="3"/>
  <c r="A2474" i="3"/>
  <c r="A2461" i="3"/>
  <c r="B2445" i="3"/>
  <c r="A2431" i="3"/>
  <c r="A2415" i="3"/>
  <c r="B2401" i="3"/>
  <c r="A2389" i="3"/>
  <c r="B2373" i="3"/>
  <c r="A2359" i="3"/>
  <c r="A2343" i="3"/>
  <c r="B2329" i="3"/>
  <c r="A2317" i="3"/>
  <c r="B2301" i="3"/>
  <c r="A2287" i="3"/>
  <c r="A2271" i="3"/>
  <c r="B2257" i="3"/>
  <c r="A2245" i="3"/>
  <c r="B2229" i="3"/>
  <c r="A2215" i="3"/>
  <c r="A2199" i="3"/>
  <c r="B2185" i="3"/>
  <c r="A2173" i="3"/>
  <c r="B2157" i="3"/>
  <c r="A2143" i="3"/>
  <c r="A2127" i="3"/>
  <c r="B2113" i="3"/>
  <c r="A2101" i="3"/>
  <c r="B2085" i="3"/>
  <c r="B1049" i="5"/>
  <c r="B411" i="5"/>
  <c r="A25" i="5"/>
  <c r="A4240" i="4"/>
  <c r="A4048" i="4"/>
  <c r="A3874" i="4"/>
  <c r="A3664" i="4"/>
  <c r="B3498" i="4"/>
  <c r="A3334" i="4"/>
  <c r="B3196" i="4"/>
  <c r="B3056" i="4"/>
  <c r="A2939" i="4"/>
  <c r="A2824" i="4"/>
  <c r="A2728" i="4"/>
  <c r="B2617" i="4"/>
  <c r="B2530" i="4"/>
  <c r="B2434" i="4"/>
  <c r="A2343" i="4"/>
  <c r="B2242" i="4"/>
  <c r="A2151" i="4"/>
  <c r="B2045" i="4"/>
  <c r="B1959" i="4"/>
  <c r="B1881" i="4"/>
  <c r="B1786" i="4"/>
  <c r="B1708" i="4"/>
  <c r="B1625" i="4"/>
  <c r="B1557" i="4"/>
  <c r="A1474" i="4"/>
  <c r="A1403" i="4"/>
  <c r="A1324" i="4"/>
  <c r="B1254" i="4"/>
  <c r="A1171" i="4"/>
  <c r="B1102" i="4"/>
  <c r="A1023" i="4"/>
  <c r="A966" i="4"/>
  <c r="B906" i="4"/>
  <c r="A860" i="4"/>
  <c r="B816" i="4"/>
  <c r="A749" i="4"/>
  <c r="B702" i="4"/>
  <c r="A647" i="4"/>
  <c r="B600" i="4"/>
  <c r="B547" i="4"/>
  <c r="B500" i="4"/>
  <c r="B448" i="4"/>
  <c r="A408" i="4"/>
  <c r="A368" i="4"/>
  <c r="B334" i="4"/>
  <c r="A297" i="4"/>
  <c r="B269" i="4"/>
  <c r="A245" i="4"/>
  <c r="A221" i="4"/>
  <c r="B198" i="4"/>
  <c r="A177" i="4"/>
  <c r="A155" i="4"/>
  <c r="B127" i="4"/>
  <c r="A106" i="4"/>
  <c r="A84" i="4"/>
  <c r="B62" i="4"/>
  <c r="B40" i="4"/>
  <c r="A18" i="4"/>
  <c r="B3066" i="3"/>
  <c r="B3046" i="3"/>
  <c r="B3029" i="3"/>
  <c r="B3011" i="3"/>
  <c r="A2993" i="3"/>
  <c r="B2976" i="3"/>
  <c r="B2958" i="3"/>
  <c r="A2940" i="3"/>
  <c r="A2922" i="3"/>
  <c r="A2905" i="3"/>
  <c r="A2887" i="3"/>
  <c r="A2869" i="3"/>
  <c r="B2847" i="3"/>
  <c r="B2832" i="3"/>
  <c r="B2816" i="3"/>
  <c r="B2801" i="3"/>
  <c r="B2784" i="3"/>
  <c r="B2768" i="3"/>
  <c r="A2754" i="3"/>
  <c r="A2738" i="3"/>
  <c r="A2723" i="3"/>
  <c r="A2706" i="3"/>
  <c r="A2690" i="3"/>
  <c r="B2675" i="3"/>
  <c r="B2659" i="3"/>
  <c r="B2644" i="3"/>
  <c r="B2627" i="3"/>
  <c r="B2611" i="3"/>
  <c r="A2597" i="3"/>
  <c r="A2581" i="3"/>
  <c r="B2565" i="3"/>
  <c r="A2549" i="3"/>
  <c r="A2533" i="3"/>
  <c r="B2518" i="3"/>
  <c r="B2502" i="3"/>
  <c r="A2487" i="3"/>
  <c r="B2470" i="3"/>
  <c r="B2455" i="3"/>
  <c r="A2442" i="3"/>
  <c r="B2427" i="3"/>
  <c r="B2413" i="3"/>
  <c r="A2398" i="3"/>
  <c r="B2383" i="3"/>
  <c r="A2370" i="3"/>
  <c r="B2355" i="3"/>
  <c r="B2341" i="3"/>
  <c r="A2326" i="3"/>
  <c r="B2311" i="3"/>
  <c r="A2298" i="3"/>
  <c r="B2283" i="3"/>
  <c r="B2269" i="3"/>
  <c r="A2254" i="3"/>
  <c r="B2239" i="3"/>
  <c r="A2226" i="3"/>
  <c r="B2211" i="3"/>
  <c r="B2197" i="3"/>
  <c r="A2182" i="3"/>
  <c r="B2167" i="3"/>
  <c r="A2154" i="3"/>
  <c r="B2139" i="3"/>
  <c r="B2125" i="3"/>
  <c r="A2110" i="3"/>
  <c r="B2095" i="3"/>
  <c r="A2082" i="3"/>
  <c r="B2067" i="3"/>
  <c r="B2053" i="3"/>
  <c r="A2038" i="3"/>
  <c r="B2023" i="3"/>
  <c r="A2010" i="3"/>
  <c r="B1995" i="3"/>
  <c r="B1981" i="3"/>
  <c r="A1966" i="3"/>
  <c r="B1951" i="3"/>
  <c r="A1938" i="3"/>
  <c r="B1923" i="3"/>
  <c r="B1909" i="3"/>
  <c r="A1894" i="3"/>
  <c r="B1879" i="3"/>
  <c r="A1866" i="3"/>
  <c r="B1851" i="3"/>
  <c r="B1837" i="3"/>
  <c r="A1822" i="3"/>
  <c r="B1807" i="3"/>
  <c r="A1794" i="3"/>
  <c r="B1779" i="3"/>
  <c r="B1765" i="3"/>
  <c r="A1750" i="3"/>
  <c r="B1735" i="3"/>
  <c r="A1722" i="3"/>
  <c r="B1707" i="3"/>
  <c r="B1693" i="3"/>
  <c r="A1678" i="3"/>
  <c r="B1663" i="3"/>
  <c r="A1650" i="3"/>
  <c r="B1635" i="3"/>
  <c r="B1621" i="3"/>
  <c r="A1606" i="3"/>
  <c r="B1591" i="3"/>
  <c r="A1578" i="3"/>
  <c r="B1563" i="3"/>
  <c r="B1549" i="3"/>
  <c r="A1534" i="3"/>
  <c r="B1519" i="3"/>
  <c r="A1506" i="3"/>
  <c r="B1491" i="3"/>
  <c r="B1477" i="3"/>
  <c r="A1462" i="3"/>
  <c r="B1447" i="3"/>
  <c r="A1434" i="3"/>
  <c r="B1419" i="3"/>
  <c r="B1406" i="3"/>
  <c r="B1393" i="3"/>
  <c r="B1381" i="3"/>
  <c r="B1368" i="3"/>
  <c r="B1356" i="3"/>
  <c r="A1342" i="3"/>
  <c r="A1329" i="3"/>
  <c r="A1317" i="3"/>
  <c r="A1304" i="3"/>
  <c r="A1292" i="3"/>
  <c r="A1280" i="3"/>
  <c r="A1268" i="3"/>
  <c r="A1258" i="3"/>
  <c r="A1247" i="3"/>
  <c r="B1237" i="3"/>
  <c r="B1226" i="3"/>
  <c r="A1216" i="3"/>
  <c r="A1207" i="3"/>
  <c r="A1197" i="3"/>
  <c r="A1188" i="3"/>
  <c r="A1178" i="3"/>
  <c r="A1168" i="3"/>
  <c r="A1159" i="3"/>
  <c r="A1149" i="3"/>
  <c r="A1140" i="3"/>
  <c r="A1130" i="3"/>
  <c r="A1120" i="3"/>
  <c r="A1111" i="3"/>
  <c r="A1101" i="3"/>
  <c r="A1092" i="3"/>
  <c r="A1082" i="3"/>
  <c r="A1072" i="3"/>
  <c r="A1063" i="3"/>
  <c r="A1053" i="3"/>
  <c r="A1044" i="3"/>
  <c r="A1034" i="3"/>
  <c r="A1024" i="3"/>
  <c r="A1015" i="3"/>
  <c r="A1005" i="3"/>
  <c r="A996" i="3"/>
  <c r="A986" i="3"/>
  <c r="A976" i="3"/>
  <c r="A967" i="3"/>
  <c r="A957" i="3"/>
  <c r="A948" i="3"/>
  <c r="A938" i="3"/>
  <c r="A928" i="3"/>
  <c r="A919" i="3"/>
  <c r="A909" i="3"/>
  <c r="A900" i="3"/>
  <c r="A890" i="3"/>
  <c r="A880" i="3"/>
  <c r="A871" i="3"/>
  <c r="A861" i="3"/>
  <c r="A852" i="3"/>
  <c r="A842" i="3"/>
  <c r="A832" i="3"/>
  <c r="A823" i="3"/>
  <c r="A813" i="3"/>
  <c r="A804" i="3"/>
  <c r="A794" i="3"/>
  <c r="A784" i="3"/>
  <c r="A775" i="3"/>
  <c r="A765" i="3"/>
  <c r="A756" i="3"/>
  <c r="A746" i="3"/>
  <c r="A736" i="3"/>
  <c r="A727" i="3"/>
  <c r="A717" i="3"/>
  <c r="A708" i="3"/>
  <c r="A698" i="3"/>
  <c r="A688" i="3"/>
  <c r="A679" i="3"/>
  <c r="A669" i="3"/>
  <c r="A660" i="3"/>
  <c r="A650" i="3"/>
  <c r="A640" i="3"/>
  <c r="A631" i="3"/>
  <c r="A621" i="3"/>
  <c r="A612" i="3"/>
  <c r="A602" i="3"/>
  <c r="A592" i="3"/>
  <c r="A583" i="3"/>
  <c r="A573" i="3"/>
  <c r="A564" i="3"/>
  <c r="A554" i="3"/>
  <c r="A544" i="3"/>
  <c r="A535" i="3"/>
  <c r="A525" i="3"/>
  <c r="A516" i="3"/>
  <c r="A506" i="3"/>
  <c r="A496" i="3"/>
  <c r="A487" i="3"/>
  <c r="A477" i="3"/>
  <c r="A468" i="3"/>
  <c r="A458" i="3"/>
  <c r="A448" i="3"/>
  <c r="A439" i="3"/>
  <c r="A429" i="3"/>
  <c r="A420" i="3"/>
  <c r="A410" i="3"/>
  <c r="A400" i="3"/>
  <c r="A391" i="3"/>
  <c r="A381" i="3"/>
  <c r="A372" i="3"/>
  <c r="A362" i="3"/>
  <c r="A352" i="3"/>
  <c r="A343" i="3"/>
  <c r="A333" i="3"/>
  <c r="A324" i="3"/>
  <c r="A314" i="3"/>
  <c r="A304" i="3"/>
  <c r="A295" i="3"/>
  <c r="A285" i="3"/>
  <c r="A276" i="3"/>
  <c r="B266" i="3"/>
  <c r="B258" i="3"/>
  <c r="A249" i="3"/>
  <c r="A241" i="3"/>
  <c r="B231" i="3"/>
  <c r="B223" i="3"/>
  <c r="A215" i="3"/>
  <c r="A206" i="3"/>
  <c r="A198" i="3"/>
  <c r="B188" i="3"/>
  <c r="B180" i="3"/>
  <c r="B171" i="3"/>
  <c r="A163" i="3"/>
  <c r="A154" i="3"/>
  <c r="B145" i="3"/>
  <c r="A137" i="3"/>
  <c r="B128" i="3"/>
  <c r="A120" i="3"/>
  <c r="A111" i="3"/>
  <c r="B102" i="3"/>
  <c r="B93" i="3"/>
  <c r="B85" i="3"/>
  <c r="A76" i="3"/>
  <c r="A68" i="3"/>
  <c r="A59" i="3"/>
  <c r="B50" i="3"/>
  <c r="B42" i="3"/>
  <c r="A33" i="3"/>
  <c r="A25" i="3"/>
  <c r="B15" i="3"/>
  <c r="B7" i="3"/>
  <c r="A4449" i="2"/>
  <c r="A4440" i="2"/>
  <c r="A4432" i="2"/>
  <c r="B4422" i="2"/>
  <c r="B4414" i="2"/>
  <c r="B4405" i="2"/>
  <c r="A4397" i="2"/>
  <c r="A4388" i="2"/>
  <c r="B4379" i="2"/>
  <c r="A4371" i="2"/>
  <c r="B4362" i="2"/>
  <c r="A4354" i="2"/>
  <c r="A4345" i="2"/>
  <c r="B4336" i="2"/>
  <c r="B4327" i="2"/>
  <c r="B4319" i="2"/>
  <c r="A4310" i="2"/>
  <c r="A4302" i="2"/>
  <c r="A4293" i="2"/>
  <c r="B4284" i="2"/>
  <c r="B4276" i="2"/>
  <c r="A4267" i="2"/>
  <c r="A4259" i="2"/>
  <c r="B4249" i="2"/>
  <c r="B4241" i="2"/>
  <c r="A4233" i="2"/>
  <c r="A4224" i="2"/>
  <c r="A4216" i="2"/>
  <c r="B4206" i="2"/>
  <c r="B4198" i="2"/>
  <c r="B4189" i="2"/>
  <c r="A4181" i="2"/>
  <c r="A4172" i="2"/>
  <c r="B4163" i="2"/>
  <c r="A4155" i="2"/>
  <c r="B4146" i="2"/>
  <c r="A4138" i="2"/>
  <c r="A4129" i="2"/>
  <c r="B4120" i="2"/>
  <c r="B4111" i="2"/>
  <c r="B4103" i="2"/>
  <c r="A4094" i="2"/>
  <c r="A4086" i="2"/>
  <c r="A4077" i="2"/>
  <c r="B4068" i="2"/>
  <c r="B4060" i="2"/>
  <c r="A4051" i="2"/>
  <c r="A4043" i="2"/>
  <c r="B4033" i="2"/>
  <c r="B4025" i="2"/>
  <c r="A4017" i="2"/>
  <c r="A4008" i="2"/>
  <c r="A4000" i="2"/>
  <c r="B3990" i="2"/>
  <c r="B3982" i="2"/>
  <c r="B3973" i="2"/>
  <c r="A3965" i="2"/>
  <c r="A3956" i="2"/>
  <c r="B3947" i="2"/>
  <c r="A3939" i="2"/>
  <c r="B3930" i="2"/>
  <c r="A3922" i="2"/>
  <c r="A3913" i="2"/>
  <c r="B3904" i="2"/>
  <c r="B3895" i="2"/>
  <c r="B3887" i="2"/>
  <c r="A3878" i="2"/>
  <c r="A3870" i="2"/>
  <c r="A3861" i="2"/>
  <c r="B3852" i="2"/>
  <c r="B3844" i="2"/>
  <c r="A3835" i="2"/>
  <c r="A3827" i="2"/>
  <c r="B3817" i="2"/>
  <c r="B3809" i="2"/>
  <c r="A3801" i="2"/>
  <c r="A3792" i="2"/>
  <c r="A3784" i="2"/>
  <c r="B3774" i="2"/>
  <c r="B3766" i="2"/>
  <c r="B3757" i="2"/>
  <c r="A3749" i="2"/>
  <c r="A3740" i="2"/>
  <c r="B3731" i="2"/>
  <c r="A3723" i="2"/>
  <c r="B3714" i="2"/>
  <c r="A3706" i="2"/>
  <c r="A3697" i="2"/>
  <c r="B3688" i="2"/>
  <c r="B3679" i="2"/>
  <c r="B3671" i="2"/>
  <c r="A3662" i="2"/>
  <c r="A3654" i="2"/>
  <c r="A3645" i="2"/>
  <c r="B3636" i="2"/>
  <c r="B3628" i="2"/>
  <c r="A3619" i="2"/>
  <c r="A3611" i="2"/>
  <c r="A3602" i="2"/>
  <c r="B3594" i="2"/>
  <c r="A3587" i="2"/>
  <c r="A3579" i="2"/>
  <c r="A3571" i="2"/>
  <c r="B3563" i="2"/>
  <c r="A3556" i="2"/>
  <c r="B3547" i="2"/>
  <c r="A3540" i="2"/>
  <c r="B3532" i="2"/>
  <c r="A3524" i="2"/>
  <c r="A3516" i="2"/>
  <c r="B3508" i="2"/>
  <c r="A3500" i="2"/>
  <c r="B3492" i="2"/>
  <c r="A3485" i="2"/>
  <c r="A3477" i="2"/>
  <c r="A3469" i="2"/>
  <c r="B3461" i="2"/>
  <c r="A3454" i="2"/>
  <c r="B3445" i="2"/>
  <c r="A3438" i="2"/>
  <c r="A3430" i="2"/>
  <c r="B3421" i="2"/>
  <c r="A3414" i="2"/>
  <c r="B3406" i="2"/>
  <c r="A3398" i="2"/>
  <c r="B3390" i="2"/>
  <c r="A3383" i="2"/>
  <c r="A3375" i="2"/>
  <c r="A3367" i="2"/>
  <c r="B3359" i="2"/>
  <c r="A3352" i="2"/>
  <c r="A3343" i="2"/>
  <c r="B3335" i="2"/>
  <c r="A3328" i="2"/>
  <c r="B3319" i="2"/>
  <c r="A3312" i="2"/>
  <c r="B3304" i="2"/>
  <c r="A3296" i="2"/>
  <c r="B3288" i="2"/>
  <c r="A3281" i="2"/>
  <c r="A3273" i="2"/>
  <c r="A3265" i="2"/>
  <c r="A3257" i="2"/>
  <c r="A3249" i="2"/>
  <c r="A3241" i="2"/>
  <c r="B3233" i="2"/>
  <c r="A3226" i="2"/>
  <c r="B3217" i="2"/>
  <c r="A3210" i="2"/>
  <c r="B3202" i="2"/>
  <c r="A3194" i="2"/>
  <c r="B3186" i="2"/>
  <c r="A3179" i="2"/>
  <c r="A3170" i="2"/>
  <c r="B3162" i="2"/>
  <c r="A3155" i="2"/>
  <c r="A3147" i="2"/>
  <c r="A3139" i="2"/>
  <c r="B3131" i="2"/>
  <c r="A3124" i="2"/>
  <c r="B3115" i="2"/>
  <c r="A3108" i="2"/>
  <c r="B3100" i="2"/>
  <c r="A3092" i="2"/>
  <c r="A3084" i="2"/>
  <c r="B3076" i="2"/>
  <c r="A3068" i="2"/>
  <c r="B3060" i="2"/>
  <c r="A3053" i="2"/>
  <c r="A3045" i="2"/>
  <c r="A3037" i="2"/>
  <c r="B3029" i="2"/>
  <c r="A3022" i="2"/>
  <c r="B3013" i="2"/>
  <c r="A3006" i="2"/>
  <c r="A2998" i="2"/>
  <c r="B2989" i="2"/>
  <c r="A2982" i="2"/>
  <c r="B2974" i="2"/>
  <c r="A2966" i="2"/>
  <c r="B2958" i="2"/>
  <c r="A2951" i="2"/>
  <c r="A2943" i="2"/>
  <c r="A2935" i="2"/>
  <c r="B2927" i="2"/>
  <c r="A2920" i="2"/>
  <c r="A2911" i="2"/>
  <c r="B2903" i="2"/>
  <c r="A2896" i="2"/>
  <c r="B2887" i="2"/>
  <c r="A2880" i="2"/>
  <c r="B2872" i="2"/>
  <c r="A2864" i="2"/>
  <c r="B2856" i="2"/>
  <c r="A2849" i="2"/>
  <c r="A2841" i="2"/>
  <c r="A2833" i="2"/>
  <c r="A2825" i="2"/>
  <c r="A2817" i="2"/>
  <c r="A2809" i="2"/>
  <c r="B2801" i="2"/>
  <c r="A2794" i="2"/>
  <c r="B2785" i="2"/>
  <c r="A2778" i="2"/>
  <c r="B2770" i="2"/>
  <c r="A2762" i="2"/>
  <c r="B2754" i="2"/>
  <c r="A2747" i="2"/>
  <c r="A2738" i="2"/>
  <c r="B2730" i="2"/>
  <c r="A2723" i="2"/>
  <c r="A2715" i="2"/>
  <c r="A2707" i="2"/>
  <c r="B2699" i="2"/>
  <c r="A2692" i="2"/>
  <c r="B2683" i="2"/>
  <c r="A2676" i="2"/>
  <c r="B2668" i="2"/>
  <c r="A2660" i="2"/>
  <c r="A2652" i="2"/>
  <c r="B2644" i="2"/>
  <c r="A2636" i="2"/>
  <c r="B2628" i="2"/>
  <c r="A2621" i="2"/>
  <c r="A2613" i="2"/>
  <c r="A2605" i="2"/>
  <c r="B2597" i="2"/>
  <c r="A2590" i="2"/>
  <c r="A2582" i="2"/>
  <c r="B2575" i="2"/>
  <c r="B2568" i="2"/>
  <c r="A2562" i="2"/>
  <c r="B2555" i="2"/>
  <c r="A2549" i="2"/>
  <c r="B2542" i="2"/>
  <c r="A2536" i="2"/>
  <c r="B2529" i="2"/>
  <c r="A2523" i="2"/>
  <c r="B2516" i="2"/>
  <c r="A2510" i="2"/>
  <c r="B2503" i="2"/>
  <c r="B2496" i="2"/>
  <c r="A2490" i="2"/>
  <c r="B2483" i="2"/>
  <c r="A2477" i="2"/>
  <c r="B2470" i="2"/>
  <c r="A2464" i="2"/>
  <c r="B2457" i="2"/>
  <c r="A2451" i="2"/>
  <c r="B2444" i="2"/>
  <c r="A2438" i="2"/>
  <c r="B2431" i="2"/>
  <c r="B2424" i="2"/>
  <c r="A2418" i="2"/>
  <c r="B2411" i="2"/>
  <c r="A2405" i="2"/>
  <c r="B2398" i="2"/>
  <c r="A2392" i="2"/>
  <c r="B2385" i="2"/>
  <c r="A2379" i="2"/>
  <c r="B2372" i="2"/>
  <c r="A2366" i="2"/>
  <c r="B2359" i="2"/>
  <c r="B2352" i="2"/>
  <c r="A2346" i="2"/>
  <c r="B2339" i="2"/>
  <c r="A2333" i="2"/>
  <c r="B2326" i="2"/>
  <c r="A2320" i="2"/>
  <c r="B2313" i="2"/>
  <c r="A2307" i="2"/>
  <c r="B2300" i="2"/>
  <c r="A2294" i="2"/>
  <c r="B2287" i="2"/>
  <c r="B2280" i="2"/>
  <c r="A2274" i="2"/>
  <c r="B2267" i="2"/>
  <c r="A2261" i="2"/>
  <c r="B2254" i="2"/>
  <c r="A2248" i="2"/>
  <c r="B2241" i="2"/>
  <c r="A2235" i="2"/>
  <c r="B2228" i="2"/>
  <c r="A2222" i="2"/>
  <c r="B2215" i="2"/>
  <c r="B2208" i="2"/>
  <c r="A2202" i="2"/>
  <c r="B2195" i="2"/>
  <c r="A2189" i="2"/>
  <c r="B2182" i="2"/>
  <c r="A2176" i="2"/>
  <c r="B2169" i="2"/>
  <c r="A2163" i="2"/>
  <c r="B2156" i="2"/>
  <c r="A2150" i="2"/>
  <c r="B2143" i="2"/>
  <c r="B2136" i="2"/>
  <c r="A2130" i="2"/>
  <c r="B2123" i="2"/>
  <c r="A2117" i="2"/>
  <c r="B2110" i="2"/>
  <c r="A2104" i="2"/>
  <c r="B2097" i="2"/>
  <c r="A2091" i="2"/>
  <c r="B2084" i="2"/>
  <c r="A2078" i="2"/>
  <c r="B2071" i="2"/>
  <c r="B2064" i="2"/>
  <c r="A2058" i="2"/>
  <c r="B2051" i="2"/>
  <c r="A2045" i="2"/>
  <c r="B2038" i="2"/>
  <c r="A2032" i="2"/>
  <c r="B2025" i="2"/>
  <c r="A2019" i="2"/>
  <c r="B2012" i="2"/>
  <c r="A2006" i="2"/>
  <c r="B1999" i="2"/>
  <c r="B1992" i="2"/>
  <c r="A1986" i="2"/>
  <c r="B1979" i="2"/>
  <c r="A1973" i="2"/>
  <c r="B1966" i="2"/>
  <c r="A1960" i="2"/>
  <c r="B1953" i="2"/>
  <c r="A1947" i="2"/>
  <c r="B1940" i="2"/>
  <c r="A1934" i="2"/>
  <c r="B1927" i="2"/>
  <c r="B1920" i="2"/>
  <c r="A1914" i="2"/>
  <c r="B1907" i="2"/>
  <c r="A1901" i="2"/>
  <c r="B1894" i="2"/>
  <c r="A1888" i="2"/>
  <c r="B1881" i="2"/>
  <c r="A1875" i="2"/>
  <c r="B1868" i="2"/>
  <c r="A1862" i="2"/>
  <c r="B1855" i="2"/>
  <c r="B1848" i="2"/>
  <c r="A1842" i="2"/>
  <c r="B1835" i="2"/>
  <c r="A1829" i="2"/>
  <c r="B1822" i="2"/>
  <c r="A1816" i="2"/>
  <c r="B1809" i="2"/>
  <c r="A1803" i="2"/>
  <c r="B1796" i="2"/>
  <c r="A1790" i="2"/>
  <c r="B1783" i="2"/>
  <c r="B1776" i="2"/>
  <c r="A1770" i="2"/>
  <c r="B1763" i="2"/>
  <c r="A1757" i="2"/>
  <c r="B1750" i="2"/>
  <c r="A1744" i="2"/>
  <c r="B1737" i="2"/>
  <c r="A1731" i="2"/>
  <c r="B1724" i="2"/>
  <c r="A1718" i="2"/>
  <c r="B1711" i="2"/>
  <c r="B1704" i="2"/>
  <c r="A1698" i="2"/>
  <c r="B1691" i="2"/>
  <c r="A1685" i="2"/>
  <c r="B1678" i="2"/>
  <c r="A1672" i="2"/>
  <c r="B1665" i="2"/>
  <c r="A1659" i="2"/>
  <c r="B1652" i="2"/>
  <c r="A1646" i="2"/>
  <c r="B1639" i="2"/>
  <c r="B1632" i="2"/>
  <c r="A1626" i="2"/>
  <c r="B1619" i="2"/>
  <c r="A1613" i="2"/>
  <c r="B1606" i="2"/>
  <c r="A1600" i="2"/>
  <c r="B1593" i="2"/>
  <c r="A1587" i="2"/>
  <c r="B1580" i="2"/>
  <c r="A1574" i="2"/>
  <c r="B1567" i="2"/>
  <c r="B1560" i="2"/>
  <c r="A1554" i="2"/>
  <c r="B1547" i="2"/>
  <c r="A1541" i="2"/>
  <c r="B1534" i="2"/>
  <c r="A1528" i="2"/>
  <c r="B1521" i="2"/>
  <c r="A1515" i="2"/>
  <c r="B1508" i="2"/>
  <c r="A1502" i="2"/>
  <c r="B1495" i="2"/>
  <c r="B1488" i="2"/>
  <c r="A1482" i="2"/>
  <c r="B1475" i="2"/>
  <c r="A1469" i="2"/>
  <c r="B1462" i="2"/>
  <c r="A1456" i="2"/>
  <c r="B1449" i="2"/>
  <c r="A1443" i="2"/>
  <c r="B1436" i="2"/>
  <c r="A1430" i="2"/>
  <c r="B1423" i="2"/>
  <c r="B1416" i="2"/>
  <c r="A1410" i="2"/>
  <c r="B1403" i="2"/>
  <c r="A1397" i="2"/>
  <c r="B1390" i="2"/>
  <c r="A1384" i="2"/>
  <c r="B1377" i="2"/>
  <c r="A1371" i="2"/>
  <c r="B1364" i="2"/>
  <c r="A1358" i="2"/>
  <c r="B1351" i="2"/>
  <c r="B1344" i="2"/>
  <c r="A1338" i="2"/>
  <c r="B1331" i="2"/>
  <c r="A1325" i="2"/>
  <c r="B1318" i="2"/>
  <c r="A1312" i="2"/>
  <c r="B1305" i="2"/>
  <c r="A1299" i="2"/>
  <c r="B1292" i="2"/>
  <c r="A1286" i="2"/>
  <c r="B1279" i="2"/>
  <c r="B1272" i="2"/>
  <c r="A1266" i="2"/>
  <c r="B1259" i="2"/>
  <c r="A1253" i="2"/>
  <c r="B1246" i="2"/>
  <c r="A1240" i="2"/>
  <c r="B1233" i="2"/>
  <c r="A1227" i="2"/>
  <c r="B1220" i="2"/>
  <c r="A1214" i="2"/>
  <c r="B1207" i="2"/>
  <c r="B1200" i="2"/>
  <c r="A1194" i="2"/>
  <c r="B1187" i="2"/>
  <c r="A1181" i="2"/>
  <c r="B1174" i="2"/>
  <c r="A1168" i="2"/>
  <c r="B1161" i="2"/>
  <c r="A1155" i="2"/>
  <c r="B1148" i="2"/>
  <c r="A1142" i="2"/>
  <c r="B1135" i="2"/>
  <c r="B1128" i="2"/>
  <c r="A1122" i="2"/>
  <c r="B1115" i="2"/>
  <c r="A1109" i="2"/>
  <c r="B1102" i="2"/>
  <c r="A1096" i="2"/>
  <c r="B1089" i="2"/>
  <c r="A1083" i="2"/>
  <c r="B1076" i="2"/>
  <c r="A1070" i="2"/>
  <c r="B1063" i="2"/>
  <c r="B1056" i="2"/>
  <c r="A1050" i="2"/>
  <c r="B1043" i="2"/>
  <c r="A1037" i="2"/>
  <c r="B1030" i="2"/>
  <c r="A1024" i="2"/>
  <c r="B1017" i="2"/>
  <c r="A1011" i="2"/>
  <c r="B1004" i="2"/>
  <c r="A998" i="2"/>
  <c r="B991" i="2"/>
  <c r="B984" i="2"/>
  <c r="A978" i="2"/>
  <c r="B971" i="2"/>
  <c r="A965" i="2"/>
  <c r="B958" i="2"/>
  <c r="A952" i="2"/>
  <c r="B945" i="2"/>
  <c r="A939" i="2"/>
  <c r="B932" i="2"/>
  <c r="A926" i="2"/>
  <c r="B919" i="2"/>
  <c r="B912" i="2"/>
  <c r="A906" i="2"/>
  <c r="B899" i="2"/>
  <c r="A893" i="2"/>
  <c r="B886" i="2"/>
  <c r="A880" i="2"/>
  <c r="B873" i="2"/>
  <c r="A867" i="2"/>
  <c r="B860" i="2"/>
  <c r="A854" i="2"/>
  <c r="B847" i="2"/>
  <c r="B840" i="2"/>
  <c r="A834" i="2"/>
  <c r="B827" i="2"/>
  <c r="A821" i="2"/>
  <c r="B814" i="2"/>
  <c r="A808" i="2"/>
  <c r="B801" i="2"/>
  <c r="A795" i="2"/>
  <c r="B788" i="2"/>
  <c r="A782" i="2"/>
  <c r="B775" i="2"/>
  <c r="B768" i="2"/>
  <c r="A762" i="2"/>
  <c r="B755" i="2"/>
  <c r="A749" i="2"/>
  <c r="B742" i="2"/>
  <c r="A736" i="2"/>
  <c r="B729" i="2"/>
  <c r="A723" i="2"/>
  <c r="B716" i="2"/>
  <c r="A710" i="2"/>
  <c r="B703" i="2"/>
  <c r="B696" i="2"/>
  <c r="A690" i="2"/>
  <c r="B683" i="2"/>
  <c r="A677" i="2"/>
  <c r="B670" i="2"/>
  <c r="A664" i="2"/>
  <c r="B657" i="2"/>
  <c r="A651" i="2"/>
  <c r="B644" i="2"/>
  <c r="A638" i="2"/>
  <c r="B787" i="5"/>
  <c r="B357" i="5"/>
  <c r="B4424" i="4"/>
  <c r="B4239" i="4"/>
  <c r="B4031" i="4"/>
  <c r="A3869" i="4"/>
  <c r="B3663" i="4"/>
  <c r="B3497" i="4"/>
  <c r="B3330" i="4"/>
  <c r="A3192" i="4"/>
  <c r="B3054" i="4"/>
  <c r="A2938" i="4"/>
  <c r="A2822" i="4"/>
  <c r="A2726" i="4"/>
  <c r="A2615" i="4"/>
  <c r="A2529" i="4"/>
  <c r="A2433" i="4"/>
  <c r="A2341" i="4"/>
  <c r="A2231" i="4"/>
  <c r="A2127" i="4"/>
  <c r="A2044" i="4"/>
  <c r="A1957" i="4"/>
  <c r="B1879" i="4"/>
  <c r="A1785" i="4"/>
  <c r="A1705" i="4"/>
  <c r="A1625" i="4"/>
  <c r="B1555" i="4"/>
  <c r="B1473" i="4"/>
  <c r="A1401" i="4"/>
  <c r="A1323" i="4"/>
  <c r="B1253" i="4"/>
  <c r="B1170" i="4"/>
  <c r="A1101" i="4"/>
  <c r="A1022" i="4"/>
  <c r="A947" i="4"/>
  <c r="B902" i="4"/>
  <c r="B847" i="4"/>
  <c r="B799" i="4"/>
  <c r="B748" i="4"/>
  <c r="B701" i="4"/>
  <c r="B646" i="4"/>
  <c r="B598" i="4"/>
  <c r="A547" i="4"/>
  <c r="A500" i="4"/>
  <c r="B447" i="4"/>
  <c r="B406" i="4"/>
  <c r="B367" i="4"/>
  <c r="A334" i="4"/>
  <c r="B296" i="4"/>
  <c r="B268" i="4"/>
  <c r="B244" i="4"/>
  <c r="B220" i="4"/>
  <c r="A198" i="4"/>
  <c r="A171" i="4"/>
  <c r="B148" i="4"/>
  <c r="B126" i="4"/>
  <c r="B105" i="4"/>
  <c r="B83" i="4"/>
  <c r="B61" i="4"/>
  <c r="B39" i="4"/>
  <c r="B17" i="4"/>
  <c r="A3066" i="3"/>
  <c r="B3045" i="3"/>
  <c r="A3029" i="3"/>
  <c r="B3010" i="3"/>
  <c r="B2992" i="3"/>
  <c r="B2974" i="3"/>
  <c r="A2958" i="3"/>
  <c r="B2939" i="3"/>
  <c r="A2918" i="3"/>
  <c r="A2900" i="3"/>
  <c r="A2882" i="3"/>
  <c r="B2865" i="3"/>
  <c r="A2847" i="3"/>
  <c r="A2829" i="3"/>
  <c r="B2814" i="3"/>
  <c r="A2801" i="3"/>
  <c r="A2784" i="3"/>
  <c r="A2768" i="3"/>
  <c r="B2750" i="3"/>
  <c r="A2736" i="3"/>
  <c r="B2722" i="3"/>
  <c r="B2705" i="3"/>
  <c r="B2689" i="3"/>
  <c r="A2672" i="3"/>
  <c r="B2657" i="3"/>
  <c r="B2643" i="3"/>
  <c r="A2627" i="3"/>
  <c r="A2611" i="3"/>
  <c r="B2593" i="3"/>
  <c r="A2579" i="3"/>
  <c r="A2565" i="3"/>
  <c r="B2548" i="3"/>
  <c r="B2532" i="3"/>
  <c r="A2515" i="3"/>
  <c r="B2500" i="3"/>
  <c r="B2486" i="3"/>
  <c r="B2469" i="3"/>
  <c r="A2455" i="3"/>
  <c r="A2439" i="3"/>
  <c r="B2425" i="3"/>
  <c r="A2413" i="3"/>
  <c r="B2397" i="3"/>
  <c r="A2383" i="3"/>
  <c r="A2367" i="3"/>
  <c r="B2353" i="3"/>
  <c r="A2341" i="3"/>
  <c r="B2325" i="3"/>
  <c r="A2311" i="3"/>
  <c r="A2295" i="3"/>
  <c r="B2281" i="3"/>
  <c r="A2269" i="3"/>
  <c r="B2253" i="3"/>
  <c r="A2239" i="3"/>
  <c r="A2223" i="3"/>
  <c r="B2209" i="3"/>
  <c r="A2197" i="3"/>
  <c r="B2181" i="3"/>
  <c r="A2167" i="3"/>
  <c r="A2151" i="3"/>
  <c r="B2137" i="3"/>
  <c r="A2125" i="3"/>
  <c r="B2109" i="3"/>
  <c r="A2095" i="3"/>
  <c r="A2079" i="3"/>
  <c r="B2065" i="3"/>
  <c r="A2053" i="3"/>
  <c r="B2037" i="3"/>
  <c r="A2023" i="3"/>
  <c r="A2007" i="3"/>
  <c r="B1993" i="3"/>
  <c r="A1981" i="3"/>
  <c r="B1965" i="3"/>
  <c r="A1951" i="3"/>
  <c r="A1935" i="3"/>
  <c r="B1921" i="3"/>
  <c r="A1909" i="3"/>
  <c r="B1893" i="3"/>
  <c r="A1879" i="3"/>
  <c r="A1863" i="3"/>
  <c r="B1849" i="3"/>
  <c r="A1837" i="3"/>
  <c r="B1821" i="3"/>
  <c r="A1807" i="3"/>
  <c r="A1791" i="3"/>
  <c r="B1777" i="3"/>
  <c r="A1765" i="3"/>
  <c r="B1749" i="3"/>
  <c r="A1735" i="3"/>
  <c r="A1719" i="3"/>
  <c r="B1705" i="3"/>
  <c r="A1693" i="3"/>
  <c r="B1677" i="3"/>
  <c r="A1663" i="3"/>
  <c r="A1647" i="3"/>
  <c r="B1633" i="3"/>
  <c r="A1621" i="3"/>
  <c r="B1605" i="3"/>
  <c r="A1591" i="3"/>
  <c r="A1575" i="3"/>
  <c r="B1561" i="3"/>
  <c r="A1549" i="3"/>
  <c r="B1533" i="3"/>
  <c r="A1519" i="3"/>
  <c r="A1503" i="3"/>
  <c r="B1489" i="3"/>
  <c r="A1477" i="3"/>
  <c r="B1461" i="3"/>
  <c r="A1447" i="3"/>
  <c r="A1431" i="3"/>
  <c r="B1417" i="3"/>
  <c r="A1406" i="3"/>
  <c r="A1393" i="3"/>
  <c r="A1381" i="3"/>
  <c r="A1366" i="3"/>
  <c r="A1353" i="3"/>
  <c r="B1341" i="3"/>
  <c r="B1328" i="3"/>
  <c r="B1316" i="3"/>
  <c r="A1303" i="3"/>
  <c r="A1290" i="3"/>
  <c r="B1279" i="3"/>
  <c r="B1267" i="3"/>
  <c r="B1257" i="3"/>
  <c r="A1246" i="3"/>
  <c r="A1235" i="3"/>
  <c r="A1226" i="3"/>
  <c r="B1215" i="3"/>
  <c r="B1206" i="3"/>
  <c r="A1196" i="3"/>
  <c r="A1186" i="3"/>
  <c r="B1177" i="3"/>
  <c r="B1167" i="3"/>
  <c r="B1158" i="3"/>
  <c r="A1148" i="3"/>
  <c r="A1138" i="3"/>
  <c r="B1129" i="3"/>
  <c r="B1119" i="3"/>
  <c r="B1110" i="3"/>
  <c r="A1100" i="3"/>
  <c r="A1090" i="3"/>
  <c r="B1081" i="3"/>
  <c r="B1071" i="3"/>
  <c r="B1062" i="3"/>
  <c r="A1052" i="3"/>
  <c r="A1042" i="3"/>
  <c r="B1033" i="3"/>
  <c r="B1023" i="3"/>
  <c r="B1014" i="3"/>
  <c r="A1004" i="3"/>
  <c r="A994" i="3"/>
  <c r="B985" i="3"/>
  <c r="B975" i="3"/>
  <c r="B966" i="3"/>
  <c r="A956" i="3"/>
  <c r="A946" i="3"/>
  <c r="B937" i="3"/>
  <c r="B927" i="3"/>
  <c r="B918" i="3"/>
  <c r="A908" i="3"/>
  <c r="A898" i="3"/>
  <c r="B889" i="3"/>
  <c r="B879" i="3"/>
  <c r="B870" i="3"/>
  <c r="A860" i="3"/>
  <c r="A850" i="3"/>
  <c r="B841" i="3"/>
  <c r="B831" i="3"/>
  <c r="B822" i="3"/>
  <c r="A812" i="3"/>
  <c r="A802" i="3"/>
  <c r="B793" i="3"/>
  <c r="B783" i="3"/>
  <c r="B774" i="3"/>
  <c r="A764" i="3"/>
  <c r="A754" i="3"/>
  <c r="B745" i="3"/>
  <c r="B735" i="3"/>
  <c r="B726" i="3"/>
  <c r="A716" i="3"/>
  <c r="A706" i="3"/>
  <c r="B697" i="3"/>
  <c r="B687" i="3"/>
  <c r="B678" i="3"/>
  <c r="A668" i="3"/>
  <c r="A658" i="3"/>
  <c r="B649" i="3"/>
  <c r="B639" i="3"/>
  <c r="B630" i="3"/>
  <c r="A620" i="3"/>
  <c r="A610" i="3"/>
  <c r="B601" i="3"/>
  <c r="B591" i="3"/>
  <c r="B582" i="3"/>
  <c r="A572" i="3"/>
  <c r="A562" i="3"/>
  <c r="B553" i="3"/>
  <c r="B543" i="3"/>
  <c r="B534" i="3"/>
  <c r="A524" i="3"/>
  <c r="A514" i="3"/>
  <c r="B505" i="3"/>
  <c r="B495" i="3"/>
  <c r="B486" i="3"/>
  <c r="A476" i="3"/>
  <c r="A466" i="3"/>
  <c r="B457" i="3"/>
  <c r="B447" i="3"/>
  <c r="B438" i="3"/>
  <c r="A428" i="3"/>
  <c r="A418" i="3"/>
  <c r="B409" i="3"/>
  <c r="B399" i="3"/>
  <c r="B390" i="3"/>
  <c r="A380" i="3"/>
  <c r="A370" i="3"/>
  <c r="B361" i="3"/>
  <c r="B351" i="3"/>
  <c r="B342" i="3"/>
  <c r="A332" i="3"/>
  <c r="A322" i="3"/>
  <c r="B313" i="3"/>
  <c r="B303" i="3"/>
  <c r="B294" i="3"/>
  <c r="A284" i="3"/>
  <c r="A274" i="3"/>
  <c r="A266" i="3"/>
  <c r="A258" i="3"/>
  <c r="B248" i="3"/>
  <c r="A240" i="3"/>
  <c r="A231" i="3"/>
  <c r="A223" i="3"/>
  <c r="A214" i="3"/>
  <c r="B205" i="3"/>
  <c r="A196" i="3"/>
  <c r="A188" i="3"/>
  <c r="A180" i="3"/>
  <c r="A171" i="3"/>
  <c r="B162" i="3"/>
  <c r="A153" i="3"/>
  <c r="A145" i="3"/>
  <c r="A136" i="3"/>
  <c r="A128" i="3"/>
  <c r="A119" i="3"/>
  <c r="A110" i="3"/>
  <c r="A102" i="3"/>
  <c r="A93" i="3"/>
  <c r="A85" i="3"/>
  <c r="B75" i="3"/>
  <c r="A67" i="3"/>
  <c r="A58" i="3"/>
  <c r="A50" i="3"/>
  <c r="A42" i="3"/>
  <c r="B32" i="3"/>
  <c r="A24" i="3"/>
  <c r="A15" i="3"/>
  <c r="A7" i="3"/>
  <c r="A4448" i="2"/>
  <c r="B4439" i="2"/>
  <c r="A4430" i="2"/>
  <c r="A4422" i="2"/>
  <c r="A4414" i="2"/>
  <c r="A4405" i="2"/>
  <c r="B4396" i="2"/>
  <c r="A4387" i="2"/>
  <c r="A4379" i="2"/>
  <c r="A4370" i="2"/>
  <c r="A4362" i="2"/>
  <c r="A4353" i="2"/>
  <c r="A4344" i="2"/>
  <c r="A4336" i="2"/>
  <c r="A4327" i="2"/>
  <c r="A4319" i="2"/>
  <c r="B4309" i="2"/>
  <c r="A4301" i="2"/>
  <c r="A4292" i="2"/>
  <c r="A4284" i="2"/>
  <c r="A4276" i="2"/>
  <c r="B4266" i="2"/>
  <c r="A4258" i="2"/>
  <c r="A4249" i="2"/>
  <c r="A4241" i="2"/>
  <c r="A4232" i="2"/>
  <c r="B4223" i="2"/>
  <c r="A4214" i="2"/>
  <c r="A4206" i="2"/>
  <c r="A4198" i="2"/>
  <c r="A4189" i="2"/>
  <c r="B4180" i="2"/>
  <c r="A4171" i="2"/>
  <c r="A4163" i="2"/>
  <c r="A4154" i="2"/>
  <c r="A4146" i="2"/>
  <c r="A4137" i="2"/>
  <c r="A4128" i="2"/>
  <c r="A4120" i="2"/>
  <c r="A4111" i="2"/>
  <c r="A4103" i="2"/>
  <c r="B4093" i="2"/>
  <c r="A4085" i="2"/>
  <c r="A4076" i="2"/>
  <c r="A4068" i="2"/>
  <c r="A4060" i="2"/>
  <c r="B4050" i="2"/>
  <c r="A4042" i="2"/>
  <c r="A4033" i="2"/>
  <c r="A4025" i="2"/>
  <c r="A4016" i="2"/>
  <c r="B4007" i="2"/>
  <c r="A3998" i="2"/>
  <c r="A3990" i="2"/>
  <c r="A3982" i="2"/>
  <c r="A3973" i="2"/>
  <c r="B3964" i="2"/>
  <c r="A3955" i="2"/>
  <c r="A3947" i="2"/>
  <c r="A3938" i="2"/>
  <c r="A3930" i="2"/>
  <c r="A3921" i="2"/>
  <c r="A3912" i="2"/>
  <c r="A3904" i="2"/>
  <c r="A3895" i="2"/>
  <c r="A3887" i="2"/>
  <c r="B3877" i="2"/>
  <c r="A3869" i="2"/>
  <c r="A3860" i="2"/>
  <c r="A3852" i="2"/>
  <c r="A3844" i="2"/>
  <c r="B3834" i="2"/>
  <c r="A3826" i="2"/>
  <c r="A3817" i="2"/>
  <c r="A3809" i="2"/>
  <c r="A3800" i="2"/>
  <c r="B3791" i="2"/>
  <c r="A3782" i="2"/>
  <c r="A3774" i="2"/>
  <c r="A3766" i="2"/>
  <c r="A3757" i="2"/>
  <c r="B3748" i="2"/>
  <c r="A3739" i="2"/>
  <c r="A3731" i="2"/>
  <c r="A3722" i="2"/>
  <c r="A3714" i="2"/>
  <c r="A3705" i="2"/>
  <c r="A3696" i="2"/>
  <c r="A3688" i="2"/>
  <c r="A3679" i="2"/>
  <c r="A3671" i="2"/>
  <c r="B3661" i="2"/>
  <c r="A3653" i="2"/>
  <c r="A3644" i="2"/>
  <c r="A3636" i="2"/>
  <c r="A3628" i="2"/>
  <c r="B3618" i="2"/>
  <c r="A3610" i="2"/>
  <c r="B3601" i="2"/>
  <c r="A3594" i="2"/>
  <c r="B3586" i="2"/>
  <c r="A3578" i="2"/>
  <c r="B3570" i="2"/>
  <c r="A3563" i="2"/>
  <c r="A3555" i="2"/>
  <c r="A3547" i="2"/>
  <c r="B3539" i="2"/>
  <c r="A3532" i="2"/>
  <c r="A3523" i="2"/>
  <c r="B3515" i="2"/>
  <c r="A3508" i="2"/>
  <c r="B3499" i="2"/>
  <c r="A3492" i="2"/>
  <c r="B3484" i="2"/>
  <c r="A3476" i="2"/>
  <c r="B3468" i="2"/>
  <c r="A3461" i="2"/>
  <c r="A3453" i="2"/>
  <c r="A3445" i="2"/>
  <c r="A3437" i="2"/>
  <c r="A3429" i="2"/>
  <c r="A3421" i="2"/>
  <c r="B3413" i="2"/>
  <c r="A3406" i="2"/>
  <c r="B3397" i="2"/>
  <c r="A3390" i="2"/>
  <c r="B3382" i="2"/>
  <c r="A3374" i="2"/>
  <c r="B3366" i="2"/>
  <c r="A3359" i="2"/>
  <c r="A3350" i="2"/>
  <c r="B3342" i="2"/>
  <c r="A3335" i="2"/>
  <c r="A3327" i="2"/>
  <c r="A3319" i="2"/>
  <c r="B3311" i="2"/>
  <c r="A3304" i="2"/>
  <c r="B3295" i="2"/>
  <c r="A3288" i="2"/>
  <c r="B3280" i="2"/>
  <c r="A3272" i="2"/>
  <c r="A3264" i="2"/>
  <c r="B3256" i="2"/>
  <c r="A3248" i="2"/>
  <c r="B3240" i="2"/>
  <c r="A3233" i="2"/>
  <c r="A3225" i="2"/>
  <c r="A3217" i="2"/>
  <c r="B3209" i="2"/>
  <c r="A3202" i="2"/>
  <c r="B3193" i="2"/>
  <c r="A3186" i="2"/>
  <c r="A3178" i="2"/>
  <c r="B3169" i="2"/>
  <c r="A3162" i="2"/>
  <c r="B3154" i="2"/>
  <c r="A3146" i="2"/>
  <c r="B3138" i="2"/>
  <c r="A3131" i="2"/>
  <c r="A3123" i="2"/>
  <c r="A3115" i="2"/>
  <c r="B3107" i="2"/>
  <c r="A3100" i="2"/>
  <c r="A3091" i="2"/>
  <c r="B3083" i="2"/>
  <c r="A3076" i="2"/>
  <c r="B3067" i="2"/>
  <c r="A3060" i="2"/>
  <c r="B3052" i="2"/>
  <c r="A3044" i="2"/>
  <c r="B3036" i="2"/>
  <c r="A3029" i="2"/>
  <c r="A3021" i="2"/>
  <c r="A3013" i="2"/>
  <c r="A3005" i="2"/>
  <c r="A2997" i="2"/>
  <c r="A2989" i="2"/>
  <c r="B2981" i="2"/>
  <c r="A2974" i="2"/>
  <c r="B2965" i="2"/>
  <c r="A2958" i="2"/>
  <c r="B2950" i="2"/>
  <c r="A2942" i="2"/>
  <c r="B2934" i="2"/>
  <c r="A2927" i="2"/>
  <c r="A2918" i="2"/>
  <c r="B2910" i="2"/>
  <c r="A2903" i="2"/>
  <c r="A2895" i="2"/>
  <c r="A2887" i="2"/>
  <c r="B2879" i="2"/>
  <c r="A2872" i="2"/>
  <c r="B2863" i="2"/>
  <c r="A2856" i="2"/>
  <c r="B2848" i="2"/>
  <c r="A2840" i="2"/>
  <c r="A2832" i="2"/>
  <c r="B2824" i="2"/>
  <c r="A2816" i="2"/>
  <c r="B2808" i="2"/>
  <c r="A2801" i="2"/>
  <c r="A2793" i="2"/>
  <c r="A2785" i="2"/>
  <c r="B2777" i="2"/>
  <c r="A2770" i="2"/>
  <c r="B2761" i="2"/>
  <c r="A2754" i="2"/>
  <c r="A2746" i="2"/>
  <c r="B2737" i="2"/>
  <c r="A2730" i="2"/>
  <c r="B2722" i="2"/>
  <c r="A2714" i="2"/>
  <c r="B2706" i="2"/>
  <c r="A2699" i="2"/>
  <c r="A2691" i="2"/>
  <c r="A2683" i="2"/>
  <c r="B2675" i="2"/>
  <c r="A2668" i="2"/>
  <c r="A2659" i="2"/>
  <c r="B2651" i="2"/>
  <c r="A2644" i="2"/>
  <c r="B2635" i="2"/>
  <c r="A2628" i="2"/>
  <c r="B2620" i="2"/>
  <c r="A2612" i="2"/>
  <c r="B2604" i="2"/>
  <c r="A2597" i="2"/>
  <c r="A2589" i="2"/>
  <c r="B2581" i="2"/>
  <c r="B2574" i="2"/>
  <c r="A2568" i="2"/>
  <c r="B2561" i="2"/>
  <c r="A2555" i="2"/>
  <c r="B2548" i="2"/>
  <c r="A2542" i="2"/>
  <c r="B2535" i="2"/>
  <c r="A2529" i="2"/>
  <c r="B2522" i="2"/>
  <c r="A2516" i="2"/>
  <c r="B2509" i="2"/>
  <c r="B2502" i="2"/>
  <c r="A2496" i="2"/>
  <c r="B2489" i="2"/>
  <c r="A2483" i="2"/>
  <c r="B2476" i="2"/>
  <c r="A2470" i="2"/>
  <c r="B2463" i="2"/>
  <c r="A2457" i="2"/>
  <c r="B2450" i="2"/>
  <c r="A2444" i="2"/>
  <c r="B2437" i="2"/>
  <c r="B2430" i="2"/>
  <c r="A2424" i="2"/>
  <c r="B2417" i="2"/>
  <c r="A2411" i="2"/>
  <c r="B2404" i="2"/>
  <c r="A2398" i="2"/>
  <c r="B2391" i="2"/>
  <c r="A2385" i="2"/>
  <c r="B2378" i="2"/>
  <c r="A2372" i="2"/>
  <c r="B2365" i="2"/>
  <c r="B2358" i="2"/>
  <c r="A2352" i="2"/>
  <c r="B2345" i="2"/>
  <c r="A2339" i="2"/>
  <c r="B2332" i="2"/>
  <c r="A2326" i="2"/>
  <c r="B2319" i="2"/>
  <c r="A2313" i="2"/>
  <c r="B2306" i="2"/>
  <c r="A2300" i="2"/>
  <c r="B2293" i="2"/>
  <c r="B2286" i="2"/>
  <c r="A2280" i="2"/>
  <c r="B2273" i="2"/>
  <c r="A2267" i="2"/>
  <c r="B2260" i="2"/>
  <c r="A2254" i="2"/>
  <c r="B2247" i="2"/>
  <c r="A2241" i="2"/>
  <c r="B2234" i="2"/>
  <c r="A2228" i="2"/>
  <c r="B2221" i="2"/>
  <c r="B2214" i="2"/>
  <c r="A2208" i="2"/>
  <c r="B2201" i="2"/>
  <c r="A2195" i="2"/>
  <c r="B2188" i="2"/>
  <c r="A2182" i="2"/>
  <c r="B2175" i="2"/>
  <c r="A2169" i="2"/>
  <c r="B2162" i="2"/>
  <c r="A2156" i="2"/>
  <c r="B2149" i="2"/>
  <c r="B2142" i="2"/>
  <c r="A2136" i="2"/>
  <c r="B2129" i="2"/>
  <c r="A2123" i="2"/>
  <c r="B2116" i="2"/>
  <c r="A2110" i="2"/>
  <c r="B2103" i="2"/>
  <c r="A2097" i="2"/>
  <c r="B2090" i="2"/>
  <c r="A2084" i="2"/>
  <c r="B2077" i="2"/>
  <c r="B2070" i="2"/>
  <c r="A2064" i="2"/>
  <c r="B2057" i="2"/>
  <c r="A2051" i="2"/>
  <c r="B2044" i="2"/>
  <c r="A2038" i="2"/>
  <c r="B2031" i="2"/>
  <c r="A2025" i="2"/>
  <c r="B2018" i="2"/>
  <c r="A2012" i="2"/>
  <c r="B2005" i="2"/>
  <c r="B1998" i="2"/>
  <c r="A1992" i="2"/>
  <c r="B1985" i="2"/>
  <c r="A1979" i="2"/>
  <c r="B1972" i="2"/>
  <c r="A1966" i="2"/>
  <c r="B1959" i="2"/>
  <c r="A1953" i="2"/>
  <c r="B1946" i="2"/>
  <c r="A1940" i="2"/>
  <c r="B1933" i="2"/>
  <c r="B1926" i="2"/>
  <c r="A1920" i="2"/>
  <c r="B1913" i="2"/>
  <c r="A1907" i="2"/>
  <c r="B1900" i="2"/>
  <c r="A1894" i="2"/>
  <c r="B1887" i="2"/>
  <c r="A1881" i="2"/>
  <c r="B1874" i="2"/>
  <c r="A1868" i="2"/>
  <c r="B1861" i="2"/>
  <c r="B1854" i="2"/>
  <c r="A1848" i="2"/>
  <c r="B1841" i="2"/>
  <c r="A1835" i="2"/>
  <c r="B1828" i="2"/>
  <c r="A1822" i="2"/>
  <c r="B1815" i="2"/>
  <c r="A1809" i="2"/>
  <c r="B1802" i="2"/>
  <c r="A1796" i="2"/>
  <c r="B1789" i="2"/>
  <c r="B1782" i="2"/>
  <c r="A1776" i="2"/>
  <c r="B1769" i="2"/>
  <c r="A1763" i="2"/>
  <c r="B1756" i="2"/>
  <c r="A1750" i="2"/>
  <c r="B1743" i="2"/>
  <c r="A1737" i="2"/>
  <c r="B1730" i="2"/>
  <c r="A1724" i="2"/>
  <c r="B1717" i="2"/>
  <c r="B1710" i="2"/>
  <c r="A1704" i="2"/>
  <c r="B1697" i="2"/>
  <c r="A1691" i="2"/>
  <c r="B1684" i="2"/>
  <c r="A1678" i="2"/>
  <c r="B1671" i="2"/>
  <c r="A1665" i="2"/>
  <c r="B1658" i="2"/>
  <c r="A1652" i="2"/>
  <c r="B1645" i="2"/>
  <c r="B1638" i="2"/>
  <c r="A1632" i="2"/>
  <c r="B1625" i="2"/>
  <c r="A1619" i="2"/>
  <c r="B1612" i="2"/>
  <c r="A1606" i="2"/>
  <c r="B1599" i="2"/>
  <c r="A1593" i="2"/>
  <c r="B1586" i="2"/>
  <c r="A1580" i="2"/>
  <c r="B1573" i="2"/>
  <c r="B1566" i="2"/>
  <c r="A1560" i="2"/>
  <c r="B1553" i="2"/>
  <c r="A1547" i="2"/>
  <c r="B1540" i="2"/>
  <c r="A1534" i="2"/>
  <c r="B1527" i="2"/>
  <c r="A1521" i="2"/>
  <c r="B1514" i="2"/>
  <c r="A1508" i="2"/>
  <c r="B1501" i="2"/>
  <c r="B1494" i="2"/>
  <c r="A1488" i="2"/>
  <c r="B1481" i="2"/>
  <c r="A1475" i="2"/>
  <c r="A1129" i="5"/>
  <c r="A256" i="5"/>
  <c r="A4307" i="4"/>
  <c r="A4020" i="4"/>
  <c r="A3730" i="4"/>
  <c r="B3456" i="4"/>
  <c r="B3203" i="4"/>
  <c r="A3012" i="4"/>
  <c r="B2846" i="4"/>
  <c r="B2675" i="4"/>
  <c r="A2541" i="4"/>
  <c r="B2398" i="4"/>
  <c r="B2257" i="4"/>
  <c r="A2124" i="4"/>
  <c r="B1980" i="4"/>
  <c r="A1861" i="4"/>
  <c r="A1733" i="4"/>
  <c r="A1617" i="4"/>
  <c r="A1487" i="4"/>
  <c r="A1367" i="4"/>
  <c r="B1257" i="4"/>
  <c r="B1145" i="4"/>
  <c r="B1038" i="4"/>
  <c r="A943" i="4"/>
  <c r="A864" i="4"/>
  <c r="B790" i="4"/>
  <c r="B715" i="4"/>
  <c r="A644" i="4"/>
  <c r="B560" i="4"/>
  <c r="B474" i="4"/>
  <c r="A410" i="4"/>
  <c r="A355" i="4"/>
  <c r="A303" i="4"/>
  <c r="B260" i="4"/>
  <c r="B223" i="4"/>
  <c r="B190" i="4"/>
  <c r="A156" i="4"/>
  <c r="A125" i="4"/>
  <c r="B90" i="4"/>
  <c r="A59" i="4"/>
  <c r="B25" i="4"/>
  <c r="B3058" i="3"/>
  <c r="A3031" i="3"/>
  <c r="B3004" i="3"/>
  <c r="B2977" i="3"/>
  <c r="B2951" i="3"/>
  <c r="B2924" i="3"/>
  <c r="B2898" i="3"/>
  <c r="B2871" i="3"/>
  <c r="B2843" i="3"/>
  <c r="A2820" i="3"/>
  <c r="A2795" i="3"/>
  <c r="A2774" i="3"/>
  <c r="A2749" i="3"/>
  <c r="A2724" i="3"/>
  <c r="B2701" i="3"/>
  <c r="A2678" i="3"/>
  <c r="B2653" i="3"/>
  <c r="A2630" i="3"/>
  <c r="A2607" i="3"/>
  <c r="B2584" i="3"/>
  <c r="A2559" i="3"/>
  <c r="B2538" i="3"/>
  <c r="B2513" i="3"/>
  <c r="B2488" i="3"/>
  <c r="A2466" i="3"/>
  <c r="B2444" i="3"/>
  <c r="A2422" i="3"/>
  <c r="B2400" i="3"/>
  <c r="B2379" i="3"/>
  <c r="B2358" i="3"/>
  <c r="B2335" i="3"/>
  <c r="B2316" i="3"/>
  <c r="B2293" i="3"/>
  <c r="B2270" i="3"/>
  <c r="A2250" i="3"/>
  <c r="B2228" i="3"/>
  <c r="A2206" i="3"/>
  <c r="B2184" i="3"/>
  <c r="B2163" i="3"/>
  <c r="B2142" i="3"/>
  <c r="B2119" i="3"/>
  <c r="B2100" i="3"/>
  <c r="B2077" i="3"/>
  <c r="A2060" i="3"/>
  <c r="A2040" i="3"/>
  <c r="B2019" i="3"/>
  <c r="A2001" i="3"/>
  <c r="A1982" i="3"/>
  <c r="A1962" i="3"/>
  <c r="A1944" i="3"/>
  <c r="A1924" i="3"/>
  <c r="B1903" i="3"/>
  <c r="A1886" i="3"/>
  <c r="A1868" i="3"/>
  <c r="A1846" i="3"/>
  <c r="A1828" i="3"/>
  <c r="A1809" i="3"/>
  <c r="B1789" i="3"/>
  <c r="A1772" i="3"/>
  <c r="A1752" i="3"/>
  <c r="B1731" i="3"/>
  <c r="A1713" i="3"/>
  <c r="A1694" i="3"/>
  <c r="A1674" i="3"/>
  <c r="A1656" i="3"/>
  <c r="A1636" i="3"/>
  <c r="B1615" i="3"/>
  <c r="A1598" i="3"/>
  <c r="A1580" i="3"/>
  <c r="A1558" i="3"/>
  <c r="A1540" i="3"/>
  <c r="A1521" i="3"/>
  <c r="B1501" i="3"/>
  <c r="A1484" i="3"/>
  <c r="A1464" i="3"/>
  <c r="B1443" i="3"/>
  <c r="A1425" i="3"/>
  <c r="A1407" i="3"/>
  <c r="B1389" i="3"/>
  <c r="B1374" i="3"/>
  <c r="A1357" i="3"/>
  <c r="A1338" i="3"/>
  <c r="B1321" i="3"/>
  <c r="B1304" i="3"/>
  <c r="B1287" i="3"/>
  <c r="A1273" i="3"/>
  <c r="A1259" i="3"/>
  <c r="B1244" i="3"/>
  <c r="B1231" i="3"/>
  <c r="A1218" i="3"/>
  <c r="A1203" i="3"/>
  <c r="B1191" i="3"/>
  <c r="B1178" i="3"/>
  <c r="B1165" i="3"/>
  <c r="B1153" i="3"/>
  <c r="B1140" i="3"/>
  <c r="A1126" i="3"/>
  <c r="A1114" i="3"/>
  <c r="B1101" i="3"/>
  <c r="B1088" i="3"/>
  <c r="A1076" i="3"/>
  <c r="A1064" i="3"/>
  <c r="B1050" i="3"/>
  <c r="B1038" i="3"/>
  <c r="A1026" i="3"/>
  <c r="A1011" i="3"/>
  <c r="B999" i="3"/>
  <c r="B986" i="3"/>
  <c r="B973" i="3"/>
  <c r="B961" i="3"/>
  <c r="B948" i="3"/>
  <c r="A934" i="3"/>
  <c r="A922" i="3"/>
  <c r="B909" i="3"/>
  <c r="B896" i="3"/>
  <c r="A884" i="3"/>
  <c r="A872" i="3"/>
  <c r="B858" i="3"/>
  <c r="B846" i="3"/>
  <c r="A834" i="3"/>
  <c r="A819" i="3"/>
  <c r="B807" i="3"/>
  <c r="B794" i="3"/>
  <c r="B781" i="3"/>
  <c r="B769" i="3"/>
  <c r="B756" i="3"/>
  <c r="A742" i="3"/>
  <c r="A730" i="3"/>
  <c r="B717" i="3"/>
  <c r="B704" i="3"/>
  <c r="A692" i="3"/>
  <c r="A680" i="3"/>
  <c r="B666" i="3"/>
  <c r="B654" i="3"/>
  <c r="A642" i="3"/>
  <c r="A627" i="3"/>
  <c r="B615" i="3"/>
  <c r="B602" i="3"/>
  <c r="B589" i="3"/>
  <c r="B577" i="3"/>
  <c r="B564" i="3"/>
  <c r="A550" i="3"/>
  <c r="A538" i="3"/>
  <c r="B525" i="3"/>
  <c r="B512" i="3"/>
  <c r="A500" i="3"/>
  <c r="A488" i="3"/>
  <c r="B474" i="3"/>
  <c r="B462" i="3"/>
  <c r="A450" i="3"/>
  <c r="A435" i="3"/>
  <c r="B423" i="3"/>
  <c r="B410" i="3"/>
  <c r="B397" i="3"/>
  <c r="B385" i="3"/>
  <c r="B372" i="3"/>
  <c r="A358" i="3"/>
  <c r="A346" i="3"/>
  <c r="B333" i="3"/>
  <c r="B320" i="3"/>
  <c r="A308" i="3"/>
  <c r="A296" i="3"/>
  <c r="B282" i="3"/>
  <c r="B270" i="3"/>
  <c r="A259" i="3"/>
  <c r="B246" i="3"/>
  <c r="A236" i="3"/>
  <c r="A224" i="3"/>
  <c r="A212" i="3"/>
  <c r="A201" i="3"/>
  <c r="A189" i="3"/>
  <c r="A177" i="3"/>
  <c r="A166" i="3"/>
  <c r="A155" i="3"/>
  <c r="A143" i="3"/>
  <c r="A132" i="3"/>
  <c r="A121" i="3"/>
  <c r="B108" i="3"/>
  <c r="B97" i="3"/>
  <c r="A86" i="3"/>
  <c r="B73" i="3"/>
  <c r="A63" i="3"/>
  <c r="A51" i="3"/>
  <c r="A39" i="3"/>
  <c r="A28" i="3"/>
  <c r="A16" i="3"/>
  <c r="A4" i="3"/>
  <c r="A4444" i="2"/>
  <c r="B4432" i="2"/>
  <c r="B4420" i="2"/>
  <c r="A4409" i="2"/>
  <c r="A4398" i="2"/>
  <c r="B4385" i="2"/>
  <c r="B4374" i="2"/>
  <c r="A4363" i="2"/>
  <c r="B4350" i="2"/>
  <c r="A4340" i="2"/>
  <c r="A4328" i="2"/>
  <c r="A4316" i="2"/>
  <c r="A4306" i="2"/>
  <c r="A4294" i="2"/>
  <c r="A4282" i="2"/>
  <c r="A4271" i="2"/>
  <c r="B4259" i="2"/>
  <c r="B4247" i="2"/>
  <c r="A4236" i="2"/>
  <c r="A4225" i="2"/>
  <c r="B4212" i="2"/>
  <c r="B4201" i="2"/>
  <c r="A4190" i="2"/>
  <c r="B4177" i="2"/>
  <c r="A4168" i="2"/>
  <c r="A4156" i="2"/>
  <c r="A4144" i="2"/>
  <c r="A4133" i="2"/>
  <c r="A4121" i="2"/>
  <c r="A4109" i="2"/>
  <c r="A4098" i="2"/>
  <c r="B4086" i="2"/>
  <c r="B4074" i="2"/>
  <c r="A4063" i="2"/>
  <c r="A4052" i="2"/>
  <c r="B4039" i="2"/>
  <c r="A4029" i="2"/>
  <c r="A4018" i="2"/>
  <c r="A4005" i="2"/>
  <c r="A3995" i="2"/>
  <c r="A3983" i="2"/>
  <c r="A3971" i="2"/>
  <c r="A3960" i="2"/>
  <c r="A3948" i="2"/>
  <c r="A3936" i="2"/>
  <c r="A3925" i="2"/>
  <c r="B3913" i="2"/>
  <c r="B3901" i="2"/>
  <c r="A3890" i="2"/>
  <c r="A3880" i="2"/>
  <c r="A3867" i="2"/>
  <c r="B3856" i="2"/>
  <c r="A3845" i="2"/>
  <c r="B3832" i="2"/>
  <c r="A3822" i="2"/>
  <c r="A3810" i="2"/>
  <c r="A3798" i="2"/>
  <c r="A3787" i="2"/>
  <c r="A3775" i="2"/>
  <c r="A3763" i="2"/>
  <c r="A3752" i="2"/>
  <c r="A3741" i="2"/>
  <c r="A3729" i="2"/>
  <c r="A3718" i="2"/>
  <c r="A3707" i="2"/>
  <c r="B3694" i="2"/>
  <c r="B3683" i="2"/>
  <c r="A3672" i="2"/>
  <c r="B3659" i="2"/>
  <c r="A3649" i="2"/>
  <c r="A3637" i="2"/>
  <c r="A3625" i="2"/>
  <c r="A3614" i="2"/>
  <c r="A3604" i="2"/>
  <c r="B3592" i="2"/>
  <c r="B3582" i="2"/>
  <c r="B3571" i="2"/>
  <c r="A3561" i="2"/>
  <c r="A3551" i="2"/>
  <c r="B3540" i="2"/>
  <c r="A3529" i="2"/>
  <c r="A3520" i="2"/>
  <c r="A3509" i="2"/>
  <c r="A3498" i="2"/>
  <c r="A3488" i="2"/>
  <c r="A3478" i="2"/>
  <c r="A3467" i="2"/>
  <c r="B3456" i="2"/>
  <c r="A3446" i="2"/>
  <c r="A3435" i="2"/>
  <c r="B3425" i="2"/>
  <c r="B3414" i="2"/>
  <c r="B3403" i="2"/>
  <c r="A3394" i="2"/>
  <c r="B3383" i="2"/>
  <c r="A3372" i="2"/>
  <c r="A3362" i="2"/>
  <c r="B3352" i="2"/>
  <c r="A3341" i="2"/>
  <c r="A3331" i="2"/>
  <c r="A3320" i="2"/>
  <c r="A3310" i="2"/>
  <c r="B3299" i="2"/>
  <c r="A3289" i="2"/>
  <c r="B3277" i="2"/>
  <c r="B3268" i="2"/>
  <c r="A3258" i="2"/>
  <c r="B3246" i="2"/>
  <c r="A3237" i="2"/>
  <c r="B3226" i="2"/>
  <c r="B3215" i="2"/>
  <c r="A3205" i="2"/>
  <c r="A3195" i="2"/>
  <c r="A3184" i="2"/>
  <c r="A3174" i="2"/>
  <c r="A3163" i="2"/>
  <c r="A3152" i="2"/>
  <c r="A3143" i="2"/>
  <c r="A3132" i="2"/>
  <c r="A3121" i="2"/>
  <c r="A3111" i="2"/>
  <c r="A3101" i="2"/>
  <c r="B3089" i="2"/>
  <c r="B3079" i="2"/>
  <c r="A3069" i="2"/>
  <c r="B3058" i="2"/>
  <c r="A3048" i="2"/>
  <c r="B3037" i="2"/>
  <c r="A3026" i="2"/>
  <c r="A3017" i="2"/>
  <c r="B3006" i="2"/>
  <c r="A2995" i="2"/>
  <c r="A2986" i="2"/>
  <c r="A2975" i="2"/>
  <c r="A2964" i="2"/>
  <c r="B2953" i="2"/>
  <c r="A2944" i="2"/>
  <c r="B2932" i="2"/>
  <c r="B2922" i="2"/>
  <c r="A2912" i="2"/>
  <c r="A2901" i="2"/>
  <c r="B2891" i="2"/>
  <c r="B2880" i="2"/>
  <c r="B2869" i="2"/>
  <c r="A2860" i="2"/>
  <c r="B2849" i="2"/>
  <c r="A2838" i="2"/>
  <c r="A2828" i="2"/>
  <c r="A2818" i="2"/>
  <c r="A2807" i="2"/>
  <c r="A2797" i="2"/>
  <c r="A2786" i="2"/>
  <c r="A2776" i="2"/>
  <c r="B2765" i="2"/>
  <c r="A2755" i="2"/>
  <c r="B2743" i="2"/>
  <c r="B2734" i="2"/>
  <c r="B2723" i="2"/>
  <c r="B2712" i="2"/>
  <c r="A2702" i="2"/>
  <c r="B2692" i="2"/>
  <c r="A2681" i="2"/>
  <c r="A2671" i="2"/>
  <c r="A2661" i="2"/>
  <c r="A2650" i="2"/>
  <c r="A2640" i="2"/>
  <c r="A2629" i="2"/>
  <c r="A2618" i="2"/>
  <c r="B2608" i="2"/>
  <c r="A2598" i="2"/>
  <c r="B2586" i="2"/>
  <c r="A2578" i="2"/>
  <c r="B2569" i="2"/>
  <c r="A2560" i="2"/>
  <c r="A2552" i="2"/>
  <c r="A2543" i="2"/>
  <c r="A2534" i="2"/>
  <c r="B2525" i="2"/>
  <c r="A2517" i="2"/>
  <c r="B2507" i="2"/>
  <c r="B2499" i="2"/>
  <c r="B2490" i="2"/>
  <c r="B2481" i="2"/>
  <c r="B2473" i="2"/>
  <c r="B2464" i="2"/>
  <c r="B2455" i="2"/>
  <c r="A2447" i="2"/>
  <c r="B2438" i="2"/>
  <c r="A2429" i="2"/>
  <c r="A2421" i="2"/>
  <c r="A2412" i="2"/>
  <c r="A2403" i="2"/>
  <c r="B2394" i="2"/>
  <c r="A2386" i="2"/>
  <c r="B2376" i="2"/>
  <c r="B2368" i="2"/>
  <c r="A2360" i="2"/>
  <c r="B2350" i="2"/>
  <c r="B2342" i="2"/>
  <c r="B2333" i="2"/>
  <c r="B2324" i="2"/>
  <c r="A2316" i="2"/>
  <c r="B2307" i="2"/>
  <c r="A2298" i="2"/>
  <c r="A2290" i="2"/>
  <c r="B2281" i="2"/>
  <c r="A2272" i="2"/>
  <c r="A2264" i="2"/>
  <c r="A2255" i="2"/>
  <c r="A2246" i="2"/>
  <c r="B2237" i="2"/>
  <c r="A2229" i="2"/>
  <c r="B2219" i="2"/>
  <c r="B2211" i="2"/>
  <c r="B2202" i="2"/>
  <c r="B2193" i="2"/>
  <c r="B2185" i="2"/>
  <c r="B2176" i="2"/>
  <c r="B2167" i="2"/>
  <c r="A2159" i="2"/>
  <c r="B2150" i="2"/>
  <c r="A2141" i="2"/>
  <c r="A2133" i="2"/>
  <c r="A2124" i="2"/>
  <c r="A2115" i="2"/>
  <c r="B2106" i="2"/>
  <c r="A2098" i="2"/>
  <c r="B2088" i="2"/>
  <c r="B2080" i="2"/>
  <c r="A2072" i="2"/>
  <c r="B2062" i="2"/>
  <c r="B2054" i="2"/>
  <c r="B2045" i="2"/>
  <c r="B2036" i="2"/>
  <c r="A2028" i="2"/>
  <c r="B2019" i="2"/>
  <c r="A2010" i="2"/>
  <c r="A2002" i="2"/>
  <c r="B1993" i="2"/>
  <c r="A1984" i="2"/>
  <c r="A1976" i="2"/>
  <c r="A1967" i="2"/>
  <c r="A1958" i="2"/>
  <c r="B1949" i="2"/>
  <c r="A1941" i="2"/>
  <c r="B1931" i="2"/>
  <c r="B1923" i="2"/>
  <c r="B1914" i="2"/>
  <c r="B1905" i="2"/>
  <c r="B1897" i="2"/>
  <c r="B1888" i="2"/>
  <c r="B1879" i="2"/>
  <c r="A1871" i="2"/>
  <c r="B1862" i="2"/>
  <c r="A1853" i="2"/>
  <c r="A1845" i="2"/>
  <c r="A1836" i="2"/>
  <c r="A1827" i="2"/>
  <c r="B1818" i="2"/>
  <c r="A1810" i="2"/>
  <c r="B1800" i="2"/>
  <c r="B1792" i="2"/>
  <c r="A1784" i="2"/>
  <c r="B1774" i="2"/>
  <c r="B1766" i="2"/>
  <c r="B1757" i="2"/>
  <c r="B1748" i="2"/>
  <c r="A1740" i="2"/>
  <c r="B1731" i="2"/>
  <c r="A1722" i="2"/>
  <c r="A1714" i="2"/>
  <c r="B1705" i="2"/>
  <c r="A1696" i="2"/>
  <c r="A1688" i="2"/>
  <c r="A1679" i="2"/>
  <c r="A1670" i="2"/>
  <c r="B1661" i="2"/>
  <c r="A1653" i="2"/>
  <c r="B1643" i="2"/>
  <c r="B1635" i="2"/>
  <c r="B1626" i="2"/>
  <c r="B1617" i="2"/>
  <c r="B1609" i="2"/>
  <c r="B1600" i="2"/>
  <c r="B1591" i="2"/>
  <c r="A1583" i="2"/>
  <c r="B1574" i="2"/>
  <c r="A1565" i="2"/>
  <c r="A1557" i="2"/>
  <c r="A1548" i="2"/>
  <c r="A1539" i="2"/>
  <c r="B1530" i="2"/>
  <c r="A1522" i="2"/>
  <c r="B1512" i="2"/>
  <c r="B1504" i="2"/>
  <c r="A1496" i="2"/>
  <c r="B1486" i="2"/>
  <c r="B1478" i="2"/>
  <c r="B1469" i="2"/>
  <c r="B1461" i="2"/>
  <c r="A1454" i="2"/>
  <c r="A1446" i="2"/>
  <c r="A1438" i="2"/>
  <c r="B1430" i="2"/>
  <c r="A1422" i="2"/>
  <c r="B1414" i="2"/>
  <c r="A1407" i="2"/>
  <c r="B1398" i="2"/>
  <c r="A1391" i="2"/>
  <c r="A1383" i="2"/>
  <c r="B1375" i="2"/>
  <c r="B1367" i="2"/>
  <c r="B1359" i="2"/>
  <c r="A1352" i="2"/>
  <c r="B1343" i="2"/>
  <c r="A1336" i="2"/>
  <c r="B1328" i="2"/>
  <c r="A1320" i="2"/>
  <c r="B1312" i="2"/>
  <c r="B1304" i="2"/>
  <c r="B1296" i="2"/>
  <c r="A1289" i="2"/>
  <c r="A1281" i="2"/>
  <c r="B1273" i="2"/>
  <c r="A1265" i="2"/>
  <c r="B1257" i="2"/>
  <c r="A1250" i="2"/>
  <c r="B1241" i="2"/>
  <c r="A1234" i="2"/>
  <c r="A1226" i="2"/>
  <c r="A1218" i="2"/>
  <c r="B1210" i="2"/>
  <c r="B1202" i="2"/>
  <c r="B1194" i="2"/>
  <c r="B1186" i="2"/>
  <c r="A1179" i="2"/>
  <c r="B1171" i="2"/>
  <c r="A1163" i="2"/>
  <c r="B1155" i="2"/>
  <c r="B1147" i="2"/>
  <c r="B1139" i="2"/>
  <c r="A1132" i="2"/>
  <c r="A1124" i="2"/>
  <c r="A1116" i="2"/>
  <c r="A1108" i="2"/>
  <c r="B1100" i="2"/>
  <c r="B1092" i="2"/>
  <c r="B1084" i="2"/>
  <c r="A1077" i="2"/>
  <c r="B1068" i="2"/>
  <c r="A1061" i="2"/>
  <c r="B1053" i="2"/>
  <c r="B1045" i="2"/>
  <c r="B1037" i="2"/>
  <c r="B1029" i="2"/>
  <c r="A1022" i="2"/>
  <c r="A1014" i="2"/>
  <c r="A1006" i="2"/>
  <c r="B998" i="2"/>
  <c r="A990" i="2"/>
  <c r="B982" i="2"/>
  <c r="A975" i="2"/>
  <c r="B966" i="2"/>
  <c r="A959" i="2"/>
  <c r="A951" i="2"/>
  <c r="B943" i="2"/>
  <c r="B935" i="2"/>
  <c r="B927" i="2"/>
  <c r="A920" i="2"/>
  <c r="B911" i="2"/>
  <c r="A904" i="2"/>
  <c r="B896" i="2"/>
  <c r="A888" i="2"/>
  <c r="B880" i="2"/>
  <c r="B872" i="2"/>
  <c r="B864" i="2"/>
  <c r="A857" i="2"/>
  <c r="A849" i="2"/>
  <c r="B841" i="2"/>
  <c r="A833" i="2"/>
  <c r="B825" i="2"/>
  <c r="A818" i="2"/>
  <c r="B809" i="2"/>
  <c r="A802" i="2"/>
  <c r="A794" i="2"/>
  <c r="A786" i="2"/>
  <c r="B778" i="2"/>
  <c r="B770" i="2"/>
  <c r="B762" i="2"/>
  <c r="B754" i="2"/>
  <c r="A747" i="2"/>
  <c r="B739" i="2"/>
  <c r="A731" i="2"/>
  <c r="B723" i="2"/>
  <c r="B715" i="2"/>
  <c r="B707" i="2"/>
  <c r="A700" i="2"/>
  <c r="A692" i="2"/>
  <c r="A684" i="2"/>
  <c r="A676" i="2"/>
  <c r="B668" i="2"/>
  <c r="B660" i="2"/>
  <c r="B652" i="2"/>
  <c r="A645" i="2"/>
  <c r="B636" i="2"/>
  <c r="B629" i="2"/>
  <c r="B622" i="2"/>
  <c r="B615" i="2"/>
  <c r="B608" i="2"/>
  <c r="B601" i="2"/>
  <c r="B593" i="2"/>
  <c r="B586" i="2"/>
  <c r="B579" i="2"/>
  <c r="B572" i="2"/>
  <c r="B565" i="2"/>
  <c r="A558" i="2"/>
  <c r="A551" i="2"/>
  <c r="A544" i="2"/>
  <c r="A537" i="2"/>
  <c r="A530" i="2"/>
  <c r="B522" i="2"/>
  <c r="A515" i="2"/>
  <c r="A508" i="2"/>
  <c r="A501" i="2"/>
  <c r="A494" i="2"/>
  <c r="B486" i="2"/>
  <c r="B479" i="2"/>
  <c r="B472" i="2"/>
  <c r="B465" i="2"/>
  <c r="B458" i="2"/>
  <c r="B451" i="2"/>
  <c r="A444" i="2"/>
  <c r="B436" i="2"/>
  <c r="B429" i="2"/>
  <c r="B422" i="2"/>
  <c r="B415" i="2"/>
  <c r="A408" i="2"/>
  <c r="A401" i="2"/>
  <c r="A394" i="2"/>
  <c r="A387" i="2"/>
  <c r="A380" i="2"/>
  <c r="B372" i="2"/>
  <c r="B365" i="2"/>
  <c r="A358" i="2"/>
  <c r="A351" i="2"/>
  <c r="A344" i="2"/>
  <c r="B336" i="2"/>
  <c r="B329" i="2"/>
  <c r="B322" i="2"/>
  <c r="B315" i="2"/>
  <c r="B308" i="2"/>
  <c r="B301" i="2"/>
  <c r="A294" i="2"/>
  <c r="A287" i="2"/>
  <c r="A280" i="2"/>
  <c r="B273" i="2"/>
  <c r="A267" i="2"/>
  <c r="B260" i="2"/>
  <c r="A254" i="2"/>
  <c r="B247" i="2"/>
  <c r="A241" i="2"/>
  <c r="B234" i="2"/>
  <c r="A228" i="2"/>
  <c r="B221" i="2"/>
  <c r="A215" i="2"/>
  <c r="A208" i="2"/>
  <c r="B201" i="2"/>
  <c r="A195" i="2"/>
  <c r="B188" i="2"/>
  <c r="A182" i="2"/>
  <c r="B175" i="2"/>
  <c r="A169" i="2"/>
  <c r="B162" i="2"/>
  <c r="A156" i="2"/>
  <c r="B149" i="2"/>
  <c r="A143" i="2"/>
  <c r="A136" i="2"/>
  <c r="B129" i="2"/>
  <c r="A123" i="2"/>
  <c r="B116" i="2"/>
  <c r="A110" i="2"/>
  <c r="B103" i="2"/>
  <c r="A97" i="2"/>
  <c r="B90" i="2"/>
  <c r="A84" i="2"/>
  <c r="B77" i="2"/>
  <c r="A71" i="2"/>
  <c r="A64" i="2"/>
  <c r="B57" i="2"/>
  <c r="A51" i="2"/>
  <c r="B44" i="2"/>
  <c r="A38" i="2"/>
  <c r="B31" i="2"/>
  <c r="A25" i="2"/>
  <c r="B18" i="2"/>
  <c r="A12" i="2"/>
  <c r="B5" i="2"/>
  <c r="A2106" i="1"/>
  <c r="A2022" i="1"/>
  <c r="B2065" i="1"/>
  <c r="A2125" i="1"/>
  <c r="A2047" i="1"/>
  <c r="B2096" i="1"/>
  <c r="B2018" i="1"/>
  <c r="A2072" i="1"/>
  <c r="B2115" i="1"/>
  <c r="B2037" i="1"/>
  <c r="A2073" i="1"/>
  <c r="B1955" i="1"/>
  <c r="B1871" i="1"/>
  <c r="B1793" i="1"/>
  <c r="B1715" i="1"/>
  <c r="B1637" i="1"/>
  <c r="B1559" i="1"/>
  <c r="B2008" i="1"/>
  <c r="A1925" i="1"/>
  <c r="A1847" i="1"/>
  <c r="A1769" i="1"/>
  <c r="A1691" i="1"/>
  <c r="A1613" i="1"/>
  <c r="A2044" i="1"/>
  <c r="B1938" i="1"/>
  <c r="B1860" i="1"/>
  <c r="B1782" i="1"/>
  <c r="B1704" i="1"/>
  <c r="B1626" i="1"/>
  <c r="B1548" i="1"/>
  <c r="A1993" i="1"/>
  <c r="A1920" i="1"/>
  <c r="A1842" i="1"/>
  <c r="A1764" i="1"/>
  <c r="A1680" i="1"/>
  <c r="A1602" i="1"/>
  <c r="A2099" i="1"/>
  <c r="B1975" i="1"/>
  <c r="B1897" i="1"/>
  <c r="B1819" i="1"/>
  <c r="B1741" i="1"/>
  <c r="B1663" i="1"/>
  <c r="B1585" i="1"/>
  <c r="B1997" i="1"/>
  <c r="A1909" i="1"/>
  <c r="A1825" i="1"/>
  <c r="A1747" i="1"/>
  <c r="A1669" i="1"/>
  <c r="A1591" i="1"/>
  <c r="A2000" i="1"/>
  <c r="B1856" i="1"/>
  <c r="B1700" i="1"/>
  <c r="A1550" i="1"/>
  <c r="A1465" i="1"/>
  <c r="A1387" i="1"/>
  <c r="A1309" i="1"/>
  <c r="B2074" i="1"/>
  <c r="A1892" i="1"/>
  <c r="A1736" i="1"/>
  <c r="A1580" i="1"/>
  <c r="B1490" i="1"/>
  <c r="B1412" i="1"/>
  <c r="B1334" i="1"/>
  <c r="B1256" i="1"/>
  <c r="B1935" i="1"/>
  <c r="B1779" i="1"/>
  <c r="B1623" i="1"/>
  <c r="A1508" i="1"/>
  <c r="A1430" i="1"/>
  <c r="A1352" i="1"/>
  <c r="A1274" i="1"/>
  <c r="A1947" i="1"/>
  <c r="A1791" i="1"/>
  <c r="A1647" i="1"/>
  <c r="B1521" i="1"/>
  <c r="B1449" i="1"/>
  <c r="B1377" i="1"/>
  <c r="B1305" i="1"/>
  <c r="B1978" i="1"/>
  <c r="B1834" i="1"/>
  <c r="B1690" i="1"/>
  <c r="A1562" i="1"/>
  <c r="A1473" i="1"/>
  <c r="A1401" i="1"/>
  <c r="A1329" i="1"/>
  <c r="B2112" i="1"/>
  <c r="A1894" i="1"/>
  <c r="A1750" i="1"/>
  <c r="A1606" i="1"/>
  <c r="B1510" i="1"/>
  <c r="B1438" i="1"/>
  <c r="B1366" i="1"/>
  <c r="B1294" i="1"/>
  <c r="B1838" i="1"/>
  <c r="A1551" i="1"/>
  <c r="A1402" i="1"/>
  <c r="A1270" i="1"/>
  <c r="B1188" i="1"/>
  <c r="B1116" i="1"/>
  <c r="B1044" i="1"/>
  <c r="A1958" i="1"/>
  <c r="A1670" i="1"/>
  <c r="B1457" i="1"/>
  <c r="B1313" i="1"/>
  <c r="A1212" i="1"/>
  <c r="A1140" i="1"/>
  <c r="A1068" i="1"/>
  <c r="A996" i="1"/>
  <c r="B1857" i="1"/>
  <c r="B2081" i="1"/>
  <c r="A1761" i="1"/>
  <c r="B1524" i="1"/>
  <c r="B1380" i="1"/>
  <c r="B1252" i="1"/>
  <c r="A1177" i="1"/>
  <c r="A1105" i="1"/>
  <c r="A1033" i="1"/>
  <c r="A2033" i="1"/>
  <c r="B1732" i="1"/>
  <c r="A1512" i="1"/>
  <c r="A1368" i="1"/>
  <c r="B1238" i="1"/>
  <c r="B1166" i="1"/>
  <c r="B1094" i="1"/>
  <c r="B1022" i="1"/>
  <c r="A1948" i="1"/>
  <c r="A1660" i="1"/>
  <c r="B1459" i="1"/>
  <c r="B1315" i="1"/>
  <c r="A1220" i="1"/>
  <c r="A1148" i="1"/>
  <c r="A1076" i="1"/>
  <c r="A1004" i="1"/>
  <c r="B1946" i="1"/>
  <c r="A1456" i="1"/>
  <c r="B1840" i="1"/>
  <c r="B1410" i="1"/>
  <c r="A1203" i="1"/>
  <c r="A1600" i="1"/>
  <c r="B1369" i="1"/>
  <c r="A2001" i="1"/>
  <c r="B1549" i="1"/>
  <c r="A1301" i="1"/>
  <c r="B1567" i="1"/>
  <c r="A1300" i="1"/>
  <c r="A1408" i="1"/>
  <c r="A1217" i="1"/>
  <c r="B1084" i="1"/>
  <c r="B968" i="1"/>
  <c r="B895" i="1"/>
  <c r="B1470" i="1"/>
  <c r="A1174" i="1"/>
  <c r="A1061" i="1"/>
  <c r="B933" i="1"/>
  <c r="A1468" i="1"/>
  <c r="B1147" i="1"/>
  <c r="B1011" i="1"/>
  <c r="A909" i="1"/>
  <c r="A1725" i="1"/>
  <c r="A1227" i="1"/>
  <c r="B1105" i="1"/>
  <c r="B974" i="1"/>
  <c r="B906" i="1"/>
  <c r="B2009" i="1"/>
  <c r="B1314" i="1"/>
  <c r="A1185" i="1"/>
  <c r="A1072" i="1"/>
  <c r="B955" i="1"/>
  <c r="A1186" i="1"/>
  <c r="B952" i="1"/>
  <c r="A842" i="1"/>
  <c r="B771" i="1"/>
  <c r="B699" i="1"/>
  <c r="B627" i="1"/>
  <c r="B555" i="1"/>
  <c r="B483" i="1"/>
  <c r="B1243" i="1"/>
  <c r="B1066" i="1"/>
  <c r="A908" i="1"/>
  <c r="A819" i="1"/>
  <c r="A747" i="1"/>
  <c r="A675" i="1"/>
  <c r="A603" i="1"/>
  <c r="A531" i="1"/>
  <c r="B1917" i="1"/>
  <c r="A1253" i="1"/>
  <c r="B1027" i="1"/>
  <c r="B911" i="1"/>
  <c r="B838" i="1"/>
  <c r="B766" i="1"/>
  <c r="B694" i="1"/>
  <c r="B622" i="1"/>
  <c r="B550" i="1"/>
  <c r="B1826" i="1"/>
  <c r="B1097" i="1"/>
  <c r="A926" i="1"/>
  <c r="B848" i="1"/>
  <c r="B773" i="1"/>
  <c r="B701" i="1"/>
  <c r="B629" i="1"/>
  <c r="B557" i="1"/>
  <c r="B1427" i="1"/>
  <c r="A1023" i="1"/>
  <c r="B835" i="1"/>
  <c r="B727" i="1"/>
  <c r="B619" i="1"/>
  <c r="A510" i="1"/>
  <c r="B1965" i="1"/>
  <c r="A1054" i="1"/>
  <c r="A869" i="1"/>
  <c r="B786" i="1"/>
  <c r="B678" i="1"/>
  <c r="B570" i="1"/>
  <c r="A467" i="1"/>
  <c r="A395" i="1"/>
  <c r="A323" i="1"/>
  <c r="B1530" i="1"/>
  <c r="B1001" i="1"/>
  <c r="B811" i="1"/>
  <c r="B703" i="1"/>
  <c r="B595" i="1"/>
  <c r="A492" i="1"/>
  <c r="A420" i="1"/>
  <c r="A348" i="1"/>
  <c r="A1874" i="1"/>
  <c r="A1132" i="1"/>
  <c r="A949" i="1"/>
  <c r="A791" i="1"/>
  <c r="A683" i="1"/>
  <c r="A575" i="1"/>
  <c r="B469" i="1"/>
  <c r="B397" i="1"/>
  <c r="B325" i="1"/>
  <c r="B1523" i="1"/>
  <c r="A976" i="1"/>
  <c r="B830" i="1"/>
  <c r="B722" i="1"/>
  <c r="B614" i="1"/>
  <c r="A515" i="1"/>
  <c r="A441" i="1"/>
  <c r="A369" i="1"/>
  <c r="A297" i="1"/>
  <c r="A911" i="1"/>
  <c r="A752" i="1"/>
  <c r="B548" i="1"/>
  <c r="B418" i="1"/>
  <c r="B310" i="1"/>
  <c r="B230" i="1"/>
  <c r="B158" i="1"/>
  <c r="B86" i="1"/>
  <c r="A1187" i="1"/>
  <c r="B816" i="1"/>
  <c r="B625" i="1"/>
  <c r="B459" i="1"/>
  <c r="B326" i="1"/>
  <c r="A242" i="1"/>
  <c r="A170" i="1"/>
  <c r="A98" i="1"/>
  <c r="B1021" i="1"/>
  <c r="A797" i="1"/>
  <c r="A612" i="1"/>
  <c r="B430" i="1"/>
  <c r="B322" i="1"/>
  <c r="B244" i="1"/>
  <c r="B172" i="1"/>
  <c r="B100" i="1"/>
  <c r="B1677" i="1"/>
  <c r="A803" i="1"/>
  <c r="B636" i="1"/>
  <c r="B452" i="1"/>
  <c r="A358" i="1"/>
  <c r="A256" i="1"/>
  <c r="A184" i="1"/>
  <c r="A112" i="1"/>
  <c r="A1125" i="1"/>
  <c r="B842" i="1"/>
  <c r="B638" i="1"/>
  <c r="A493" i="1"/>
  <c r="A368" i="1"/>
  <c r="B265" i="1"/>
  <c r="B193" i="1"/>
  <c r="B121" i="1"/>
  <c r="B1007" i="1"/>
  <c r="B602" i="1"/>
  <c r="B345" i="1"/>
  <c r="B174" i="1"/>
  <c r="B69" i="1"/>
  <c r="A913" i="1"/>
  <c r="A565" i="1"/>
  <c r="B348" i="1"/>
  <c r="A211" i="1"/>
  <c r="B72" i="1"/>
  <c r="B1355" i="1"/>
  <c r="A744" i="1"/>
  <c r="A522" i="1"/>
  <c r="B329" i="1"/>
  <c r="A180" i="1"/>
  <c r="B63" i="1"/>
  <c r="A904" i="1"/>
  <c r="B381" i="1"/>
  <c r="B126" i="1"/>
  <c r="A812" i="1"/>
  <c r="B869" i="1"/>
  <c r="A502" i="1"/>
  <c r="B298" i="1"/>
  <c r="B159" i="1"/>
  <c r="B37" i="1"/>
  <c r="A749" i="1"/>
  <c r="B237" i="1"/>
  <c r="B34" i="1"/>
  <c r="A1120" i="1"/>
  <c r="B464" i="1"/>
  <c r="B285" i="1"/>
  <c r="A181" i="1"/>
  <c r="A58" i="1"/>
  <c r="A762" i="1"/>
  <c r="B327" i="1"/>
  <c r="A52" i="1"/>
  <c r="B866" i="1"/>
  <c r="A641" i="1"/>
  <c r="B420" i="1"/>
  <c r="A261" i="1"/>
  <c r="B123" i="1"/>
  <c r="B31" i="1"/>
  <c r="B429" i="1"/>
  <c r="B162" i="1"/>
  <c r="B1137" i="1"/>
  <c r="A241" i="1"/>
  <c r="A11" i="1"/>
  <c r="A247" i="1"/>
  <c r="A57" i="1"/>
  <c r="B12" i="1"/>
  <c r="B135" i="1"/>
  <c r="A451" i="1"/>
  <c r="A888" i="1"/>
  <c r="A245" i="1"/>
  <c r="A39" i="1"/>
  <c r="A243" i="1"/>
  <c r="A636" i="1"/>
  <c r="A91" i="1"/>
  <c r="B336" i="1"/>
  <c r="B1050" i="5"/>
  <c r="B245" i="5"/>
  <c r="A4306" i="4"/>
  <c r="B3995" i="4"/>
  <c r="B3665" i="4"/>
  <c r="B3413" i="4"/>
  <c r="B3200" i="4"/>
  <c r="A3011" i="4"/>
  <c r="A2845" i="4"/>
  <c r="A2674" i="4"/>
  <c r="B2531" i="4"/>
  <c r="A2398" i="4"/>
  <c r="B2256" i="4"/>
  <c r="A2110" i="4"/>
  <c r="A1979" i="4"/>
  <c r="A1835" i="4"/>
  <c r="B1709" i="4"/>
  <c r="B1600" i="4"/>
  <c r="B1486" i="4"/>
  <c r="B1366" i="4"/>
  <c r="B1255" i="4"/>
  <c r="A1144" i="4"/>
  <c r="B1037" i="4"/>
  <c r="B935" i="4"/>
  <c r="B863" i="4"/>
  <c r="B788" i="4"/>
  <c r="B713" i="4"/>
  <c r="B643" i="4"/>
  <c r="B557" i="4"/>
  <c r="A474" i="4"/>
  <c r="A409" i="4"/>
  <c r="A354" i="4"/>
  <c r="B302" i="4"/>
  <c r="B259" i="4"/>
  <c r="A222" i="4"/>
  <c r="B189" i="4"/>
  <c r="B155" i="4"/>
  <c r="B124" i="4"/>
  <c r="A90" i="4"/>
  <c r="A53" i="4"/>
  <c r="B18" i="4"/>
  <c r="B3057" i="3"/>
  <c r="B3030" i="3"/>
  <c r="B3003" i="3"/>
  <c r="A2977" i="3"/>
  <c r="B2950" i="3"/>
  <c r="A2924" i="3"/>
  <c r="A2898" i="3"/>
  <c r="B2869" i="3"/>
  <c r="A2843" i="3"/>
  <c r="A2817" i="3"/>
  <c r="B2794" i="3"/>
  <c r="B2770" i="3"/>
  <c r="B2748" i="3"/>
  <c r="B2723" i="3"/>
  <c r="B2698" i="3"/>
  <c r="B2677" i="3"/>
  <c r="A2653" i="3"/>
  <c r="B2629" i="3"/>
  <c r="A2605" i="3"/>
  <c r="B2581" i="3"/>
  <c r="B2558" i="3"/>
  <c r="B2534" i="3"/>
  <c r="A2513" i="3"/>
  <c r="B2487" i="3"/>
  <c r="A2463" i="3"/>
  <c r="A2444" i="3"/>
  <c r="B2421" i="3"/>
  <c r="A2400" i="3"/>
  <c r="B2377" i="3"/>
  <c r="A2356" i="3"/>
  <c r="A2335" i="3"/>
  <c r="A2313" i="3"/>
  <c r="A2293" i="3"/>
  <c r="A2270" i="3"/>
  <c r="A2247" i="3"/>
  <c r="A2228" i="3"/>
  <c r="B2205" i="3"/>
  <c r="A2184" i="3"/>
  <c r="B2161" i="3"/>
  <c r="A2140" i="3"/>
  <c r="A2119" i="3"/>
  <c r="A2097" i="3"/>
  <c r="A2077" i="3"/>
  <c r="A2055" i="3"/>
  <c r="B2036" i="3"/>
  <c r="B2017" i="3"/>
  <c r="A1999" i="3"/>
  <c r="B1980" i="3"/>
  <c r="A1959" i="3"/>
  <c r="B1941" i="3"/>
  <c r="B1920" i="3"/>
  <c r="A1903" i="3"/>
  <c r="A1885" i="3"/>
  <c r="B1862" i="3"/>
  <c r="B1845" i="3"/>
  <c r="B1825" i="3"/>
  <c r="B1806" i="3"/>
  <c r="A1789" i="3"/>
  <c r="A1767" i="3"/>
  <c r="A779" i="5"/>
  <c r="A52" i="5"/>
  <c r="B4195" i="4"/>
  <c r="A3923" i="4"/>
  <c r="A3652" i="4"/>
  <c r="A3371" i="4"/>
  <c r="B3126" i="4"/>
  <c r="B2951" i="4"/>
  <c r="A2785" i="4"/>
  <c r="A2637" i="4"/>
  <c r="B2502" i="4"/>
  <c r="A2349" i="4"/>
  <c r="B2206" i="4"/>
  <c r="B2075" i="4"/>
  <c r="A1948" i="4"/>
  <c r="B1816" i="4"/>
  <c r="A1689" i="4"/>
  <c r="A1559" i="4"/>
  <c r="B1447" i="4"/>
  <c r="B1339" i="4"/>
  <c r="B1227" i="4"/>
  <c r="B1107" i="4"/>
  <c r="A1002" i="4"/>
  <c r="B917" i="4"/>
  <c r="B845" i="4"/>
  <c r="B762" i="4"/>
  <c r="B690" i="4"/>
  <c r="B616" i="4"/>
  <c r="B540" i="4"/>
  <c r="A456" i="4"/>
  <c r="B394" i="4"/>
  <c r="B335" i="4"/>
  <c r="A286" i="4"/>
  <c r="B249" i="4"/>
  <c r="B212" i="4"/>
  <c r="A179" i="4"/>
  <c r="A147" i="4"/>
  <c r="B112" i="4"/>
  <c r="B81" i="4"/>
  <c r="A47" i="4"/>
  <c r="A16" i="4"/>
  <c r="B3049" i="3"/>
  <c r="B3022" i="3"/>
  <c r="A2996" i="3"/>
  <c r="B2967" i="3"/>
  <c r="B2941" i="3"/>
  <c r="A2915" i="3"/>
  <c r="A2888" i="3"/>
  <c r="A2862" i="3"/>
  <c r="A2835" i="3"/>
  <c r="B2810" i="3"/>
  <c r="A2787" i="3"/>
  <c r="B2764" i="3"/>
  <c r="B2741" i="3"/>
  <c r="B2716" i="3"/>
  <c r="B2695" i="3"/>
  <c r="B2670" i="3"/>
  <c r="B2645" i="3"/>
  <c r="A2623" i="3"/>
  <c r="B2599" i="3"/>
  <c r="A2575" i="3"/>
  <c r="B2551" i="3"/>
  <c r="B2528" i="3"/>
  <c r="B2505" i="3"/>
  <c r="B2480" i="3"/>
  <c r="B2460" i="3"/>
  <c r="B2437" i="3"/>
  <c r="B2414" i="3"/>
  <c r="A2394" i="3"/>
  <c r="B2372" i="3"/>
  <c r="A2350" i="3"/>
  <c r="B2328" i="3"/>
  <c r="B2307" i="3"/>
  <c r="B2286" i="3"/>
  <c r="B2263" i="3"/>
  <c r="B2244" i="3"/>
  <c r="B2221" i="3"/>
  <c r="B2198" i="3"/>
  <c r="A2178" i="3"/>
  <c r="B2156" i="3"/>
  <c r="A2134" i="3"/>
  <c r="B2112" i="3"/>
  <c r="B2091" i="3"/>
  <c r="A2071" i="3"/>
  <c r="B2052" i="3"/>
  <c r="A2031" i="3"/>
  <c r="B2013" i="3"/>
  <c r="B1992" i="3"/>
  <c r="A1975" i="3"/>
  <c r="A1957" i="3"/>
  <c r="B1934" i="3"/>
  <c r="B1917" i="3"/>
  <c r="B1897" i="3"/>
  <c r="B1878" i="3"/>
  <c r="A1861" i="3"/>
  <c r="A1839" i="3"/>
  <c r="B1820" i="3"/>
  <c r="B1801" i="3"/>
  <c r="A1783" i="3"/>
  <c r="B1764" i="3"/>
  <c r="A1743" i="3"/>
  <c r="B1725" i="3"/>
  <c r="B1704" i="3"/>
  <c r="A1687" i="3"/>
  <c r="A1669" i="3"/>
  <c r="B1646" i="3"/>
  <c r="B1629" i="3"/>
  <c r="B1609" i="3"/>
  <c r="B1590" i="3"/>
  <c r="A1573" i="3"/>
  <c r="A1551" i="3"/>
  <c r="B1532" i="3"/>
  <c r="B1513" i="3"/>
  <c r="A1495" i="3"/>
  <c r="B1476" i="3"/>
  <c r="A1455" i="3"/>
  <c r="B1437" i="3"/>
  <c r="A1417" i="3"/>
  <c r="B1400" i="3"/>
  <c r="B1383" i="3"/>
  <c r="B1365" i="3"/>
  <c r="A1351" i="3"/>
  <c r="B1333" i="3"/>
  <c r="A1316" i="3"/>
  <c r="B1299" i="3"/>
  <c r="B1281" i="3"/>
  <c r="B1266" i="3"/>
  <c r="A1253" i="3"/>
  <c r="B1239" i="3"/>
  <c r="B1225" i="3"/>
  <c r="B1212" i="3"/>
  <c r="B1200" i="3"/>
  <c r="B1185" i="3"/>
  <c r="B1173" i="3"/>
  <c r="A1161" i="3"/>
  <c r="B1147" i="3"/>
  <c r="A1136" i="3"/>
  <c r="A1123" i="3"/>
  <c r="A1110" i="3"/>
  <c r="A1098" i="3"/>
  <c r="B1083" i="3"/>
  <c r="B1070" i="3"/>
  <c r="B1058" i="3"/>
  <c r="A1046" i="3"/>
  <c r="A1033" i="3"/>
  <c r="B1020" i="3"/>
  <c r="B1008" i="3"/>
  <c r="B993" i="3"/>
  <c r="B981" i="3"/>
  <c r="A969" i="3"/>
  <c r="B955" i="3"/>
  <c r="A944" i="3"/>
  <c r="A931" i="3"/>
  <c r="A918" i="3"/>
  <c r="A906" i="3"/>
  <c r="B891" i="3"/>
  <c r="B878" i="3"/>
  <c r="B866" i="3"/>
  <c r="A854" i="3"/>
  <c r="A841" i="3"/>
  <c r="B828" i="3"/>
  <c r="B816" i="3"/>
  <c r="B801" i="3"/>
  <c r="B789" i="3"/>
  <c r="A777" i="3"/>
  <c r="B763" i="3"/>
  <c r="A752" i="3"/>
  <c r="A739" i="3"/>
  <c r="A726" i="3"/>
  <c r="A714" i="3"/>
  <c r="B699" i="3"/>
  <c r="B686" i="3"/>
  <c r="B674" i="3"/>
  <c r="A662" i="3"/>
  <c r="A649" i="3"/>
  <c r="B636" i="3"/>
  <c r="B624" i="3"/>
  <c r="B609" i="3"/>
  <c r="B597" i="3"/>
  <c r="A585" i="3"/>
  <c r="B571" i="3"/>
  <c r="A560" i="3"/>
  <c r="A547" i="3"/>
  <c r="A534" i="3"/>
  <c r="A522" i="3"/>
  <c r="B507" i="3"/>
  <c r="B494" i="3"/>
  <c r="B482" i="3"/>
  <c r="A470" i="3"/>
  <c r="A457" i="3"/>
  <c r="B444" i="3"/>
  <c r="B432" i="3"/>
  <c r="B417" i="3"/>
  <c r="B405" i="3"/>
  <c r="A393" i="3"/>
  <c r="B379" i="3"/>
  <c r="A368" i="3"/>
  <c r="A355" i="3"/>
  <c r="A342" i="3"/>
  <c r="A330" i="3"/>
  <c r="B315" i="3"/>
  <c r="B302" i="3"/>
  <c r="B290" i="3"/>
  <c r="A278" i="3"/>
  <c r="B265" i="3"/>
  <c r="A254" i="3"/>
  <c r="A243" i="3"/>
  <c r="B230" i="3"/>
  <c r="B219" i="3"/>
  <c r="A208" i="3"/>
  <c r="B195" i="3"/>
  <c r="A186" i="3"/>
  <c r="A174" i="3"/>
  <c r="A162" i="3"/>
  <c r="A151" i="3"/>
  <c r="A139" i="3"/>
  <c r="A127" i="3"/>
  <c r="A116" i="3"/>
  <c r="B104" i="3"/>
  <c r="B92" i="3"/>
  <c r="A81" i="3"/>
  <c r="A70" i="3"/>
  <c r="B57" i="3"/>
  <c r="A47" i="3"/>
  <c r="A36" i="3"/>
  <c r="A23" i="3"/>
  <c r="A13" i="3"/>
  <c r="A1" i="3"/>
  <c r="A4439" i="2"/>
  <c r="A4428" i="2"/>
  <c r="A4416" i="2"/>
  <c r="A4404" i="2"/>
  <c r="A4393" i="2"/>
  <c r="B4381" i="2"/>
  <c r="B4369" i="2"/>
  <c r="A4358" i="2"/>
  <c r="A4348" i="2"/>
  <c r="A4335" i="2"/>
  <c r="B4324" i="2"/>
  <c r="A4313" i="2"/>
  <c r="B4300" i="2"/>
  <c r="A4290" i="2"/>
  <c r="A4278" i="2"/>
  <c r="A4266" i="2"/>
  <c r="A4255" i="2"/>
  <c r="A4243" i="2"/>
  <c r="A4231" i="2"/>
  <c r="A4220" i="2"/>
  <c r="A4209" i="2"/>
  <c r="A4197" i="2"/>
  <c r="A4186" i="2"/>
  <c r="A4175" i="2"/>
  <c r="B4162" i="2"/>
  <c r="B4151" i="2"/>
  <c r="A4140" i="2"/>
  <c r="B4127" i="2"/>
  <c r="A4117" i="2"/>
  <c r="A4105" i="2"/>
  <c r="A4093" i="2"/>
  <c r="A4082" i="2"/>
  <c r="A4070" i="2"/>
  <c r="A4058" i="2"/>
  <c r="A4048" i="2"/>
  <c r="B4036" i="2"/>
  <c r="B4024" i="2"/>
  <c r="A4013" i="2"/>
  <c r="A4002" i="2"/>
  <c r="B3989" i="2"/>
  <c r="B3978" i="2"/>
  <c r="A3967" i="2"/>
  <c r="B3954" i="2"/>
  <c r="A3944" i="2"/>
  <c r="A3932" i="2"/>
  <c r="A3920" i="2"/>
  <c r="A3910" i="2"/>
  <c r="A3898" i="2"/>
  <c r="A3886" i="2"/>
  <c r="A3875" i="2"/>
  <c r="B3863" i="2"/>
  <c r="B3851" i="2"/>
  <c r="A3840" i="2"/>
  <c r="A3829" i="2"/>
  <c r="B3816" i="2"/>
  <c r="B3805" i="2"/>
  <c r="A3794" i="2"/>
  <c r="B3781" i="2"/>
  <c r="A3772" i="2"/>
  <c r="A3760" i="2"/>
  <c r="A3748" i="2"/>
  <c r="A3737" i="2"/>
  <c r="A3725" i="2"/>
  <c r="A3713" i="2"/>
  <c r="A3702" i="2"/>
  <c r="B3690" i="2"/>
  <c r="B3678" i="2"/>
  <c r="A3667" i="2"/>
  <c r="A3656" i="2"/>
  <c r="B3643" i="2"/>
  <c r="A3633" i="2"/>
  <c r="A3622" i="2"/>
  <c r="A3609" i="2"/>
  <c r="B3599" i="2"/>
  <c r="A3589" i="2"/>
  <c r="B3577" i="2"/>
  <c r="B3568" i="2"/>
  <c r="B3557" i="2"/>
  <c r="B3546" i="2"/>
  <c r="A3536" i="2"/>
  <c r="B3526" i="2"/>
  <c r="A3515" i="2"/>
  <c r="A3505" i="2"/>
  <c r="A3494" i="2"/>
  <c r="A3484" i="2"/>
  <c r="A3474" i="2"/>
  <c r="A3463" i="2"/>
  <c r="A3452" i="2"/>
  <c r="B3442" i="2"/>
  <c r="A3432" i="2"/>
  <c r="B3420" i="2"/>
  <c r="A3411" i="2"/>
  <c r="B3400" i="2"/>
  <c r="B3389" i="2"/>
  <c r="A3379" i="2"/>
  <c r="A3369" i="2"/>
  <c r="A3358" i="2"/>
  <c r="A3348" i="2"/>
  <c r="B3337" i="2"/>
  <c r="A3326" i="2"/>
  <c r="A3317" i="2"/>
  <c r="A3306" i="2"/>
  <c r="A3295" i="2"/>
  <c r="A3285" i="2"/>
  <c r="A3275" i="2"/>
  <c r="B3263" i="2"/>
  <c r="B3253" i="2"/>
  <c r="A3244" i="2"/>
  <c r="B3232" i="2"/>
  <c r="B3222" i="2"/>
  <c r="B3211" i="2"/>
  <c r="A3201" i="2"/>
  <c r="A3191" i="2"/>
  <c r="B3180" i="2"/>
  <c r="A3169" i="2"/>
  <c r="A3160" i="2"/>
  <c r="A3149" i="2"/>
  <c r="A3138" i="2"/>
  <c r="A3128" i="2"/>
  <c r="A3118" i="2"/>
  <c r="A3107" i="2"/>
  <c r="B3096" i="2"/>
  <c r="A3086" i="2"/>
  <c r="A3075" i="2"/>
  <c r="B3065" i="2"/>
  <c r="B3054" i="2"/>
  <c r="B3043" i="2"/>
  <c r="A3034" i="2"/>
  <c r="B3023" i="2"/>
  <c r="A3012" i="2"/>
  <c r="A3002" i="2"/>
  <c r="B2992" i="2"/>
  <c r="A2981" i="2"/>
  <c r="A2971" i="2"/>
  <c r="A2960" i="2"/>
  <c r="A2950" i="2"/>
  <c r="B2939" i="2"/>
  <c r="A2929" i="2"/>
  <c r="B2917" i="2"/>
  <c r="B2908" i="2"/>
  <c r="A2898" i="2"/>
  <c r="B2886" i="2"/>
  <c r="A2877" i="2"/>
  <c r="B2866" i="2"/>
  <c r="B2855" i="2"/>
  <c r="A2845" i="2"/>
  <c r="A2835" i="2"/>
  <c r="A2824" i="2"/>
  <c r="A2814" i="2"/>
  <c r="A2803" i="2"/>
  <c r="A2792" i="2"/>
  <c r="A2783" i="2"/>
  <c r="A2772" i="2"/>
  <c r="A2761" i="2"/>
  <c r="A2751" i="2"/>
  <c r="A2741" i="2"/>
  <c r="B2729" i="2"/>
  <c r="B2719" i="2"/>
  <c r="A2709" i="2"/>
  <c r="B2698" i="2"/>
  <c r="A2688" i="2"/>
  <c r="B2677" i="2"/>
  <c r="A2666" i="2"/>
  <c r="A2657" i="2"/>
  <c r="B2646" i="2"/>
  <c r="A2635" i="2"/>
  <c r="A2626" i="2"/>
  <c r="A2615" i="2"/>
  <c r="A2604" i="2"/>
  <c r="B2593" i="2"/>
  <c r="A2584" i="2"/>
  <c r="A2574" i="2"/>
  <c r="A2566" i="2"/>
  <c r="B2557" i="2"/>
  <c r="A2548" i="2"/>
  <c r="A2540" i="2"/>
  <c r="A2531" i="2"/>
  <c r="A2522" i="2"/>
  <c r="B2513" i="2"/>
  <c r="A2505" i="2"/>
  <c r="B2495" i="2"/>
  <c r="B2487" i="2"/>
  <c r="B2478" i="2"/>
  <c r="B2469" i="2"/>
  <c r="B2461" i="2"/>
  <c r="B2452" i="2"/>
  <c r="B2443" i="2"/>
  <c r="A2435" i="2"/>
  <c r="B2426" i="2"/>
  <c r="A2417" i="2"/>
  <c r="A2409" i="2"/>
  <c r="A2400" i="2"/>
  <c r="A2391" i="2"/>
  <c r="B2382" i="2"/>
  <c r="A2374" i="2"/>
  <c r="B2364" i="2"/>
  <c r="B2356" i="2"/>
  <c r="A2348" i="2"/>
  <c r="B2338" i="2"/>
  <c r="B2330" i="2"/>
  <c r="B2321" i="2"/>
  <c r="B2312" i="2"/>
  <c r="A2304" i="2"/>
  <c r="B2295" i="2"/>
  <c r="A2286" i="2"/>
  <c r="A2278" i="2"/>
  <c r="B2269" i="2"/>
  <c r="A2260" i="2"/>
  <c r="A2252" i="2"/>
  <c r="A2243" i="2"/>
  <c r="A2234" i="2"/>
  <c r="B2225" i="2"/>
  <c r="A2217" i="2"/>
  <c r="B2207" i="2"/>
  <c r="B2199" i="2"/>
  <c r="B2190" i="2"/>
  <c r="B2181" i="2"/>
  <c r="B2173" i="2"/>
  <c r="B2164" i="2"/>
  <c r="B2155" i="2"/>
  <c r="A2147" i="2"/>
  <c r="B2138" i="2"/>
  <c r="A2129" i="2"/>
  <c r="A2121" i="2"/>
  <c r="A2112" i="2"/>
  <c r="A2103" i="2"/>
  <c r="B2094" i="2"/>
  <c r="A2086" i="2"/>
  <c r="B2076" i="2"/>
  <c r="B2068" i="2"/>
  <c r="A2060" i="2"/>
  <c r="B2050" i="2"/>
  <c r="B2042" i="2"/>
  <c r="B2033" i="2"/>
  <c r="B2024" i="2"/>
  <c r="A2016" i="2"/>
  <c r="B2007" i="2"/>
  <c r="A1998" i="2"/>
  <c r="A1990" i="2"/>
  <c r="B1981" i="2"/>
  <c r="A1972" i="2"/>
  <c r="A1964" i="2"/>
  <c r="A1955" i="2"/>
  <c r="A1946" i="2"/>
  <c r="B1937" i="2"/>
  <c r="A1929" i="2"/>
  <c r="B1919" i="2"/>
  <c r="B1911" i="2"/>
  <c r="B1902" i="2"/>
  <c r="B1893" i="2"/>
  <c r="B1885" i="2"/>
  <c r="B1876" i="2"/>
  <c r="B1867" i="2"/>
  <c r="A1859" i="2"/>
  <c r="B1850" i="2"/>
  <c r="A1841" i="2"/>
  <c r="A1833" i="2"/>
  <c r="A1824" i="2"/>
  <c r="A1815" i="2"/>
  <c r="B1806" i="2"/>
  <c r="A1798" i="2"/>
  <c r="B1788" i="2"/>
  <c r="B1780" i="2"/>
  <c r="A1772" i="2"/>
  <c r="B1762" i="2"/>
  <c r="B1754" i="2"/>
  <c r="B1745" i="2"/>
  <c r="B1736" i="2"/>
  <c r="A1728" i="2"/>
  <c r="B1719" i="2"/>
  <c r="A1710" i="2"/>
  <c r="A1702" i="2"/>
  <c r="B1693" i="2"/>
  <c r="A1684" i="2"/>
  <c r="A1676" i="2"/>
  <c r="A1667" i="2"/>
  <c r="A1658" i="2"/>
  <c r="B1649" i="2"/>
  <c r="A1641" i="2"/>
  <c r="B1631" i="2"/>
  <c r="B1623" i="2"/>
  <c r="B1614" i="2"/>
  <c r="B1605" i="2"/>
  <c r="B1597" i="2"/>
  <c r="B1588" i="2"/>
  <c r="B1579" i="2"/>
  <c r="A1571" i="2"/>
  <c r="B1562" i="2"/>
  <c r="A1553" i="2"/>
  <c r="A1545" i="2"/>
  <c r="A1536" i="2"/>
  <c r="A1527" i="2"/>
  <c r="B1518" i="2"/>
  <c r="A1510" i="2"/>
  <c r="B1500" i="2"/>
  <c r="B1492" i="2"/>
  <c r="A1484" i="2"/>
  <c r="B1474" i="2"/>
  <c r="A1467" i="2"/>
  <c r="B1459" i="2"/>
  <c r="A1451" i="2"/>
  <c r="B1443" i="2"/>
  <c r="B1435" i="2"/>
  <c r="B1427" i="2"/>
  <c r="A1420" i="2"/>
  <c r="A1412" i="2"/>
  <c r="A1404" i="2"/>
  <c r="A1396" i="2"/>
  <c r="B1388" i="2"/>
  <c r="B1380" i="2"/>
  <c r="B1372" i="2"/>
  <c r="A1365" i="2"/>
  <c r="B1356" i="2"/>
  <c r="A1349" i="2"/>
  <c r="B1341" i="2"/>
  <c r="B1333" i="2"/>
  <c r="B1325" i="2"/>
  <c r="B1317" i="2"/>
  <c r="A1310" i="2"/>
  <c r="A1302" i="2"/>
  <c r="A1294" i="2"/>
  <c r="B1286" i="2"/>
  <c r="A1278" i="2"/>
  <c r="B1270" i="2"/>
  <c r="A1263" i="2"/>
  <c r="B1254" i="2"/>
  <c r="A1247" i="2"/>
  <c r="A1239" i="2"/>
  <c r="B1231" i="2"/>
  <c r="B1223" i="2"/>
  <c r="B1215" i="2"/>
  <c r="A1208" i="2"/>
  <c r="B1199" i="2"/>
  <c r="A1192" i="2"/>
  <c r="B1184" i="2"/>
  <c r="A1176" i="2"/>
  <c r="B1168" i="2"/>
  <c r="B1160" i="2"/>
  <c r="B1152" i="2"/>
  <c r="A1145" i="2"/>
  <c r="A1137" i="2"/>
  <c r="B1129" i="2"/>
  <c r="A1121" i="2"/>
  <c r="B1113" i="2"/>
  <c r="A1106" i="2"/>
  <c r="B1097" i="2"/>
  <c r="A1090" i="2"/>
  <c r="A1082" i="2"/>
  <c r="A1074" i="2"/>
  <c r="B1066" i="2"/>
  <c r="B1058" i="2"/>
  <c r="B1050" i="2"/>
  <c r="B1042" i="2"/>
  <c r="A1035" i="2"/>
  <c r="B1027" i="2"/>
  <c r="A1019" i="2"/>
  <c r="B1011" i="2"/>
  <c r="B1003" i="2"/>
  <c r="B995" i="2"/>
  <c r="A988" i="2"/>
  <c r="A980" i="2"/>
  <c r="A972" i="2"/>
  <c r="A964" i="2"/>
  <c r="B956" i="2"/>
  <c r="B948" i="2"/>
  <c r="B940" i="2"/>
  <c r="A933" i="2"/>
  <c r="B924" i="2"/>
  <c r="A917" i="2"/>
  <c r="B909" i="2"/>
  <c r="B901" i="2"/>
  <c r="B893" i="2"/>
  <c r="B885" i="2"/>
  <c r="A878" i="2"/>
  <c r="A870" i="2"/>
  <c r="A862" i="2"/>
  <c r="B854" i="2"/>
  <c r="A846" i="2"/>
  <c r="B838" i="2"/>
  <c r="A831" i="2"/>
  <c r="B822" i="2"/>
  <c r="A815" i="2"/>
  <c r="A807" i="2"/>
  <c r="B799" i="2"/>
  <c r="B791" i="2"/>
  <c r="B783" i="2"/>
  <c r="A776" i="2"/>
  <c r="B767" i="2"/>
  <c r="A760" i="2"/>
  <c r="B752" i="2"/>
  <c r="A744" i="2"/>
  <c r="B736" i="2"/>
  <c r="B728" i="2"/>
  <c r="B720" i="2"/>
  <c r="A713" i="2"/>
  <c r="A705" i="2"/>
  <c r="B697" i="2"/>
  <c r="A689" i="2"/>
  <c r="B681" i="2"/>
  <c r="A674" i="2"/>
  <c r="B665" i="2"/>
  <c r="A658" i="2"/>
  <c r="A650" i="2"/>
  <c r="A642" i="2"/>
  <c r="B634" i="2"/>
  <c r="B627" i="2"/>
  <c r="A620" i="2"/>
  <c r="B612" i="2"/>
  <c r="B605" i="2"/>
  <c r="B598" i="2"/>
  <c r="B591" i="2"/>
  <c r="B584" i="2"/>
  <c r="B577" i="2"/>
  <c r="A570" i="2"/>
  <c r="A563" i="2"/>
  <c r="A556" i="2"/>
  <c r="A549" i="2"/>
  <c r="B541" i="2"/>
  <c r="A534" i="2"/>
  <c r="A527" i="2"/>
  <c r="A520" i="2"/>
  <c r="A513" i="2"/>
  <c r="A506" i="2"/>
  <c r="B498" i="2"/>
  <c r="B491" i="2"/>
  <c r="B484" i="2"/>
  <c r="B477" i="2"/>
  <c r="B470" i="2"/>
  <c r="B462" i="2"/>
  <c r="B455" i="2"/>
  <c r="B448" i="2"/>
  <c r="B441" i="2"/>
  <c r="B434" i="2"/>
  <c r="B427" i="2"/>
  <c r="A420" i="2"/>
  <c r="A413" i="2"/>
  <c r="A406" i="2"/>
  <c r="A399" i="2"/>
  <c r="A392" i="2"/>
  <c r="A384" i="2"/>
  <c r="A377" i="2"/>
  <c r="A370" i="2"/>
  <c r="A363" i="2"/>
  <c r="A356" i="2"/>
  <c r="B348" i="2"/>
  <c r="B341" i="2"/>
  <c r="B334" i="2"/>
  <c r="B327" i="2"/>
  <c r="B320" i="2"/>
  <c r="B313" i="2"/>
  <c r="B305" i="2"/>
  <c r="B298" i="2"/>
  <c r="B291" i="2"/>
  <c r="B284" i="2"/>
  <c r="A278" i="2"/>
  <c r="B271" i="2"/>
  <c r="A265" i="2"/>
  <c r="B258" i="2"/>
  <c r="A252" i="2"/>
  <c r="B245" i="2"/>
  <c r="A239" i="2"/>
  <c r="A232" i="2"/>
  <c r="B225" i="2"/>
  <c r="A219" i="2"/>
  <c r="B212" i="2"/>
  <c r="A206" i="2"/>
  <c r="B199" i="2"/>
  <c r="A193" i="2"/>
  <c r="B186" i="2"/>
  <c r="A180" i="2"/>
  <c r="B173" i="2"/>
  <c r="A167" i="2"/>
  <c r="A160" i="2"/>
  <c r="B153" i="2"/>
  <c r="A147" i="2"/>
  <c r="B140" i="2"/>
  <c r="A134" i="2"/>
  <c r="B127" i="2"/>
  <c r="A121" i="2"/>
  <c r="B114" i="2"/>
  <c r="A108" i="2"/>
  <c r="B101" i="2"/>
  <c r="A95" i="2"/>
  <c r="A88" i="2"/>
  <c r="B81" i="2"/>
  <c r="A75" i="2"/>
  <c r="B68" i="2"/>
  <c r="A62" i="2"/>
  <c r="B55" i="2"/>
  <c r="A49" i="2"/>
  <c r="B42" i="2"/>
  <c r="A36" i="2"/>
  <c r="B29" i="2"/>
  <c r="A23" i="2"/>
  <c r="A16" i="2"/>
  <c r="B9" i="2"/>
  <c r="A3" i="2"/>
  <c r="A2076" i="1"/>
  <c r="B2119" i="1"/>
  <c r="B2041" i="1"/>
  <c r="A2101" i="1"/>
  <c r="A2023" i="1"/>
  <c r="B2072" i="1"/>
  <c r="A2126" i="1"/>
  <c r="A2048" i="1"/>
  <c r="B2085" i="1"/>
  <c r="B2007" i="1"/>
  <c r="A2013" i="1"/>
  <c r="B1925" i="1"/>
  <c r="B1847" i="1"/>
  <c r="B1769" i="1"/>
  <c r="B1691" i="1"/>
  <c r="B1613" i="1"/>
  <c r="B2116" i="1"/>
  <c r="A1979" i="1"/>
  <c r="A1901" i="1"/>
  <c r="A1817" i="1"/>
  <c r="A1739" i="1"/>
  <c r="A1661" i="1"/>
  <c r="A1583" i="1"/>
  <c r="A1999" i="1"/>
  <c r="B1914" i="1"/>
  <c r="B1836" i="1"/>
  <c r="B1758" i="1"/>
  <c r="B1680" i="1"/>
  <c r="B1602" i="1"/>
  <c r="B2087" i="1"/>
  <c r="A1968" i="1"/>
  <c r="A1890" i="1"/>
  <c r="A1812" i="1"/>
  <c r="A1734" i="1"/>
  <c r="A1656" i="1"/>
  <c r="A1578" i="1"/>
  <c r="A2051" i="1"/>
  <c r="B1951" i="1"/>
  <c r="B1873" i="1"/>
  <c r="B1795" i="1"/>
  <c r="B1717" i="1"/>
  <c r="B1633" i="1"/>
  <c r="B2094" i="1"/>
  <c r="A1957" i="1"/>
  <c r="A1879" i="1"/>
  <c r="A1801" i="1"/>
  <c r="A1723" i="1"/>
  <c r="A1645" i="1"/>
  <c r="A1567" i="1"/>
  <c r="B1964" i="1"/>
  <c r="B1808" i="1"/>
  <c r="B1652" i="1"/>
  <c r="A1513" i="1"/>
  <c r="A1435" i="1"/>
  <c r="A1357" i="1"/>
  <c r="A1279" i="1"/>
  <c r="A1994" i="1"/>
  <c r="A1844" i="1"/>
  <c r="A1688" i="1"/>
  <c r="B1545" i="1"/>
  <c r="B1466" i="1"/>
  <c r="B1388" i="1"/>
  <c r="B1310" i="1"/>
  <c r="A2074" i="1"/>
  <c r="B1875" i="1"/>
  <c r="B1719" i="1"/>
  <c r="A1557" i="1"/>
  <c r="A1484" i="1"/>
  <c r="A1406" i="1"/>
  <c r="A1328" i="1"/>
  <c r="B2093" i="1"/>
  <c r="A1899" i="1"/>
  <c r="A1743" i="1"/>
  <c r="A1599" i="1"/>
  <c r="B1497" i="1"/>
  <c r="B1425" i="1"/>
  <c r="B1353" i="1"/>
  <c r="B1281" i="1"/>
  <c r="B1930" i="1"/>
  <c r="B1786" i="1"/>
  <c r="B1642" i="1"/>
  <c r="A1521" i="1"/>
  <c r="A1449" i="1"/>
  <c r="A1377" i="1"/>
  <c r="A1305" i="1"/>
  <c r="B2016" i="1"/>
  <c r="A1846" i="1"/>
  <c r="A1702" i="1"/>
  <c r="A1553" i="1"/>
  <c r="B1486" i="1"/>
  <c r="B1414" i="1"/>
  <c r="B1342" i="1"/>
  <c r="A2043" i="1"/>
  <c r="B1742" i="1"/>
  <c r="A1498" i="1"/>
  <c r="A1354" i="1"/>
  <c r="B1236" i="1"/>
  <c r="B1164" i="1"/>
  <c r="B1092" i="1"/>
  <c r="B1020" i="1"/>
  <c r="A1862" i="1"/>
  <c r="A1574" i="1"/>
  <c r="B1409" i="1"/>
  <c r="B1258" i="1"/>
  <c r="A1188" i="1"/>
  <c r="A1116" i="1"/>
  <c r="A1044" i="1"/>
  <c r="A2110" i="1"/>
  <c r="B1761" i="1"/>
  <c r="A1953" i="1"/>
  <c r="A1665" i="1"/>
  <c r="B1476" i="1"/>
  <c r="B1332" i="1"/>
  <c r="A1225" i="1"/>
  <c r="A1153" i="1"/>
  <c r="A1081" i="1"/>
  <c r="A1009" i="1"/>
  <c r="B1924" i="1"/>
  <c r="B1636" i="1"/>
  <c r="A1464" i="1"/>
  <c r="A1320" i="1"/>
  <c r="B1214" i="1"/>
  <c r="B1142" i="1"/>
  <c r="B1070" i="1"/>
  <c r="B998" i="1"/>
  <c r="A1852" i="1"/>
  <c r="B1550" i="1"/>
  <c r="B1411" i="1"/>
  <c r="B1273" i="1"/>
  <c r="A1196" i="1"/>
  <c r="A1124" i="1"/>
  <c r="A1052" i="1"/>
  <c r="A980" i="1"/>
  <c r="B1754" i="1"/>
  <c r="B1362" i="1"/>
  <c r="B1648" i="1"/>
  <c r="B1357" i="1"/>
  <c r="A1984" i="1"/>
  <c r="A1516" i="1"/>
  <c r="B1257" i="1"/>
  <c r="B1816" i="1"/>
  <c r="A1470" i="1"/>
  <c r="A1960" i="1"/>
  <c r="A1457" i="1"/>
  <c r="B1869" i="1"/>
  <c r="A1295" i="1"/>
  <c r="A1181" i="1"/>
  <c r="B1045" i="1"/>
  <c r="B947" i="1"/>
  <c r="B871" i="1"/>
  <c r="A1384" i="1"/>
  <c r="B1139" i="1"/>
  <c r="B989" i="1"/>
  <c r="A2019" i="1"/>
  <c r="A1265" i="1"/>
  <c r="A1108" i="1"/>
  <c r="A961" i="1"/>
  <c r="A885" i="1"/>
  <c r="A1487" i="1"/>
  <c r="A1179" i="1"/>
  <c r="A1066" i="1"/>
  <c r="B959" i="1"/>
  <c r="B882" i="1"/>
  <c r="A1528" i="1"/>
  <c r="B1267" i="1"/>
  <c r="B1150" i="1"/>
  <c r="B1037" i="1"/>
  <c r="A930" i="1"/>
  <c r="A1151" i="1"/>
  <c r="A935" i="1"/>
  <c r="B819" i="1"/>
  <c r="B747" i="1"/>
  <c r="B675" i="1"/>
  <c r="B603" i="1"/>
  <c r="B531" i="1"/>
  <c r="B1725" i="1"/>
  <c r="B1168" i="1"/>
  <c r="B978" i="1"/>
  <c r="A876" i="1"/>
  <c r="A795" i="1"/>
  <c r="A723" i="1"/>
  <c r="A651" i="1"/>
  <c r="A579" i="1"/>
  <c r="A507" i="1"/>
  <c r="A1506" i="1"/>
  <c r="B1143" i="1"/>
  <c r="A993" i="1"/>
  <c r="B879" i="1"/>
  <c r="B814" i="1"/>
  <c r="B742" i="1"/>
  <c r="B670" i="1"/>
  <c r="B598" i="1"/>
  <c r="B526" i="1"/>
  <c r="A1247" i="1"/>
  <c r="B1002" i="1"/>
  <c r="A906" i="1"/>
  <c r="B821" i="1"/>
  <c r="B749" i="1"/>
  <c r="B677" i="1"/>
  <c r="B605" i="1"/>
  <c r="B533" i="1"/>
  <c r="B1229" i="1"/>
  <c r="A947" i="1"/>
  <c r="B799" i="1"/>
  <c r="B691" i="1"/>
  <c r="B583" i="1"/>
  <c r="B481" i="1"/>
  <c r="A1629" i="1"/>
  <c r="B983" i="1"/>
  <c r="B850" i="1"/>
  <c r="B750" i="1"/>
  <c r="B642" i="1"/>
  <c r="B534" i="1"/>
  <c r="A443" i="1"/>
  <c r="A371" i="1"/>
  <c r="A299" i="1"/>
  <c r="A1421" i="1"/>
  <c r="A907" i="1"/>
  <c r="B775" i="1"/>
  <c r="B667" i="1"/>
  <c r="B559" i="1"/>
  <c r="A468" i="1"/>
  <c r="A396" i="1"/>
  <c r="A324" i="1"/>
  <c r="A1511" i="1"/>
  <c r="B1089" i="1"/>
  <c r="B885" i="1"/>
  <c r="A755" i="1"/>
  <c r="A647" i="1"/>
  <c r="A539" i="1"/>
  <c r="B445" i="1"/>
  <c r="B373" i="1"/>
  <c r="B301" i="1"/>
  <c r="A1156" i="1"/>
  <c r="B923" i="1"/>
  <c r="B794" i="1"/>
  <c r="B686" i="1"/>
  <c r="B578" i="1"/>
  <c r="A484" i="1"/>
  <c r="A417" i="1"/>
  <c r="A345" i="1"/>
  <c r="A1433" i="1"/>
  <c r="A848" i="1"/>
  <c r="A684" i="1"/>
  <c r="A490" i="1"/>
  <c r="B382" i="1"/>
  <c r="B277" i="1"/>
  <c r="B206" i="1"/>
  <c r="B134" i="1"/>
  <c r="B62" i="1"/>
  <c r="A1114" i="1"/>
  <c r="A758" i="1"/>
  <c r="A551" i="1"/>
  <c r="B398" i="1"/>
  <c r="B290" i="1"/>
  <c r="A218" i="1"/>
  <c r="A146" i="1"/>
  <c r="A1361" i="1"/>
  <c r="B960" i="1"/>
  <c r="A726" i="1"/>
  <c r="A544" i="1"/>
  <c r="B394" i="1"/>
  <c r="A285" i="1"/>
  <c r="B220" i="1"/>
  <c r="B148" i="1"/>
  <c r="B76" i="1"/>
  <c r="A1011" i="1"/>
  <c r="A763" i="1"/>
  <c r="A578" i="1"/>
  <c r="A430" i="1"/>
  <c r="A322" i="1"/>
  <c r="A232" i="1"/>
  <c r="A160" i="1"/>
  <c r="A88" i="1"/>
  <c r="A1017" i="1"/>
  <c r="A774" i="1"/>
  <c r="A589" i="1"/>
  <c r="B441" i="1"/>
  <c r="A332" i="1"/>
  <c r="B241" i="1"/>
  <c r="B169" i="1"/>
  <c r="B97" i="1"/>
  <c r="B798" i="1"/>
  <c r="A494" i="1"/>
  <c r="A308" i="1"/>
  <c r="A137" i="1"/>
  <c r="A36" i="1"/>
  <c r="A830" i="1"/>
  <c r="A452" i="1"/>
  <c r="B284" i="1"/>
  <c r="B147" i="1"/>
  <c r="B53" i="1"/>
  <c r="B965" i="1"/>
  <c r="A670" i="1"/>
  <c r="B473" i="1"/>
  <c r="B258" i="1"/>
  <c r="A147" i="1"/>
  <c r="A33" i="1"/>
  <c r="A733" i="1"/>
  <c r="A286" i="1"/>
  <c r="A10" i="1"/>
  <c r="B1173" i="1"/>
  <c r="A776" i="1"/>
  <c r="A434" i="1"/>
  <c r="B233" i="1"/>
  <c r="B120" i="1"/>
  <c r="B10" i="1"/>
  <c r="A601" i="1"/>
  <c r="B167" i="1"/>
  <c r="B1941" i="1"/>
  <c r="A821" i="1"/>
  <c r="B411" i="1"/>
  <c r="A255" i="1"/>
  <c r="B117" i="1"/>
  <c r="A30" i="1"/>
  <c r="A509" i="1"/>
  <c r="B234" i="1"/>
  <c r="A1653" i="1"/>
  <c r="B805" i="1"/>
  <c r="A583" i="1"/>
  <c r="B352" i="1"/>
  <c r="B197" i="1"/>
  <c r="B87" i="1"/>
  <c r="B7" i="1"/>
  <c r="B293" i="1"/>
  <c r="A78" i="1"/>
  <c r="A769" i="1"/>
  <c r="A173" i="1"/>
  <c r="A594" i="1"/>
  <c r="A179" i="1"/>
  <c r="A316" i="1"/>
  <c r="B404" i="1"/>
  <c r="B36" i="1"/>
  <c r="B710" i="1"/>
  <c r="B472" i="1"/>
  <c r="A75" i="1"/>
  <c r="B437" i="1"/>
  <c r="B371" i="1"/>
  <c r="B402" i="1"/>
  <c r="B24" i="1"/>
  <c r="A665" i="5"/>
  <c r="B48" i="5"/>
  <c r="B4193" i="4"/>
  <c r="A3875" i="4"/>
  <c r="A3592" i="4"/>
  <c r="A3356" i="4"/>
  <c r="B3125" i="4"/>
  <c r="A2942" i="4"/>
  <c r="B2782" i="4"/>
  <c r="B2635" i="4"/>
  <c r="A2485" i="4"/>
  <c r="B2347" i="4"/>
  <c r="A2206" i="4"/>
  <c r="A2073" i="4"/>
  <c r="A1935" i="4"/>
  <c r="B1815" i="4"/>
  <c r="B1668" i="4"/>
  <c r="B1558" i="4"/>
  <c r="A1444" i="4"/>
  <c r="A1338" i="4"/>
  <c r="A1215" i="4"/>
  <c r="A1107" i="4"/>
  <c r="A1001" i="4"/>
  <c r="A914" i="4"/>
  <c r="B835" i="4"/>
  <c r="A762" i="4"/>
  <c r="A688" i="4"/>
  <c r="A601" i="4"/>
  <c r="A529" i="4"/>
  <c r="B455" i="4"/>
  <c r="B388" i="4"/>
  <c r="A335" i="4"/>
  <c r="B285" i="4"/>
  <c r="B245" i="4"/>
  <c r="B211" i="4"/>
  <c r="A178" i="4"/>
  <c r="B146" i="4"/>
  <c r="A112" i="4"/>
  <c r="A75" i="4"/>
  <c r="A41" i="4"/>
  <c r="A10" i="4"/>
  <c r="A3049" i="3"/>
  <c r="A3020" i="3"/>
  <c r="B2993" i="3"/>
  <c r="A2967" i="3"/>
  <c r="A2941" i="3"/>
  <c r="B2914" i="3"/>
  <c r="B2887" i="3"/>
  <c r="A2861" i="3"/>
  <c r="B2834" i="3"/>
  <c r="A2810" i="3"/>
  <c r="B2786" i="3"/>
  <c r="A2762" i="3"/>
  <c r="B2738" i="3"/>
  <c r="B2715" i="3"/>
  <c r="B2691" i="3"/>
  <c r="A2670" i="3"/>
  <c r="A2645" i="3"/>
  <c r="B2619" i="3"/>
  <c r="A2599" i="3"/>
  <c r="B2574" i="3"/>
  <c r="A2551" i="3"/>
  <c r="B2526" i="3"/>
  <c r="A2503" i="3"/>
  <c r="A2480" i="3"/>
  <c r="A2457" i="3"/>
  <c r="A2437" i="3"/>
  <c r="A2414" i="3"/>
  <c r="A2391" i="3"/>
  <c r="A2372" i="3"/>
  <c r="B2349" i="3"/>
  <c r="A2328" i="3"/>
  <c r="B2305" i="3"/>
  <c r="A2284" i="3"/>
  <c r="A2263" i="3"/>
  <c r="A2241" i="3"/>
  <c r="A2221" i="3"/>
  <c r="A2198" i="3"/>
  <c r="A2175" i="3"/>
  <c r="A2156" i="3"/>
  <c r="B2133" i="3"/>
  <c r="A2112" i="3"/>
  <c r="B2089" i="3"/>
  <c r="B2070" i="3"/>
  <c r="A2049" i="3"/>
  <c r="B2030" i="3"/>
  <c r="B2012" i="3"/>
  <c r="A1992" i="3"/>
  <c r="B1974" i="3"/>
  <c r="B1956" i="3"/>
  <c r="A1934" i="3"/>
  <c r="B1916" i="3"/>
  <c r="B1896" i="3"/>
  <c r="A1876" i="3"/>
  <c r="B1860" i="3"/>
  <c r="B1838" i="3"/>
  <c r="A1820" i="3"/>
  <c r="B1800" i="3"/>
  <c r="B1782" i="3"/>
  <c r="A1761" i="3"/>
  <c r="B1742" i="3"/>
  <c r="B1724" i="3"/>
  <c r="A1704" i="3"/>
  <c r="B1686" i="3"/>
  <c r="B1668" i="3"/>
  <c r="A1646" i="3"/>
  <c r="B1628" i="3"/>
  <c r="B1608" i="3"/>
  <c r="A1588" i="3"/>
  <c r="B1572" i="3"/>
  <c r="B1550" i="3"/>
  <c r="A1532" i="3"/>
  <c r="B1512" i="3"/>
  <c r="B1494" i="3"/>
  <c r="A1473" i="3"/>
  <c r="B1454" i="3"/>
  <c r="B1436" i="3"/>
  <c r="B1416" i="3"/>
  <c r="A1400" i="3"/>
  <c r="A1383" i="3"/>
  <c r="A1365" i="3"/>
  <c r="A1350" i="3"/>
  <c r="A1333" i="3"/>
  <c r="A1312" i="3"/>
  <c r="B1297" i="3"/>
  <c r="A1281" i="3"/>
  <c r="A1266" i="3"/>
  <c r="B1252" i="3"/>
  <c r="A1239" i="3"/>
  <c r="A1225" i="3"/>
  <c r="A1212" i="3"/>
  <c r="A1198" i="3"/>
  <c r="A1185" i="3"/>
  <c r="A1173" i="3"/>
  <c r="B1160" i="3"/>
  <c r="A1147" i="3"/>
  <c r="A1135" i="3"/>
  <c r="B1122" i="3"/>
  <c r="B1107" i="3"/>
  <c r="A1096" i="3"/>
  <c r="A1083" i="3"/>
  <c r="A1070" i="3"/>
  <c r="A1058" i="3"/>
  <c r="B1045" i="3"/>
  <c r="B1032" i="3"/>
  <c r="A1020" i="3"/>
  <c r="A1006" i="3"/>
  <c r="A993" i="3"/>
  <c r="A981" i="3"/>
  <c r="B968" i="3"/>
  <c r="A955" i="3"/>
  <c r="A943" i="3"/>
  <c r="B930" i="3"/>
  <c r="B915" i="3"/>
  <c r="A904" i="3"/>
  <c r="A891" i="3"/>
  <c r="A878" i="3"/>
  <c r="A866" i="3"/>
  <c r="B853" i="3"/>
  <c r="B840" i="3"/>
  <c r="A828" i="3"/>
  <c r="A814" i="3"/>
  <c r="A801" i="3"/>
  <c r="A789" i="3"/>
  <c r="B776" i="3"/>
  <c r="A763" i="3"/>
  <c r="A751" i="3"/>
  <c r="B738" i="3"/>
  <c r="B723" i="3"/>
  <c r="A712" i="3"/>
  <c r="A699" i="3"/>
  <c r="A686" i="3"/>
  <c r="A674" i="3"/>
  <c r="B661" i="3"/>
  <c r="B648" i="3"/>
  <c r="A636" i="3"/>
  <c r="A622" i="3"/>
  <c r="A609" i="3"/>
  <c r="A597" i="3"/>
  <c r="B584" i="3"/>
  <c r="A571" i="3"/>
  <c r="A559" i="3"/>
  <c r="B546" i="3"/>
  <c r="B531" i="3"/>
  <c r="A520" i="3"/>
  <c r="A507" i="3"/>
  <c r="A494" i="3"/>
  <c r="A482" i="3"/>
  <c r="B469" i="3"/>
  <c r="B456" i="3"/>
  <c r="A444" i="3"/>
  <c r="A430" i="3"/>
  <c r="A417" i="3"/>
  <c r="A405" i="3"/>
  <c r="B392" i="3"/>
  <c r="A379" i="3"/>
  <c r="A367" i="3"/>
  <c r="B354" i="3"/>
  <c r="B339" i="3"/>
  <c r="A328" i="3"/>
  <c r="A315" i="3"/>
  <c r="A302" i="3"/>
  <c r="A290" i="3"/>
  <c r="B277" i="3"/>
  <c r="A265" i="3"/>
  <c r="B253" i="3"/>
  <c r="A242" i="3"/>
  <c r="A230" i="3"/>
  <c r="A219" i="3"/>
  <c r="B207" i="3"/>
  <c r="A195" i="3"/>
  <c r="A184" i="3"/>
  <c r="A173" i="3"/>
  <c r="A160" i="3"/>
  <c r="B150" i="3"/>
  <c r="B138" i="3"/>
  <c r="B126" i="3"/>
  <c r="B115" i="3"/>
  <c r="A104" i="3"/>
  <c r="A92" i="3"/>
  <c r="B80" i="3"/>
  <c r="A69" i="3"/>
  <c r="A57" i="3"/>
  <c r="A46" i="3"/>
  <c r="A35" i="3"/>
  <c r="A22" i="3"/>
  <c r="A12" i="3"/>
  <c r="B4450" i="2"/>
  <c r="A4438" i="2"/>
  <c r="B4427" i="2"/>
  <c r="B4415" i="2"/>
  <c r="B4403" i="2"/>
  <c r="B4392" i="2"/>
  <c r="A4381" i="2"/>
  <c r="A4369" i="2"/>
  <c r="B4357" i="2"/>
  <c r="A4346" i="2"/>
  <c r="A4334" i="2"/>
  <c r="A4324" i="2"/>
  <c r="B4312" i="2"/>
  <c r="A4300" i="2"/>
  <c r="A4289" i="2"/>
  <c r="B4277" i="2"/>
  <c r="A4265" i="2"/>
  <c r="B4254" i="2"/>
  <c r="B4242" i="2"/>
  <c r="B4230" i="2"/>
  <c r="B4219" i="2"/>
  <c r="A4208" i="2"/>
  <c r="A4196" i="2"/>
  <c r="A4185" i="2"/>
  <c r="A4174" i="2"/>
  <c r="A4162" i="2"/>
  <c r="A4151" i="2"/>
  <c r="B4139" i="2"/>
  <c r="A4127" i="2"/>
  <c r="A4116" i="2"/>
  <c r="B4104" i="2"/>
  <c r="A4092" i="2"/>
  <c r="B4081" i="2"/>
  <c r="B4069" i="2"/>
  <c r="B4057" i="2"/>
  <c r="A4047" i="2"/>
  <c r="A4036" i="2"/>
  <c r="A4024" i="2"/>
  <c r="B4012" i="2"/>
  <c r="A4001" i="2"/>
  <c r="A3989" i="2"/>
  <c r="A3978" i="2"/>
  <c r="B3966" i="2"/>
  <c r="A3954" i="2"/>
  <c r="A3943" i="2"/>
  <c r="B3931" i="2"/>
  <c r="A3919" i="2"/>
  <c r="A3909" i="2"/>
  <c r="A3897" i="2"/>
  <c r="A3885" i="2"/>
  <c r="B3874" i="2"/>
  <c r="A3863" i="2"/>
  <c r="A3851" i="2"/>
  <c r="B3839" i="2"/>
  <c r="A3828" i="2"/>
  <c r="A3816" i="2"/>
  <c r="A3805" i="2"/>
  <c r="B3793" i="2"/>
  <c r="A3781" i="2"/>
  <c r="A3770" i="2"/>
  <c r="A3759" i="2"/>
  <c r="A3746" i="2"/>
  <c r="B3736" i="2"/>
  <c r="B3724" i="2"/>
  <c r="B3712" i="2"/>
  <c r="B3701" i="2"/>
  <c r="A3690" i="2"/>
  <c r="A3678" i="2"/>
  <c r="B3666" i="2"/>
  <c r="A3655" i="2"/>
  <c r="A3643" i="2"/>
  <c r="A3632" i="2"/>
  <c r="A3621" i="2"/>
  <c r="A3608" i="2"/>
  <c r="A3599" i="2"/>
  <c r="A3588" i="2"/>
  <c r="A3577" i="2"/>
  <c r="A3568" i="2"/>
  <c r="A3557" i="2"/>
  <c r="A3546" i="2"/>
  <c r="B3535" i="2"/>
  <c r="A3526" i="2"/>
  <c r="B3514" i="2"/>
  <c r="B3504" i="2"/>
  <c r="B3493" i="2"/>
  <c r="A3483" i="2"/>
  <c r="A3473" i="2"/>
  <c r="B3462" i="2"/>
  <c r="A3451" i="2"/>
  <c r="A3442" i="2"/>
  <c r="B3431" i="2"/>
  <c r="A3420" i="2"/>
  <c r="A3410" i="2"/>
  <c r="A3400" i="2"/>
  <c r="A3389" i="2"/>
  <c r="B3378" i="2"/>
  <c r="A3368" i="2"/>
  <c r="A3357" i="2"/>
  <c r="B3347" i="2"/>
  <c r="A3337" i="2"/>
  <c r="B3325" i="2"/>
  <c r="B3316" i="2"/>
  <c r="B3305" i="2"/>
  <c r="B3294" i="2"/>
  <c r="A3284" i="2"/>
  <c r="B3274" i="2"/>
  <c r="A3263" i="2"/>
  <c r="A3253" i="2"/>
  <c r="A3242" i="2"/>
  <c r="A3232" i="2"/>
  <c r="A3222" i="2"/>
  <c r="A3211" i="2"/>
  <c r="A3200" i="2"/>
  <c r="B3190" i="2"/>
  <c r="A3180" i="2"/>
  <c r="B3168" i="2"/>
  <c r="A3159" i="2"/>
  <c r="B3148" i="2"/>
  <c r="B3137" i="2"/>
  <c r="A3127" i="2"/>
  <c r="A3117" i="2"/>
  <c r="A3106" i="2"/>
  <c r="A3096" i="2"/>
  <c r="B3085" i="2"/>
  <c r="A3074" i="2"/>
  <c r="A3065" i="2"/>
  <c r="A3054" i="2"/>
  <c r="A3043" i="2"/>
  <c r="A3033" i="2"/>
  <c r="A3023" i="2"/>
  <c r="B3011" i="2"/>
  <c r="B3001" i="2"/>
  <c r="A2992" i="2"/>
  <c r="B2980" i="2"/>
  <c r="B2970" i="2"/>
  <c r="B2959" i="2"/>
  <c r="A2949" i="2"/>
  <c r="A2939" i="2"/>
  <c r="B2928" i="2"/>
  <c r="A2917" i="2"/>
  <c r="A2908" i="2"/>
  <c r="A2897" i="2"/>
  <c r="A2886" i="2"/>
  <c r="A2876" i="2"/>
  <c r="A2866" i="2"/>
  <c r="A2855" i="2"/>
  <c r="B2844" i="2"/>
  <c r="A2834" i="2"/>
  <c r="A2823" i="2"/>
  <c r="B2813" i="2"/>
  <c r="B2802" i="2"/>
  <c r="B2791" i="2"/>
  <c r="A2782" i="2"/>
  <c r="B2771" i="2"/>
  <c r="A2760" i="2"/>
  <c r="A2750" i="2"/>
  <c r="B2740" i="2"/>
  <c r="A2729" i="2"/>
  <c r="A2719" i="2"/>
  <c r="A2708" i="2"/>
  <c r="A2698" i="2"/>
  <c r="B2687" i="2"/>
  <c r="A2677" i="2"/>
  <c r="B2665" i="2"/>
  <c r="B2656" i="2"/>
  <c r="A2646" i="2"/>
  <c r="B2634" i="2"/>
  <c r="A2625" i="2"/>
  <c r="B2614" i="2"/>
  <c r="B2603" i="2"/>
  <c r="A2593" i="2"/>
  <c r="B2583" i="2"/>
  <c r="B2573" i="2"/>
  <c r="B2565" i="2"/>
  <c r="B2556" i="2"/>
  <c r="B2547" i="2"/>
  <c r="B2539" i="2"/>
  <c r="B2530" i="2"/>
  <c r="B2521" i="2"/>
  <c r="A2513" i="2"/>
  <c r="B2504" i="2"/>
  <c r="A2495" i="2"/>
  <c r="A2487" i="2"/>
  <c r="A2478" i="2"/>
  <c r="A2469" i="2"/>
  <c r="B2460" i="2"/>
  <c r="A2452" i="2"/>
  <c r="B2442" i="2"/>
  <c r="B2434" i="2"/>
  <c r="A2426" i="2"/>
  <c r="B2416" i="2"/>
  <c r="B2408" i="2"/>
  <c r="B2399" i="2"/>
  <c r="B2390" i="2"/>
  <c r="A2382" i="2"/>
  <c r="B2373" i="2"/>
  <c r="A2364" i="2"/>
  <c r="A2356" i="2"/>
  <c r="B2347" i="2"/>
  <c r="A2338" i="2"/>
  <c r="A2330" i="2"/>
  <c r="A2321" i="2"/>
  <c r="A2312" i="2"/>
  <c r="B2303" i="2"/>
  <c r="A2295" i="2"/>
  <c r="B2285" i="2"/>
  <c r="B2277" i="2"/>
  <c r="B2268" i="2"/>
  <c r="B2259" i="2"/>
  <c r="B2251" i="2"/>
  <c r="B2242" i="2"/>
  <c r="B2233" i="2"/>
  <c r="A2225" i="2"/>
  <c r="B2216" i="2"/>
  <c r="A2207" i="2"/>
  <c r="A2199" i="2"/>
  <c r="A2190" i="2"/>
  <c r="A2181" i="2"/>
  <c r="B2172" i="2"/>
  <c r="A2164" i="2"/>
  <c r="B2154" i="2"/>
  <c r="B2146" i="2"/>
  <c r="A2138" i="2"/>
  <c r="B2128" i="2"/>
  <c r="B2120" i="2"/>
  <c r="B2111" i="2"/>
  <c r="B2102" i="2"/>
  <c r="A2094" i="2"/>
  <c r="B2085" i="2"/>
  <c r="A2076" i="2"/>
  <c r="A2068" i="2"/>
  <c r="B2059" i="2"/>
  <c r="A2050" i="2"/>
  <c r="A2042" i="2"/>
  <c r="A2033" i="2"/>
  <c r="A2024" i="2"/>
  <c r="B2015" i="2"/>
  <c r="A2007" i="2"/>
  <c r="B1997" i="2"/>
  <c r="B1989" i="2"/>
  <c r="B1980" i="2"/>
  <c r="B1971" i="2"/>
  <c r="B1963" i="2"/>
  <c r="B1954" i="2"/>
  <c r="B1945" i="2"/>
  <c r="A1937" i="2"/>
  <c r="B1928" i="2"/>
  <c r="A1919" i="2"/>
  <c r="A1911" i="2"/>
  <c r="A1902" i="2"/>
  <c r="A1893" i="2"/>
  <c r="B1884" i="2"/>
  <c r="A1876" i="2"/>
  <c r="B1866" i="2"/>
  <c r="B1858" i="2"/>
  <c r="A1850" i="2"/>
  <c r="B1840" i="2"/>
  <c r="B1832" i="2"/>
  <c r="B1823" i="2"/>
  <c r="B1814" i="2"/>
  <c r="A1806" i="2"/>
  <c r="B1797" i="2"/>
  <c r="A1788" i="2"/>
  <c r="A1780" i="2"/>
  <c r="B1771" i="2"/>
  <c r="A1762" i="2"/>
  <c r="A1754" i="2"/>
  <c r="A1745" i="2"/>
  <c r="A1736" i="2"/>
  <c r="B1727" i="2"/>
  <c r="A1719" i="2"/>
  <c r="B1709" i="2"/>
  <c r="B1701" i="2"/>
  <c r="B1692" i="2"/>
  <c r="B1683" i="2"/>
  <c r="B1675" i="2"/>
  <c r="B1666" i="2"/>
  <c r="B1657" i="2"/>
  <c r="A1649" i="2"/>
  <c r="B1640" i="2"/>
  <c r="A1631" i="2"/>
  <c r="A1623" i="2"/>
  <c r="A1614" i="2"/>
  <c r="A1605" i="2"/>
  <c r="B1596" i="2"/>
  <c r="A1588" i="2"/>
  <c r="B1578" i="2"/>
  <c r="B1570" i="2"/>
  <c r="A1562" i="2"/>
  <c r="B1552" i="2"/>
  <c r="B1544" i="2"/>
  <c r="B1535" i="2"/>
  <c r="B1526" i="2"/>
  <c r="A1518" i="2"/>
  <c r="B1509" i="2"/>
  <c r="A1500" i="2"/>
  <c r="A1492" i="2"/>
  <c r="B1483" i="2"/>
  <c r="A1474" i="2"/>
  <c r="B1466" i="2"/>
  <c r="B1458" i="2"/>
  <c r="B1450" i="2"/>
  <c r="B1442" i="2"/>
  <c r="B1434" i="2"/>
  <c r="A1427" i="2"/>
  <c r="B1419" i="2"/>
  <c r="B1411" i="2"/>
  <c r="A1403" i="2"/>
  <c r="B1395" i="2"/>
  <c r="A1388" i="2"/>
  <c r="A1380" i="2"/>
  <c r="A1372" i="2"/>
  <c r="A1364" i="2"/>
  <c r="A1356" i="2"/>
  <c r="B1348" i="2"/>
  <c r="A1341" i="2"/>
  <c r="B1332" i="2"/>
  <c r="B1324" i="2"/>
  <c r="A1317" i="2"/>
  <c r="B1309" i="2"/>
  <c r="B1301" i="2"/>
  <c r="B1293" i="2"/>
  <c r="B1285" i="2"/>
  <c r="B1277" i="2"/>
  <c r="A1270" i="2"/>
  <c r="B1262" i="2"/>
  <c r="A1254" i="2"/>
  <c r="A1246" i="2"/>
  <c r="B1238" i="2"/>
  <c r="B1230" i="2"/>
  <c r="A1223" i="2"/>
  <c r="A1215" i="2"/>
  <c r="B1206" i="2"/>
  <c r="A1199" i="2"/>
  <c r="B1191" i="2"/>
  <c r="A1184" i="2"/>
  <c r="B1175" i="2"/>
  <c r="B1167" i="2"/>
  <c r="A1160" i="2"/>
  <c r="A1152" i="2"/>
  <c r="B1144" i="2"/>
  <c r="B1136" i="2"/>
  <c r="A1128" i="2"/>
  <c r="B1120" i="2"/>
  <c r="A1113" i="2"/>
  <c r="B1105" i="2"/>
  <c r="A1097" i="2"/>
  <c r="A1089" i="2"/>
  <c r="B1081" i="2"/>
  <c r="B1073" i="2"/>
  <c r="A1066" i="2"/>
  <c r="A1058" i="2"/>
  <c r="B1049" i="2"/>
  <c r="A1042" i="2"/>
  <c r="B1034" i="2"/>
  <c r="B1026" i="2"/>
  <c r="B1018" i="2"/>
  <c r="B1010" i="2"/>
  <c r="B1002" i="2"/>
  <c r="A995" i="2"/>
  <c r="B987" i="2"/>
  <c r="B979" i="2"/>
  <c r="A971" i="2"/>
  <c r="B963" i="2"/>
  <c r="A956" i="2"/>
  <c r="A948" i="2"/>
  <c r="A940" i="2"/>
  <c r="A932" i="2"/>
  <c r="A924" i="2"/>
  <c r="B916" i="2"/>
  <c r="A909" i="2"/>
  <c r="B900" i="2"/>
  <c r="B892" i="2"/>
  <c r="A885" i="2"/>
  <c r="B877" i="2"/>
  <c r="B869" i="2"/>
  <c r="B861" i="2"/>
  <c r="B853" i="2"/>
  <c r="B845" i="2"/>
  <c r="A838" i="2"/>
  <c r="B830" i="2"/>
  <c r="A822" i="2"/>
  <c r="A814" i="2"/>
  <c r="B806" i="2"/>
  <c r="B798" i="2"/>
  <c r="A791" i="2"/>
  <c r="A783" i="2"/>
  <c r="B774" i="2"/>
  <c r="A767" i="2"/>
  <c r="B759" i="2"/>
  <c r="A752" i="2"/>
  <c r="B743" i="2"/>
  <c r="B735" i="2"/>
  <c r="A728" i="2"/>
  <c r="A720" i="2"/>
  <c r="B712" i="2"/>
  <c r="B704" i="2"/>
  <c r="A696" i="2"/>
  <c r="B688" i="2"/>
  <c r="A681" i="2"/>
  <c r="B673" i="2"/>
  <c r="A665" i="2"/>
  <c r="A657" i="2"/>
  <c r="B649" i="2"/>
  <c r="B641" i="2"/>
  <c r="A634" i="2"/>
  <c r="B626" i="2"/>
  <c r="B619" i="2"/>
  <c r="A612" i="2"/>
  <c r="A605" i="2"/>
  <c r="A598" i="2"/>
  <c r="A591" i="2"/>
  <c r="A584" i="2"/>
  <c r="B576" i="2"/>
  <c r="B569" i="2"/>
  <c r="B562" i="2"/>
  <c r="B555" i="2"/>
  <c r="A548" i="2"/>
  <c r="B540" i="2"/>
  <c r="B533" i="2"/>
  <c r="B526" i="2"/>
  <c r="B519" i="2"/>
  <c r="B512" i="2"/>
  <c r="B505" i="2"/>
  <c r="A498" i="2"/>
  <c r="A491" i="2"/>
  <c r="A484" i="2"/>
  <c r="A477" i="2"/>
  <c r="B469" i="2"/>
  <c r="A462" i="2"/>
  <c r="A455" i="2"/>
  <c r="A448" i="2"/>
  <c r="A441" i="2"/>
  <c r="A434" i="2"/>
  <c r="B426" i="2"/>
  <c r="B419" i="2"/>
  <c r="B412" i="2"/>
  <c r="B405" i="2"/>
  <c r="B398" i="2"/>
  <c r="B390" i="2"/>
  <c r="B383" i="2"/>
  <c r="B376" i="2"/>
  <c r="B369" i="2"/>
  <c r="B362" i="2"/>
  <c r="B355" i="2"/>
  <c r="A348" i="2"/>
  <c r="A341" i="2"/>
  <c r="A334" i="2"/>
  <c r="A327" i="2"/>
  <c r="A320" i="2"/>
  <c r="A312" i="2"/>
  <c r="A305" i="2"/>
  <c r="A298" i="2"/>
  <c r="A291" i="2"/>
  <c r="A284" i="2"/>
  <c r="B277" i="2"/>
  <c r="A271" i="2"/>
  <c r="B264" i="2"/>
  <c r="A258" i="2"/>
  <c r="B251" i="2"/>
  <c r="A245" i="2"/>
  <c r="A238" i="2"/>
  <c r="B231" i="2"/>
  <c r="A225" i="2"/>
  <c r="B218" i="2"/>
  <c r="A212" i="2"/>
  <c r="B205" i="2"/>
  <c r="A199" i="2"/>
  <c r="B192" i="2"/>
  <c r="A186" i="2"/>
  <c r="B179" i="2"/>
  <c r="A173" i="2"/>
  <c r="A166" i="2"/>
  <c r="B159" i="2"/>
  <c r="A153" i="2"/>
  <c r="B146" i="2"/>
  <c r="A140" i="2"/>
  <c r="B133" i="2"/>
  <c r="A127" i="2"/>
  <c r="B120" i="2"/>
  <c r="A114" i="2"/>
  <c r="B107" i="2"/>
  <c r="A101" i="2"/>
  <c r="A94" i="2"/>
  <c r="B87" i="2"/>
  <c r="A81" i="2"/>
  <c r="B74" i="2"/>
  <c r="A68" i="2"/>
  <c r="B61" i="2"/>
  <c r="A55" i="2"/>
  <c r="B48" i="2"/>
  <c r="A42" i="2"/>
  <c r="B35" i="2"/>
  <c r="A29" i="2"/>
  <c r="A22" i="2"/>
  <c r="B15" i="2"/>
  <c r="A9" i="2"/>
  <c r="B2" i="2"/>
  <c r="A2070" i="1"/>
  <c r="B2113" i="1"/>
  <c r="B2035" i="1"/>
  <c r="A2095" i="1"/>
  <c r="A2017" i="1"/>
  <c r="B2066" i="1"/>
  <c r="A2120" i="1"/>
  <c r="A2036" i="1"/>
  <c r="B2079" i="1"/>
  <c r="B2001" i="1"/>
  <c r="A1992" i="1"/>
  <c r="B1919" i="1"/>
  <c r="B1841" i="1"/>
  <c r="B1763" i="1"/>
  <c r="B1685" i="1"/>
  <c r="B1607" i="1"/>
  <c r="B2104" i="1"/>
  <c r="A1973" i="1"/>
  <c r="A1889" i="1"/>
  <c r="A1811" i="1"/>
  <c r="A1733" i="1"/>
  <c r="A1655" i="1"/>
  <c r="A1577" i="1"/>
  <c r="A1996" i="1"/>
  <c r="B1908" i="1"/>
  <c r="B1830" i="1"/>
  <c r="B1752" i="1"/>
  <c r="B1674" i="1"/>
  <c r="B1596" i="1"/>
  <c r="B2063" i="1"/>
  <c r="A1962" i="1"/>
  <c r="A1884" i="1"/>
  <c r="A1806" i="1"/>
  <c r="A1728" i="1"/>
  <c r="A1650" i="1"/>
  <c r="A1572" i="1"/>
  <c r="A2039" i="1"/>
  <c r="B1945" i="1"/>
  <c r="B1867" i="1"/>
  <c r="B1789" i="1"/>
  <c r="B1705" i="1"/>
  <c r="B1627" i="1"/>
  <c r="B2082" i="1"/>
  <c r="A1951" i="1"/>
  <c r="A1873" i="1"/>
  <c r="A1795" i="1"/>
  <c r="A1717" i="1"/>
  <c r="A1639" i="1"/>
  <c r="A1561" i="1"/>
  <c r="B1952" i="1"/>
  <c r="B1796" i="1"/>
  <c r="B1628" i="1"/>
  <c r="A1507" i="1"/>
  <c r="A1429" i="1"/>
  <c r="A1351" i="1"/>
  <c r="A1273" i="1"/>
  <c r="B1991" i="1"/>
  <c r="A1832" i="1"/>
  <c r="A1676" i="1"/>
  <c r="B1538" i="1"/>
  <c r="B1460" i="1"/>
  <c r="B1382" i="1"/>
  <c r="B1298" i="1"/>
  <c r="A2050" i="1"/>
  <c r="B1863" i="1"/>
  <c r="B1707" i="1"/>
  <c r="B1555" i="1"/>
  <c r="A1478" i="1"/>
  <c r="A1400" i="1"/>
  <c r="A1322" i="1"/>
  <c r="B2069" i="1"/>
  <c r="A1887" i="1"/>
  <c r="A1731" i="1"/>
  <c r="A1587" i="1"/>
  <c r="B1491" i="1"/>
  <c r="B1419" i="1"/>
  <c r="B1347" i="1"/>
  <c r="A2117" i="1"/>
  <c r="B1918" i="1"/>
  <c r="B1774" i="1"/>
  <c r="B1630" i="1"/>
  <c r="A1515" i="1"/>
  <c r="A1443" i="1"/>
  <c r="A1371" i="1"/>
  <c r="A1299" i="1"/>
  <c r="A1978" i="1"/>
  <c r="A1834" i="1"/>
  <c r="A1690" i="1"/>
  <c r="B1551" i="1"/>
  <c r="B1480" i="1"/>
  <c r="B1408" i="1"/>
  <c r="B1336" i="1"/>
  <c r="B1987" i="1"/>
  <c r="B1718" i="1"/>
  <c r="A1486" i="1"/>
  <c r="A1342" i="1"/>
  <c r="B1230" i="1"/>
  <c r="B1158" i="1"/>
  <c r="B1086" i="1"/>
  <c r="B1014" i="1"/>
  <c r="A1838" i="1"/>
  <c r="B1558" i="1"/>
  <c r="B1397" i="1"/>
  <c r="B1248" i="1"/>
  <c r="A1182" i="1"/>
  <c r="A1110" i="1"/>
  <c r="A1038" i="1"/>
  <c r="A2062" i="1"/>
  <c r="B1737" i="1"/>
  <c r="A1929" i="1"/>
  <c r="A1641" i="1"/>
  <c r="B1464" i="1"/>
  <c r="B1320" i="1"/>
  <c r="A1219" i="1"/>
  <c r="A1147" i="1"/>
  <c r="A1075" i="1"/>
  <c r="A1003" i="1"/>
  <c r="B1900" i="1"/>
  <c r="B1612" i="1"/>
  <c r="A1452" i="1"/>
  <c r="A1308" i="1"/>
  <c r="B1208" i="1"/>
  <c r="B1136" i="1"/>
  <c r="B1064" i="1"/>
  <c r="B992" i="1"/>
  <c r="A1828" i="1"/>
  <c r="A1541" i="1"/>
  <c r="B1399" i="1"/>
  <c r="B1271" i="1"/>
  <c r="A1190" i="1"/>
  <c r="A1118" i="1"/>
  <c r="A1046" i="1"/>
  <c r="A974" i="1"/>
  <c r="B1706" i="1"/>
  <c r="A1350" i="1"/>
  <c r="B1600" i="1"/>
  <c r="B1319" i="1"/>
  <c r="A1936" i="1"/>
  <c r="B1513" i="1"/>
  <c r="B1240" i="1"/>
  <c r="B1768" i="1"/>
  <c r="A1445" i="1"/>
  <c r="A1912" i="1"/>
  <c r="A1444" i="1"/>
  <c r="A1821" i="1"/>
  <c r="A1289" i="1"/>
  <c r="B1156" i="1"/>
  <c r="B1043" i="1"/>
  <c r="B937" i="1"/>
  <c r="B1749" i="1"/>
  <c r="B1276" i="1"/>
  <c r="A1133" i="1"/>
  <c r="B987" i="1"/>
  <c r="B1797" i="1"/>
  <c r="A1233" i="1"/>
  <c r="B1083" i="1"/>
  <c r="A957" i="1"/>
  <c r="A879" i="1"/>
  <c r="B1374" i="1"/>
  <c r="B1177" i="1"/>
  <c r="B1041" i="1"/>
  <c r="A946" i="1"/>
  <c r="B876" i="1"/>
  <c r="B1451" i="1"/>
  <c r="B1260" i="1"/>
  <c r="A1144" i="1"/>
  <c r="A1031" i="1"/>
  <c r="B1922" i="1"/>
  <c r="B1126" i="1"/>
  <c r="B916" i="1"/>
  <c r="B813" i="1"/>
  <c r="B741" i="1"/>
  <c r="B669" i="1"/>
  <c r="B597" i="1"/>
  <c r="B525" i="1"/>
  <c r="A1610" i="1"/>
  <c r="A1161" i="1"/>
  <c r="B975" i="1"/>
  <c r="B868" i="1"/>
  <c r="A789" i="1"/>
  <c r="A717" i="1"/>
  <c r="A645" i="1"/>
  <c r="A573" i="1"/>
  <c r="A501" i="1"/>
  <c r="A1458" i="1"/>
  <c r="B1129" i="1"/>
  <c r="B984" i="1"/>
  <c r="A871" i="1"/>
  <c r="B808" i="1"/>
  <c r="B736" i="1"/>
  <c r="B664" i="1"/>
  <c r="B592" i="1"/>
  <c r="B520" i="1"/>
  <c r="A1229" i="1"/>
  <c r="A999" i="1"/>
  <c r="A898" i="1"/>
  <c r="B815" i="1"/>
  <c r="B743" i="1"/>
  <c r="B671" i="1"/>
  <c r="B599" i="1"/>
  <c r="B527" i="1"/>
  <c r="B1223" i="1"/>
  <c r="B928" i="1"/>
  <c r="A790" i="1"/>
  <c r="A682" i="1"/>
  <c r="A574" i="1"/>
  <c r="A472" i="1"/>
  <c r="B1228" i="1"/>
  <c r="A960" i="1"/>
  <c r="A844" i="1"/>
  <c r="B734" i="1"/>
  <c r="B626" i="1"/>
  <c r="B518" i="1"/>
  <c r="A437" i="1"/>
  <c r="A365" i="1"/>
  <c r="A293" i="1"/>
  <c r="A1331" i="1"/>
  <c r="B890" i="1"/>
  <c r="A766" i="1"/>
  <c r="A658" i="1"/>
  <c r="A550" i="1"/>
  <c r="A462" i="1"/>
  <c r="A390" i="1"/>
  <c r="A318" i="1"/>
  <c r="A1439" i="1"/>
  <c r="A1085" i="1"/>
  <c r="B878" i="1"/>
  <c r="A739" i="1"/>
  <c r="A631" i="1"/>
  <c r="A523" i="1"/>
  <c r="B439" i="1"/>
  <c r="B367" i="1"/>
  <c r="B295" i="1"/>
  <c r="B1135" i="1"/>
  <c r="B920" i="1"/>
  <c r="B792" i="1"/>
  <c r="B684" i="1"/>
  <c r="B576" i="1"/>
  <c r="A480" i="1"/>
  <c r="A411" i="1"/>
  <c r="A339" i="1"/>
  <c r="A1197" i="1"/>
  <c r="A845" i="1"/>
  <c r="B656" i="1"/>
  <c r="B485" i="1"/>
  <c r="A373" i="1"/>
  <c r="B272" i="1"/>
  <c r="B200" i="1"/>
  <c r="B128" i="1"/>
  <c r="B56" i="1"/>
  <c r="A1096" i="1"/>
  <c r="B733" i="1"/>
  <c r="A548" i="1"/>
  <c r="A382" i="1"/>
  <c r="B281" i="1"/>
  <c r="A212" i="1"/>
  <c r="A140" i="1"/>
  <c r="B1261" i="1"/>
  <c r="A922" i="1"/>
  <c r="A720" i="1"/>
  <c r="A535" i="1"/>
  <c r="A385" i="1"/>
  <c r="B282" i="1"/>
  <c r="B214" i="1"/>
  <c r="B142" i="1"/>
  <c r="B70" i="1"/>
  <c r="A932" i="1"/>
  <c r="B744" i="1"/>
  <c r="B553" i="1"/>
  <c r="B428" i="1"/>
  <c r="B320" i="1"/>
  <c r="A226" i="1"/>
  <c r="A154" i="1"/>
  <c r="A82" i="1"/>
  <c r="B999" i="1"/>
  <c r="B746" i="1"/>
  <c r="A564" i="1"/>
  <c r="B431" i="1"/>
  <c r="B323" i="1"/>
  <c r="B235" i="1"/>
  <c r="B163" i="1"/>
  <c r="B91" i="1"/>
  <c r="B782" i="1"/>
  <c r="B470" i="1"/>
  <c r="B246" i="1"/>
  <c r="A135" i="1"/>
  <c r="A32" i="1"/>
  <c r="B787" i="1"/>
  <c r="B438" i="1"/>
  <c r="B279" i="1"/>
  <c r="A143" i="1"/>
  <c r="B43" i="1"/>
  <c r="B905" i="1"/>
  <c r="A660" i="1"/>
  <c r="B466" i="1"/>
  <c r="A252" i="1"/>
  <c r="A145" i="1"/>
  <c r="A27" i="1"/>
  <c r="A787" i="5"/>
  <c r="A4407" i="4"/>
  <c r="A3972" i="4"/>
  <c r="B3548" i="4"/>
  <c r="B3173" i="4"/>
  <c r="A2892" i="4"/>
  <c r="A2671" i="4"/>
  <c r="B2448" i="4"/>
  <c r="B2218" i="4"/>
  <c r="A2029" i="4"/>
  <c r="A1833" i="4"/>
  <c r="A1647" i="4"/>
  <c r="B1471" i="4"/>
  <c r="B1299" i="4"/>
  <c r="A1141" i="4"/>
  <c r="A967" i="4"/>
  <c r="A847" i="4"/>
  <c r="A742" i="4"/>
  <c r="A626" i="4"/>
  <c r="A515" i="4"/>
  <c r="A406" i="4"/>
  <c r="B321" i="4"/>
  <c r="B258" i="4"/>
  <c r="A201" i="4"/>
  <c r="A148" i="4"/>
  <c r="B102" i="4"/>
  <c r="B52" i="4"/>
  <c r="B3067" i="3"/>
  <c r="B3026" i="3"/>
  <c r="B2986" i="3"/>
  <c r="A2948" i="3"/>
  <c r="B2906" i="3"/>
  <c r="A2863" i="3"/>
  <c r="B2827" i="3"/>
  <c r="B2793" i="3"/>
  <c r="B2756" i="3"/>
  <c r="B2721" i="3"/>
  <c r="B2685" i="3"/>
  <c r="A2652" i="3"/>
  <c r="A2617" i="3"/>
  <c r="B2577" i="3"/>
  <c r="B2544" i="3"/>
  <c r="B2512" i="3"/>
  <c r="A2473" i="3"/>
  <c r="B2438" i="3"/>
  <c r="B2407" i="3"/>
  <c r="B2376" i="3"/>
  <c r="B2342" i="3"/>
  <c r="B2310" i="3"/>
  <c r="A2278" i="3"/>
  <c r="B2246" i="3"/>
  <c r="B2214" i="3"/>
  <c r="B2180" i="3"/>
  <c r="B2149" i="3"/>
  <c r="B2118" i="3"/>
  <c r="B2084" i="3"/>
  <c r="B2054" i="3"/>
  <c r="B2028" i="3"/>
  <c r="B1998" i="3"/>
  <c r="B1968" i="3"/>
  <c r="B1940" i="3"/>
  <c r="B1910" i="3"/>
  <c r="B1884" i="3"/>
  <c r="B1854" i="3"/>
  <c r="B1824" i="3"/>
  <c r="B1796" i="3"/>
  <c r="B1766" i="3"/>
  <c r="A1741" i="3"/>
  <c r="A1717" i="3"/>
  <c r="A1689" i="3"/>
  <c r="B1662" i="3"/>
  <c r="A1639" i="3"/>
  <c r="B1614" i="3"/>
  <c r="B1585" i="3"/>
  <c r="B1560" i="3"/>
  <c r="B1536" i="3"/>
  <c r="B1509" i="3"/>
  <c r="B1485" i="3"/>
  <c r="A1460" i="3"/>
  <c r="B1430" i="3"/>
  <c r="A1408" i="3"/>
  <c r="A1388" i="3"/>
  <c r="A1364" i="3"/>
  <c r="A1341" i="3"/>
  <c r="A1320" i="3"/>
  <c r="A1294" i="3"/>
  <c r="B1274" i="3"/>
  <c r="B1254" i="3"/>
  <c r="B1234" i="3"/>
  <c r="A1219" i="3"/>
  <c r="A1202" i="3"/>
  <c r="A1184" i="3"/>
  <c r="B1166" i="3"/>
  <c r="A1150" i="3"/>
  <c r="B1131" i="3"/>
  <c r="B1116" i="3"/>
  <c r="A1099" i="3"/>
  <c r="A1081" i="3"/>
  <c r="A1065" i="3"/>
  <c r="A1048" i="3"/>
  <c r="B1029" i="3"/>
  <c r="A1014" i="3"/>
  <c r="B997" i="3"/>
  <c r="A979" i="3"/>
  <c r="B962" i="3"/>
  <c r="A945" i="3"/>
  <c r="B926" i="3"/>
  <c r="B912" i="3"/>
  <c r="A895" i="3"/>
  <c r="B876" i="3"/>
  <c r="B859" i="3"/>
  <c r="A843" i="3"/>
  <c r="A825" i="3"/>
  <c r="A810" i="3"/>
  <c r="B792" i="3"/>
  <c r="A774" i="3"/>
  <c r="A758" i="3"/>
  <c r="A741" i="3"/>
  <c r="B722" i="3"/>
  <c r="B705" i="3"/>
  <c r="B690" i="3"/>
  <c r="B672" i="3"/>
  <c r="A656" i="3"/>
  <c r="A638" i="3"/>
  <c r="B619" i="3"/>
  <c r="B603" i="3"/>
  <c r="A588" i="3"/>
  <c r="A570" i="3"/>
  <c r="A553" i="3"/>
  <c r="B536" i="3"/>
  <c r="A518" i="3"/>
  <c r="B501" i="3"/>
  <c r="B483" i="3"/>
  <c r="B465" i="3"/>
  <c r="A451" i="3"/>
  <c r="A434" i="3"/>
  <c r="A416" i="3"/>
  <c r="B398" i="3"/>
  <c r="A382" i="3"/>
  <c r="B363" i="3"/>
  <c r="B348" i="3"/>
  <c r="A331" i="3"/>
  <c r="A313" i="3"/>
  <c r="A297" i="3"/>
  <c r="A280" i="3"/>
  <c r="A263" i="3"/>
  <c r="A248" i="3"/>
  <c r="A234" i="3"/>
  <c r="A217" i="3"/>
  <c r="A202" i="3"/>
  <c r="B780" i="5"/>
  <c r="B4378" i="4"/>
  <c r="B3947" i="4"/>
  <c r="A3499" i="4"/>
  <c r="A3172" i="4"/>
  <c r="B2890" i="4"/>
  <c r="A2669" i="4"/>
  <c r="A2447" i="4"/>
  <c r="B2214" i="4"/>
  <c r="A2027" i="4"/>
  <c r="B1830" i="4"/>
  <c r="A1626" i="4"/>
  <c r="B1470" i="4"/>
  <c r="B1297" i="4"/>
  <c r="A1128" i="4"/>
  <c r="B966" i="4"/>
  <c r="B846" i="4"/>
  <c r="B733" i="4"/>
  <c r="B618" i="4"/>
  <c r="B502" i="4"/>
  <c r="A401" i="4"/>
  <c r="B315" i="4"/>
  <c r="A258" i="4"/>
  <c r="B199" i="4"/>
  <c r="B147" i="4"/>
  <c r="A102" i="4"/>
  <c r="A52" i="4"/>
  <c r="A3067" i="3"/>
  <c r="A3023" i="3"/>
  <c r="B2985" i="3"/>
  <c r="B2947" i="3"/>
  <c r="B2905" i="3"/>
  <c r="B2862" i="3"/>
  <c r="A2827" i="3"/>
  <c r="A2791" i="3"/>
  <c r="A2756" i="3"/>
  <c r="A2718" i="3"/>
  <c r="B2683" i="3"/>
  <c r="B2651" i="3"/>
  <c r="A2613" i="3"/>
  <c r="A2577" i="3"/>
  <c r="A2541" i="3"/>
  <c r="B2508" i="3"/>
  <c r="B2472" i="3"/>
  <c r="A2438" i="3"/>
  <c r="A2407" i="3"/>
  <c r="A2376" i="3"/>
  <c r="A2342" i="3"/>
  <c r="A2308" i="3"/>
  <c r="B2277" i="3"/>
  <c r="A2246" i="3"/>
  <c r="A2212" i="3"/>
  <c r="A2180" i="3"/>
  <c r="A2149" i="3"/>
  <c r="A2116" i="3"/>
  <c r="A2084" i="3"/>
  <c r="A2054" i="3"/>
  <c r="A2025" i="3"/>
  <c r="A1996" i="3"/>
  <c r="A1968" i="3"/>
  <c r="A1940" i="3"/>
  <c r="A1910" i="3"/>
  <c r="A1881" i="3"/>
  <c r="A1852" i="3"/>
  <c r="A1824" i="3"/>
  <c r="A1796" i="3"/>
  <c r="A1766" i="3"/>
  <c r="B1740" i="3"/>
  <c r="B1716" i="3"/>
  <c r="B1687" i="3"/>
  <c r="A1660" i="3"/>
  <c r="B1638" i="3"/>
  <c r="A1612" i="3"/>
  <c r="B1584" i="3"/>
  <c r="A1560" i="3"/>
  <c r="A1536" i="3"/>
  <c r="B1508" i="3"/>
  <c r="B1484" i="3"/>
  <c r="A1458" i="3"/>
  <c r="A1430" i="3"/>
  <c r="B1407" i="3"/>
  <c r="A1386" i="3"/>
  <c r="A1362" i="3"/>
  <c r="B1340" i="3"/>
  <c r="A1318" i="3"/>
  <c r="B1293" i="3"/>
  <c r="A1274" i="3"/>
  <c r="A1254" i="3"/>
  <c r="A1234" i="3"/>
  <c r="B1218" i="3"/>
  <c r="B1201" i="3"/>
  <c r="A1183" i="3"/>
  <c r="A1166" i="3"/>
  <c r="B1149" i="3"/>
  <c r="A1131" i="3"/>
  <c r="A1116" i="3"/>
  <c r="B1098" i="3"/>
  <c r="B1080" i="3"/>
  <c r="B1064" i="3"/>
  <c r="B1047" i="3"/>
  <c r="A1029" i="3"/>
  <c r="B1011" i="3"/>
  <c r="B996" i="3"/>
  <c r="B978" i="3"/>
  <c r="A962" i="3"/>
  <c r="B944" i="3"/>
  <c r="A926" i="3"/>
  <c r="A910" i="3"/>
  <c r="B654" i="5"/>
  <c r="A4314" i="4"/>
  <c r="A3834" i="4"/>
  <c r="A3462" i="4"/>
  <c r="A3124" i="4"/>
  <c r="A2887" i="4"/>
  <c r="B2592" i="4"/>
  <c r="B2401" i="4"/>
  <c r="A2205" i="4"/>
  <c r="B1999" i="4"/>
  <c r="B1783" i="4"/>
  <c r="B1620" i="4"/>
  <c r="B1443" i="4"/>
  <c r="B1296" i="4"/>
  <c r="B1081" i="4"/>
  <c r="B946" i="4"/>
  <c r="A835" i="4"/>
  <c r="B730" i="4"/>
  <c r="A598" i="4"/>
  <c r="B499" i="4"/>
  <c r="B387" i="4"/>
  <c r="A315" i="4"/>
  <c r="A238" i="4"/>
  <c r="B191" i="4"/>
  <c r="B478" i="5"/>
  <c r="A4211" i="4"/>
  <c r="A3828" i="4"/>
  <c r="B3399" i="4"/>
  <c r="B3077" i="4"/>
  <c r="A2811" i="4"/>
  <c r="A2583" i="4"/>
  <c r="A2397" i="4"/>
  <c r="B2160" i="4"/>
  <c r="A1950" i="4"/>
  <c r="A1782" i="4"/>
  <c r="A1597" i="4"/>
  <c r="B1409" i="4"/>
  <c r="A1252" i="4"/>
  <c r="A1079" i="4"/>
  <c r="A935" i="4"/>
  <c r="B817" i="4"/>
  <c r="B691" i="4"/>
  <c r="B588" i="4"/>
  <c r="B473" i="4"/>
  <c r="B374" i="4"/>
  <c r="A294" i="4"/>
  <c r="A237" i="4"/>
  <c r="A189" i="4"/>
  <c r="A135" i="4"/>
  <c r="B82" i="4"/>
  <c r="B37" i="4"/>
  <c r="A3057" i="3"/>
  <c r="B3012" i="3"/>
  <c r="B2973" i="3"/>
  <c r="A2933" i="3"/>
  <c r="A2895" i="3"/>
  <c r="B2853" i="3"/>
  <c r="B2813" i="3"/>
  <c r="A2780" i="3"/>
  <c r="A2748" i="3"/>
  <c r="B2708" i="3"/>
  <c r="B2671" i="3"/>
  <c r="B2637" i="3"/>
  <c r="A2604" i="3"/>
  <c r="A2567" i="3"/>
  <c r="A2532" i="3"/>
  <c r="B2496" i="3"/>
  <c r="B2462" i="3"/>
  <c r="B2430" i="3"/>
  <c r="B2396" i="3"/>
  <c r="B2365" i="3"/>
  <c r="B2334" i="3"/>
  <c r="B2300" i="3"/>
  <c r="B2268" i="3"/>
  <c r="B2235" i="3"/>
  <c r="B2204" i="3"/>
  <c r="B2172" i="3"/>
  <c r="B2136" i="3"/>
  <c r="A2106" i="3"/>
  <c r="B2076" i="3"/>
  <c r="B2046" i="3"/>
  <c r="B2016" i="3"/>
  <c r="B1988" i="3"/>
  <c r="B1958" i="3"/>
  <c r="B1932" i="3"/>
  <c r="B1902" i="3"/>
  <c r="B1872" i="3"/>
  <c r="B1844" i="3"/>
  <c r="B1814" i="3"/>
  <c r="B1788" i="3"/>
  <c r="B1758" i="3"/>
  <c r="A1732" i="3"/>
  <c r="A1708" i="3"/>
  <c r="B1680" i="3"/>
  <c r="B1656" i="3"/>
  <c r="A1630" i="3"/>
  <c r="A1604" i="3"/>
  <c r="B1580" i="3"/>
  <c r="A1556" i="3"/>
  <c r="B1526" i="3"/>
  <c r="A1502" i="3"/>
  <c r="A1478" i="3"/>
  <c r="B1452" i="3"/>
  <c r="B1428" i="3"/>
  <c r="A1401" i="3"/>
  <c r="B1376" i="3"/>
  <c r="A1358" i="3"/>
  <c r="B1334" i="3"/>
  <c r="B1310" i="3"/>
  <c r="A1288" i="3"/>
  <c r="A1270" i="3"/>
  <c r="B1248" i="3"/>
  <c r="A1232" i="3"/>
  <c r="B1213" i="3"/>
  <c r="A1195" i="3"/>
  <c r="A1179" i="3"/>
  <c r="A1162" i="3"/>
  <c r="A1144" i="3"/>
  <c r="B1128" i="3"/>
  <c r="A1112" i="3"/>
  <c r="B1093" i="3"/>
  <c r="A1077" i="3"/>
  <c r="A1059" i="3"/>
  <c r="A1041" i="3"/>
  <c r="B1026" i="3"/>
  <c r="B1009" i="3"/>
  <c r="A991" i="3"/>
  <c r="A974" i="3"/>
  <c r="B957" i="3"/>
  <c r="A939" i="3"/>
  <c r="A924" i="3"/>
  <c r="B906" i="3"/>
  <c r="B888" i="3"/>
  <c r="B872" i="3"/>
  <c r="B855" i="3"/>
  <c r="A837" i="3"/>
  <c r="B819" i="3"/>
  <c r="B804" i="3"/>
  <c r="B786" i="3"/>
  <c r="A770" i="3"/>
  <c r="B752" i="3"/>
  <c r="A734" i="3"/>
  <c r="A718" i="3"/>
  <c r="B702" i="3"/>
  <c r="A684" i="3"/>
  <c r="A667" i="3"/>
  <c r="B650" i="3"/>
  <c r="B632" i="3"/>
  <c r="A616" i="3"/>
  <c r="A598" i="3"/>
  <c r="B579" i="3"/>
  <c r="B565" i="3"/>
  <c r="A548" i="3"/>
  <c r="A530" i="3"/>
  <c r="A513" i="3"/>
  <c r="A498" i="3"/>
  <c r="A478" i="3"/>
  <c r="A463" i="3"/>
  <c r="B445" i="3"/>
  <c r="A427" i="3"/>
  <c r="A411" i="3"/>
  <c r="A394" i="3"/>
  <c r="A376" i="3"/>
  <c r="B360" i="3"/>
  <c r="A344" i="3"/>
  <c r="B325" i="3"/>
  <c r="A309" i="3"/>
  <c r="A291" i="3"/>
  <c r="A273" i="3"/>
  <c r="B259" i="3"/>
  <c r="A244" i="3"/>
  <c r="A228" i="3"/>
  <c r="B212" i="3"/>
  <c r="B198" i="3"/>
  <c r="B181" i="3"/>
  <c r="A167" i="3"/>
  <c r="B151" i="3"/>
  <c r="A135" i="3"/>
  <c r="B121" i="3"/>
  <c r="A106" i="3"/>
  <c r="A90" i="3"/>
  <c r="A74" i="3"/>
  <c r="A60" i="3"/>
  <c r="B43" i="3"/>
  <c r="A29" i="3"/>
  <c r="B13" i="3"/>
  <c r="B4446" i="2"/>
  <c r="A4433" i="2"/>
  <c r="B4417" i="2"/>
  <c r="A4401" i="2"/>
  <c r="A4386" i="2"/>
  <c r="A4372" i="2"/>
  <c r="B4355" i="2"/>
  <c r="A4341" i="2"/>
  <c r="A4325" i="2"/>
  <c r="A4308" i="2"/>
  <c r="A4295" i="2"/>
  <c r="A4279" i="2"/>
  <c r="A4263" i="2"/>
  <c r="A4248" i="2"/>
  <c r="A4234" i="2"/>
  <c r="A4217" i="2"/>
  <c r="A4202" i="2"/>
  <c r="A4187" i="2"/>
  <c r="A4170" i="2"/>
  <c r="B4156" i="2"/>
  <c r="A4141" i="2"/>
  <c r="A4125" i="2"/>
  <c r="A4110" i="2"/>
  <c r="A4096" i="2"/>
  <c r="A4079" i="2"/>
  <c r="A4064" i="2"/>
  <c r="B4048" i="2"/>
  <c r="A4032" i="2"/>
  <c r="B4018" i="2"/>
  <c r="A4003" i="2"/>
  <c r="A3986" i="2"/>
  <c r="B3971" i="2"/>
  <c r="A3957" i="2"/>
  <c r="B3940" i="2"/>
  <c r="B3925" i="2"/>
  <c r="B3910" i="2"/>
  <c r="A3894" i="2"/>
  <c r="B3880" i="2"/>
  <c r="A3865" i="2"/>
  <c r="A3848" i="2"/>
  <c r="A3833" i="2"/>
  <c r="A3818" i="2"/>
  <c r="B3802" i="2"/>
  <c r="B3787" i="2"/>
  <c r="B3772" i="2"/>
  <c r="B3755" i="2"/>
  <c r="A3742" i="2"/>
  <c r="B3726" i="2"/>
  <c r="B3709" i="2"/>
  <c r="A3695" i="2"/>
  <c r="A3680" i="2"/>
  <c r="B3664" i="2"/>
  <c r="B3649" i="2"/>
  <c r="A3634" i="2"/>
  <c r="A3617" i="2"/>
  <c r="B3604" i="2"/>
  <c r="A3590" i="2"/>
  <c r="B3575" i="2"/>
  <c r="A3562" i="2"/>
  <c r="A3548" i="2"/>
  <c r="B3533" i="2"/>
  <c r="B3520" i="2"/>
  <c r="B3505" i="2"/>
  <c r="A3491" i="2"/>
  <c r="B3478" i="2"/>
  <c r="A3464" i="2"/>
  <c r="B3449" i="2"/>
  <c r="A3436" i="2"/>
  <c r="A3422" i="2"/>
  <c r="B3407" i="2"/>
  <c r="A3395" i="2"/>
  <c r="A3380" i="2"/>
  <c r="A3365" i="2"/>
  <c r="A3353" i="2"/>
  <c r="A3339" i="2"/>
  <c r="A3324" i="2"/>
  <c r="B3310" i="2"/>
  <c r="A3297" i="2"/>
  <c r="A3282" i="2"/>
  <c r="A3269" i="2"/>
  <c r="A3254" i="2"/>
  <c r="B3239" i="2"/>
  <c r="A3227" i="2"/>
  <c r="A3213" i="2"/>
  <c r="A3198" i="2"/>
  <c r="B3184" i="2"/>
  <c r="A3172" i="2"/>
  <c r="A3156" i="2"/>
  <c r="B3143" i="2"/>
  <c r="A3129" i="2"/>
  <c r="A3114" i="2"/>
  <c r="B3101" i="2"/>
  <c r="A3088" i="2"/>
  <c r="B3072" i="2"/>
  <c r="A3059" i="2"/>
  <c r="A3046" i="2"/>
  <c r="B3030" i="2"/>
  <c r="B3017" i="2"/>
  <c r="A3003" i="2"/>
  <c r="A2988" i="2"/>
  <c r="B2975" i="2"/>
  <c r="A2962" i="2"/>
  <c r="B2946" i="2"/>
  <c r="A2933" i="2"/>
  <c r="B2920" i="2"/>
  <c r="A2905" i="2"/>
  <c r="A2892" i="2"/>
  <c r="A2878" i="2"/>
  <c r="B2862" i="2"/>
  <c r="A2850" i="2"/>
  <c r="B2836" i="2"/>
  <c r="A2821" i="2"/>
  <c r="B2807" i="2"/>
  <c r="B2794" i="2"/>
  <c r="A2779" i="2"/>
  <c r="A2766" i="2"/>
  <c r="A2752" i="2"/>
  <c r="B2736" i="2"/>
  <c r="A2724" i="2"/>
  <c r="A2711" i="2"/>
  <c r="A2695" i="2"/>
  <c r="A2682" i="2"/>
  <c r="A2669" i="2"/>
  <c r="B2653" i="2"/>
  <c r="B2640" i="2"/>
  <c r="B2626" i="2"/>
  <c r="A2611" i="2"/>
  <c r="B2598" i="2"/>
  <c r="A2585" i="2"/>
  <c r="A2572" i="2"/>
  <c r="B2560" i="2"/>
  <c r="B2549" i="2"/>
  <c r="A2537" i="2"/>
  <c r="A2526" i="2"/>
  <c r="A2514" i="2"/>
  <c r="B2501" i="2"/>
  <c r="B2491" i="2"/>
  <c r="A2480" i="2"/>
  <c r="B2467" i="2"/>
  <c r="A2456" i="2"/>
  <c r="A2445" i="2"/>
  <c r="B2432" i="2"/>
  <c r="B2421" i="2"/>
  <c r="B2409" i="2"/>
  <c r="A2397" i="2"/>
  <c r="B2386" i="2"/>
  <c r="A2375" i="2"/>
  <c r="B2362" i="2"/>
  <c r="A2351" i="2"/>
  <c r="A2340" i="2"/>
  <c r="B2327" i="2"/>
  <c r="B2316" i="2"/>
  <c r="B2304" i="2"/>
  <c r="A2292" i="2"/>
  <c r="A2282" i="2"/>
  <c r="B2270" i="2"/>
  <c r="A2258" i="2"/>
  <c r="B2246" i="2"/>
  <c r="B2235" i="2"/>
  <c r="A2223" i="2"/>
  <c r="A2212" i="2"/>
  <c r="A2200" i="2"/>
  <c r="B2187" i="2"/>
  <c r="A2177" i="2"/>
  <c r="B2165" i="2"/>
  <c r="A2153" i="2"/>
  <c r="B2141" i="2"/>
  <c r="B2130" i="2"/>
  <c r="A2118" i="2"/>
  <c r="B2107" i="2"/>
  <c r="B2095" i="2"/>
  <c r="B2082" i="2"/>
  <c r="B2072" i="2"/>
  <c r="A2061" i="2"/>
  <c r="B2048" i="2"/>
  <c r="A2037" i="2"/>
  <c r="A2026" i="2"/>
  <c r="B2013" i="2"/>
  <c r="B2002" i="2"/>
  <c r="B1990" i="2"/>
  <c r="A1978" i="2"/>
  <c r="B1967" i="2"/>
  <c r="A1956" i="2"/>
  <c r="B1943" i="2"/>
  <c r="A1932" i="2"/>
  <c r="B1921" i="2"/>
  <c r="B1908" i="2"/>
  <c r="A1898" i="2"/>
  <c r="A1886" i="2"/>
  <c r="B1873" i="2"/>
  <c r="A1863" i="2"/>
  <c r="B1851" i="2"/>
  <c r="A1839" i="2"/>
  <c r="B1827" i="2"/>
  <c r="B1816" i="2"/>
  <c r="A1804" i="2"/>
  <c r="A1793" i="2"/>
  <c r="A1781" i="2"/>
  <c r="B1768" i="2"/>
  <c r="A1758" i="2"/>
  <c r="B1746" i="2"/>
  <c r="A1734" i="2"/>
  <c r="B1722" i="2"/>
  <c r="A1712" i="2"/>
  <c r="B1699" i="2"/>
  <c r="B1688" i="2"/>
  <c r="B1676" i="2"/>
  <c r="A1664" i="2"/>
  <c r="B1653" i="2"/>
  <c r="A1642" i="2"/>
  <c r="B1629" i="2"/>
  <c r="A1618" i="2"/>
  <c r="A1607" i="2"/>
  <c r="B1594" i="2"/>
  <c r="B1583" i="2"/>
  <c r="B1571" i="2"/>
  <c r="A1559" i="2"/>
  <c r="B1548" i="2"/>
  <c r="B1537" i="2"/>
  <c r="B1524" i="2"/>
  <c r="B1513" i="2"/>
  <c r="B1502" i="2"/>
  <c r="A1490" i="2"/>
  <c r="A1479" i="2"/>
  <c r="B1467" i="2"/>
  <c r="B1456" i="2"/>
  <c r="B1446" i="2"/>
  <c r="A1436" i="2"/>
  <c r="A1425" i="2"/>
  <c r="A1415" i="2"/>
  <c r="B1404" i="2"/>
  <c r="A1394" i="2"/>
  <c r="B1383" i="2"/>
  <c r="B1373" i="2"/>
  <c r="A1362" i="2"/>
  <c r="B1352" i="2"/>
  <c r="A1342" i="2"/>
  <c r="B1330" i="2"/>
  <c r="B1321" i="2"/>
  <c r="B1310" i="2"/>
  <c r="B1299" i="2"/>
  <c r="B1289" i="2"/>
  <c r="B1278" i="2"/>
  <c r="A1268" i="2"/>
  <c r="A1258" i="2"/>
  <c r="B1247" i="2"/>
  <c r="B1236" i="2"/>
  <c r="B1226" i="2"/>
  <c r="B1216" i="2"/>
  <c r="A1205" i="2"/>
  <c r="B1195" i="2"/>
  <c r="A1185" i="2"/>
  <c r="B1173" i="2"/>
  <c r="A1164" i="2"/>
  <c r="B1153" i="2"/>
  <c r="B1142" i="2"/>
  <c r="B1132" i="2"/>
  <c r="B1121" i="2"/>
  <c r="B1110" i="2"/>
  <c r="A1101" i="2"/>
  <c r="B1090" i="2"/>
  <c r="B1079" i="2"/>
  <c r="B1069" i="2"/>
  <c r="B1059" i="2"/>
  <c r="A1048" i="2"/>
  <c r="A1038" i="2"/>
  <c r="A1028" i="2"/>
  <c r="B1016" i="2"/>
  <c r="A1007" i="2"/>
  <c r="A996" i="2"/>
  <c r="B985" i="2"/>
  <c r="B975" i="2"/>
  <c r="B964" i="2"/>
  <c r="B953" i="2"/>
  <c r="A944" i="2"/>
  <c r="B933" i="2"/>
  <c r="B922" i="2"/>
  <c r="A912" i="2"/>
  <c r="B902" i="2"/>
  <c r="A891" i="2"/>
  <c r="A881" i="2"/>
  <c r="B870" i="2"/>
  <c r="B859" i="2"/>
  <c r="A850" i="2"/>
  <c r="A839" i="2"/>
  <c r="A828" i="2"/>
  <c r="B818" i="2"/>
  <c r="B807" i="2"/>
  <c r="B796" i="2"/>
  <c r="B786" i="2"/>
  <c r="B776" i="2"/>
  <c r="B765" i="2"/>
  <c r="A755" i="2"/>
  <c r="B745" i="2"/>
  <c r="A734" i="2"/>
  <c r="A724" i="2"/>
  <c r="B713" i="2"/>
  <c r="A702" i="2"/>
  <c r="A693" i="2"/>
  <c r="A682" i="2"/>
  <c r="A671" i="2"/>
  <c r="B661" i="2"/>
  <c r="B650" i="2"/>
  <c r="B639" i="2"/>
  <c r="A630" i="2"/>
  <c r="A621" i="2"/>
  <c r="B610" i="2"/>
  <c r="A602" i="2"/>
  <c r="A592" i="2"/>
  <c r="A582" i="2"/>
  <c r="A573" i="2"/>
  <c r="B563" i="2"/>
  <c r="B553" i="2"/>
  <c r="B544" i="2"/>
  <c r="B534" i="2"/>
  <c r="A525" i="2"/>
  <c r="A516" i="2"/>
  <c r="B506" i="2"/>
  <c r="B496" i="2"/>
  <c r="B487" i="2"/>
  <c r="A478" i="2"/>
  <c r="B467" i="2"/>
  <c r="A459" i="2"/>
  <c r="A449" i="2"/>
  <c r="B439" i="2"/>
  <c r="A430" i="2"/>
  <c r="B420" i="2"/>
  <c r="B410" i="2"/>
  <c r="B401" i="2"/>
  <c r="B392" i="2"/>
  <c r="A382" i="2"/>
  <c r="B373" i="2"/>
  <c r="B363" i="2"/>
  <c r="B353" i="2"/>
  <c r="B344" i="2"/>
  <c r="A335" i="2"/>
  <c r="B324" i="2"/>
  <c r="A316" i="2"/>
  <c r="B306" i="2"/>
  <c r="B296" i="2"/>
  <c r="B287" i="2"/>
  <c r="B278" i="2"/>
  <c r="B269" i="2"/>
  <c r="A261" i="2"/>
  <c r="B252" i="2"/>
  <c r="A243" i="2"/>
  <c r="A235" i="2"/>
  <c r="A226" i="2"/>
  <c r="A217" i="2"/>
  <c r="A209" i="2"/>
  <c r="A200" i="2"/>
  <c r="A191" i="2"/>
  <c r="B182" i="2"/>
  <c r="A174" i="2"/>
  <c r="B164" i="2"/>
  <c r="B156" i="2"/>
  <c r="B147" i="2"/>
  <c r="B138" i="2"/>
  <c r="A130" i="2"/>
  <c r="B121" i="2"/>
  <c r="A112" i="2"/>
  <c r="A104" i="2"/>
  <c r="B95" i="2"/>
  <c r="A86" i="2"/>
  <c r="A78" i="2"/>
  <c r="A69" i="2"/>
  <c r="A60" i="2"/>
  <c r="B51" i="2"/>
  <c r="A43" i="2"/>
  <c r="B33" i="2"/>
  <c r="B25" i="2"/>
  <c r="A17" i="2"/>
  <c r="B7" i="2"/>
  <c r="A2112" i="1"/>
  <c r="B2125" i="1"/>
  <c r="B2017" i="1"/>
  <c r="A2053" i="1"/>
  <c r="B2078" i="1"/>
  <c r="A2096" i="1"/>
  <c r="B2121" i="1"/>
  <c r="B2013" i="1"/>
  <c r="B1979" i="1"/>
  <c r="B1883" i="1"/>
  <c r="B1775" i="1"/>
  <c r="B1667" i="1"/>
  <c r="B1565" i="1"/>
  <c r="A1985" i="1"/>
  <c r="A1871" i="1"/>
  <c r="A1775" i="1"/>
  <c r="A1667" i="1"/>
  <c r="A2104" i="1"/>
  <c r="B1944" i="1"/>
  <c r="B1842" i="1"/>
  <c r="B1728" i="1"/>
  <c r="B1632" i="1"/>
  <c r="B2099" i="1"/>
  <c r="A1944" i="1"/>
  <c r="A1848" i="1"/>
  <c r="A1740" i="1"/>
  <c r="A1632" i="1"/>
  <c r="A2111" i="1"/>
  <c r="B1957" i="1"/>
  <c r="B1843" i="1"/>
  <c r="B1747" i="1"/>
  <c r="B1645" i="1"/>
  <c r="B2046" i="1"/>
  <c r="A1915" i="1"/>
  <c r="A1807" i="1"/>
  <c r="A1699" i="1"/>
  <c r="A1597" i="1"/>
  <c r="B1976" i="1"/>
  <c r="B1748" i="1"/>
  <c r="A1552" i="1"/>
  <c r="A1441" i="1"/>
  <c r="A1333" i="1"/>
  <c r="B2122" i="1"/>
  <c r="A1856" i="1"/>
  <c r="A1640" i="1"/>
  <c r="B1496" i="1"/>
  <c r="B1394" i="1"/>
  <c r="B1280" i="1"/>
  <c r="B1947" i="1"/>
  <c r="B1731" i="1"/>
  <c r="A1538" i="1"/>
  <c r="A1436" i="1"/>
  <c r="A1334" i="1"/>
  <c r="B1988" i="1"/>
  <c r="A1803" i="1"/>
  <c r="A1611" i="1"/>
  <c r="B1473" i="1"/>
  <c r="B1383" i="1"/>
  <c r="B1287" i="1"/>
  <c r="B1882" i="1"/>
  <c r="B1702" i="1"/>
  <c r="A1527" i="1"/>
  <c r="A1425" i="1"/>
  <c r="A1335" i="1"/>
  <c r="B2040" i="1"/>
  <c r="A1798" i="1"/>
  <c r="A1618" i="1"/>
  <c r="B1492" i="1"/>
  <c r="B1390" i="1"/>
  <c r="B1300" i="1"/>
  <c r="B1766" i="1"/>
  <c r="A1450" i="1"/>
  <c r="A1272" i="1"/>
  <c r="B1170" i="1"/>
  <c r="B1068" i="1"/>
  <c r="A1982" i="1"/>
  <c r="A478" i="5"/>
  <c r="A4205" i="4"/>
  <c r="B3811" i="4"/>
  <c r="B3396" i="4"/>
  <c r="B3058" i="4"/>
  <c r="A2790" i="4"/>
  <c r="A2581" i="4"/>
  <c r="B2364" i="4"/>
  <c r="A2159" i="4"/>
  <c r="A1949" i="4"/>
  <c r="B1753" i="4"/>
  <c r="A1583" i="4"/>
  <c r="A1409" i="4"/>
  <c r="A1228" i="4"/>
  <c r="B1063" i="4"/>
  <c r="B934" i="4"/>
  <c r="A817" i="4"/>
  <c r="A691" i="4"/>
  <c r="A576" i="4"/>
  <c r="A473" i="4"/>
  <c r="B373" i="4"/>
  <c r="B286" i="4"/>
  <c r="B235" i="4"/>
  <c r="A183" i="4"/>
  <c r="B133" i="4"/>
  <c r="A82" i="4"/>
  <c r="B31" i="4"/>
  <c r="A3056" i="3"/>
  <c r="A3012" i="3"/>
  <c r="B2970" i="3"/>
  <c r="B2932" i="3"/>
  <c r="A2892" i="3"/>
  <c r="A2853" i="3"/>
  <c r="A2813" i="3"/>
  <c r="A2777" i="3"/>
  <c r="A2744" i="3"/>
  <c r="A2708" i="3"/>
  <c r="A2671" i="3"/>
  <c r="A2637" i="3"/>
  <c r="B2603" i="3"/>
  <c r="B2566" i="3"/>
  <c r="A2529" i="3"/>
  <c r="A2496" i="3"/>
  <c r="A2462" i="3"/>
  <c r="A2428" i="3"/>
  <c r="A2396" i="3"/>
  <c r="A2365" i="3"/>
  <c r="A2332" i="3"/>
  <c r="A2300" i="3"/>
  <c r="A2265" i="3"/>
  <c r="B2233" i="3"/>
  <c r="A2204" i="3"/>
  <c r="A2169" i="3"/>
  <c r="A2136" i="3"/>
  <c r="A2103" i="3"/>
  <c r="A2073" i="3"/>
  <c r="A2044" i="3"/>
  <c r="A2016" i="3"/>
  <c r="A1988" i="3"/>
  <c r="A1958" i="3"/>
  <c r="A1929" i="3"/>
  <c r="A1900" i="3"/>
  <c r="A1872" i="3"/>
  <c r="A1844" i="3"/>
  <c r="A1814" i="3"/>
  <c r="A1785" i="3"/>
  <c r="A1756" i="3"/>
  <c r="B1729" i="3"/>
  <c r="A1702" i="3"/>
  <c r="A1680" i="3"/>
  <c r="B1653" i="3"/>
  <c r="A1628" i="3"/>
  <c r="A1602" i="3"/>
  <c r="B1574" i="3"/>
  <c r="A1550" i="3"/>
  <c r="A1526" i="3"/>
  <c r="A1501" i="3"/>
  <c r="B1471" i="3"/>
  <c r="A1449" i="3"/>
  <c r="A1423" i="3"/>
  <c r="A1399" i="3"/>
  <c r="A1376" i="3"/>
  <c r="B1352" i="3"/>
  <c r="B1332" i="3"/>
  <c r="A1310" i="3"/>
  <c r="A1287" i="3"/>
  <c r="A1265" i="3"/>
  <c r="A1248" i="3"/>
  <c r="A1228" i="3"/>
  <c r="A1210" i="3"/>
  <c r="B1194" i="3"/>
  <c r="A1177" i="3"/>
  <c r="A1160" i="3"/>
  <c r="B1143" i="3"/>
  <c r="B1125" i="3"/>
  <c r="A1107" i="3"/>
  <c r="B1092" i="3"/>
  <c r="A1075" i="3"/>
  <c r="B1057" i="3"/>
  <c r="B1040" i="3"/>
  <c r="B1022" i="3"/>
  <c r="B1005" i="3"/>
  <c r="B990" i="3"/>
  <c r="B972" i="3"/>
  <c r="B954" i="3"/>
  <c r="B938" i="3"/>
  <c r="A921" i="3"/>
  <c r="B903" i="3"/>
  <c r="A886" i="3"/>
  <c r="A870" i="3"/>
  <c r="B852" i="3"/>
  <c r="A836" i="3"/>
  <c r="B818" i="3"/>
  <c r="B800" i="3"/>
  <c r="A786" i="3"/>
  <c r="B768" i="3"/>
  <c r="B750" i="3"/>
  <c r="B733" i="3"/>
  <c r="B715" i="3"/>
  <c r="B698" i="3"/>
  <c r="A682" i="3"/>
  <c r="A666" i="3"/>
  <c r="A646" i="3"/>
  <c r="A632" i="3"/>
  <c r="A614" i="3"/>
  <c r="A596" i="3"/>
  <c r="A579" i="3"/>
  <c r="B561" i="3"/>
  <c r="A546" i="3"/>
  <c r="B529" i="3"/>
  <c r="A512" i="3"/>
  <c r="B493" i="3"/>
  <c r="B477" i="3"/>
  <c r="B459" i="3"/>
  <c r="A442" i="3"/>
  <c r="B426" i="3"/>
  <c r="A409" i="3"/>
  <c r="A392" i="3"/>
  <c r="B375" i="3"/>
  <c r="B357" i="3"/>
  <c r="A339" i="3"/>
  <c r="B324" i="3"/>
  <c r="A307" i="3"/>
  <c r="B289" i="3"/>
  <c r="B272" i="3"/>
  <c r="A256" i="3"/>
  <c r="B241" i="3"/>
  <c r="A227" i="3"/>
  <c r="A211" i="3"/>
  <c r="B194" i="3"/>
  <c r="A181" i="3"/>
  <c r="A165" i="3"/>
  <c r="A150" i="3"/>
  <c r="A134" i="3"/>
  <c r="A118" i="3"/>
  <c r="A103" i="3"/>
  <c r="A88" i="3"/>
  <c r="A73" i="3"/>
  <c r="B56" i="3"/>
  <c r="A43" i="3"/>
  <c r="A27" i="3"/>
  <c r="A11" i="3"/>
  <c r="A4446" i="2"/>
  <c r="B4429" i="2"/>
  <c r="A4415" i="2"/>
  <c r="A4400" i="2"/>
  <c r="A4385" i="2"/>
  <c r="A4368" i="2"/>
  <c r="A4355" i="2"/>
  <c r="B4338" i="2"/>
  <c r="A4322" i="2"/>
  <c r="B4307" i="2"/>
  <c r="B4291" i="2"/>
  <c r="A4277" i="2"/>
  <c r="A4262" i="2"/>
  <c r="A4247" i="2"/>
  <c r="A4230" i="2"/>
  <c r="B4216" i="2"/>
  <c r="A4200" i="2"/>
  <c r="A4184" i="2"/>
  <c r="B4169" i="2"/>
  <c r="B4153" i="2"/>
  <c r="A4139" i="2"/>
  <c r="A4124" i="2"/>
  <c r="B4108" i="2"/>
  <c r="B4091" i="2"/>
  <c r="A4078" i="2"/>
  <c r="A4062" i="2"/>
  <c r="A4046" i="2"/>
  <c r="B4031" i="2"/>
  <c r="A4015" i="2"/>
  <c r="B4000" i="2"/>
  <c r="B3985" i="2"/>
  <c r="A3970" i="2"/>
  <c r="B3953" i="2"/>
  <c r="A3940" i="2"/>
  <c r="A3924" i="2"/>
  <c r="A3908" i="2"/>
  <c r="A3893" i="2"/>
  <c r="A3877" i="2"/>
  <c r="A3862" i="2"/>
  <c r="A3847" i="2"/>
  <c r="A3832" i="2"/>
  <c r="B3815" i="2"/>
  <c r="A3802" i="2"/>
  <c r="A3786" i="2"/>
  <c r="B3769" i="2"/>
  <c r="A3755" i="2"/>
  <c r="B3738" i="2"/>
  <c r="A3724" i="2"/>
  <c r="A3709" i="2"/>
  <c r="A3694" i="2"/>
  <c r="A3677" i="2"/>
  <c r="A3664" i="2"/>
  <c r="B3647" i="2"/>
  <c r="A3631" i="2"/>
  <c r="B3616" i="2"/>
  <c r="A3601" i="2"/>
  <c r="B3587" i="2"/>
  <c r="A3575" i="2"/>
  <c r="A3560" i="2"/>
  <c r="A3545" i="2"/>
  <c r="A3533" i="2"/>
  <c r="A3518" i="2"/>
  <c r="A3504" i="2"/>
  <c r="B3490" i="2"/>
  <c r="B3475" i="2"/>
  <c r="A3462" i="2"/>
  <c r="A3449" i="2"/>
  <c r="A3434" i="2"/>
  <c r="B3419" i="2"/>
  <c r="A3407" i="2"/>
  <c r="A3392" i="2"/>
  <c r="A3378" i="2"/>
  <c r="B3364" i="2"/>
  <c r="B3349" i="2"/>
  <c r="A3336" i="2"/>
  <c r="B3323" i="2"/>
  <c r="A3309" i="2"/>
  <c r="A3294" i="2"/>
  <c r="B3281" i="2"/>
  <c r="A3267" i="2"/>
  <c r="B3252" i="2"/>
  <c r="A3239" i="2"/>
  <c r="A3224" i="2"/>
  <c r="B3210" i="2"/>
  <c r="B3197" i="2"/>
  <c r="A3183" i="2"/>
  <c r="A3168" i="2"/>
  <c r="B3155" i="2"/>
  <c r="A3141" i="2"/>
  <c r="B3126" i="2"/>
  <c r="A3113" i="2"/>
  <c r="A3098" i="2"/>
  <c r="A3085" i="2"/>
  <c r="A3072" i="2"/>
  <c r="A3058" i="2"/>
  <c r="B3042" i="2"/>
  <c r="A3030" i="2"/>
  <c r="A3016" i="2"/>
  <c r="A3001" i="2"/>
  <c r="B2987" i="2"/>
  <c r="A2973" i="2"/>
  <c r="A2959" i="2"/>
  <c r="A2946" i="2"/>
  <c r="A2932" i="2"/>
  <c r="B2916" i="2"/>
  <c r="A2904" i="2"/>
  <c r="A2890" i="2"/>
  <c r="A2875" i="2"/>
  <c r="A2862" i="2"/>
  <c r="A2848" i="2"/>
  <c r="B2833" i="2"/>
  <c r="B2820" i="2"/>
  <c r="B2806" i="2"/>
  <c r="A2791" i="2"/>
  <c r="B2778" i="2"/>
  <c r="B2764" i="2"/>
  <c r="B2749" i="2"/>
  <c r="A2736" i="2"/>
  <c r="A2722" i="2"/>
  <c r="B2707" i="2"/>
  <c r="B2694" i="2"/>
  <c r="B2680" i="2"/>
  <c r="A2665" i="2"/>
  <c r="A2653" i="2"/>
  <c r="A2639" i="2"/>
  <c r="A2624" i="2"/>
  <c r="B2610" i="2"/>
  <c r="B2596" i="2"/>
  <c r="A2583" i="2"/>
  <c r="B2571" i="2"/>
  <c r="B2559" i="2"/>
  <c r="A2547" i="2"/>
  <c r="B2536" i="2"/>
  <c r="B2524" i="2"/>
  <c r="B2512" i="2"/>
  <c r="A2501" i="2"/>
  <c r="A2489" i="2"/>
  <c r="B2477" i="2"/>
  <c r="B2466" i="2"/>
  <c r="B2454" i="2"/>
  <c r="A2442" i="2"/>
  <c r="A2432" i="2"/>
  <c r="A2420" i="2"/>
  <c r="A2408" i="2"/>
  <c r="B2396" i="2"/>
  <c r="B2384" i="2"/>
  <c r="A2373" i="2"/>
  <c r="A2362" i="2"/>
  <c r="A2350" i="2"/>
  <c r="B2337" i="2"/>
  <c r="A2327" i="2"/>
  <c r="A2315" i="2"/>
  <c r="A2303" i="2"/>
  <c r="B2291" i="2"/>
  <c r="B2279" i="2"/>
  <c r="A2268" i="2"/>
  <c r="B2257" i="2"/>
  <c r="B2245" i="2"/>
  <c r="B2232" i="2"/>
  <c r="B2222" i="2"/>
  <c r="B2210" i="2"/>
  <c r="B2198" i="2"/>
  <c r="A2187" i="2"/>
  <c r="A2175" i="2"/>
  <c r="B2163" i="2"/>
  <c r="B2152" i="2"/>
  <c r="B2140" i="2"/>
  <c r="A2128" i="2"/>
  <c r="B2117" i="2"/>
  <c r="B2105" i="2"/>
  <c r="B2093" i="2"/>
  <c r="A2082" i="2"/>
  <c r="A2070" i="2"/>
  <c r="B2058" i="2"/>
  <c r="A2048" i="2"/>
  <c r="A2036" i="2"/>
  <c r="B2023" i="2"/>
  <c r="A2013" i="2"/>
  <c r="A2001" i="2"/>
  <c r="A1989" i="2"/>
  <c r="B1977" i="2"/>
  <c r="B1965" i="2"/>
  <c r="A1954" i="2"/>
  <c r="A1943" i="2"/>
  <c r="A1931" i="2"/>
  <c r="B1918" i="2"/>
  <c r="A1908" i="2"/>
  <c r="A1896" i="2"/>
  <c r="A1884" i="2"/>
  <c r="B1872" i="2"/>
  <c r="B1860" i="2"/>
  <c r="B1849" i="2"/>
  <c r="B1838" i="2"/>
  <c r="B1826" i="2"/>
  <c r="A1814" i="2"/>
  <c r="B1803" i="2"/>
  <c r="B1791" i="2"/>
  <c r="B1779" i="2"/>
  <c r="A1768" i="2"/>
  <c r="A1756" i="2"/>
  <c r="B1744" i="2"/>
  <c r="B1733" i="2"/>
  <c r="B1721" i="2"/>
  <c r="A1709" i="2"/>
  <c r="B1698" i="2"/>
  <c r="B1686" i="2"/>
  <c r="B1674" i="2"/>
  <c r="B1663" i="2"/>
  <c r="B1651" i="2"/>
  <c r="A1640" i="2"/>
  <c r="A1629" i="2"/>
  <c r="A1617" i="2"/>
  <c r="B1604" i="2"/>
  <c r="A1594" i="2"/>
  <c r="A1582" i="2"/>
  <c r="A1570" i="2"/>
  <c r="B1558" i="2"/>
  <c r="B1546" i="2"/>
  <c r="A1535" i="2"/>
  <c r="A1524" i="2"/>
  <c r="A1512" i="2"/>
  <c r="B1499" i="2"/>
  <c r="B1489" i="2"/>
  <c r="B1477" i="2"/>
  <c r="A1466" i="2"/>
  <c r="B1455" i="2"/>
  <c r="B1445" i="2"/>
  <c r="A1434" i="2"/>
  <c r="B1424" i="2"/>
  <c r="A1414" i="2"/>
  <c r="B1402" i="2"/>
  <c r="B1393" i="2"/>
  <c r="B1382" i="2"/>
  <c r="B1371" i="2"/>
  <c r="B1361" i="2"/>
  <c r="B1350" i="2"/>
  <c r="A1340" i="2"/>
  <c r="A1330" i="2"/>
  <c r="B1319" i="2"/>
  <c r="B1308" i="2"/>
  <c r="B1298" i="2"/>
  <c r="B1288" i="2"/>
  <c r="A1277" i="2"/>
  <c r="B1267" i="2"/>
  <c r="A1257" i="2"/>
  <c r="B1245" i="2"/>
  <c r="A1236" i="2"/>
  <c r="B1225" i="2"/>
  <c r="B1214" i="2"/>
  <c r="B1204" i="2"/>
  <c r="B1193" i="2"/>
  <c r="B1182" i="2"/>
  <c r="A1173" i="2"/>
  <c r="B1162" i="2"/>
  <c r="B1151" i="2"/>
  <c r="B1141" i="2"/>
  <c r="B1131" i="2"/>
  <c r="A1120" i="2"/>
  <c r="A1110" i="2"/>
  <c r="A1100" i="2"/>
  <c r="B1088" i="2"/>
  <c r="A1079" i="2"/>
  <c r="A1068" i="2"/>
  <c r="B1057" i="2"/>
  <c r="B1047" i="2"/>
  <c r="B1036" i="2"/>
  <c r="B1025" i="2"/>
  <c r="A1016" i="2"/>
  <c r="B1005" i="2"/>
  <c r="B994" i="2"/>
  <c r="A984" i="2"/>
  <c r="B974" i="2"/>
  <c r="A963" i="2"/>
  <c r="A953" i="2"/>
  <c r="B942" i="2"/>
  <c r="B931" i="2"/>
  <c r="A922" i="2"/>
  <c r="A911" i="2"/>
  <c r="A900" i="2"/>
  <c r="B890" i="2"/>
  <c r="B879" i="2"/>
  <c r="B868" i="2"/>
  <c r="B858" i="2"/>
  <c r="B848" i="2"/>
  <c r="B837" i="2"/>
  <c r="A827" i="2"/>
  <c r="B817" i="2"/>
  <c r="A806" i="2"/>
  <c r="A796" i="2"/>
  <c r="B785" i="2"/>
  <c r="A774" i="2"/>
  <c r="A765" i="2"/>
  <c r="A754" i="2"/>
  <c r="A743" i="2"/>
  <c r="B733" i="2"/>
  <c r="B722" i="2"/>
  <c r="B711" i="2"/>
  <c r="B701" i="2"/>
  <c r="B691" i="2"/>
  <c r="B680" i="2"/>
  <c r="A670" i="2"/>
  <c r="A660" i="2"/>
  <c r="B648" i="2"/>
  <c r="A639" i="2"/>
  <c r="A629" i="2"/>
  <c r="B618" i="2"/>
  <c r="A610" i="2"/>
  <c r="A600" i="2"/>
  <c r="B590" i="2"/>
  <c r="B581" i="2"/>
  <c r="A572" i="2"/>
  <c r="A562" i="2"/>
  <c r="B552" i="2"/>
  <c r="B543" i="2"/>
  <c r="A533" i="2"/>
  <c r="B524" i="2"/>
  <c r="B514" i="2"/>
  <c r="B504" i="2"/>
  <c r="B495" i="2"/>
  <c r="A486" i="2"/>
  <c r="A476" i="2"/>
  <c r="A467" i="2"/>
  <c r="A458" i="2"/>
  <c r="B447" i="2"/>
  <c r="B438" i="2"/>
  <c r="A429" i="2"/>
  <c r="A419" i="2"/>
  <c r="A410" i="2"/>
  <c r="B400" i="2"/>
  <c r="A390" i="2"/>
  <c r="B381" i="2"/>
  <c r="A372" i="2"/>
  <c r="A362" i="2"/>
  <c r="A353" i="2"/>
  <c r="B343" i="2"/>
  <c r="B333" i="2"/>
  <c r="A324" i="2"/>
  <c r="A315" i="2"/>
  <c r="B304" i="2"/>
  <c r="A296" i="2"/>
  <c r="A286" i="2"/>
  <c r="A277" i="2"/>
  <c r="A269" i="2"/>
  <c r="A260" i="2"/>
  <c r="A251" i="2"/>
  <c r="B242" i="2"/>
  <c r="A234" i="2"/>
  <c r="B224" i="2"/>
  <c r="B216" i="2"/>
  <c r="B207" i="2"/>
  <c r="B198" i="2"/>
  <c r="A190" i="2"/>
  <c r="B181" i="2"/>
  <c r="A172" i="2"/>
  <c r="A164" i="2"/>
  <c r="B155" i="2"/>
  <c r="A146" i="2"/>
  <c r="A138" i="2"/>
  <c r="A129" i="2"/>
  <c r="A120" i="2"/>
  <c r="B111" i="2"/>
  <c r="A103" i="2"/>
  <c r="B93" i="2"/>
  <c r="B85" i="2"/>
  <c r="A77" i="2"/>
  <c r="B67" i="2"/>
  <c r="B59" i="2"/>
  <c r="B50" i="2"/>
  <c r="B41" i="2"/>
  <c r="A33" i="2"/>
  <c r="B24" i="2"/>
  <c r="A15" i="2"/>
  <c r="A7" i="2"/>
  <c r="A2094" i="1"/>
  <c r="B2107" i="1"/>
  <c r="B2011" i="1"/>
  <c r="A2041" i="1"/>
  <c r="B2060" i="1"/>
  <c r="A2090" i="1"/>
  <c r="B2109" i="1"/>
  <c r="B1995" i="1"/>
  <c r="B1973" i="1"/>
  <c r="B1865" i="1"/>
  <c r="B1757" i="1"/>
  <c r="B1655" i="1"/>
  <c r="B1553" i="1"/>
  <c r="A1961" i="1"/>
  <c r="A1865" i="1"/>
  <c r="A1763" i="1"/>
  <c r="A1649" i="1"/>
  <c r="A2092" i="1"/>
  <c r="B1932" i="1"/>
  <c r="B1824" i="1"/>
  <c r="B1722" i="1"/>
  <c r="B1620" i="1"/>
  <c r="B2051" i="1"/>
  <c r="A1938" i="1"/>
  <c r="A1836" i="1"/>
  <c r="A1722" i="1"/>
  <c r="A1626" i="1"/>
  <c r="A2087" i="1"/>
  <c r="B1939" i="1"/>
  <c r="B1837" i="1"/>
  <c r="B1735" i="1"/>
  <c r="B1621" i="1"/>
  <c r="B2034" i="1"/>
  <c r="A1897" i="1"/>
  <c r="A1789" i="1"/>
  <c r="A1693" i="1"/>
  <c r="A1585" i="1"/>
  <c r="B1940" i="1"/>
  <c r="B1736" i="1"/>
  <c r="A1537" i="1"/>
  <c r="A1423" i="1"/>
  <c r="A1327" i="1"/>
  <c r="B2050" i="1"/>
  <c r="B4413" i="4"/>
  <c r="A4026" i="4"/>
  <c r="A3588" i="4"/>
  <c r="B3275" i="4"/>
  <c r="B2935" i="4"/>
  <c r="B2723" i="4"/>
  <c r="A2484" i="4"/>
  <c r="A2292" i="4"/>
  <c r="B2032" i="4"/>
  <c r="A1863" i="4"/>
  <c r="A1668" i="4"/>
  <c r="A1516" i="4"/>
  <c r="B1318" i="4"/>
  <c r="A1170" i="4"/>
  <c r="A1000" i="4"/>
  <c r="B886" i="4"/>
  <c r="A745" i="4"/>
  <c r="A646" i="4"/>
  <c r="B528" i="4"/>
  <c r="A430" i="4"/>
  <c r="A331" i="4"/>
  <c r="B261" i="4"/>
  <c r="B210" i="4"/>
  <c r="A167" i="4"/>
  <c r="A105" i="4"/>
  <c r="B60" i="4"/>
  <c r="A9" i="4"/>
  <c r="B3037" i="3"/>
  <c r="B2991" i="3"/>
  <c r="B2952" i="3"/>
  <c r="B2913" i="3"/>
  <c r="A2879" i="3"/>
  <c r="B2828" i="3"/>
  <c r="B2800" i="3"/>
  <c r="A2761" i="3"/>
  <c r="B2730" i="3"/>
  <c r="A2689" i="3"/>
  <c r="B2656" i="3"/>
  <c r="A2619" i="3"/>
  <c r="A2591" i="3"/>
  <c r="A2547" i="3"/>
  <c r="B2514" i="3"/>
  <c r="B2479" i="3"/>
  <c r="B2448" i="3"/>
  <c r="B2412" i="3"/>
  <c r="B2382" i="3"/>
  <c r="B2348" i="3"/>
  <c r="B2318" i="3"/>
  <c r="B2280" i="3"/>
  <c r="B2252" i="3"/>
  <c r="B2220" i="3"/>
  <c r="B2190" i="3"/>
  <c r="B2150" i="3"/>
  <c r="B2124" i="3"/>
  <c r="B2088" i="3"/>
  <c r="B2061" i="3"/>
  <c r="A2030" i="3"/>
  <c r="A2005" i="3"/>
  <c r="A1972" i="3"/>
  <c r="B1945" i="3"/>
  <c r="A1916" i="3"/>
  <c r="A1887" i="3"/>
  <c r="A1857" i="3"/>
  <c r="A1831" i="3"/>
  <c r="A1800" i="3"/>
  <c r="B1773" i="3"/>
  <c r="A1746" i="3"/>
  <c r="A1718" i="3"/>
  <c r="B1694" i="3"/>
  <c r="A1670" i="3"/>
  <c r="B1644" i="3"/>
  <c r="A1617" i="3"/>
  <c r="A1593" i="3"/>
  <c r="B1566" i="3"/>
  <c r="B1542" i="3"/>
  <c r="B1515" i="3"/>
  <c r="A1488" i="3"/>
  <c r="B1464" i="3"/>
  <c r="A1440" i="3"/>
  <c r="A1413" i="3"/>
  <c r="A1390" i="3"/>
  <c r="A1369" i="3"/>
  <c r="B1344" i="3"/>
  <c r="B1323" i="3"/>
  <c r="A1300" i="3"/>
  <c r="B1278" i="3"/>
  <c r="A1260" i="3"/>
  <c r="A1241" i="3"/>
  <c r="A1221" i="3"/>
  <c r="B1203" i="3"/>
  <c r="B1188" i="3"/>
  <c r="B1170" i="3"/>
  <c r="A1154" i="3"/>
  <c r="B1136" i="3"/>
  <c r="A1118" i="3"/>
  <c r="A1102" i="3"/>
  <c r="B1086" i="3"/>
  <c r="A1068" i="3"/>
  <c r="A1051" i="3"/>
  <c r="B1034" i="3"/>
  <c r="B1016" i="3"/>
  <c r="A1000" i="3"/>
  <c r="A982" i="3"/>
  <c r="B963" i="3"/>
  <c r="B949" i="3"/>
  <c r="A932" i="3"/>
  <c r="A914" i="3"/>
  <c r="A897" i="3"/>
  <c r="A882" i="3"/>
  <c r="A862" i="3"/>
  <c r="A847" i="3"/>
  <c r="B829" i="3"/>
  <c r="A811" i="3"/>
  <c r="A795" i="3"/>
  <c r="A778" i="3"/>
  <c r="A760" i="3"/>
  <c r="B744" i="3"/>
  <c r="A728" i="3"/>
  <c r="B709" i="3"/>
  <c r="A693" i="3"/>
  <c r="A675" i="3"/>
  <c r="A657" i="3"/>
  <c r="B642" i="3"/>
  <c r="B625" i="3"/>
  <c r="A607" i="3"/>
  <c r="A590" i="3"/>
  <c r="B573" i="3"/>
  <c r="A136" i="5"/>
  <c r="B3659" i="4"/>
  <c r="A2982" i="4"/>
  <c r="A2505" i="4"/>
  <c r="A2079" i="4"/>
  <c r="B1689" i="4"/>
  <c r="B1361" i="4"/>
  <c r="B1002" i="4"/>
  <c r="B773" i="4"/>
  <c r="B542" i="4"/>
  <c r="B347" i="4"/>
  <c r="B213" i="4"/>
  <c r="A118" i="4"/>
  <c r="B30" i="4"/>
  <c r="B3019" i="3"/>
  <c r="A2959" i="3"/>
  <c r="A2881" i="3"/>
  <c r="B2822" i="3"/>
  <c r="B2760" i="3"/>
  <c r="B2697" i="3"/>
  <c r="B2636" i="3"/>
  <c r="B2573" i="3"/>
  <c r="B2520" i="3"/>
  <c r="A2452" i="3"/>
  <c r="A2404" i="3"/>
  <c r="A2348" i="3"/>
  <c r="B2292" i="3"/>
  <c r="B2232" i="3"/>
  <c r="B2174" i="3"/>
  <c r="A2126" i="3"/>
  <c r="B2064" i="3"/>
  <c r="A2020" i="3"/>
  <c r="B1969" i="3"/>
  <c r="A1920" i="3"/>
  <c r="B1869" i="3"/>
  <c r="A1818" i="3"/>
  <c r="A1774" i="3"/>
  <c r="A1728" i="3"/>
  <c r="B1681" i="3"/>
  <c r="A1641" i="3"/>
  <c r="A1597" i="3"/>
  <c r="B1548" i="3"/>
  <c r="A1508" i="3"/>
  <c r="B1465" i="3"/>
  <c r="A1420" i="3"/>
  <c r="B1380" i="3"/>
  <c r="A1344" i="3"/>
  <c r="B1302" i="3"/>
  <c r="A1264" i="3"/>
  <c r="B1233" i="3"/>
  <c r="A1206" i="3"/>
  <c r="A1174" i="3"/>
  <c r="A1146" i="3"/>
  <c r="B1117" i="3"/>
  <c r="A1088" i="3"/>
  <c r="B1056" i="3"/>
  <c r="A1028" i="3"/>
  <c r="A1002" i="3"/>
  <c r="A970" i="3"/>
  <c r="B939" i="3"/>
  <c r="B913" i="3"/>
  <c r="A885" i="3"/>
  <c r="A859" i="3"/>
  <c r="B834" i="3"/>
  <c r="A808" i="3"/>
  <c r="A782" i="3"/>
  <c r="B757" i="3"/>
  <c r="A732" i="3"/>
  <c r="A705" i="3"/>
  <c r="B680" i="3"/>
  <c r="A655" i="3"/>
  <c r="B627" i="3"/>
  <c r="A603" i="3"/>
  <c r="A578" i="3"/>
  <c r="B554" i="3"/>
  <c r="B530" i="3"/>
  <c r="B506" i="3"/>
  <c r="A486" i="3"/>
  <c r="A464" i="3"/>
  <c r="A440" i="3"/>
  <c r="B416" i="3"/>
  <c r="A396" i="3"/>
  <c r="B369" i="3"/>
  <c r="B349" i="3"/>
  <c r="A326" i="3"/>
  <c r="B301" i="3"/>
  <c r="A282" i="3"/>
  <c r="A260" i="3"/>
  <c r="B237" i="3"/>
  <c r="A218" i="3"/>
  <c r="A199" i="3"/>
  <c r="A178" i="3"/>
  <c r="A159" i="3"/>
  <c r="A142" i="3"/>
  <c r="B123" i="3"/>
  <c r="A107" i="3"/>
  <c r="B86" i="3"/>
  <c r="B66" i="3"/>
  <c r="B49" i="3"/>
  <c r="A31" i="3"/>
  <c r="A14" i="3"/>
  <c r="B4444" i="2"/>
  <c r="A4425" i="2"/>
  <c r="A4408" i="2"/>
  <c r="A4390" i="2"/>
  <c r="B4372" i="2"/>
  <c r="A4351" i="2"/>
  <c r="A4333" i="2"/>
  <c r="A4315" i="2"/>
  <c r="B4297" i="2"/>
  <c r="A4280" i="2"/>
  <c r="A4260" i="2"/>
  <c r="B4240" i="2"/>
  <c r="A4223" i="2"/>
  <c r="A4205" i="2"/>
  <c r="B4187" i="2"/>
  <c r="B4168" i="2"/>
  <c r="A4148" i="2"/>
  <c r="A4132" i="2"/>
  <c r="A4113" i="2"/>
  <c r="B4096" i="2"/>
  <c r="A4075" i="2"/>
  <c r="A4056" i="2"/>
  <c r="A4039" i="2"/>
  <c r="A4021" i="2"/>
  <c r="B4003" i="2"/>
  <c r="B3983" i="2"/>
  <c r="A3964" i="2"/>
  <c r="B3946" i="2"/>
  <c r="B3928" i="2"/>
  <c r="A3911" i="2"/>
  <c r="A3892" i="2"/>
  <c r="A3872" i="2"/>
  <c r="A3854" i="2"/>
  <c r="A3837" i="2"/>
  <c r="A3820" i="2"/>
  <c r="B3798" i="2"/>
  <c r="A3780" i="2"/>
  <c r="B3762" i="2"/>
  <c r="B3744" i="2"/>
  <c r="A3727" i="2"/>
  <c r="B3707" i="2"/>
  <c r="A3687" i="2"/>
  <c r="A3670" i="2"/>
  <c r="A3652" i="2"/>
  <c r="A3635" i="2"/>
  <c r="A3615" i="2"/>
  <c r="A3597" i="2"/>
  <c r="A3581" i="2"/>
  <c r="B3564" i="2"/>
  <c r="A3549" i="2"/>
  <c r="B3529" i="2"/>
  <c r="A3513" i="2"/>
  <c r="B3497" i="2"/>
  <c r="A3481" i="2"/>
  <c r="A3465" i="2"/>
  <c r="A3447" i="2"/>
  <c r="A3428" i="2"/>
  <c r="A3413" i="2"/>
  <c r="B3396" i="2"/>
  <c r="A3381" i="2"/>
  <c r="A3363" i="2"/>
  <c r="A3346" i="2"/>
  <c r="A3330" i="2"/>
  <c r="A3313" i="2"/>
  <c r="A3298" i="2"/>
  <c r="A3278" i="2"/>
  <c r="A3262" i="2"/>
  <c r="A3246" i="2"/>
  <c r="B3229" i="2"/>
  <c r="A3214" i="2"/>
  <c r="A3196" i="2"/>
  <c r="A3177" i="2"/>
  <c r="B3161" i="2"/>
  <c r="A3145" i="2"/>
  <c r="A3130" i="2"/>
  <c r="A3112" i="2"/>
  <c r="B3094" i="2"/>
  <c r="B3078" i="2"/>
  <c r="B3061" i="2"/>
  <c r="B3046" i="2"/>
  <c r="A3028" i="2"/>
  <c r="B3010" i="2"/>
  <c r="B2994" i="2"/>
  <c r="A2978" i="2"/>
  <c r="A2963" i="2"/>
  <c r="B2944" i="2"/>
  <c r="A2926" i="2"/>
  <c r="A2910" i="2"/>
  <c r="B2893" i="2"/>
  <c r="B2878" i="2"/>
  <c r="B2860" i="2"/>
  <c r="A2843" i="2"/>
  <c r="A2827" i="2"/>
  <c r="A2810" i="2"/>
  <c r="A2795" i="2"/>
  <c r="B2776" i="2"/>
  <c r="A2759" i="2"/>
  <c r="A2743" i="2"/>
  <c r="A2727" i="2"/>
  <c r="B2711" i="2"/>
  <c r="A2693" i="2"/>
  <c r="A2675" i="2"/>
  <c r="B2658" i="2"/>
  <c r="A2642" i="2"/>
  <c r="A2627" i="2"/>
  <c r="A2609" i="2"/>
  <c r="B2591" i="2"/>
  <c r="A2577" i="2"/>
  <c r="B2563" i="2"/>
  <c r="A2550" i="2"/>
  <c r="B2534" i="2"/>
  <c r="A2520" i="2"/>
  <c r="A2507" i="2"/>
  <c r="B2493" i="2"/>
  <c r="B2480" i="2"/>
  <c r="A2465" i="2"/>
  <c r="A2450" i="2"/>
  <c r="B2436" i="2"/>
  <c r="A2423" i="2"/>
  <c r="A2410" i="2"/>
  <c r="B2395" i="2"/>
  <c r="B2380" i="2"/>
  <c r="B2367" i="2"/>
  <c r="A2354" i="2"/>
  <c r="B2340" i="2"/>
  <c r="A2325" i="2"/>
  <c r="B2310" i="2"/>
  <c r="B2297" i="2"/>
  <c r="A2284" i="2"/>
  <c r="A2271" i="2"/>
  <c r="B2255" i="2"/>
  <c r="B2240" i="2"/>
  <c r="B2227" i="2"/>
  <c r="B2213" i="2"/>
  <c r="B2200" i="2"/>
  <c r="A2186" i="2"/>
  <c r="A2171" i="2"/>
  <c r="A2158" i="2"/>
  <c r="B2144" i="2"/>
  <c r="B2131" i="2"/>
  <c r="B2115" i="2"/>
  <c r="B2101" i="2"/>
  <c r="A2088" i="2"/>
  <c r="B2074" i="2"/>
  <c r="B2061" i="2"/>
  <c r="A2046" i="2"/>
  <c r="A2031" i="2"/>
  <c r="A2018" i="2"/>
  <c r="A2004" i="2"/>
  <c r="A1991" i="2"/>
  <c r="B1976" i="2"/>
  <c r="B1961" i="2"/>
  <c r="B1948" i="2"/>
  <c r="A1935" i="2"/>
  <c r="A1922" i="2"/>
  <c r="A1906" i="2"/>
  <c r="A1892" i="2"/>
  <c r="B1878" i="2"/>
  <c r="A1865" i="2"/>
  <c r="A1852" i="2"/>
  <c r="B1836" i="2"/>
  <c r="B1821" i="2"/>
  <c r="B1808" i="2"/>
  <c r="B1794" i="2"/>
  <c r="B1781" i="2"/>
  <c r="A1767" i="2"/>
  <c r="A1752" i="2"/>
  <c r="A1739" i="2"/>
  <c r="B1725" i="2"/>
  <c r="B1712" i="2"/>
  <c r="B1696" i="2"/>
  <c r="B1682" i="2"/>
  <c r="B1669" i="2"/>
  <c r="B1655" i="2"/>
  <c r="B1642" i="2"/>
  <c r="B1627" i="2"/>
  <c r="A1612" i="2"/>
  <c r="A1599" i="2"/>
  <c r="B1585" i="2"/>
  <c r="A1572" i="2"/>
  <c r="B1557" i="2"/>
  <c r="B1542" i="2"/>
  <c r="B1529" i="2"/>
  <c r="A1516" i="2"/>
  <c r="A1503" i="2"/>
  <c r="A1487" i="2"/>
  <c r="A1473" i="2"/>
  <c r="A1461" i="2"/>
  <c r="B1448" i="2"/>
  <c r="A1437" i="2"/>
  <c r="B1422" i="2"/>
  <c r="B1409" i="2"/>
  <c r="A1398" i="2"/>
  <c r="B1385" i="2"/>
  <c r="A1374" i="2"/>
  <c r="B1360" i="2"/>
  <c r="B1347" i="2"/>
  <c r="B1335" i="2"/>
  <c r="A1323" i="2"/>
  <c r="A1311" i="2"/>
  <c r="B1297" i="2"/>
  <c r="A1284" i="2"/>
  <c r="A1272" i="2"/>
  <c r="A1260" i="2"/>
  <c r="A1248" i="2"/>
  <c r="B1234" i="2"/>
  <c r="B1221" i="2"/>
  <c r="A1210" i="2"/>
  <c r="B1197" i="2"/>
  <c r="B1185" i="2"/>
  <c r="A1172" i="2"/>
  <c r="B1158" i="2"/>
  <c r="B1146" i="2"/>
  <c r="A1134" i="2"/>
  <c r="B1122" i="2"/>
  <c r="B1108" i="2"/>
  <c r="B1095" i="2"/>
  <c r="A1084" i="2"/>
  <c r="B1071" i="2"/>
  <c r="A1060" i="2"/>
  <c r="B1046" i="2"/>
  <c r="B1033" i="2"/>
  <c r="B1021" i="2"/>
  <c r="B1008" i="2"/>
  <c r="B996" i="2"/>
  <c r="A983" i="2"/>
  <c r="A970" i="2"/>
  <c r="A958" i="2"/>
  <c r="A946" i="2"/>
  <c r="A934" i="2"/>
  <c r="B920" i="2"/>
  <c r="B907" i="2"/>
  <c r="A896" i="2"/>
  <c r="B883" i="2"/>
  <c r="B871" i="2"/>
  <c r="B857" i="2"/>
  <c r="B844" i="2"/>
  <c r="B832" i="2"/>
  <c r="A820" i="2"/>
  <c r="B808" i="2"/>
  <c r="B794" i="2"/>
  <c r="B781" i="2"/>
  <c r="A770" i="2"/>
  <c r="B757" i="2"/>
  <c r="A746" i="2"/>
  <c r="A732" i="2"/>
  <c r="A719" i="2"/>
  <c r="A707" i="2"/>
  <c r="B694" i="2"/>
  <c r="B682" i="2"/>
  <c r="A669" i="2"/>
  <c r="A656" i="2"/>
  <c r="A644" i="2"/>
  <c r="A632" i="2"/>
  <c r="B621" i="2"/>
  <c r="A609" i="2"/>
  <c r="A597" i="2"/>
  <c r="A586" i="2"/>
  <c r="A575" i="2"/>
  <c r="A564" i="2"/>
  <c r="B551" i="2"/>
  <c r="B539" i="2"/>
  <c r="B529" i="2"/>
  <c r="A518" i="2"/>
  <c r="A507" i="2"/>
  <c r="B494" i="2"/>
  <c r="B482" i="2"/>
  <c r="A472" i="2"/>
  <c r="B460" i="2"/>
  <c r="B449" i="2"/>
  <c r="B437" i="2"/>
  <c r="B425" i="2"/>
  <c r="B414" i="2"/>
  <c r="B403" i="2"/>
  <c r="A393" i="2"/>
  <c r="B380" i="2"/>
  <c r="B368" i="2"/>
  <c r="B357" i="2"/>
  <c r="B346" i="2"/>
  <c r="B335" i="2"/>
  <c r="A323" i="2"/>
  <c r="A311" i="2"/>
  <c r="B300" i="2"/>
  <c r="B289" i="2"/>
  <c r="A279" i="2"/>
  <c r="B267" i="2"/>
  <c r="A257" i="2"/>
  <c r="A247" i="2"/>
  <c r="B236" i="2"/>
  <c r="A227" i="2"/>
  <c r="B215" i="2"/>
  <c r="B204" i="2"/>
  <c r="B194" i="2"/>
  <c r="A184" i="2"/>
  <c r="B174" i="2"/>
  <c r="A163" i="2"/>
  <c r="A152" i="2"/>
  <c r="A142" i="2"/>
  <c r="A132" i="2"/>
  <c r="A122" i="2"/>
  <c r="B110" i="2"/>
  <c r="B99" i="2"/>
  <c r="A90" i="2"/>
  <c r="B79" i="2"/>
  <c r="B69" i="2"/>
  <c r="A58" i="2"/>
  <c r="B47" i="2"/>
  <c r="B37" i="2"/>
  <c r="A27" i="2"/>
  <c r="B17" i="2"/>
  <c r="A6" i="2"/>
  <c r="A2058" i="1"/>
  <c r="B2059" i="1"/>
  <c r="A2077" i="1"/>
  <c r="B2084" i="1"/>
  <c r="A2078" i="1"/>
  <c r="B2067" i="1"/>
  <c r="A2061" i="1"/>
  <c r="B1901" i="1"/>
  <c r="B1781" i="1"/>
  <c r="B1643" i="1"/>
  <c r="B2068" i="1"/>
  <c r="A1919" i="1"/>
  <c r="A1793" i="1"/>
  <c r="A1673" i="1"/>
  <c r="A2068" i="1"/>
  <c r="B1896" i="1"/>
  <c r="B1776" i="1"/>
  <c r="B1650" i="1"/>
  <c r="B2111" i="1"/>
  <c r="A1926" i="1"/>
  <c r="A1794" i="1"/>
  <c r="A1674" i="1"/>
  <c r="A1554" i="1"/>
  <c r="B1963" i="1"/>
  <c r="B1825" i="1"/>
  <c r="B1693" i="1"/>
  <c r="B1579" i="1"/>
  <c r="A1933" i="1"/>
  <c r="A1813" i="1"/>
  <c r="A1675" i="1"/>
  <c r="A1549" i="1"/>
  <c r="B1844" i="1"/>
  <c r="B1592" i="1"/>
  <c r="A1453" i="1"/>
  <c r="A1315" i="1"/>
  <c r="A1964" i="1"/>
  <c r="A1748" i="1"/>
  <c r="B1532" i="1"/>
  <c r="B1424" i="1"/>
  <c r="B1316" i="1"/>
  <c r="B1971" i="1"/>
  <c r="B1743" i="1"/>
  <c r="A1532" i="1"/>
  <c r="A1418" i="1"/>
  <c r="A1304" i="1"/>
  <c r="A1935" i="1"/>
  <c r="A1707" i="1"/>
  <c r="B1527" i="1"/>
  <c r="B1413" i="1"/>
  <c r="B1317" i="1"/>
  <c r="B1942" i="1"/>
  <c r="B1726" i="1"/>
  <c r="A1533" i="1"/>
  <c r="A1419" i="1"/>
  <c r="A1317" i="1"/>
  <c r="A1942" i="1"/>
  <c r="A1738" i="1"/>
  <c r="B1543" i="1"/>
  <c r="B1444" i="1"/>
  <c r="B1330" i="1"/>
  <c r="B1886" i="1"/>
  <c r="A1510" i="1"/>
  <c r="A1294" i="1"/>
  <c r="B1176" i="1"/>
  <c r="B1062" i="1"/>
  <c r="A1910" i="1"/>
  <c r="B1517" i="1"/>
  <c r="B1337" i="1"/>
  <c r="A1200" i="1"/>
  <c r="A1098" i="1"/>
  <c r="A1008" i="1"/>
  <c r="B1809" i="1"/>
  <c r="A1881" i="1"/>
  <c r="B1544" i="1"/>
  <c r="B1356" i="1"/>
  <c r="A1207" i="1"/>
  <c r="A1117" i="1"/>
  <c r="A1021" i="1"/>
  <c r="B1852" i="1"/>
  <c r="A1536" i="1"/>
  <c r="A1344" i="1"/>
  <c r="B1196" i="1"/>
  <c r="B1106" i="1"/>
  <c r="B1010" i="1"/>
  <c r="A1780" i="1"/>
  <c r="B1483" i="1"/>
  <c r="B1291" i="1"/>
  <c r="A1178" i="1"/>
  <c r="A1088" i="1"/>
  <c r="A992" i="1"/>
  <c r="B1610" i="1"/>
  <c r="B1936" i="1"/>
  <c r="A1373" i="1"/>
  <c r="A1840" i="1"/>
  <c r="A1385" i="1"/>
  <c r="B1912" i="1"/>
  <c r="B1429" i="1"/>
  <c r="A1672" i="1"/>
  <c r="B2105" i="1"/>
  <c r="A1278" i="1"/>
  <c r="B1115" i="1"/>
  <c r="A955" i="1"/>
  <c r="A1701" i="1"/>
  <c r="B1199" i="1"/>
  <c r="A1030" i="1"/>
  <c r="A1749" i="1"/>
  <c r="B1155" i="1"/>
  <c r="A989" i="1"/>
  <c r="A867" i="1"/>
  <c r="A1257" i="1"/>
  <c r="A1097" i="1"/>
  <c r="B936" i="1"/>
  <c r="B846" i="1"/>
  <c r="B1295" i="1"/>
  <c r="A1113" i="1"/>
  <c r="A971" i="1"/>
  <c r="B1165" i="1"/>
  <c r="A905" i="1"/>
  <c r="B783" i="1"/>
  <c r="B687" i="1"/>
  <c r="B585" i="1"/>
  <c r="B495" i="1"/>
  <c r="B1221" i="1"/>
  <c r="A952" i="1"/>
  <c r="A831" i="1"/>
  <c r="A735" i="1"/>
  <c r="A633" i="1"/>
  <c r="A543" i="1"/>
  <c r="B1634" i="1"/>
  <c r="A1101" i="1"/>
  <c r="A945" i="1"/>
  <c r="B826" i="1"/>
  <c r="B724" i="1"/>
  <c r="B634" i="1"/>
  <c r="B538" i="1"/>
  <c r="B1171" i="1"/>
  <c r="B932" i="1"/>
  <c r="B833" i="1"/>
  <c r="B731" i="1"/>
  <c r="B641" i="1"/>
  <c r="B545" i="1"/>
  <c r="B1198" i="1"/>
  <c r="A865" i="1"/>
  <c r="B709" i="1"/>
  <c r="A556" i="1"/>
  <c r="A442" i="1"/>
  <c r="B1017" i="1"/>
  <c r="B824" i="1"/>
  <c r="B696" i="1"/>
  <c r="B552" i="1"/>
  <c r="A425" i="1"/>
  <c r="A335" i="1"/>
  <c r="A1475" i="1"/>
  <c r="B862" i="1"/>
  <c r="B721" i="1"/>
  <c r="B577" i="1"/>
  <c r="A450" i="1"/>
  <c r="A360" i="1"/>
  <c r="A1658" i="1"/>
  <c r="A1001" i="1"/>
  <c r="A809" i="1"/>
  <c r="A665" i="1"/>
  <c r="A514" i="1"/>
  <c r="B409" i="1"/>
  <c r="B313" i="1"/>
  <c r="B1035" i="1"/>
  <c r="A870" i="1"/>
  <c r="B704" i="1"/>
  <c r="B558" i="1"/>
  <c r="A453" i="1"/>
  <c r="A357" i="1"/>
  <c r="A1042" i="1"/>
  <c r="B764" i="1"/>
  <c r="A536" i="1"/>
  <c r="A355" i="1"/>
  <c r="B242" i="1"/>
  <c r="B146" i="1"/>
  <c r="B44" i="1"/>
  <c r="B841" i="1"/>
  <c r="B600" i="1"/>
  <c r="A364" i="1"/>
  <c r="A254" i="1"/>
  <c r="A158" i="1"/>
  <c r="B1203" i="1"/>
  <c r="A828" i="1"/>
  <c r="A581" i="1"/>
  <c r="A367" i="1"/>
  <c r="B256" i="1"/>
  <c r="B160" i="1"/>
  <c r="B58" i="1"/>
  <c r="B853" i="1"/>
  <c r="A587" i="1"/>
  <c r="B410" i="1"/>
  <c r="A268" i="1"/>
  <c r="A172" i="1"/>
  <c r="A70" i="1"/>
  <c r="A875" i="1"/>
  <c r="A626" i="1"/>
  <c r="B413" i="1"/>
  <c r="A276" i="1"/>
  <c r="B181" i="1"/>
  <c r="B79" i="1"/>
  <c r="B618" i="1"/>
  <c r="B339" i="1"/>
  <c r="B102" i="1"/>
  <c r="A2" i="1"/>
  <c r="B477" i="1"/>
  <c r="A246" i="1"/>
  <c r="B90" i="1"/>
  <c r="B1019" i="1"/>
  <c r="A623" i="1"/>
  <c r="B360" i="1"/>
  <c r="B153" i="1"/>
  <c r="A15" i="1"/>
  <c r="B480" i="1"/>
  <c r="A157" i="1"/>
  <c r="B1586" i="1"/>
  <c r="B728" i="1"/>
  <c r="B369" i="1"/>
  <c r="B192" i="1"/>
  <c r="B47" i="1"/>
  <c r="A728" i="1"/>
  <c r="A159" i="1"/>
  <c r="B1063" i="1"/>
  <c r="A546" i="1"/>
  <c r="B303" i="1"/>
  <c r="A144" i="1"/>
  <c r="A24" i="1"/>
  <c r="B460" i="1"/>
  <c r="A123" i="1"/>
  <c r="B873" i="1"/>
  <c r="A625" i="1"/>
  <c r="B318" i="1"/>
  <c r="A189" i="1"/>
  <c r="B55" i="1"/>
  <c r="A486" i="1"/>
  <c r="A125" i="1"/>
  <c r="A722" i="1"/>
  <c r="A93" i="1"/>
  <c r="B368" i="1"/>
  <c r="B75" i="1"/>
  <c r="B751" i="1"/>
  <c r="B32" i="1"/>
  <c r="B334" i="1"/>
  <c r="A283" i="1"/>
  <c r="A127" i="1"/>
  <c r="A679" i="1"/>
  <c r="A374" i="1"/>
  <c r="A859" i="1"/>
  <c r="B390" i="1"/>
  <c r="B138" i="1"/>
  <c r="B875" i="1"/>
  <c r="B407" i="1"/>
  <c r="B59" i="1"/>
  <c r="A235" i="1"/>
  <c r="A356" i="1"/>
  <c r="A101" i="1"/>
  <c r="B849" i="1"/>
  <c r="B370" i="1"/>
  <c r="B26" i="1"/>
  <c r="B204" i="1"/>
  <c r="A165" i="1"/>
  <c r="A4312" i="4"/>
  <c r="B2876" i="4"/>
  <c r="B2400" i="4"/>
  <c r="A1999" i="4"/>
  <c r="A1619" i="4"/>
  <c r="A1295" i="4"/>
  <c r="B943" i="4"/>
  <c r="B720" i="4"/>
  <c r="A490" i="4"/>
  <c r="B314" i="4"/>
  <c r="A191" i="4"/>
  <c r="B104" i="4"/>
  <c r="A17" i="4"/>
  <c r="B3009" i="3"/>
  <c r="B2934" i="3"/>
  <c r="B2879" i="3"/>
  <c r="B2808" i="3"/>
  <c r="B2749" i="3"/>
  <c r="B2686" i="3"/>
  <c r="B2625" i="3"/>
  <c r="B2564" i="3"/>
  <c r="A2499" i="3"/>
  <c r="B2449" i="3"/>
  <c r="A2390" i="3"/>
  <c r="A2337" i="3"/>
  <c r="A2280" i="3"/>
  <c r="B2222" i="3"/>
  <c r="B2166" i="3"/>
  <c r="B2108" i="3"/>
  <c r="A2062" i="3"/>
  <c r="B2006" i="3"/>
  <c r="A1964" i="3"/>
  <c r="A1911" i="3"/>
  <c r="A1862" i="3"/>
  <c r="A1813" i="3"/>
  <c r="B1759" i="3"/>
  <c r="B1718" i="3"/>
  <c r="A1676" i="3"/>
  <c r="A1632" i="3"/>
  <c r="B1587" i="3"/>
  <c r="B1543" i="3"/>
  <c r="B1500" i="3"/>
  <c r="A1454" i="3"/>
  <c r="A1414" i="3"/>
  <c r="A1375" i="3"/>
  <c r="B1335" i="3"/>
  <c r="A1297" i="3"/>
  <c r="B1261" i="3"/>
  <c r="B1227" i="3"/>
  <c r="B1197" i="3"/>
  <c r="A1171" i="3"/>
  <c r="B1141" i="3"/>
  <c r="B1112" i="3"/>
  <c r="B1082" i="3"/>
  <c r="B1053" i="3"/>
  <c r="A1022" i="3"/>
  <c r="B992" i="3"/>
  <c r="A966" i="3"/>
  <c r="B936" i="3"/>
  <c r="A907" i="3"/>
  <c r="B882" i="3"/>
  <c r="A856" i="3"/>
  <c r="A830" i="3"/>
  <c r="B805" i="3"/>
  <c r="A780" i="3"/>
  <c r="A753" i="3"/>
  <c r="B728" i="3"/>
  <c r="A703" i="3"/>
  <c r="B675" i="3"/>
  <c r="A651" i="3"/>
  <c r="A626" i="3"/>
  <c r="B600" i="3"/>
  <c r="A574" i="3"/>
  <c r="B549" i="3"/>
  <c r="A526" i="3"/>
  <c r="B504" i="3"/>
  <c r="B481" i="3"/>
  <c r="B435" i="3"/>
  <c r="B414" i="3"/>
  <c r="B387" i="3"/>
  <c r="B368" i="3"/>
  <c r="A345" i="3"/>
  <c r="A321" i="3"/>
  <c r="A300" i="3"/>
  <c r="B276" i="3"/>
  <c r="A255" i="3"/>
  <c r="B236" i="3"/>
  <c r="A216" i="3"/>
  <c r="B193" i="3"/>
  <c r="A176" i="3"/>
  <c r="A158" i="3"/>
  <c r="B140" i="3"/>
  <c r="A122" i="3"/>
  <c r="A100" i="3"/>
  <c r="A83" i="3"/>
  <c r="A48" i="3"/>
  <c r="A30" i="3"/>
  <c r="B8" i="3"/>
  <c r="B4441" i="2"/>
  <c r="A4423" i="2"/>
  <c r="A4406" i="2"/>
  <c r="B4386" i="2"/>
  <c r="B4349" i="2"/>
  <c r="B4331" i="2"/>
  <c r="A4314" i="2"/>
  <c r="B4273" i="2"/>
  <c r="A4256" i="2"/>
  <c r="A4221" i="2"/>
  <c r="B4182" i="2"/>
  <c r="A4147" i="2"/>
  <c r="B4110" i="2"/>
  <c r="A4073" i="2"/>
  <c r="A4038" i="2"/>
  <c r="A3997" i="2"/>
  <c r="B3961" i="2"/>
  <c r="A3926" i="2"/>
  <c r="B3888" i="2"/>
  <c r="B3870" i="2"/>
  <c r="A3834" i="2"/>
  <c r="B3796" i="2"/>
  <c r="A3761" i="2"/>
  <c r="A3721" i="2"/>
  <c r="B3685" i="2"/>
  <c r="A3650" i="2"/>
  <c r="A3612" i="2"/>
  <c r="A3580" i="2"/>
  <c r="B4411" i="4"/>
  <c r="B3562" i="4"/>
  <c r="A2921" i="4"/>
  <c r="B2476" i="4"/>
  <c r="B2031" i="4"/>
  <c r="B1663" i="4"/>
  <c r="A1300" i="4"/>
  <c r="B998" i="4"/>
  <c r="B742" i="4"/>
  <c r="B518" i="4"/>
  <c r="B322" i="4"/>
  <c r="A204" i="4"/>
  <c r="B117" i="4"/>
  <c r="A30" i="4"/>
  <c r="A3019" i="3"/>
  <c r="A2952" i="3"/>
  <c r="A2880" i="3"/>
  <c r="A2809" i="3"/>
  <c r="A2750" i="3"/>
  <c r="A2697" i="3"/>
  <c r="A2634" i="3"/>
  <c r="A2573" i="3"/>
  <c r="A2514" i="3"/>
  <c r="B2451" i="3"/>
  <c r="B2390" i="3"/>
  <c r="B2340" i="3"/>
  <c r="A2289" i="3"/>
  <c r="A2232" i="3"/>
  <c r="A2174" i="3"/>
  <c r="A2121" i="3"/>
  <c r="A2064" i="3"/>
  <c r="A2012" i="3"/>
  <c r="B1964" i="3"/>
  <c r="A1918" i="3"/>
  <c r="B1868" i="3"/>
  <c r="A1815" i="3"/>
  <c r="B1772" i="3"/>
  <c r="A1724" i="3"/>
  <c r="B1676" i="3"/>
  <c r="B1632" i="3"/>
  <c r="B1596" i="3"/>
  <c r="A1545" i="3"/>
  <c r="B1502" i="3"/>
  <c r="B1460" i="3"/>
  <c r="A1416" i="3"/>
  <c r="B1375" i="3"/>
  <c r="A1336" i="3"/>
  <c r="A1302" i="3"/>
  <c r="B1263" i="3"/>
  <c r="A1233" i="3"/>
  <c r="B1202" i="3"/>
  <c r="A1172" i="3"/>
  <c r="A1142" i="3"/>
  <c r="A1113" i="3"/>
  <c r="A1087" i="3"/>
  <c r="A1054" i="3"/>
  <c r="A1027" i="3"/>
  <c r="A998" i="3"/>
  <c r="A968" i="3"/>
  <c r="A937" i="3"/>
  <c r="B907" i="3"/>
  <c r="A883" i="3"/>
  <c r="A858" i="3"/>
  <c r="B830" i="3"/>
  <c r="A806" i="3"/>
  <c r="B780" i="3"/>
  <c r="B753" i="3"/>
  <c r="A729" i="3"/>
  <c r="A704" i="3"/>
  <c r="A678" i="3"/>
  <c r="B651" i="3"/>
  <c r="B626" i="3"/>
  <c r="A601" i="3"/>
  <c r="B576" i="3"/>
  <c r="B552" i="3"/>
  <c r="B528" i="3"/>
  <c r="A505" i="3"/>
  <c r="A483" i="3"/>
  <c r="A459" i="3"/>
  <c r="A438" i="3"/>
  <c r="A415" i="3"/>
  <c r="A390" i="3"/>
  <c r="A369" i="3"/>
  <c r="A348" i="3"/>
  <c r="B321" i="3"/>
  <c r="B300" i="3"/>
  <c r="B279" i="3"/>
  <c r="B255" i="3"/>
  <c r="A237" i="3"/>
  <c r="B216" i="3"/>
  <c r="A194" i="3"/>
  <c r="B176" i="3"/>
  <c r="B158" i="3"/>
  <c r="A141" i="3"/>
  <c r="A123" i="3"/>
  <c r="A101" i="3"/>
  <c r="A84" i="3"/>
  <c r="A66" i="3"/>
  <c r="A49" i="3"/>
  <c r="B30" i="3"/>
  <c r="A9" i="3"/>
  <c r="A4442" i="2"/>
  <c r="A4424" i="2"/>
  <c r="A4407" i="2"/>
  <c r="A4389" i="2"/>
  <c r="B4367" i="2"/>
  <c r="A4350" i="2"/>
  <c r="A4332" i="2"/>
  <c r="B4314" i="2"/>
  <c r="A4297" i="2"/>
  <c r="A4274" i="2"/>
  <c r="A4257" i="2"/>
  <c r="A4240" i="2"/>
  <c r="A4222" i="2"/>
  <c r="B4204" i="2"/>
  <c r="A4183" i="2"/>
  <c r="B4165" i="2"/>
  <c r="B4147" i="2"/>
  <c r="A4130" i="2"/>
  <c r="A4112" i="2"/>
  <c r="A4091" i="2"/>
  <c r="A4074" i="2"/>
  <c r="B4055" i="2"/>
  <c r="B4038" i="2"/>
  <c r="A4020" i="2"/>
  <c r="B3997" i="2"/>
  <c r="A3981" i="2"/>
  <c r="A3962" i="2"/>
  <c r="A3946" i="2"/>
  <c r="A3928" i="2"/>
  <c r="B3906" i="2"/>
  <c r="A3889" i="2"/>
  <c r="A3871" i="2"/>
  <c r="B3853" i="2"/>
  <c r="A3836" i="2"/>
  <c r="A3815" i="2"/>
  <c r="A3797" i="2"/>
  <c r="B3779" i="2"/>
  <c r="A3762" i="2"/>
  <c r="A3744" i="2"/>
  <c r="B3721" i="2"/>
  <c r="A3704" i="2"/>
  <c r="A3686" i="2"/>
  <c r="A3669" i="2"/>
  <c r="A3651" i="2"/>
  <c r="A3630" i="2"/>
  <c r="A3613" i="2"/>
  <c r="A3596" i="2"/>
  <c r="B3580" i="2"/>
  <c r="A3564" i="2"/>
  <c r="B3544" i="2"/>
  <c r="B3528" i="2"/>
  <c r="A3512" i="2"/>
  <c r="A3497" i="2"/>
  <c r="A3480" i="2"/>
  <c r="B3460" i="2"/>
  <c r="A3444" i="2"/>
  <c r="B3427" i="2"/>
  <c r="B3412" i="2"/>
  <c r="A3396" i="2"/>
  <c r="A3377" i="2"/>
  <c r="A3361" i="2"/>
  <c r="A3345" i="2"/>
  <c r="A3329" i="2"/>
  <c r="B3312" i="2"/>
  <c r="A3293" i="2"/>
  <c r="A3277" i="2"/>
  <c r="A3261" i="2"/>
  <c r="B3245" i="2"/>
  <c r="A3229" i="2"/>
  <c r="A3209" i="2"/>
  <c r="A3193" i="2"/>
  <c r="A3176" i="2"/>
  <c r="A3161" i="2"/>
  <c r="B3144" i="2"/>
  <c r="B3125" i="2"/>
  <c r="B3109" i="2"/>
  <c r="A3094" i="2"/>
  <c r="A3078" i="2"/>
  <c r="A3061" i="2"/>
  <c r="A3042" i="2"/>
  <c r="B3025" i="2"/>
  <c r="A3010" i="2"/>
  <c r="A2994" i="2"/>
  <c r="B2977" i="2"/>
  <c r="B2957" i="2"/>
  <c r="B2941" i="2"/>
  <c r="A2925" i="2"/>
  <c r="B2909" i="2"/>
  <c r="A2893" i="2"/>
  <c r="A2874" i="2"/>
  <c r="A2858" i="2"/>
  <c r="B2842" i="2"/>
  <c r="B2826" i="2"/>
  <c r="B2809" i="2"/>
  <c r="B2790" i="2"/>
  <c r="A2774" i="2"/>
  <c r="B2758" i="2"/>
  <c r="B2742" i="2"/>
  <c r="A2726" i="2"/>
  <c r="A2706" i="2"/>
  <c r="A2690" i="2"/>
  <c r="A2674" i="2"/>
  <c r="A2658" i="2"/>
  <c r="B2641" i="2"/>
  <c r="B2622" i="2"/>
  <c r="A2607" i="2"/>
  <c r="A2591" i="2"/>
  <c r="B2576" i="2"/>
  <c r="B2562" i="2"/>
  <c r="B2546" i="2"/>
  <c r="B2533" i="2"/>
  <c r="B2519" i="2"/>
  <c r="B2506" i="2"/>
  <c r="A2493" i="2"/>
  <c r="A2476" i="2"/>
  <c r="A2463" i="2"/>
  <c r="B2449" i="2"/>
  <c r="A2436" i="2"/>
  <c r="B2422" i="2"/>
  <c r="B2406" i="2"/>
  <c r="B2393" i="2"/>
  <c r="A2380" i="2"/>
  <c r="A2367" i="2"/>
  <c r="B2353" i="2"/>
  <c r="A2337" i="2"/>
  <c r="A2324" i="2"/>
  <c r="A2310" i="2"/>
  <c r="A2297" i="2"/>
  <c r="B2283" i="2"/>
  <c r="B2266" i="2"/>
  <c r="B2253" i="2"/>
  <c r="A2240" i="2"/>
  <c r="B2226" i="2"/>
  <c r="A2213" i="2"/>
  <c r="B2197" i="2"/>
  <c r="A2184" i="2"/>
  <c r="B2170" i="2"/>
  <c r="B2157" i="2"/>
  <c r="A2144" i="2"/>
  <c r="B2127" i="2"/>
  <c r="B2114" i="2"/>
  <c r="B2100" i="2"/>
  <c r="B2087" i="2"/>
  <c r="A2074" i="2"/>
  <c r="A2057" i="2"/>
  <c r="A2044" i="2"/>
  <c r="B2030" i="2"/>
  <c r="B2017" i="2"/>
  <c r="B2003" i="2"/>
  <c r="A1988" i="2"/>
  <c r="B1974" i="2"/>
  <c r="A1961" i="2"/>
  <c r="A1948" i="2"/>
  <c r="B1934" i="2"/>
  <c r="A1918" i="2"/>
  <c r="A1905" i="2"/>
  <c r="B1891" i="2"/>
  <c r="A1878" i="2"/>
  <c r="B1864" i="2"/>
  <c r="B1847" i="2"/>
  <c r="B1834" i="2"/>
  <c r="A1821" i="2"/>
  <c r="A1808" i="2"/>
  <c r="A1794" i="2"/>
  <c r="B1778" i="2"/>
  <c r="B1765" i="2"/>
  <c r="B1751" i="2"/>
  <c r="B1738" i="2"/>
  <c r="A1725" i="2"/>
  <c r="B1708" i="2"/>
  <c r="B1695" i="2"/>
  <c r="A1682" i="2"/>
  <c r="B1668" i="2"/>
  <c r="A1655" i="2"/>
  <c r="A1638" i="2"/>
  <c r="A1625" i="2"/>
  <c r="B1611" i="2"/>
  <c r="B1598" i="2"/>
  <c r="B1584" i="2"/>
  <c r="A1569" i="2"/>
  <c r="A1556" i="2"/>
  <c r="A1542" i="2"/>
  <c r="A1529" i="2"/>
  <c r="B1515" i="2"/>
  <c r="A1499" i="2"/>
  <c r="A1486" i="2"/>
  <c r="B1472" i="2"/>
  <c r="B1460" i="2"/>
  <c r="A1448" i="2"/>
  <c r="B1433" i="2"/>
  <c r="B1421" i="2"/>
  <c r="A1409" i="2"/>
  <c r="B1397" i="2"/>
  <c r="A1385" i="2"/>
  <c r="B1370" i="2"/>
  <c r="A1359" i="2"/>
  <c r="B1346" i="2"/>
  <c r="A1335" i="2"/>
  <c r="B1322" i="2"/>
  <c r="A1308" i="2"/>
  <c r="A1296" i="2"/>
  <c r="B1283" i="2"/>
  <c r="B1271" i="2"/>
  <c r="A1259" i="2"/>
  <c r="A1245" i="2"/>
  <c r="A1233" i="2"/>
  <c r="A1221" i="2"/>
  <c r="A1209" i="2"/>
  <c r="A1197" i="2"/>
  <c r="A1182" i="2"/>
  <c r="B1170" i="2"/>
  <c r="A1158" i="2"/>
  <c r="A1146" i="2"/>
  <c r="B1133" i="2"/>
  <c r="B1119" i="2"/>
  <c r="B1107" i="2"/>
  <c r="A1095" i="2"/>
  <c r="B1083" i="2"/>
  <c r="A1071" i="2"/>
  <c r="A1056" i="2"/>
  <c r="B1044" i="2"/>
  <c r="A1032" i="2"/>
  <c r="B1020" i="2"/>
  <c r="A1008" i="2"/>
  <c r="A994" i="2"/>
  <c r="A982" i="2"/>
  <c r="B969" i="2"/>
  <c r="B957" i="2"/>
  <c r="A945" i="2"/>
  <c r="B930" i="2"/>
  <c r="B918" i="2"/>
  <c r="B906" i="2"/>
  <c r="B894" i="2"/>
  <c r="B882" i="2"/>
  <c r="A868" i="2"/>
  <c r="B856" i="2"/>
  <c r="A844" i="2"/>
  <c r="A832" i="2"/>
  <c r="B819" i="2"/>
  <c r="B805" i="2"/>
  <c r="B793" i="2"/>
  <c r="B780" i="2"/>
  <c r="B769" i="2"/>
  <c r="B756" i="2"/>
  <c r="A742" i="2"/>
  <c r="B730" i="2"/>
  <c r="A718" i="2"/>
  <c r="B706" i="2"/>
  <c r="A694" i="2"/>
  <c r="A680" i="2"/>
  <c r="A668" i="2"/>
  <c r="B655" i="2"/>
  <c r="B643" i="2"/>
  <c r="B631" i="2"/>
  <c r="A618" i="2"/>
  <c r="A608" i="2"/>
  <c r="B596" i="2"/>
  <c r="B585" i="2"/>
  <c r="A574" i="2"/>
  <c r="A561" i="2"/>
  <c r="B550" i="2"/>
  <c r="A539" i="2"/>
  <c r="A528" i="2"/>
  <c r="B517" i="2"/>
  <c r="A504" i="2"/>
  <c r="B493" i="2"/>
  <c r="A482" i="2"/>
  <c r="B471" i="2"/>
  <c r="A460" i="2"/>
  <c r="A447" i="2"/>
  <c r="A436" i="2"/>
  <c r="A425" i="2"/>
  <c r="A414" i="2"/>
  <c r="B402" i="2"/>
  <c r="B389" i="2"/>
  <c r="B379" i="2"/>
  <c r="A368" i="2"/>
  <c r="A357" i="2"/>
  <c r="A346" i="2"/>
  <c r="A333" i="2"/>
  <c r="A322" i="2"/>
  <c r="B310" i="2"/>
  <c r="A300" i="2"/>
  <c r="B288" i="2"/>
  <c r="B276" i="2"/>
  <c r="B266" i="2"/>
  <c r="A256" i="2"/>
  <c r="B246" i="2"/>
  <c r="A236" i="2"/>
  <c r="A224" i="2"/>
  <c r="A214" i="2"/>
  <c r="A204" i="2"/>
  <c r="A194" i="2"/>
  <c r="B183" i="2"/>
  <c r="B171" i="2"/>
  <c r="A162" i="2"/>
  <c r="B151" i="2"/>
  <c r="B141" i="2"/>
  <c r="B131" i="2"/>
  <c r="B119" i="2"/>
  <c r="B109" i="2"/>
  <c r="A99" i="2"/>
  <c r="B89" i="2"/>
  <c r="A79" i="2"/>
  <c r="A67" i="2"/>
  <c r="A57" i="2"/>
  <c r="A47" i="2"/>
  <c r="A37" i="2"/>
  <c r="B26" i="2"/>
  <c r="B14" i="2"/>
  <c r="A5" i="2"/>
  <c r="A2052" i="1"/>
  <c r="B2053" i="1"/>
  <c r="A2065" i="1"/>
  <c r="B2048" i="1"/>
  <c r="A2066" i="1"/>
  <c r="B2061" i="1"/>
  <c r="A2037" i="1"/>
  <c r="B1895" i="1"/>
  <c r="B1751" i="1"/>
  <c r="B1631" i="1"/>
  <c r="B2056" i="1"/>
  <c r="A1913" i="1"/>
  <c r="A1787" i="1"/>
  <c r="A1643" i="1"/>
  <c r="A2032" i="1"/>
  <c r="B1890" i="1"/>
  <c r="B1770" i="1"/>
  <c r="B1644" i="1"/>
  <c r="B2039" i="1"/>
  <c r="A1914" i="1"/>
  <c r="A1788" i="1"/>
  <c r="A1668" i="1"/>
  <c r="A1548" i="1"/>
  <c r="B1933" i="1"/>
  <c r="B1813" i="1"/>
  <c r="B1687" i="1"/>
  <c r="B1573" i="1"/>
  <c r="A1927" i="1"/>
  <c r="A1783" i="1"/>
  <c r="A1663" i="1"/>
  <c r="A2103" i="1"/>
  <c r="B1832" i="1"/>
  <c r="B1580" i="1"/>
  <c r="A1417" i="1"/>
  <c r="A1297" i="1"/>
  <c r="A1952" i="1"/>
  <c r="A1724" i="1"/>
  <c r="B1526" i="1"/>
  <c r="B1418" i="1"/>
  <c r="B1292" i="1"/>
  <c r="B1959" i="1"/>
  <c r="B1695" i="1"/>
  <c r="A1526" i="1"/>
  <c r="A1412" i="1"/>
  <c r="A1292" i="1"/>
  <c r="A1923" i="1"/>
  <c r="A1695" i="1"/>
  <c r="B1515" i="1"/>
  <c r="B1407" i="1"/>
  <c r="B1311" i="1"/>
  <c r="B1906" i="1"/>
  <c r="B1714" i="1"/>
  <c r="A1509" i="1"/>
  <c r="A1413" i="1"/>
  <c r="A1311" i="1"/>
  <c r="A1930" i="1"/>
  <c r="A1726" i="1"/>
  <c r="B1534" i="1"/>
  <c r="B1432" i="1"/>
  <c r="B1324" i="1"/>
  <c r="B1862" i="1"/>
  <c r="A1474" i="1"/>
  <c r="A1282" i="1"/>
  <c r="B1152" i="1"/>
  <c r="B1056" i="1"/>
  <c r="A1886" i="1"/>
  <c r="B1505" i="1"/>
  <c r="B1325" i="1"/>
  <c r="A1194" i="1"/>
  <c r="A1092" i="1"/>
  <c r="A1002" i="1"/>
  <c r="B1785" i="1"/>
  <c r="A1857" i="1"/>
  <c r="B1536" i="1"/>
  <c r="B1344" i="1"/>
  <c r="A1201" i="1"/>
  <c r="A1111" i="1"/>
  <c r="A1015" i="1"/>
  <c r="B1828" i="1"/>
  <c r="A1524" i="1"/>
  <c r="A1332" i="1"/>
  <c r="B1190" i="1"/>
  <c r="B1100" i="1"/>
  <c r="B1004" i="1"/>
  <c r="A1756" i="1"/>
  <c r="B1471" i="1"/>
  <c r="B1279" i="1"/>
  <c r="A1172" i="1"/>
  <c r="A1082" i="1"/>
  <c r="A986" i="1"/>
  <c r="A1543" i="1"/>
  <c r="B1888" i="1"/>
  <c r="A1360" i="1"/>
  <c r="A1792" i="1"/>
  <c r="A1372" i="1"/>
  <c r="B1864" i="1"/>
  <c r="B1391" i="1"/>
  <c r="A1624" i="1"/>
  <c r="A2038" i="1"/>
  <c r="B1263" i="1"/>
  <c r="A1109" i="1"/>
  <c r="A951" i="1"/>
  <c r="A1682" i="1"/>
  <c r="B1180" i="1"/>
  <c r="B1005" i="1"/>
  <c r="A1730" i="1"/>
  <c r="A1149" i="1"/>
  <c r="A987" i="1"/>
  <c r="A861" i="1"/>
  <c r="B1237" i="1"/>
  <c r="B1072" i="1"/>
  <c r="B930" i="1"/>
  <c r="B2038" i="1"/>
  <c r="B1283" i="1"/>
  <c r="B1111" i="1"/>
  <c r="A959" i="1"/>
  <c r="B1161" i="1"/>
  <c r="B892" i="1"/>
  <c r="B777" i="1"/>
  <c r="B681" i="1"/>
  <c r="B579" i="1"/>
  <c r="B489" i="1"/>
  <c r="A1193" i="1"/>
  <c r="B945" i="1"/>
  <c r="A825" i="1"/>
  <c r="A729" i="1"/>
  <c r="A627" i="1"/>
  <c r="A537" i="1"/>
  <c r="A1518" i="1"/>
  <c r="B1090" i="1"/>
  <c r="A919" i="1"/>
  <c r="B820" i="1"/>
  <c r="B718" i="1"/>
  <c r="B628" i="1"/>
  <c r="B532" i="1"/>
  <c r="B1167" i="1"/>
  <c r="A928" i="1"/>
  <c r="B827" i="1"/>
  <c r="B725" i="1"/>
  <c r="B635" i="1"/>
  <c r="B539" i="1"/>
  <c r="B1192" i="1"/>
  <c r="A863" i="1"/>
  <c r="A700" i="1"/>
  <c r="B547" i="1"/>
  <c r="A436" i="1"/>
  <c r="A1007" i="1"/>
  <c r="B822" i="1"/>
  <c r="B680" i="1"/>
  <c r="B536" i="1"/>
  <c r="A419" i="1"/>
  <c r="A329" i="1"/>
  <c r="B1439" i="1"/>
  <c r="B860" i="1"/>
  <c r="A712" i="1"/>
  <c r="A568" i="1"/>
  <c r="A444" i="1"/>
  <c r="A354" i="1"/>
  <c r="A1576" i="1"/>
  <c r="B982" i="1"/>
  <c r="A793" i="1"/>
  <c r="A649" i="1"/>
  <c r="A511" i="1"/>
  <c r="B403" i="1"/>
  <c r="B307" i="1"/>
  <c r="B1029" i="1"/>
  <c r="A857" i="1"/>
  <c r="B702" i="1"/>
  <c r="B542" i="1"/>
  <c r="A447" i="1"/>
  <c r="A351" i="1"/>
  <c r="B1025" i="1"/>
  <c r="A761" i="1"/>
  <c r="B506" i="1"/>
  <c r="B346" i="1"/>
  <c r="B236" i="1"/>
  <c r="B140" i="1"/>
  <c r="B38" i="1"/>
  <c r="A835" i="1"/>
  <c r="A588" i="1"/>
  <c r="B362" i="1"/>
  <c r="A248" i="1"/>
  <c r="A152" i="1"/>
  <c r="B1157" i="1"/>
  <c r="B800" i="1"/>
  <c r="A572" i="1"/>
  <c r="B358" i="1"/>
  <c r="B250" i="1"/>
  <c r="B154" i="1"/>
  <c r="B52" i="1"/>
  <c r="A840" i="1"/>
  <c r="A584" i="1"/>
  <c r="A394" i="1"/>
  <c r="A262" i="1"/>
  <c r="A166" i="1"/>
  <c r="B1343" i="1"/>
  <c r="B863" i="1"/>
  <c r="A598" i="1"/>
  <c r="A404" i="1"/>
  <c r="B271" i="1"/>
  <c r="B175" i="1"/>
  <c r="B73" i="1"/>
  <c r="A608" i="1"/>
  <c r="B311" i="1"/>
  <c r="A96" i="1"/>
  <c r="A937" i="1"/>
  <c r="A470" i="1"/>
  <c r="B221" i="1"/>
  <c r="B81" i="1"/>
  <c r="B991" i="1"/>
  <c r="B607" i="1"/>
  <c r="B357" i="1"/>
  <c r="A149" i="1"/>
  <c r="A9" i="1"/>
  <c r="B458" i="1"/>
  <c r="A86" i="1"/>
  <c r="B1309" i="1"/>
  <c r="A654" i="1"/>
  <c r="B366" i="1"/>
  <c r="A186" i="1"/>
  <c r="B28" i="1"/>
  <c r="B643" i="1"/>
  <c r="A120" i="1"/>
  <c r="B1653" i="1"/>
  <c r="B491" i="1"/>
  <c r="B263" i="1"/>
  <c r="B119" i="1"/>
  <c r="A18" i="1"/>
  <c r="A439" i="1"/>
  <c r="A87" i="1"/>
  <c r="A853" i="1"/>
  <c r="A620" i="1"/>
  <c r="B315" i="1"/>
  <c r="A187" i="1"/>
  <c r="A45" i="1"/>
  <c r="A398" i="1"/>
  <c r="A121" i="1"/>
  <c r="A674" i="1"/>
  <c r="A67" i="1"/>
  <c r="B294" i="1"/>
  <c r="B84" i="1"/>
  <c r="A529" i="1"/>
  <c r="B14" i="1"/>
  <c r="B297" i="1"/>
  <c r="B276" i="1"/>
  <c r="B2" i="1"/>
  <c r="A479" i="1"/>
  <c r="B300" i="1"/>
  <c r="A836" i="1"/>
  <c r="B316" i="1"/>
  <c r="A3460" i="4"/>
  <c r="B458" i="3"/>
  <c r="A65" i="3"/>
  <c r="A4367" i="2"/>
  <c r="B4295" i="2"/>
  <c r="A4238" i="2"/>
  <c r="A4204" i="2"/>
  <c r="A4165" i="2"/>
  <c r="B4129" i="2"/>
  <c r="B4090" i="2"/>
  <c r="A4055" i="2"/>
  <c r="A4019" i="2"/>
  <c r="A3980" i="2"/>
  <c r="A3945" i="2"/>
  <c r="A3906" i="2"/>
  <c r="A3853" i="2"/>
  <c r="A3814" i="2"/>
  <c r="A3779" i="2"/>
  <c r="A3743" i="2"/>
  <c r="A3703" i="2"/>
  <c r="A3668" i="2"/>
  <c r="B3629" i="2"/>
  <c r="A3595" i="2"/>
  <c r="B3562" i="2"/>
  <c r="B4095" i="4"/>
  <c r="A3280" i="4"/>
  <c r="B2729" i="4"/>
  <c r="B2292" i="4"/>
  <c r="B1901" i="4"/>
  <c r="B1516" i="4"/>
  <c r="B1183" i="4"/>
  <c r="A889" i="4"/>
  <c r="B647" i="4"/>
  <c r="A432" i="4"/>
  <c r="B270" i="4"/>
  <c r="B167" i="4"/>
  <c r="B73" i="4"/>
  <c r="B3064" i="3"/>
  <c r="A2987" i="3"/>
  <c r="B2917" i="3"/>
  <c r="B2846" i="3"/>
  <c r="A2783" i="3"/>
  <c r="B2731" i="3"/>
  <c r="B2665" i="3"/>
  <c r="B2607" i="3"/>
  <c r="B2546" i="3"/>
  <c r="A2486" i="3"/>
  <c r="B2424" i="3"/>
  <c r="B2366" i="3"/>
  <c r="A2319" i="3"/>
  <c r="A2260" i="3"/>
  <c r="A2208" i="3"/>
  <c r="A2150" i="3"/>
  <c r="B2094" i="3"/>
  <c r="B2041" i="3"/>
  <c r="A1990" i="3"/>
  <c r="B1947" i="3"/>
  <c r="B1892" i="3"/>
  <c r="A1848" i="3"/>
  <c r="B1797" i="3"/>
  <c r="B1748" i="3"/>
  <c r="B1701" i="3"/>
  <c r="B1659" i="3"/>
  <c r="B1620" i="3"/>
  <c r="B1573" i="3"/>
  <c r="A1527" i="3"/>
  <c r="A1486" i="3"/>
  <c r="B1441" i="3"/>
  <c r="A1398" i="3"/>
  <c r="A1360" i="3"/>
  <c r="A1324" i="3"/>
  <c r="B1285" i="3"/>
  <c r="A1251" i="3"/>
  <c r="A1220" i="3"/>
  <c r="A1190" i="3"/>
  <c r="A1158" i="3"/>
  <c r="B1130" i="3"/>
  <c r="B1104" i="3"/>
  <c r="A1074" i="3"/>
  <c r="B1041" i="3"/>
  <c r="A1016" i="3"/>
  <c r="A985" i="3"/>
  <c r="A954" i="3"/>
  <c r="B925" i="3"/>
  <c r="B897" i="3"/>
  <c r="A873" i="3"/>
  <c r="A848" i="3"/>
  <c r="A822" i="3"/>
  <c r="B795" i="3"/>
  <c r="B770" i="3"/>
  <c r="A745" i="3"/>
  <c r="B720" i="3"/>
  <c r="B693" i="3"/>
  <c r="B667" i="3"/>
  <c r="A643" i="3"/>
  <c r="A618" i="3"/>
  <c r="B590" i="3"/>
  <c r="A566" i="3"/>
  <c r="B541" i="3"/>
  <c r="B519" i="3"/>
  <c r="B498" i="3"/>
  <c r="A474" i="3"/>
  <c r="A452" i="3"/>
  <c r="B427" i="3"/>
  <c r="A404" i="3"/>
  <c r="B384" i="3"/>
  <c r="A361" i="3"/>
  <c r="B337" i="3"/>
  <c r="B314" i="3"/>
  <c r="B291" i="3"/>
  <c r="A268" i="3"/>
  <c r="A250" i="3"/>
  <c r="A229" i="3"/>
  <c r="A207" i="3"/>
  <c r="B187" i="3"/>
  <c r="B169" i="3"/>
  <c r="A152" i="3"/>
  <c r="A133" i="3"/>
  <c r="A114" i="3"/>
  <c r="A96" i="3"/>
  <c r="B78" i="3"/>
  <c r="A61" i="3"/>
  <c r="B39" i="3"/>
  <c r="A21" i="3"/>
  <c r="B3" i="3"/>
  <c r="B4435" i="2"/>
  <c r="A4418" i="2"/>
  <c r="B4398" i="2"/>
  <c r="B4378" i="2"/>
  <c r="A4361" i="2"/>
  <c r="A4343" i="2"/>
  <c r="A4326" i="2"/>
  <c r="B4306" i="2"/>
  <c r="A4286" i="2"/>
  <c r="A4270" i="2"/>
  <c r="A4252" i="2"/>
  <c r="B4234" i="2"/>
  <c r="A4213" i="2"/>
  <c r="B4194" i="2"/>
  <c r="A4177" i="2"/>
  <c r="A4159" i="2"/>
  <c r="B4141" i="2"/>
  <c r="A4122" i="2"/>
  <c r="A4102" i="2"/>
  <c r="B4084" i="2"/>
  <c r="A4067" i="2"/>
  <c r="A4049" i="2"/>
  <c r="A4030" i="2"/>
  <c r="A4010" i="2"/>
  <c r="A3993" i="2"/>
  <c r="A3975" i="2"/>
  <c r="A3958" i="2"/>
  <c r="A3937" i="2"/>
  <c r="A3918" i="2"/>
  <c r="A3901" i="2"/>
  <c r="B3882" i="2"/>
  <c r="B3865" i="2"/>
  <c r="B3845" i="2"/>
  <c r="A3825" i="2"/>
  <c r="B3808" i="2"/>
  <c r="A3790" i="2"/>
  <c r="A3773" i="2"/>
  <c r="A3753" i="2"/>
  <c r="B3733" i="2"/>
  <c r="A3716" i="2"/>
  <c r="A3698" i="2"/>
  <c r="A3681" i="2"/>
  <c r="A3660" i="2"/>
  <c r="A3642" i="2"/>
  <c r="A3624" i="2"/>
  <c r="B3606" i="2"/>
  <c r="A3591" i="2"/>
  <c r="A3572" i="2"/>
  <c r="A3554" i="2"/>
  <c r="A3539" i="2"/>
  <c r="A3522" i="2"/>
  <c r="A3506" i="2"/>
  <c r="A3489" i="2"/>
  <c r="A3471" i="2"/>
  <c r="B3455" i="2"/>
  <c r="A3439" i="2"/>
  <c r="A3424" i="2"/>
  <c r="A3404" i="2"/>
  <c r="A3388" i="2"/>
  <c r="B3371" i="2"/>
  <c r="A3355" i="2"/>
  <c r="A3340" i="2"/>
  <c r="A3321" i="2"/>
  <c r="A3303" i="2"/>
  <c r="B3287" i="2"/>
  <c r="B3270" i="2"/>
  <c r="A3255" i="2"/>
  <c r="A3238" i="2"/>
  <c r="A3220" i="2"/>
  <c r="A3204" i="2"/>
  <c r="B3187" i="2"/>
  <c r="B3172" i="2"/>
  <c r="A3153" i="2"/>
  <c r="B3136" i="2"/>
  <c r="A3120" i="2"/>
  <c r="B3103" i="2"/>
  <c r="B3088" i="2"/>
  <c r="A3070" i="2"/>
  <c r="A3052" i="2"/>
  <c r="A3036" i="2"/>
  <c r="A3019" i="2"/>
  <c r="A3004" i="2"/>
  <c r="B2986" i="2"/>
  <c r="B2968" i="2"/>
  <c r="B2952" i="2"/>
  <c r="A2936" i="2"/>
  <c r="A2921" i="2"/>
  <c r="A2902" i="2"/>
  <c r="A2885" i="2"/>
  <c r="A2869" i="2"/>
  <c r="A2852" i="2"/>
  <c r="A2837" i="2"/>
  <c r="A2819" i="2"/>
  <c r="B2800" i="2"/>
  <c r="B2784" i="2"/>
  <c r="A2768" i="2"/>
  <c r="B2752" i="2"/>
  <c r="A2735" i="2"/>
  <c r="A2717" i="2"/>
  <c r="A2701" i="2"/>
  <c r="A2685" i="2"/>
  <c r="B2669" i="2"/>
  <c r="B2650" i="2"/>
  <c r="B2633" i="2"/>
  <c r="B2617" i="2"/>
  <c r="A2601" i="2"/>
  <c r="B2585" i="2"/>
  <c r="A2570" i="2"/>
  <c r="B2554" i="2"/>
  <c r="B2541" i="2"/>
  <c r="A2528" i="2"/>
  <c r="B2514" i="2"/>
  <c r="A2500" i="2"/>
  <c r="B2485" i="2"/>
  <c r="A2472" i="2"/>
  <c r="B2458" i="2"/>
  <c r="B2445" i="2"/>
  <c r="B2429" i="2"/>
  <c r="B2415" i="2"/>
  <c r="B2402" i="2"/>
  <c r="B2388" i="2"/>
  <c r="B2375" i="2"/>
  <c r="B2360" i="2"/>
  <c r="A2345" i="2"/>
  <c r="A2332" i="2"/>
  <c r="B2318" i="2"/>
  <c r="B2305" i="2"/>
  <c r="B2290" i="2"/>
  <c r="A2276" i="2"/>
  <c r="B2262" i="2"/>
  <c r="A2249" i="2"/>
  <c r="A2236" i="2"/>
  <c r="A2220" i="2"/>
  <c r="A2206" i="2"/>
  <c r="A2193" i="2"/>
  <c r="B2179" i="2"/>
  <c r="A2166" i="2"/>
  <c r="A2151" i="2"/>
  <c r="B2135" i="2"/>
  <c r="B2122" i="2"/>
  <c r="A2109" i="2"/>
  <c r="A2096" i="2"/>
  <c r="A2081" i="2"/>
  <c r="B2066" i="2"/>
  <c r="B2053" i="2"/>
  <c r="B2039" i="2"/>
  <c r="B2026" i="2"/>
  <c r="B2010" i="2"/>
  <c r="B1996" i="2"/>
  <c r="B1983" i="2"/>
  <c r="A1970" i="2"/>
  <c r="B1956" i="2"/>
  <c r="B1941" i="2"/>
  <c r="A1926" i="2"/>
  <c r="B532" i="5"/>
  <c r="B3318" i="4"/>
  <c r="A2591" i="4"/>
  <c r="A1926" i="4"/>
  <c r="A1431" i="4"/>
  <c r="B893" i="4"/>
  <c r="B589" i="4"/>
  <c r="A285" i="4"/>
  <c r="B145" i="4"/>
  <c r="B16" i="4"/>
  <c r="A2984" i="3"/>
  <c r="B2873" i="3"/>
  <c r="B2776" i="3"/>
  <c r="B2682" i="3"/>
  <c r="B2592" i="3"/>
  <c r="B2498" i="3"/>
  <c r="B2420" i="3"/>
  <c r="B2324" i="3"/>
  <c r="A2256" i="3"/>
  <c r="A2164" i="3"/>
  <c r="A2088" i="3"/>
  <c r="A2006" i="3"/>
  <c r="B1933" i="3"/>
  <c r="B1861" i="3"/>
  <c r="A1790" i="3"/>
  <c r="B1717" i="3"/>
  <c r="B1652" i="3"/>
  <c r="A1584" i="3"/>
  <c r="B1524" i="3"/>
  <c r="A1453" i="3"/>
  <c r="B1395" i="3"/>
  <c r="B1327" i="3"/>
  <c r="A1279" i="3"/>
  <c r="A1227" i="3"/>
  <c r="B1184" i="3"/>
  <c r="B1137" i="3"/>
  <c r="B1095" i="3"/>
  <c r="B1051" i="3"/>
  <c r="A1010" i="3"/>
  <c r="A963" i="3"/>
  <c r="B920" i="3"/>
  <c r="B877" i="3"/>
  <c r="B842" i="3"/>
  <c r="A800" i="3"/>
  <c r="B765" i="3"/>
  <c r="A723" i="3"/>
  <c r="A690" i="3"/>
  <c r="B645" i="3"/>
  <c r="B612" i="3"/>
  <c r="B570" i="3"/>
  <c r="A540" i="3"/>
  <c r="A502" i="3"/>
  <c r="B471" i="3"/>
  <c r="B434" i="3"/>
  <c r="B402" i="3"/>
  <c r="B366" i="3"/>
  <c r="A334" i="3"/>
  <c r="A298" i="3"/>
  <c r="A267" i="3"/>
  <c r="B234" i="3"/>
  <c r="A204" i="3"/>
  <c r="A175" i="3"/>
  <c r="A147" i="3"/>
  <c r="A117" i="3"/>
  <c r="A94" i="3"/>
  <c r="A64" i="3"/>
  <c r="B37" i="3"/>
  <c r="A8" i="3"/>
  <c r="A4434" i="2"/>
  <c r="A4403" i="2"/>
  <c r="A4377" i="2"/>
  <c r="A4349" i="2"/>
  <c r="B4320" i="2"/>
  <c r="A4291" i="2"/>
  <c r="A4268" i="2"/>
  <c r="B4237" i="2"/>
  <c r="B4211" i="2"/>
  <c r="A4182" i="2"/>
  <c r="A4157" i="2"/>
  <c r="B4126" i="2"/>
  <c r="A4100" i="2"/>
  <c r="B4072" i="2"/>
  <c r="A4044" i="2"/>
  <c r="B4014" i="2"/>
  <c r="A3991" i="2"/>
  <c r="A3961" i="2"/>
  <c r="A3935" i="2"/>
  <c r="A3905" i="2"/>
  <c r="A3881" i="2"/>
  <c r="A3850" i="2"/>
  <c r="B3823" i="2"/>
  <c r="A3796" i="2"/>
  <c r="B3767" i="2"/>
  <c r="A3738" i="2"/>
  <c r="A3715" i="2"/>
  <c r="A3685" i="2"/>
  <c r="B3658" i="2"/>
  <c r="A3629" i="2"/>
  <c r="A3605" i="2"/>
  <c r="B3576" i="2"/>
  <c r="A3553" i="2"/>
  <c r="A3530" i="2"/>
  <c r="A3510" i="2"/>
  <c r="A3486" i="2"/>
  <c r="A3466" i="2"/>
  <c r="A3441" i="2"/>
  <c r="B3418" i="2"/>
  <c r="A3397" i="2"/>
  <c r="B3373" i="2"/>
  <c r="B3353" i="2"/>
  <c r="B3331" i="2"/>
  <c r="A3307" i="2"/>
  <c r="A3286" i="2"/>
  <c r="B3262" i="2"/>
  <c r="A3240" i="2"/>
  <c r="A3218" i="2"/>
  <c r="B3196" i="2"/>
  <c r="B3174" i="2"/>
  <c r="A3151" i="2"/>
  <c r="B3130" i="2"/>
  <c r="A3105" i="2"/>
  <c r="B3082" i="2"/>
  <c r="A3062" i="2"/>
  <c r="A3039" i="2"/>
  <c r="A3018" i="2"/>
  <c r="B2995" i="2"/>
  <c r="B2971" i="2"/>
  <c r="B2951" i="2"/>
  <c r="A2928" i="2"/>
  <c r="B2905" i="2"/>
  <c r="A2884" i="2"/>
  <c r="A2861" i="2"/>
  <c r="B2838" i="2"/>
  <c r="A2815" i="2"/>
  <c r="B2795" i="2"/>
  <c r="A2771" i="2"/>
  <c r="A2748" i="2"/>
  <c r="A2728" i="2"/>
  <c r="B2704" i="2"/>
  <c r="B2682" i="2"/>
  <c r="A2662" i="2"/>
  <c r="A2637" i="2"/>
  <c r="A2616" i="2"/>
  <c r="B2592" i="2"/>
  <c r="B2572" i="2"/>
  <c r="B2553" i="2"/>
  <c r="A2535" i="2"/>
  <c r="B2517" i="2"/>
  <c r="A2498" i="2"/>
  <c r="A2481" i="2"/>
  <c r="A2460" i="2"/>
  <c r="A2441" i="2"/>
  <c r="B2423" i="2"/>
  <c r="A2404" i="2"/>
  <c r="A2387" i="2"/>
  <c r="A2369" i="2"/>
  <c r="A2349" i="2"/>
  <c r="A2331" i="2"/>
  <c r="B2311" i="2"/>
  <c r="B2292" i="2"/>
  <c r="B2274" i="2"/>
  <c r="A2256" i="2"/>
  <c r="A2238" i="2"/>
  <c r="B2218" i="2"/>
  <c r="A2201" i="2"/>
  <c r="B2180" i="2"/>
  <c r="B2161" i="2"/>
  <c r="A2145" i="2"/>
  <c r="B2125" i="2"/>
  <c r="A2108" i="2"/>
  <c r="B2089" i="2"/>
  <c r="A2069" i="2"/>
  <c r="A2052" i="2"/>
  <c r="B2032" i="2"/>
  <c r="A2014" i="2"/>
  <c r="B1995" i="2"/>
  <c r="A1977" i="2"/>
  <c r="B1958" i="2"/>
  <c r="B1938" i="2"/>
  <c r="B1922" i="2"/>
  <c r="A1904" i="2"/>
  <c r="A1887" i="2"/>
  <c r="A1870" i="2"/>
  <c r="A1854" i="2"/>
  <c r="B1837" i="2"/>
  <c r="A1820" i="2"/>
  <c r="A1802" i="2"/>
  <c r="B1786" i="2"/>
  <c r="B1770" i="2"/>
  <c r="B1753" i="2"/>
  <c r="B1735" i="2"/>
  <c r="B1718" i="2"/>
  <c r="A1703" i="2"/>
  <c r="A1686" i="2"/>
  <c r="B1670" i="2"/>
  <c r="B1650" i="2"/>
  <c r="A1636" i="2"/>
  <c r="A1620" i="2"/>
  <c r="B1602" i="2"/>
  <c r="A1586" i="2"/>
  <c r="A1568" i="2"/>
  <c r="B1551" i="2"/>
  <c r="B1533" i="2"/>
  <c r="B1519" i="2"/>
  <c r="B1503" i="2"/>
  <c r="A1485" i="2"/>
  <c r="B1468" i="2"/>
  <c r="B1453" i="2"/>
  <c r="B1439" i="2"/>
  <c r="A1424" i="2"/>
  <c r="A1408" i="2"/>
  <c r="A1392" i="2"/>
  <c r="A1378" i="2"/>
  <c r="B1363" i="2"/>
  <c r="A1348" i="2"/>
  <c r="A1332" i="2"/>
  <c r="B1316" i="2"/>
  <c r="B1303" i="2"/>
  <c r="B1287" i="2"/>
  <c r="A1274" i="2"/>
  <c r="B1256" i="2"/>
  <c r="B1242" i="2"/>
  <c r="A1228" i="2"/>
  <c r="A1212" i="2"/>
  <c r="A1198" i="2"/>
  <c r="B1180" i="2"/>
  <c r="B1166" i="2"/>
  <c r="A1151" i="2"/>
  <c r="A1138" i="2"/>
  <c r="B1123" i="2"/>
  <c r="B1106" i="2"/>
  <c r="A1092" i="2"/>
  <c r="A1076" i="2"/>
  <c r="A1062" i="2"/>
  <c r="A1047" i="2"/>
  <c r="A1031" i="2"/>
  <c r="B1015" i="2"/>
  <c r="A1001" i="2"/>
  <c r="B986" i="2"/>
  <c r="B970" i="2"/>
  <c r="B955" i="2"/>
  <c r="B939" i="2"/>
  <c r="B926" i="2"/>
  <c r="B910" i="2"/>
  <c r="A897" i="2"/>
  <c r="A879" i="2"/>
  <c r="B865" i="2"/>
  <c r="A851" i="2"/>
  <c r="B835" i="2"/>
  <c r="B820" i="2"/>
  <c r="A804" i="2"/>
  <c r="B789" i="2"/>
  <c r="B773" i="2"/>
  <c r="B760" i="2"/>
  <c r="B746" i="2"/>
  <c r="A729" i="2"/>
  <c r="B714" i="2"/>
  <c r="B699" i="2"/>
  <c r="B685" i="2"/>
  <c r="B669" i="2"/>
  <c r="A654" i="2"/>
  <c r="B638" i="2"/>
  <c r="B624" i="2"/>
  <c r="B611" i="2"/>
  <c r="B597" i="2"/>
  <c r="B583" i="2"/>
  <c r="A569" i="2"/>
  <c r="A557" i="2"/>
  <c r="A543" i="2"/>
  <c r="B530" i="2"/>
  <c r="A514" i="2"/>
  <c r="B501" i="2"/>
  <c r="B488" i="2"/>
  <c r="A474" i="2"/>
  <c r="A461" i="2"/>
  <c r="A446" i="2"/>
  <c r="B432" i="2"/>
  <c r="B418" i="2"/>
  <c r="B406" i="2"/>
  <c r="B393" i="2"/>
  <c r="B377" i="2"/>
  <c r="B364" i="2"/>
  <c r="B350" i="2"/>
  <c r="A338" i="2"/>
  <c r="B323" i="2"/>
  <c r="B309" i="2"/>
  <c r="B295" i="2"/>
  <c r="B282" i="2"/>
  <c r="B270" i="2"/>
  <c r="B257" i="2"/>
  <c r="A244" i="2"/>
  <c r="A231" i="2"/>
  <c r="A220" i="2"/>
  <c r="A207" i="2"/>
  <c r="B195" i="2"/>
  <c r="A181" i="2"/>
  <c r="B169" i="2"/>
  <c r="B157" i="2"/>
  <c r="B144" i="2"/>
  <c r="B132" i="2"/>
  <c r="A118" i="2"/>
  <c r="A106" i="2"/>
  <c r="A93" i="2"/>
  <c r="A82" i="2"/>
  <c r="A70" i="2"/>
  <c r="A56" i="2"/>
  <c r="A44" i="2"/>
  <c r="A31" i="2"/>
  <c r="B19" i="2"/>
  <c r="B6" i="2"/>
  <c r="A2040" i="1"/>
  <c r="B1999" i="1"/>
  <c r="B2120" i="1"/>
  <c r="A2108" i="1"/>
  <c r="B2073" i="1"/>
  <c r="A1989" i="1"/>
  <c r="B1835" i="1"/>
  <c r="B1703" i="1"/>
  <c r="B1547" i="1"/>
  <c r="A1931" i="1"/>
  <c r="A1757" i="1"/>
  <c r="A1619" i="1"/>
  <c r="B1962" i="1"/>
  <c r="B1800" i="1"/>
  <c r="B1656" i="1"/>
  <c r="B2015" i="1"/>
  <c r="A1872" i="1"/>
  <c r="A1716" i="1"/>
  <c r="A1584" i="1"/>
  <c r="B1969" i="1"/>
  <c r="B1801" i="1"/>
  <c r="B1657" i="1"/>
  <c r="A1981" i="1"/>
  <c r="A1843" i="1"/>
  <c r="A1681" i="1"/>
  <c r="A2055" i="1"/>
  <c r="B1724" i="1"/>
  <c r="A1489" i="1"/>
  <c r="A1345" i="1"/>
  <c r="A1976" i="1"/>
  <c r="A1700" i="1"/>
  <c r="B1484" i="1"/>
  <c r="B1352" i="1"/>
  <c r="A2026" i="1"/>
  <c r="B1767" i="1"/>
  <c r="A1502" i="1"/>
  <c r="A1376" i="1"/>
  <c r="B2045" i="1"/>
  <c r="A1767" i="1"/>
  <c r="B1533" i="1"/>
  <c r="B1395" i="1"/>
  <c r="A2069" i="1"/>
  <c r="B1810" i="1"/>
  <c r="B1570" i="1"/>
  <c r="A1431" i="1"/>
  <c r="A1287" i="1"/>
  <c r="A1870" i="1"/>
  <c r="A1630" i="1"/>
  <c r="B1462" i="1"/>
  <c r="B1348" i="1"/>
  <c r="B1790" i="1"/>
  <c r="A1414" i="1"/>
  <c r="B1212" i="1"/>
  <c r="B1098" i="1"/>
  <c r="A1934" i="1"/>
  <c r="B1481" i="1"/>
  <c r="B1245" i="1"/>
  <c r="A1146" i="1"/>
  <c r="A1026" i="1"/>
  <c r="B1833" i="1"/>
  <c r="A1809" i="1"/>
  <c r="B1452" i="1"/>
  <c r="B1255" i="1"/>
  <c r="A1135" i="1"/>
  <c r="A1027" i="1"/>
  <c r="B1780" i="1"/>
  <c r="A1440" i="1"/>
  <c r="A1242" i="1"/>
  <c r="B1124" i="1"/>
  <c r="B1016" i="1"/>
  <c r="A1708" i="1"/>
  <c r="B1387" i="1"/>
  <c r="A1226" i="1"/>
  <c r="A1106" i="1"/>
  <c r="A998" i="1"/>
  <c r="A1494" i="1"/>
  <c r="B1581" i="1"/>
  <c r="B1209" i="1"/>
  <c r="A1463" i="1"/>
  <c r="B1960" i="1"/>
  <c r="B1338" i="1"/>
  <c r="B1441" i="1"/>
  <c r="A1415" i="1"/>
  <c r="B1125" i="1"/>
  <c r="B964" i="1"/>
  <c r="A1505" i="1"/>
  <c r="B1108" i="1"/>
  <c r="B939" i="1"/>
  <c r="A1211" i="1"/>
  <c r="A1005" i="1"/>
  <c r="A1970" i="1"/>
  <c r="B1175" i="1"/>
  <c r="B988" i="1"/>
  <c r="B864" i="1"/>
  <c r="A1302" i="1"/>
  <c r="A1103" i="1"/>
  <c r="A1586" i="1"/>
  <c r="B970" i="1"/>
  <c r="B801" i="1"/>
  <c r="B693" i="1"/>
  <c r="B567" i="1"/>
  <c r="A1422" i="1"/>
  <c r="A1073" i="1"/>
  <c r="B851" i="1"/>
  <c r="A741" i="1"/>
  <c r="A615" i="1"/>
  <c r="A495" i="1"/>
  <c r="A1258" i="1"/>
  <c r="A975" i="1"/>
  <c r="B832" i="1"/>
  <c r="B706" i="1"/>
  <c r="B586" i="1"/>
  <c r="B1970" i="1"/>
  <c r="B958" i="1"/>
  <c r="B839" i="1"/>
  <c r="B713" i="1"/>
  <c r="B593" i="1"/>
  <c r="A1446" i="1"/>
  <c r="B898" i="1"/>
  <c r="A718" i="1"/>
  <c r="B529" i="1"/>
  <c r="B1210" i="1"/>
  <c r="A886" i="1"/>
  <c r="B716" i="1"/>
  <c r="B554" i="1"/>
  <c r="A407" i="1"/>
  <c r="A287" i="1"/>
  <c r="A1053" i="1"/>
  <c r="A748" i="1"/>
  <c r="A586" i="1"/>
  <c r="A432" i="1"/>
  <c r="A312" i="1"/>
  <c r="B1174" i="1"/>
  <c r="A829" i="1"/>
  <c r="A667" i="1"/>
  <c r="B486" i="1"/>
  <c r="B361" i="1"/>
  <c r="B1682" i="1"/>
  <c r="B896" i="1"/>
  <c r="B720" i="1"/>
  <c r="B524" i="1"/>
  <c r="A405" i="1"/>
  <c r="A303" i="1"/>
  <c r="A823" i="1"/>
  <c r="A545" i="1"/>
  <c r="B328" i="1"/>
  <c r="B194" i="1"/>
  <c r="B92" i="1"/>
  <c r="B1024" i="1"/>
  <c r="A619" i="1"/>
  <c r="B344" i="1"/>
  <c r="A206" i="1"/>
  <c r="A104" i="1"/>
  <c r="B881" i="1"/>
  <c r="B584" i="1"/>
  <c r="B340" i="1"/>
  <c r="B208" i="1"/>
  <c r="B106" i="1"/>
  <c r="B897" i="1"/>
  <c r="A624" i="1"/>
  <c r="A376" i="1"/>
  <c r="A220" i="1"/>
  <c r="A118" i="1"/>
  <c r="B940" i="1"/>
  <c r="A635" i="1"/>
  <c r="A386" i="1"/>
  <c r="B229" i="1"/>
  <c r="B4140" i="4"/>
  <c r="B3122" i="4"/>
  <c r="B2314" i="4"/>
  <c r="B1782" i="4"/>
  <c r="A1213" i="4"/>
  <c r="A820" i="4"/>
  <c r="B446" i="4"/>
  <c r="B237" i="4"/>
  <c r="A96" i="4"/>
  <c r="A3044" i="3"/>
  <c r="B2933" i="3"/>
  <c r="B2839" i="3"/>
  <c r="A2735" i="3"/>
  <c r="A2660" i="3"/>
  <c r="A2561" i="3"/>
  <c r="A2477" i="3"/>
  <c r="B2388" i="3"/>
  <c r="B2304" i="3"/>
  <c r="A2222" i="3"/>
  <c r="A2145" i="3"/>
  <c r="B2060" i="3"/>
  <c r="A1983" i="3"/>
  <c r="B1908" i="3"/>
  <c r="B1836" i="3"/>
  <c r="A1759" i="3"/>
  <c r="A1700" i="3"/>
  <c r="A1623" i="3"/>
  <c r="A1567" i="3"/>
  <c r="A1497" i="3"/>
  <c r="A1436" i="3"/>
  <c r="A1372" i="3"/>
  <c r="B1311" i="3"/>
  <c r="B1260" i="3"/>
  <c r="A1214" i="3"/>
  <c r="A1170" i="3"/>
  <c r="A1125" i="3"/>
  <c r="A1078" i="3"/>
  <c r="A1039" i="3"/>
  <c r="A992" i="3"/>
  <c r="B951" i="3"/>
  <c r="A902" i="3"/>
  <c r="A867" i="3"/>
  <c r="A826" i="3"/>
  <c r="A790" i="3"/>
  <c r="B747" i="3"/>
  <c r="B714" i="3"/>
  <c r="B673" i="3"/>
  <c r="B637" i="3"/>
  <c r="A595" i="3"/>
  <c r="B560" i="3"/>
  <c r="B523" i="3"/>
  <c r="A492" i="3"/>
  <c r="A454" i="3"/>
  <c r="A424" i="3"/>
  <c r="A387" i="3"/>
  <c r="A356" i="3"/>
  <c r="A320" i="3"/>
  <c r="A286" i="3"/>
  <c r="A253" i="3"/>
  <c r="B224" i="3"/>
  <c r="A193" i="3"/>
  <c r="A168" i="3"/>
  <c r="A138" i="3"/>
  <c r="B111" i="3"/>
  <c r="A82" i="3"/>
  <c r="A55" i="3"/>
  <c r="A26" i="3"/>
  <c r="A2" i="3"/>
  <c r="B4421" i="2"/>
  <c r="A4394" i="2"/>
  <c r="A4366" i="2"/>
  <c r="A4342" i="2"/>
  <c r="A4312" i="2"/>
  <c r="A4285" i="2"/>
  <c r="B4255" i="2"/>
  <c r="B4228" i="2"/>
  <c r="B4199" i="2"/>
  <c r="A4176" i="2"/>
  <c r="A4145" i="2"/>
  <c r="A4118" i="2"/>
  <c r="A4090" i="2"/>
  <c r="A4065" i="2"/>
  <c r="A4034" i="2"/>
  <c r="A4009" i="2"/>
  <c r="A3979" i="2"/>
  <c r="B3952" i="2"/>
  <c r="B3923" i="2"/>
  <c r="B3899" i="2"/>
  <c r="B3868" i="2"/>
  <c r="B3841" i="2"/>
  <c r="A3813" i="2"/>
  <c r="A3788" i="2"/>
  <c r="A3758" i="2"/>
  <c r="A3732" i="2"/>
  <c r="B3702" i="2"/>
  <c r="A3676" i="2"/>
  <c r="A3647" i="2"/>
  <c r="A3623" i="2"/>
  <c r="B3593" i="2"/>
  <c r="B3569" i="2"/>
  <c r="A3544" i="2"/>
  <c r="B3522" i="2"/>
  <c r="A3501" i="2"/>
  <c r="A3479" i="2"/>
  <c r="A3457" i="2"/>
  <c r="B3433" i="2"/>
  <c r="A3412" i="2"/>
  <c r="B3388" i="2"/>
  <c r="B3367" i="2"/>
  <c r="A3344" i="2"/>
  <c r="A3322" i="2"/>
  <c r="A3301" i="2"/>
  <c r="B3276" i="2"/>
  <c r="A3256" i="2"/>
  <c r="A3234" i="2"/>
  <c r="B3208" i="2"/>
  <c r="A3188" i="2"/>
  <c r="B3166" i="2"/>
  <c r="A3144" i="2"/>
  <c r="B3121" i="2"/>
  <c r="B3097" i="2"/>
  <c r="A3077" i="2"/>
  <c r="B3053" i="2"/>
  <c r="A3032" i="2"/>
  <c r="A3009" i="2"/>
  <c r="A2987" i="2"/>
  <c r="A2965" i="2"/>
  <c r="A2941" i="2"/>
  <c r="B2921" i="2"/>
  <c r="A2899" i="2"/>
  <c r="B2873" i="2"/>
  <c r="A2853" i="2"/>
  <c r="B2830" i="2"/>
  <c r="A2808" i="2"/>
  <c r="A2787" i="2"/>
  <c r="A2764" i="2"/>
  <c r="A2742" i="2"/>
  <c r="B2718" i="2"/>
  <c r="A2697" i="2"/>
  <c r="A2673" i="2"/>
  <c r="A2651" i="2"/>
  <c r="A2630" i="2"/>
  <c r="A2606" i="2"/>
  <c r="A2586" i="2"/>
  <c r="B2566" i="2"/>
  <c r="A2546" i="2"/>
  <c r="B2528" i="2"/>
  <c r="B2510" i="2"/>
  <c r="A2492" i="2"/>
  <c r="A2474" i="2"/>
  <c r="A2454" i="2"/>
  <c r="B2435" i="2"/>
  <c r="A2416" i="2"/>
  <c r="A2399" i="2"/>
  <c r="B2379" i="2"/>
  <c r="A2361" i="2"/>
  <c r="B2343" i="2"/>
  <c r="B2323" i="2"/>
  <c r="A2306" i="2"/>
  <c r="A2288" i="2"/>
  <c r="A2266" i="2"/>
  <c r="B2249" i="2"/>
  <c r="A2231" i="2"/>
  <c r="B2212" i="2"/>
  <c r="A2194" i="2"/>
  <c r="B2174" i="2"/>
  <c r="A2157" i="2"/>
  <c r="B2137" i="2"/>
  <c r="A2120" i="2"/>
  <c r="A2100" i="2"/>
  <c r="B2081" i="2"/>
  <c r="B2063" i="2"/>
  <c r="B2043" i="2"/>
  <c r="A2027" i="2"/>
  <c r="B2008" i="2"/>
  <c r="B1987" i="2"/>
  <c r="B1970" i="2"/>
  <c r="B1951" i="2"/>
  <c r="B1932" i="2"/>
  <c r="B1915" i="2"/>
  <c r="A1899" i="2"/>
  <c r="A1882" i="2"/>
  <c r="B1865" i="2"/>
  <c r="B1846" i="2"/>
  <c r="B1830" i="2"/>
  <c r="B1813" i="2"/>
  <c r="A1799" i="2"/>
  <c r="A1782" i="2"/>
  <c r="A1764" i="2"/>
  <c r="A1748" i="2"/>
  <c r="A1730" i="2"/>
  <c r="A1715" i="2"/>
  <c r="A1697" i="2"/>
  <c r="A1680" i="2"/>
  <c r="B1662" i="2"/>
  <c r="A1647" i="2"/>
  <c r="B1630" i="2"/>
  <c r="B1613" i="2"/>
  <c r="A1596" i="2"/>
  <c r="A1578" i="2"/>
  <c r="A1564" i="2"/>
  <c r="A1546" i="2"/>
  <c r="B1531" i="2"/>
  <c r="B1511" i="2"/>
  <c r="B1496" i="2"/>
  <c r="A1480" i="2"/>
  <c r="B1463" i="2"/>
  <c r="A1449" i="2"/>
  <c r="B1432" i="2"/>
  <c r="A1418" i="2"/>
  <c r="A1402" i="2"/>
  <c r="A1389" i="2"/>
  <c r="B1374" i="2"/>
  <c r="B1357" i="2"/>
  <c r="A1343" i="2"/>
  <c r="A1328" i="2"/>
  <c r="B1313" i="2"/>
  <c r="A1298" i="2"/>
  <c r="B1282" i="2"/>
  <c r="B1266" i="2"/>
  <c r="A1252" i="2"/>
  <c r="A1238" i="2"/>
  <c r="A1222" i="2"/>
  <c r="A1206" i="2"/>
  <c r="A1191" i="2"/>
  <c r="A1178" i="2"/>
  <c r="A1162" i="2"/>
  <c r="A1148" i="2"/>
  <c r="B1130" i="2"/>
  <c r="B1116" i="2"/>
  <c r="A1102" i="2"/>
  <c r="B1086" i="2"/>
  <c r="B1072" i="2"/>
  <c r="A1055" i="2"/>
  <c r="A1041" i="2"/>
  <c r="A1025" i="2"/>
  <c r="A1012" i="2"/>
  <c r="B997" i="2"/>
  <c r="A981" i="2"/>
  <c r="A966" i="2"/>
  <c r="B950" i="2"/>
  <c r="B936" i="2"/>
  <c r="A921" i="2"/>
  <c r="A905" i="2"/>
  <c r="A890" i="2"/>
  <c r="A875" i="2"/>
  <c r="A861" i="2"/>
  <c r="A845" i="2"/>
  <c r="B829" i="2"/>
  <c r="B813" i="2"/>
  <c r="B800" i="2"/>
  <c r="A785" i="2"/>
  <c r="B771" i="2"/>
  <c r="B753" i="2"/>
  <c r="A740" i="2"/>
  <c r="B725" i="2"/>
  <c r="B709" i="2"/>
  <c r="A695" i="2"/>
  <c r="A678" i="2"/>
  <c r="B663" i="2"/>
  <c r="A648" i="2"/>
  <c r="A635" i="2"/>
  <c r="A622" i="2"/>
  <c r="A606" i="2"/>
  <c r="A593" i="2"/>
  <c r="A579" i="2"/>
  <c r="B566" i="2"/>
  <c r="A552" i="2"/>
  <c r="A538" i="2"/>
  <c r="A524" i="2"/>
  <c r="B510" i="2"/>
  <c r="B497" i="2"/>
  <c r="B483" i="2"/>
  <c r="B468" i="2"/>
  <c r="B454" i="2"/>
  <c r="B442" i="2"/>
  <c r="B428" i="2"/>
  <c r="A416" i="2"/>
  <c r="A400" i="2"/>
  <c r="B387" i="2"/>
  <c r="B374" i="2"/>
  <c r="A360" i="2"/>
  <c r="A347" i="2"/>
  <c r="B331" i="2"/>
  <c r="A318" i="2"/>
  <c r="A304" i="2"/>
  <c r="A292" i="2"/>
  <c r="B279" i="2"/>
  <c r="B265" i="2"/>
  <c r="B253" i="2"/>
  <c r="B240" i="2"/>
  <c r="A229" i="2"/>
  <c r="A216" i="2"/>
  <c r="A203" i="2"/>
  <c r="B189" i="2"/>
  <c r="B177" i="2"/>
  <c r="B165" i="2"/>
  <c r="B152" i="2"/>
  <c r="B139" i="2"/>
  <c r="B126" i="2"/>
  <c r="B115" i="2"/>
  <c r="B102" i="2"/>
  <c r="A91" i="2"/>
  <c r="A76" i="2"/>
  <c r="A65" i="2"/>
  <c r="A53" i="2"/>
  <c r="B39" i="2"/>
  <c r="B27" i="2"/>
  <c r="B13" i="2"/>
  <c r="B1" i="2"/>
  <c r="B2101" i="1"/>
  <c r="A2107" i="1"/>
  <c r="B2090" i="1"/>
  <c r="A2054" i="1"/>
  <c r="B2031" i="1"/>
  <c r="B1943" i="1"/>
  <c r="B1811" i="1"/>
  <c r="B1649" i="1"/>
  <c r="B2032" i="1"/>
  <c r="A1859" i="1"/>
  <c r="A1715" i="1"/>
  <c r="A1571" i="1"/>
  <c r="B1902" i="1"/>
  <c r="B1746" i="1"/>
  <c r="B1584" i="1"/>
  <c r="B1986" i="1"/>
  <c r="A1824" i="1"/>
  <c r="A1692" i="1"/>
  <c r="A2075" i="1"/>
  <c r="B1903" i="1"/>
  <c r="B1759" i="1"/>
  <c r="B1603" i="1"/>
  <c r="A1939" i="1"/>
  <c r="A1771" i="1"/>
  <c r="A1627" i="1"/>
  <c r="B1916" i="1"/>
  <c r="B1664" i="1"/>
  <c r="A1459" i="1"/>
  <c r="A1285" i="1"/>
  <c r="A1880" i="1"/>
  <c r="A1604" i="1"/>
  <c r="B1442" i="1"/>
  <c r="B1322" i="1"/>
  <c r="B1911" i="1"/>
  <c r="B1647" i="1"/>
  <c r="A1466" i="1"/>
  <c r="A1340" i="1"/>
  <c r="A1959" i="1"/>
  <c r="A1671" i="1"/>
  <c r="B1479" i="1"/>
  <c r="B1359" i="1"/>
  <c r="A1988" i="1"/>
  <c r="B1738" i="1"/>
  <c r="A1497" i="1"/>
  <c r="A1383" i="1"/>
  <c r="A1263" i="1"/>
  <c r="A1786" i="1"/>
  <c r="B1546" i="1"/>
  <c r="B1420" i="1"/>
  <c r="B1288" i="1"/>
  <c r="B1622" i="1"/>
  <c r="A1330" i="1"/>
  <c r="B1182" i="1"/>
  <c r="B1038" i="1"/>
  <c r="A1742" i="1"/>
  <c r="B1421" i="1"/>
  <c r="A1224" i="1"/>
  <c r="A1104" i="1"/>
  <c r="A984" i="1"/>
  <c r="B1641" i="1"/>
  <c r="A1689" i="1"/>
  <c r="B1404" i="1"/>
  <c r="A1213" i="1"/>
  <c r="A1093" i="1"/>
  <c r="A979" i="1"/>
  <c r="B1660" i="1"/>
  <c r="A1392" i="1"/>
  <c r="B1202" i="1"/>
  <c r="B1082" i="1"/>
  <c r="B2052" i="1"/>
  <c r="A1588" i="1"/>
  <c r="B1339" i="1"/>
  <c r="A1184" i="1"/>
  <c r="A1064" i="1"/>
  <c r="A950" i="1"/>
  <c r="A1403" i="1"/>
  <c r="B1463" i="1"/>
  <c r="A1888" i="1"/>
  <c r="A1319" i="1"/>
  <c r="B1569" i="1"/>
  <c r="B2076" i="1"/>
  <c r="A1338" i="1"/>
  <c r="A1283" i="1"/>
  <c r="B1053" i="1"/>
  <c r="B913" i="1"/>
  <c r="A1420" i="1"/>
  <c r="B1069" i="1"/>
  <c r="B1778" i="1"/>
  <c r="A1139" i="1"/>
  <c r="A927" i="1"/>
  <c r="A1530" i="1"/>
  <c r="B1113" i="1"/>
  <c r="B942" i="1"/>
  <c r="A1773" i="1"/>
  <c r="B1222" i="1"/>
  <c r="B1039" i="1"/>
  <c r="B1213" i="1"/>
  <c r="B908" i="1"/>
  <c r="B759" i="1"/>
  <c r="B645" i="1"/>
  <c r="B537" i="1"/>
  <c r="B1270" i="1"/>
  <c r="A970" i="1"/>
  <c r="A807" i="1"/>
  <c r="A693" i="1"/>
  <c r="A585" i="1"/>
  <c r="A2115" i="1"/>
  <c r="A1115" i="1"/>
  <c r="A895" i="1"/>
  <c r="B784" i="1"/>
  <c r="B676" i="1"/>
  <c r="B562" i="1"/>
  <c r="A1192" i="1"/>
  <c r="B922" i="1"/>
  <c r="B791" i="1"/>
  <c r="B683" i="1"/>
  <c r="B569" i="1"/>
  <c r="A1204" i="1"/>
  <c r="B817" i="1"/>
  <c r="A646" i="1"/>
  <c r="A491" i="1"/>
  <c r="B1096" i="1"/>
  <c r="B840" i="1"/>
  <c r="B660" i="1"/>
  <c r="A488" i="1"/>
  <c r="A377" i="1"/>
  <c r="B1874" i="1"/>
  <c r="A883" i="1"/>
  <c r="B685" i="1"/>
  <c r="B511" i="1"/>
  <c r="A402" i="1"/>
  <c r="A288" i="1"/>
  <c r="A1079" i="1"/>
  <c r="A773" i="1"/>
  <c r="A595" i="1"/>
  <c r="B451" i="1"/>
  <c r="B337" i="1"/>
  <c r="B1061" i="1"/>
  <c r="B812" i="1"/>
  <c r="B648" i="1"/>
  <c r="A487" i="1"/>
  <c r="A381" i="1"/>
  <c r="B1051" i="1"/>
  <c r="A715" i="1"/>
  <c r="B455" i="1"/>
  <c r="A284" i="1"/>
  <c r="B170" i="1"/>
  <c r="B50" i="1"/>
  <c r="A767" i="1"/>
  <c r="B503" i="1"/>
  <c r="A292" i="1"/>
  <c r="A182" i="1"/>
  <c r="B1225" i="1"/>
  <c r="A760" i="1"/>
  <c r="B444" i="1"/>
  <c r="A295" i="1"/>
  <c r="B184" i="1"/>
  <c r="B64" i="1"/>
  <c r="A794" i="1"/>
  <c r="B505" i="1"/>
  <c r="B338" i="1"/>
  <c r="A196" i="1"/>
  <c r="A76" i="1"/>
  <c r="A805" i="1"/>
  <c r="A518" i="1"/>
  <c r="B341" i="1"/>
  <c r="B205" i="1"/>
  <c r="B85" i="1"/>
  <c r="A528" i="1"/>
  <c r="A209" i="1"/>
  <c r="A46" i="1"/>
  <c r="A713" i="1"/>
  <c r="B252" i="1"/>
  <c r="B66" i="1"/>
  <c r="A824" i="1"/>
  <c r="A481" i="1"/>
  <c r="A217" i="1"/>
  <c r="A21" i="1"/>
  <c r="B375" i="1"/>
  <c r="B1015" i="1"/>
  <c r="A912" i="1"/>
  <c r="B462" i="1"/>
  <c r="A223" i="1"/>
  <c r="B16" i="1"/>
  <c r="B378" i="1"/>
  <c r="A28" i="1"/>
  <c r="A673" i="1"/>
  <c r="B306" i="1"/>
  <c r="A111" i="1"/>
  <c r="A872" i="1"/>
  <c r="A267" i="1"/>
  <c r="A1198" i="1"/>
  <c r="A630" i="1"/>
  <c r="B280" i="1"/>
  <c r="A119" i="1"/>
  <c r="B1379" i="1"/>
  <c r="A197" i="1"/>
  <c r="A785" i="1"/>
  <c r="A41" i="1"/>
  <c r="B185" i="1"/>
  <c r="B255" i="1"/>
  <c r="A129" i="1"/>
  <c r="A552" i="1"/>
  <c r="B177" i="1"/>
  <c r="B243" i="1"/>
  <c r="A779" i="1"/>
  <c r="B35" i="1"/>
  <c r="B492" i="1"/>
  <c r="B51" i="1"/>
  <c r="A661" i="1"/>
  <c r="B168" i="1"/>
  <c r="B424" i="1"/>
  <c r="B11" i="1"/>
  <c r="B3046" i="4"/>
  <c r="A1740" i="4"/>
  <c r="A1185" i="4"/>
  <c r="B432" i="4"/>
  <c r="B74" i="4"/>
  <c r="A2931" i="3"/>
  <c r="A2732" i="3"/>
  <c r="B2555" i="3"/>
  <c r="A2468" i="3"/>
  <c r="B2294" i="3"/>
  <c r="A2132" i="3"/>
  <c r="A2047" i="3"/>
  <c r="A1896" i="3"/>
  <c r="B1752" i="3"/>
  <c r="A1622" i="3"/>
  <c r="B1488" i="3"/>
  <c r="B1364" i="3"/>
  <c r="A1252" i="3"/>
  <c r="A1164" i="3"/>
  <c r="B1074" i="3"/>
  <c r="A987" i="3"/>
  <c r="B900" i="3"/>
  <c r="A824" i="3"/>
  <c r="B746" i="3"/>
  <c r="B669" i="3"/>
  <c r="A594" i="3"/>
  <c r="B555" i="3"/>
  <c r="A489" i="3"/>
  <c r="B421" i="3"/>
  <c r="B350" i="3"/>
  <c r="B283" i="3"/>
  <c r="A222" i="3"/>
  <c r="A164" i="3"/>
  <c r="A109" i="3"/>
  <c r="A52" i="3"/>
  <c r="A4447" i="2"/>
  <c r="A4392" i="2"/>
  <c r="A4337" i="2"/>
  <c r="A4283" i="2"/>
  <c r="A4226" i="2"/>
  <c r="B4170" i="2"/>
  <c r="A4087" i="2"/>
  <c r="A4031" i="2"/>
  <c r="A3976" i="2"/>
  <c r="B3918" i="2"/>
  <c r="A3839" i="2"/>
  <c r="B3784" i="2"/>
  <c r="A3730" i="2"/>
  <c r="A3673" i="2"/>
  <c r="A3618" i="2"/>
  <c r="A3566" i="2"/>
  <c r="A3521" i="2"/>
  <c r="B3474" i="2"/>
  <c r="A3431" i="2"/>
  <c r="B3385" i="2"/>
  <c r="B3341" i="2"/>
  <c r="B3298" i="2"/>
  <c r="A3251" i="2"/>
  <c r="A3185" i="2"/>
  <c r="B3139" i="2"/>
  <c r="B3095" i="2"/>
  <c r="A3050" i="2"/>
  <c r="A2983" i="2"/>
  <c r="B2938" i="2"/>
  <c r="A2894" i="2"/>
  <c r="B2850" i="2"/>
  <c r="A2805" i="2"/>
  <c r="B2759" i="2"/>
  <c r="A2716" i="2"/>
  <c r="B2671" i="2"/>
  <c r="B2627" i="2"/>
  <c r="A2580" i="2"/>
  <c r="A2544" i="2"/>
  <c r="A2508" i="2"/>
  <c r="A2471" i="2"/>
  <c r="A2433" i="2"/>
  <c r="A2396" i="2"/>
  <c r="B2357" i="2"/>
  <c r="B2320" i="2"/>
  <c r="B4139" i="4"/>
  <c r="B3048" i="4"/>
  <c r="A2313" i="4"/>
  <c r="A1753" i="4"/>
  <c r="B1212" i="4"/>
  <c r="B791" i="4"/>
  <c r="A446" i="4"/>
  <c r="A234" i="4"/>
  <c r="A95" i="4"/>
  <c r="A3039" i="3"/>
  <c r="B2931" i="3"/>
  <c r="A2839" i="3"/>
  <c r="B2734" i="3"/>
  <c r="B2655" i="3"/>
  <c r="A2558" i="3"/>
  <c r="B2468" i="3"/>
  <c r="A2385" i="3"/>
  <c r="A2304" i="3"/>
  <c r="A2217" i="3"/>
  <c r="B2132" i="3"/>
  <c r="B2047" i="3"/>
  <c r="B1982" i="3"/>
  <c r="A1905" i="3"/>
  <c r="A1833" i="3"/>
  <c r="B1753" i="3"/>
  <c r="A1695" i="3"/>
  <c r="B1622" i="3"/>
  <c r="A1564" i="3"/>
  <c r="A1492" i="3"/>
  <c r="B1429" i="3"/>
  <c r="B1369" i="3"/>
  <c r="A1311" i="3"/>
  <c r="A1257" i="3"/>
  <c r="A1209" i="3"/>
  <c r="B1164" i="3"/>
  <c r="A1124" i="3"/>
  <c r="B1077" i="3"/>
  <c r="B1035" i="3"/>
  <c r="B987" i="3"/>
  <c r="A950" i="3"/>
  <c r="B901" i="3"/>
  <c r="B865" i="3"/>
  <c r="B824" i="3"/>
  <c r="A788" i="3"/>
  <c r="A747" i="3"/>
  <c r="B711" i="3"/>
  <c r="A670" i="3"/>
  <c r="A634" i="3"/>
  <c r="B594" i="3"/>
  <c r="B558" i="3"/>
  <c r="A523" i="3"/>
  <c r="A490" i="3"/>
  <c r="B453" i="3"/>
  <c r="A422" i="3"/>
  <c r="B386" i="3"/>
  <c r="A354" i="3"/>
  <c r="A319" i="3"/>
  <c r="B285" i="3"/>
  <c r="A252" i="3"/>
  <c r="B222" i="3"/>
  <c r="A191" i="3"/>
  <c r="B164" i="3"/>
  <c r="B135" i="3"/>
  <c r="B109" i="3"/>
  <c r="A80" i="3"/>
  <c r="B54" i="3"/>
  <c r="B25" i="3"/>
  <c r="A4450" i="2"/>
  <c r="A4421" i="2"/>
  <c r="B4393" i="2"/>
  <c r="A4364" i="2"/>
  <c r="A4338" i="2"/>
  <c r="A4309" i="2"/>
  <c r="B4283" i="2"/>
  <c r="A4254" i="2"/>
  <c r="A4228" i="2"/>
  <c r="A4199" i="2"/>
  <c r="A4173" i="2"/>
  <c r="B4144" i="2"/>
  <c r="B4117" i="2"/>
  <c r="A4088" i="2"/>
  <c r="B4061" i="2"/>
  <c r="B4032" i="2"/>
  <c r="A4007" i="2"/>
  <c r="A3977" i="2"/>
  <c r="A3952" i="2"/>
  <c r="A3923" i="2"/>
  <c r="A3896" i="2"/>
  <c r="A3868" i="2"/>
  <c r="A3841" i="2"/>
  <c r="A3811" i="2"/>
  <c r="A3785" i="2"/>
  <c r="A3756" i="2"/>
  <c r="B3730" i="2"/>
  <c r="A3701" i="2"/>
  <c r="A3674" i="2"/>
  <c r="A3646" i="2"/>
  <c r="A3620" i="2"/>
  <c r="A3593" i="2"/>
  <c r="A3569" i="2"/>
  <c r="A3543" i="2"/>
  <c r="B3521" i="2"/>
  <c r="A3499" i="2"/>
  <c r="A3475" i="2"/>
  <c r="A3455" i="2"/>
  <c r="A3433" i="2"/>
  <c r="B3409" i="2"/>
  <c r="A3386" i="2"/>
  <c r="A3366" i="2"/>
  <c r="A3342" i="2"/>
  <c r="B3318" i="2"/>
  <c r="A3300" i="2"/>
  <c r="A3276" i="2"/>
  <c r="B3251" i="2"/>
  <c r="A3231" i="2"/>
  <c r="A3208" i="2"/>
  <c r="A3187" i="2"/>
  <c r="A3165" i="2"/>
  <c r="A3140" i="2"/>
  <c r="B3119" i="2"/>
  <c r="A3097" i="2"/>
  <c r="B3073" i="2"/>
  <c r="A3051" i="2"/>
  <c r="A3031" i="2"/>
  <c r="B3007" i="2"/>
  <c r="A2984" i="2"/>
  <c r="B2964" i="2"/>
  <c r="A2940" i="2"/>
  <c r="A2916" i="2"/>
  <c r="B2896" i="2"/>
  <c r="A2873" i="2"/>
  <c r="B2851" i="2"/>
  <c r="A2830" i="2"/>
  <c r="A2806" i="2"/>
  <c r="A2784" i="2"/>
  <c r="A2763" i="2"/>
  <c r="A2740" i="2"/>
  <c r="B2716" i="2"/>
  <c r="A2696" i="2"/>
  <c r="A2672" i="2"/>
  <c r="A2649" i="2"/>
  <c r="B2629" i="2"/>
  <c r="B2605" i="2"/>
  <c r="B2580" i="2"/>
  <c r="A2565" i="2"/>
  <c r="B2545" i="2"/>
  <c r="B2527" i="2"/>
  <c r="B2508" i="2"/>
  <c r="B2488" i="2"/>
  <c r="B2471" i="2"/>
  <c r="B2453" i="2"/>
  <c r="A2434" i="2"/>
  <c r="A2415" i="2"/>
  <c r="B2397" i="2"/>
  <c r="A2378" i="2"/>
  <c r="A2358" i="2"/>
  <c r="A2343" i="2"/>
  <c r="B2322" i="2"/>
  <c r="A2302" i="2"/>
  <c r="A2285" i="2"/>
  <c r="B2265" i="2"/>
  <c r="B2248" i="2"/>
  <c r="A2230" i="2"/>
  <c r="A2210" i="2"/>
  <c r="B2192" i="2"/>
  <c r="A2174" i="2"/>
  <c r="A2154" i="2"/>
  <c r="A2135" i="2"/>
  <c r="B2118" i="2"/>
  <c r="A2099" i="2"/>
  <c r="B2079" i="2"/>
  <c r="A2063" i="2"/>
  <c r="A2043" i="2"/>
  <c r="B2022" i="2"/>
  <c r="B2006" i="2"/>
  <c r="B1986" i="2"/>
  <c r="B1969" i="2"/>
  <c r="B1950" i="2"/>
  <c r="B1930" i="2"/>
  <c r="A1913" i="2"/>
  <c r="B1898" i="2"/>
  <c r="B1880" i="2"/>
  <c r="B1863" i="2"/>
  <c r="A1846" i="2"/>
  <c r="A1830" i="2"/>
  <c r="B1812" i="2"/>
  <c r="A1797" i="2"/>
  <c r="A1778" i="2"/>
  <c r="B1761" i="2"/>
  <c r="B1747" i="2"/>
  <c r="B1729" i="2"/>
  <c r="B1714" i="2"/>
  <c r="A1695" i="2"/>
  <c r="B1679" i="2"/>
  <c r="A1662" i="2"/>
  <c r="B1646" i="2"/>
  <c r="A1630" i="2"/>
  <c r="A1611" i="2"/>
  <c r="A1595" i="2"/>
  <c r="B1577" i="2"/>
  <c r="B1563" i="2"/>
  <c r="B1545" i="2"/>
  <c r="B1528" i="2"/>
  <c r="A1511" i="2"/>
  <c r="A1494" i="2"/>
  <c r="B1479" i="2"/>
  <c r="A1463" i="2"/>
  <c r="B1447" i="2"/>
  <c r="B1431" i="2"/>
  <c r="B1417" i="2"/>
  <c r="B1401" i="2"/>
  <c r="B1387" i="2"/>
  <c r="A1370" i="2"/>
  <c r="B1355" i="2"/>
  <c r="B1342" i="2"/>
  <c r="B1326" i="2"/>
  <c r="A1313" i="2"/>
  <c r="B1295" i="2"/>
  <c r="A1282" i="2"/>
  <c r="B1265" i="2"/>
  <c r="B1251" i="2"/>
  <c r="B1237" i="2"/>
  <c r="A1220" i="2"/>
  <c r="B1205" i="2"/>
  <c r="B1190" i="2"/>
  <c r="B1177" i="2"/>
  <c r="A1161" i="2"/>
  <c r="B1145" i="2"/>
  <c r="A1130" i="2"/>
  <c r="A1115" i="2"/>
  <c r="B1101" i="2"/>
  <c r="A1086" i="2"/>
  <c r="B1070" i="2"/>
  <c r="B1054" i="2"/>
  <c r="B1040" i="2"/>
  <c r="B1024" i="2"/>
  <c r="A1010" i="2"/>
  <c r="A993" i="2"/>
  <c r="B978" i="2"/>
  <c r="B965" i="2"/>
  <c r="A950" i="2"/>
  <c r="A936" i="2"/>
  <c r="A918" i="2"/>
  <c r="B904" i="2"/>
  <c r="B889" i="2"/>
  <c r="B874" i="2"/>
  <c r="A860" i="2"/>
  <c r="B843" i="2"/>
  <c r="B828" i="2"/>
  <c r="A813" i="2"/>
  <c r="A800" i="2"/>
  <c r="B784" i="2"/>
  <c r="A768" i="2"/>
  <c r="A753" i="2"/>
  <c r="B738" i="2"/>
  <c r="B724" i="2"/>
  <c r="B708" i="2"/>
  <c r="B693" i="2"/>
  <c r="B677" i="2"/>
  <c r="A663" i="2"/>
  <c r="B647" i="2"/>
  <c r="A633" i="2"/>
  <c r="B617" i="2"/>
  <c r="B604" i="2"/>
  <c r="B592" i="2"/>
  <c r="B578" i="2"/>
  <c r="A566" i="2"/>
  <c r="A550" i="2"/>
  <c r="B537" i="2"/>
  <c r="B523" i="2"/>
  <c r="A510" i="2"/>
  <c r="A497" i="2"/>
  <c r="B481" i="2"/>
  <c r="A468" i="2"/>
  <c r="A454" i="2"/>
  <c r="A442" i="2"/>
  <c r="A428" i="2"/>
  <c r="B413" i="2"/>
  <c r="B399" i="2"/>
  <c r="B386" i="2"/>
  <c r="A374" i="2"/>
  <c r="B359" i="2"/>
  <c r="A345" i="2"/>
  <c r="B330" i="2"/>
  <c r="B317" i="2"/>
  <c r="B303" i="2"/>
  <c r="B290" i="2"/>
  <c r="A276" i="2"/>
  <c r="A264" i="2"/>
  <c r="A253" i="2"/>
  <c r="A240" i="2"/>
  <c r="B228" i="2"/>
  <c r="B213" i="2"/>
  <c r="A202" i="2"/>
  <c r="A189" i="2"/>
  <c r="A177" i="2"/>
  <c r="A165" i="2"/>
  <c r="A151" i="2"/>
  <c r="A139" i="2"/>
  <c r="A126" i="2"/>
  <c r="A115" i="2"/>
  <c r="A102" i="2"/>
  <c r="A89" i="2"/>
  <c r="B75" i="2"/>
  <c r="B63" i="2"/>
  <c r="A52" i="2"/>
  <c r="A39" i="2"/>
  <c r="A26" i="2"/>
  <c r="A13" i="2"/>
  <c r="A1" i="2"/>
  <c r="B2095" i="1"/>
  <c r="A2089" i="1"/>
  <c r="B2042" i="1"/>
  <c r="A2030" i="1"/>
  <c r="B2025" i="1"/>
  <c r="B1937" i="1"/>
  <c r="B1799" i="1"/>
  <c r="B1625" i="1"/>
  <c r="B2020" i="1"/>
  <c r="A1853" i="1"/>
  <c r="A1709" i="1"/>
  <c r="A2116" i="1"/>
  <c r="B1884" i="1"/>
  <c r="B1740" i="1"/>
  <c r="B1578" i="1"/>
  <c r="A1980" i="1"/>
  <c r="A1818" i="1"/>
  <c r="A1662" i="1"/>
  <c r="A2063" i="1"/>
  <c r="B1891" i="1"/>
  <c r="B1753" i="1"/>
  <c r="B1597" i="1"/>
  <c r="A1921" i="1"/>
  <c r="A1765" i="1"/>
  <c r="A1621" i="1"/>
  <c r="B1904" i="1"/>
  <c r="B1616" i="1"/>
  <c r="A1411" i="1"/>
  <c r="A1267" i="1"/>
  <c r="A1868" i="1"/>
  <c r="A1592" i="1"/>
  <c r="B1436" i="1"/>
  <c r="B1286" i="1"/>
  <c r="B1887" i="1"/>
  <c r="B1635" i="1"/>
  <c r="A1460" i="1"/>
  <c r="A1316" i="1"/>
  <c r="A1911" i="1"/>
  <c r="A1659" i="1"/>
  <c r="B1467" i="1"/>
  <c r="B1341" i="1"/>
  <c r="B1966" i="1"/>
  <c r="B1678" i="1"/>
  <c r="A1491" i="1"/>
  <c r="A1365" i="1"/>
  <c r="B2088" i="1"/>
  <c r="A1774" i="1"/>
  <c r="B1528" i="1"/>
  <c r="B1402" i="1"/>
  <c r="B1282" i="1"/>
  <c r="B1598" i="1"/>
  <c r="A1318" i="1"/>
  <c r="B1146" i="1"/>
  <c r="B1032" i="1"/>
  <c r="A1718" i="1"/>
  <c r="B1385" i="1"/>
  <c r="A1218" i="1"/>
  <c r="A1086" i="1"/>
  <c r="A978" i="1"/>
  <c r="B1617" i="1"/>
  <c r="A1617" i="1"/>
  <c r="B1392" i="1"/>
  <c r="A1195" i="1"/>
  <c r="A1087" i="1"/>
  <c r="A973" i="1"/>
  <c r="B1588" i="1"/>
  <c r="A1380" i="1"/>
  <c r="B1184" i="1"/>
  <c r="B1076" i="1"/>
  <c r="B1992" i="1"/>
  <c r="B1531" i="1"/>
  <c r="B1327" i="1"/>
  <c r="A1166" i="1"/>
  <c r="A1058" i="1"/>
  <c r="A944" i="1"/>
  <c r="A2105" i="1"/>
  <c r="A1451" i="1"/>
  <c r="A1744" i="1"/>
  <c r="B1278" i="1"/>
  <c r="A1563" i="1"/>
  <c r="A1864" i="1"/>
  <c r="A1313" i="1"/>
  <c r="A1248" i="1"/>
  <c r="A1047" i="1"/>
  <c r="B907" i="1"/>
  <c r="B1265" i="1"/>
  <c r="B1067" i="1"/>
  <c r="A1540" i="1"/>
  <c r="B1114" i="1"/>
  <c r="A921" i="1"/>
  <c r="B1367" i="1"/>
  <c r="A1107" i="1"/>
  <c r="B924" i="1"/>
  <c r="A1754" i="1"/>
  <c r="B1217" i="1"/>
  <c r="B1006" i="1"/>
  <c r="B1193" i="1"/>
  <c r="B884" i="1"/>
  <c r="B753" i="1"/>
  <c r="B639" i="1"/>
  <c r="B519" i="1"/>
  <c r="B1253" i="1"/>
  <c r="A943" i="1"/>
  <c r="A801" i="1"/>
  <c r="A687" i="1"/>
  <c r="A567" i="1"/>
  <c r="A1946" i="1"/>
  <c r="A1083" i="1"/>
  <c r="B887" i="1"/>
  <c r="B778" i="1"/>
  <c r="B658" i="1"/>
  <c r="B556" i="1"/>
  <c r="A1157" i="1"/>
  <c r="A914" i="1"/>
  <c r="B785" i="1"/>
  <c r="B665" i="1"/>
  <c r="B563" i="1"/>
  <c r="A1145" i="1"/>
  <c r="A808" i="1"/>
  <c r="B637" i="1"/>
  <c r="A466" i="1"/>
  <c r="A1060" i="1"/>
  <c r="B806" i="1"/>
  <c r="B644" i="1"/>
  <c r="A485" i="1"/>
  <c r="A359" i="1"/>
  <c r="B1552" i="1"/>
  <c r="A838" i="1"/>
  <c r="A676" i="1"/>
  <c r="A503" i="1"/>
  <c r="A384" i="1"/>
  <c r="A2086" i="1"/>
  <c r="A977" i="1"/>
  <c r="A757" i="1"/>
  <c r="A593" i="1"/>
  <c r="B433" i="1"/>
  <c r="B331" i="1"/>
  <c r="A1019" i="1"/>
  <c r="B810" i="1"/>
  <c r="B632" i="1"/>
  <c r="B476" i="1"/>
  <c r="A375" i="1"/>
  <c r="A982" i="1"/>
  <c r="A690" i="1"/>
  <c r="B453" i="1"/>
  <c r="B266" i="1"/>
  <c r="B164" i="1"/>
  <c r="B1845" i="1"/>
  <c r="A764" i="1"/>
  <c r="A463" i="1"/>
  <c r="A277" i="1"/>
  <c r="A176" i="1"/>
  <c r="B1057" i="1"/>
  <c r="A751" i="1"/>
  <c r="B442" i="1"/>
  <c r="A278" i="1"/>
  <c r="B178" i="1"/>
  <c r="B46" i="1"/>
  <c r="B769" i="1"/>
  <c r="B484" i="1"/>
  <c r="A304" i="1"/>
  <c r="A190" i="1"/>
  <c r="B1269" i="1"/>
  <c r="A780" i="1"/>
  <c r="B509" i="1"/>
  <c r="A314" i="1"/>
  <c r="B199" i="1"/>
  <c r="A1869" i="1"/>
  <c r="A499" i="1"/>
  <c r="A207" i="1"/>
  <c r="A26" i="1"/>
  <c r="A602" i="1"/>
  <c r="B219" i="1"/>
  <c r="A56" i="1"/>
  <c r="B818" i="1"/>
  <c r="B434" i="1"/>
  <c r="B186" i="1"/>
  <c r="A3" i="1"/>
  <c r="A344" i="1"/>
  <c r="B973" i="1"/>
  <c r="B904" i="1"/>
  <c r="B406" i="1"/>
  <c r="B161" i="1"/>
  <c r="B4" i="1"/>
  <c r="B347" i="1"/>
  <c r="A16" i="1"/>
  <c r="A668" i="1"/>
  <c r="B261" i="1"/>
  <c r="A109" i="1"/>
  <c r="B836" i="1"/>
  <c r="B203" i="1"/>
  <c r="A983" i="1"/>
  <c r="B535" i="1"/>
  <c r="B269" i="1"/>
  <c r="A117" i="1"/>
  <c r="A725" i="1"/>
  <c r="A193" i="1"/>
  <c r="A642" i="1"/>
  <c r="A29" i="1"/>
  <c r="B111" i="1"/>
  <c r="A138" i="1"/>
  <c r="A62" i="1"/>
  <c r="A1343" i="1"/>
  <c r="A171" i="1"/>
  <c r="A163" i="1"/>
  <c r="A716" i="1"/>
  <c r="B6" i="1"/>
  <c r="A237" i="1"/>
  <c r="A23" i="1"/>
  <c r="A614" i="1"/>
  <c r="A162" i="1"/>
  <c r="B387" i="1"/>
  <c r="A44" i="1"/>
  <c r="A4096" i="4"/>
  <c r="B2310" i="4"/>
  <c r="A791" i="4"/>
  <c r="B233" i="4"/>
  <c r="A3038" i="3"/>
  <c r="A2828" i="3"/>
  <c r="A2643" i="3"/>
  <c r="A2380" i="3"/>
  <c r="B2208" i="3"/>
  <c r="A1977" i="3"/>
  <c r="B1831" i="3"/>
  <c r="B1692" i="3"/>
  <c r="B1557" i="3"/>
  <c r="A1429" i="3"/>
  <c r="A1309" i="3"/>
  <c r="B1208" i="3"/>
  <c r="A1122" i="3"/>
  <c r="A1035" i="3"/>
  <c r="B945" i="3"/>
  <c r="B864" i="3"/>
  <c r="A787" i="3"/>
  <c r="A710" i="3"/>
  <c r="A633" i="3"/>
  <c r="B522" i="3"/>
  <c r="A453" i="3"/>
  <c r="A386" i="3"/>
  <c r="B318" i="3"/>
  <c r="A251" i="3"/>
  <c r="A190" i="3"/>
  <c r="B133" i="3"/>
  <c r="A79" i="3"/>
  <c r="B21" i="3"/>
  <c r="A4420" i="2"/>
  <c r="B4363" i="2"/>
  <c r="A4307" i="2"/>
  <c r="B4252" i="2"/>
  <c r="A4195" i="2"/>
  <c r="A4142" i="2"/>
  <c r="B4115" i="2"/>
  <c r="A4061" i="2"/>
  <c r="A4006" i="2"/>
  <c r="B3949" i="2"/>
  <c r="B3894" i="2"/>
  <c r="A3866" i="2"/>
  <c r="B3810" i="2"/>
  <c r="A3754" i="2"/>
  <c r="A3700" i="2"/>
  <c r="B3642" i="2"/>
  <c r="A3592" i="2"/>
  <c r="B3541" i="2"/>
  <c r="B3498" i="2"/>
  <c r="B3454" i="2"/>
  <c r="A3408" i="2"/>
  <c r="A3364" i="2"/>
  <c r="A3318" i="2"/>
  <c r="A3274" i="2"/>
  <c r="A3230" i="2"/>
  <c r="A3206" i="2"/>
  <c r="A3164" i="2"/>
  <c r="A3119" i="2"/>
  <c r="A3073" i="2"/>
  <c r="B3028" i="2"/>
  <c r="A3007" i="2"/>
  <c r="B2963" i="2"/>
  <c r="B2915" i="2"/>
  <c r="A2871" i="2"/>
  <c r="A2829" i="2"/>
  <c r="B2783" i="2"/>
  <c r="A2737" i="2"/>
  <c r="B2693" i="2"/>
  <c r="A2648" i="2"/>
  <c r="A2603" i="2"/>
  <c r="A2564" i="2"/>
  <c r="B2526" i="2"/>
  <c r="A2488" i="2"/>
  <c r="B2451" i="2"/>
  <c r="B2414" i="2"/>
  <c r="B2377" i="2"/>
  <c r="B2341" i="2"/>
  <c r="B3761" i="4"/>
  <c r="A2730" i="4"/>
  <c r="B2124" i="4"/>
  <c r="A1517" i="4"/>
  <c r="B1059" i="4"/>
  <c r="B662" i="4"/>
  <c r="B366" i="4"/>
  <c r="A168" i="4"/>
  <c r="A39" i="4"/>
  <c r="B3002" i="3"/>
  <c r="A2899" i="3"/>
  <c r="B2796" i="3"/>
  <c r="B2704" i="3"/>
  <c r="B2610" i="3"/>
  <c r="A2525" i="3"/>
  <c r="A2433" i="3"/>
  <c r="B2352" i="3"/>
  <c r="B2262" i="3"/>
  <c r="A2191" i="3"/>
  <c r="A2102" i="3"/>
  <c r="A2029" i="3"/>
  <c r="A1948" i="3"/>
  <c r="B1875" i="3"/>
  <c r="B1803" i="3"/>
  <c r="B1734" i="3"/>
  <c r="A1665" i="3"/>
  <c r="A1599" i="3"/>
  <c r="A1530" i="3"/>
  <c r="B1470" i="3"/>
  <c r="A1405" i="3"/>
  <c r="A1348" i="3"/>
  <c r="A1286" i="3"/>
  <c r="A1242" i="3"/>
  <c r="A1192" i="3"/>
  <c r="B1152" i="3"/>
  <c r="B1105" i="3"/>
  <c r="A1062" i="3"/>
  <c r="A1017" i="3"/>
  <c r="B974" i="3"/>
  <c r="A930" i="3"/>
  <c r="A889" i="3"/>
  <c r="B848" i="3"/>
  <c r="B811" i="3"/>
  <c r="A771" i="3"/>
  <c r="B734" i="3"/>
  <c r="A694" i="3"/>
  <c r="B657" i="3"/>
  <c r="B618" i="3"/>
  <c r="A582" i="3"/>
  <c r="A542" i="3"/>
  <c r="A511" i="3"/>
  <c r="A475" i="3"/>
  <c r="A441" i="3"/>
  <c r="A406" i="3"/>
  <c r="A374" i="3"/>
  <c r="A338" i="3"/>
  <c r="B306" i="3"/>
  <c r="A271" i="3"/>
  <c r="A239" i="3"/>
  <c r="A210" i="3"/>
  <c r="A182" i="3"/>
  <c r="B152" i="3"/>
  <c r="A126" i="3"/>
  <c r="A98" i="3"/>
  <c r="A72" i="3"/>
  <c r="A40" i="3"/>
  <c r="A18" i="3"/>
  <c r="A4436" i="2"/>
  <c r="B4410" i="2"/>
  <c r="A4380" i="2"/>
  <c r="A4356" i="2"/>
  <c r="B4326" i="2"/>
  <c r="A4299" i="2"/>
  <c r="B4271" i="2"/>
  <c r="A4245" i="2"/>
  <c r="B4213" i="2"/>
  <c r="A4191" i="2"/>
  <c r="A4160" i="2"/>
  <c r="A4134" i="2"/>
  <c r="A4104" i="2"/>
  <c r="B4079" i="2"/>
  <c r="A4050" i="2"/>
  <c r="A4022" i="2"/>
  <c r="B3995" i="2"/>
  <c r="A3968" i="2"/>
  <c r="B3937" i="2"/>
  <c r="A3914" i="2"/>
  <c r="A3883" i="2"/>
  <c r="A3858" i="2"/>
  <c r="B3827" i="2"/>
  <c r="A3803" i="2"/>
  <c r="B3773" i="2"/>
  <c r="B3745" i="2"/>
  <c r="A3719" i="2"/>
  <c r="A3692" i="2"/>
  <c r="A3661" i="2"/>
  <c r="B3637" i="2"/>
  <c r="A3607" i="2"/>
  <c r="B3583" i="2"/>
  <c r="B3556" i="2"/>
  <c r="A3535" i="2"/>
  <c r="B3511" i="2"/>
  <c r="A3490" i="2"/>
  <c r="A3468" i="2"/>
  <c r="B3443" i="2"/>
  <c r="B3424" i="2"/>
  <c r="A3402" i="2"/>
  <c r="B3376" i="2"/>
  <c r="B3355" i="2"/>
  <c r="A3333" i="2"/>
  <c r="A3311" i="2"/>
  <c r="B3289" i="2"/>
  <c r="A3266" i="2"/>
  <c r="A3245" i="2"/>
  <c r="A3221" i="2"/>
  <c r="A3199" i="2"/>
  <c r="B3175" i="2"/>
  <c r="A3154" i="2"/>
  <c r="A3133" i="2"/>
  <c r="A3109" i="2"/>
  <c r="A3089" i="2"/>
  <c r="A3066" i="2"/>
  <c r="A3041" i="2"/>
  <c r="A3020" i="2"/>
  <c r="A2999" i="2"/>
  <c r="A2976" i="2"/>
  <c r="A2954" i="2"/>
  <c r="A2931" i="2"/>
  <c r="A2909" i="2"/>
  <c r="B2885" i="2"/>
  <c r="A2865" i="2"/>
  <c r="A2842" i="2"/>
  <c r="B2819" i="2"/>
  <c r="A2798" i="2"/>
  <c r="B2773" i="2"/>
  <c r="A2753" i="2"/>
  <c r="A2731" i="2"/>
  <c r="B2705" i="2"/>
  <c r="A2686" i="2"/>
  <c r="B2663" i="2"/>
  <c r="A2641" i="2"/>
  <c r="A2619" i="2"/>
  <c r="A2596" i="2"/>
  <c r="A2576" i="2"/>
  <c r="A2556" i="2"/>
  <c r="B2538" i="2"/>
  <c r="A2519" i="2"/>
  <c r="B2500" i="2"/>
  <c r="B2482" i="2"/>
  <c r="B2462" i="2"/>
  <c r="A2446" i="2"/>
  <c r="B2427" i="2"/>
  <c r="A2406" i="2"/>
  <c r="B2389" i="2"/>
  <c r="A2370" i="2"/>
  <c r="B2351" i="2"/>
  <c r="A2334" i="2"/>
  <c r="B2314" i="2"/>
  <c r="B2296" i="2"/>
  <c r="A2277" i="2"/>
  <c r="A2259" i="2"/>
  <c r="B2239" i="2"/>
  <c r="B2220" i="2"/>
  <c r="A2204" i="2"/>
  <c r="B2183" i="2"/>
  <c r="B2166" i="2"/>
  <c r="B2147" i="2"/>
  <c r="A2127" i="2"/>
  <c r="B2109" i="2"/>
  <c r="B2091" i="2"/>
  <c r="A2073" i="2"/>
  <c r="A2055" i="2"/>
  <c r="B2035" i="2"/>
  <c r="B2016" i="2"/>
  <c r="A1997" i="2"/>
  <c r="A1980" i="2"/>
  <c r="B1960" i="2"/>
  <c r="A1942" i="2"/>
  <c r="B1924" i="2"/>
  <c r="B1906" i="2"/>
  <c r="B1889" i="2"/>
  <c r="A1872" i="2"/>
  <c r="B1856" i="2"/>
  <c r="A1840" i="2"/>
  <c r="A1823" i="2"/>
  <c r="B1805" i="2"/>
  <c r="B1787" i="2"/>
  <c r="B1773" i="2"/>
  <c r="B1755" i="2"/>
  <c r="B1740" i="2"/>
  <c r="A1721" i="2"/>
  <c r="A1706" i="2"/>
  <c r="B1689" i="2"/>
  <c r="B1672" i="2"/>
  <c r="A1656" i="2"/>
  <c r="A1637" i="2"/>
  <c r="B1621" i="2"/>
  <c r="A1604" i="2"/>
  <c r="B1589" i="2"/>
  <c r="B1572" i="2"/>
  <c r="B1554" i="2"/>
  <c r="B1538" i="2"/>
  <c r="B1520" i="2"/>
  <c r="B1505" i="2"/>
  <c r="B1487" i="2"/>
  <c r="B1470" i="2"/>
  <c r="A1455" i="2"/>
  <c r="B1440" i="2"/>
  <c r="B1426" i="2"/>
  <c r="B1410" i="2"/>
  <c r="A1395" i="2"/>
  <c r="A1379" i="2"/>
  <c r="A1366" i="2"/>
  <c r="A1350" i="2"/>
  <c r="B1336" i="2"/>
  <c r="A1319" i="2"/>
  <c r="A1305" i="2"/>
  <c r="B1290" i="2"/>
  <c r="B1275" i="2"/>
  <c r="B1260" i="2"/>
  <c r="A1244" i="2"/>
  <c r="B1229" i="2"/>
  <c r="B1213" i="2"/>
  <c r="A1200" i="2"/>
  <c r="A1186" i="2"/>
  <c r="A1169" i="2"/>
  <c r="B1154" i="2"/>
  <c r="A1139" i="2"/>
  <c r="B1125" i="2"/>
  <c r="B1109" i="2"/>
  <c r="A1094" i="2"/>
  <c r="A1078" i="2"/>
  <c r="A1064" i="2"/>
  <c r="A1049" i="2"/>
  <c r="A1034" i="2"/>
  <c r="A1018" i="2"/>
  <c r="A1002" i="2"/>
  <c r="A989" i="2"/>
  <c r="B973" i="2"/>
  <c r="B959" i="2"/>
  <c r="A942" i="2"/>
  <c r="B928" i="2"/>
  <c r="A914" i="2"/>
  <c r="A898" i="2"/>
  <c r="A884" i="2"/>
  <c r="B866" i="2"/>
  <c r="A852" i="2"/>
  <c r="A837" i="2"/>
  <c r="A824" i="2"/>
  <c r="A809" i="2"/>
  <c r="A792" i="2"/>
  <c r="A778" i="2"/>
  <c r="B761" i="2"/>
  <c r="A748" i="2"/>
  <c r="B732" i="2"/>
  <c r="A717" i="2"/>
  <c r="A701" i="2"/>
  <c r="A687" i="2"/>
  <c r="A672" i="2"/>
  <c r="B656" i="2"/>
  <c r="A641" i="2"/>
  <c r="A626" i="2"/>
  <c r="B614" i="2"/>
  <c r="B599" i="2"/>
  <c r="A587" i="2"/>
  <c r="B571" i="2"/>
  <c r="B558" i="2"/>
  <c r="B545" i="2"/>
  <c r="B531" i="2"/>
  <c r="B518" i="2"/>
  <c r="A503" i="2"/>
  <c r="A490" i="2"/>
  <c r="B475" i="2"/>
  <c r="A464" i="2"/>
  <c r="B450" i="2"/>
  <c r="A435" i="2"/>
  <c r="A422" i="2"/>
  <c r="B407" i="2"/>
  <c r="A395" i="2"/>
  <c r="A381" i="2"/>
  <c r="B366" i="2"/>
  <c r="B352" i="2"/>
  <c r="B339" i="2"/>
  <c r="B326" i="2"/>
  <c r="B311" i="2"/>
  <c r="B297" i="2"/>
  <c r="B283" i="2"/>
  <c r="B272" i="2"/>
  <c r="B259" i="2"/>
  <c r="A248" i="2"/>
  <c r="B233" i="2"/>
  <c r="A222" i="2"/>
  <c r="A210" i="2"/>
  <c r="A197" i="2"/>
  <c r="A185" i="2"/>
  <c r="B170" i="2"/>
  <c r="B158" i="2"/>
  <c r="B145" i="2"/>
  <c r="B134" i="2"/>
  <c r="B122" i="2"/>
  <c r="B108" i="2"/>
  <c r="B96" i="2"/>
  <c r="B83" i="2"/>
  <c r="A72" i="2"/>
  <c r="A59" i="2"/>
  <c r="B45" i="2"/>
  <c r="B32" i="2"/>
  <c r="B20" i="2"/>
  <c r="B8" i="2"/>
  <c r="A2064" i="1"/>
  <c r="B2029" i="1"/>
  <c r="A2011" i="1"/>
  <c r="B2006" i="1"/>
  <c r="B2103" i="1"/>
  <c r="A2085" i="1"/>
  <c r="B1859" i="1"/>
  <c r="B1721" i="1"/>
  <c r="B1577" i="1"/>
  <c r="A1943" i="1"/>
  <c r="A1799" i="1"/>
  <c r="A1631" i="1"/>
  <c r="B1974" i="1"/>
  <c r="B1818" i="1"/>
  <c r="B1686" i="1"/>
  <c r="B2123" i="1"/>
  <c r="A1896" i="1"/>
  <c r="A1752" i="1"/>
  <c r="A1596" i="1"/>
  <c r="A1986" i="1"/>
  <c r="B1831" i="1"/>
  <c r="B1675" i="1"/>
  <c r="B2022" i="1"/>
  <c r="A1855" i="1"/>
  <c r="A1711" i="1"/>
  <c r="A1555" i="1"/>
  <c r="B1772" i="1"/>
  <c r="A1501" i="1"/>
  <c r="A1369" i="1"/>
  <c r="B2026" i="1"/>
  <c r="A1760" i="1"/>
  <c r="B1508" i="1"/>
  <c r="B1364" i="1"/>
  <c r="B1244" i="1"/>
  <c r="B1803" i="1"/>
  <c r="B1542" i="1"/>
  <c r="A1388" i="1"/>
  <c r="A1262" i="1"/>
  <c r="A1815" i="1"/>
  <c r="B1562" i="1"/>
  <c r="B1431" i="1"/>
  <c r="B1293" i="1"/>
  <c r="B1846" i="1"/>
  <c r="B1594" i="1"/>
  <c r="A1455" i="1"/>
  <c r="A1323" i="1"/>
  <c r="A1906" i="1"/>
  <c r="A1654" i="1"/>
  <c r="B1474" i="1"/>
  <c r="B1360" i="1"/>
  <c r="B1910" i="1"/>
  <c r="A1438" i="1"/>
  <c r="B1224" i="1"/>
  <c r="B1110" i="1"/>
  <c r="B2014" i="1"/>
  <c r="B1529" i="1"/>
  <c r="B1289" i="1"/>
  <c r="A1158" i="1"/>
  <c r="A1050" i="1"/>
  <c r="B1905" i="1"/>
  <c r="A1905" i="1"/>
  <c r="B1500" i="1"/>
  <c r="B1266" i="1"/>
  <c r="A1159" i="1"/>
  <c r="A1045" i="1"/>
  <c r="B1876" i="1"/>
  <c r="A1488" i="1"/>
  <c r="A1264" i="1"/>
  <c r="B1148" i="1"/>
  <c r="B1034" i="1"/>
  <c r="A1804" i="1"/>
  <c r="B1435" i="1"/>
  <c r="A1238" i="1"/>
  <c r="A1130" i="1"/>
  <c r="A1016" i="1"/>
  <c r="B1658" i="1"/>
  <c r="B1744" i="1"/>
  <c r="A1245" i="1"/>
  <c r="A1529" i="1"/>
  <c r="A1199" i="1"/>
  <c r="A1432" i="1"/>
  <c r="B1494" i="1"/>
  <c r="B1465" i="1"/>
  <c r="B1187" i="1"/>
  <c r="B993" i="1"/>
  <c r="B1730" i="1"/>
  <c r="A1143" i="1"/>
  <c r="A948" i="1"/>
  <c r="A1276" i="1"/>
  <c r="B1042" i="1"/>
  <c r="A873" i="1"/>
  <c r="A1205" i="1"/>
  <c r="A1025" i="1"/>
  <c r="B888" i="1"/>
  <c r="A1367" i="1"/>
  <c r="B1119" i="1"/>
  <c r="A942" i="1"/>
  <c r="B1003" i="1"/>
  <c r="B825" i="1"/>
  <c r="B711" i="1"/>
  <c r="B591" i="1"/>
  <c r="B1893" i="1"/>
  <c r="A1091" i="1"/>
  <c r="A884" i="1"/>
  <c r="A759" i="1"/>
  <c r="A639" i="1"/>
  <c r="A519" i="1"/>
  <c r="A1348" i="1"/>
  <c r="B1009" i="1"/>
  <c r="A847" i="1"/>
  <c r="B730" i="1"/>
  <c r="B610" i="1"/>
  <c r="B496" i="1"/>
  <c r="A1012" i="1"/>
  <c r="B859" i="1"/>
  <c r="B737" i="1"/>
  <c r="B617" i="1"/>
  <c r="B1499" i="1"/>
  <c r="A954" i="1"/>
  <c r="B745" i="1"/>
  <c r="B565" i="1"/>
  <c r="A1797" i="1"/>
  <c r="A910" i="1"/>
  <c r="B752" i="1"/>
  <c r="B588" i="1"/>
  <c r="A431" i="1"/>
  <c r="A311" i="1"/>
  <c r="A1090" i="1"/>
  <c r="A784" i="1"/>
  <c r="B613" i="1"/>
  <c r="A456" i="1"/>
  <c r="A336" i="1"/>
  <c r="B1227" i="1"/>
  <c r="B902" i="1"/>
  <c r="A701" i="1"/>
  <c r="A521" i="1"/>
  <c r="B385" i="1"/>
  <c r="A1898" i="1"/>
  <c r="B929" i="1"/>
  <c r="B740" i="1"/>
  <c r="B560" i="1"/>
  <c r="A429" i="1"/>
  <c r="A315" i="1"/>
  <c r="A866" i="1"/>
  <c r="A582" i="1"/>
  <c r="B364" i="1"/>
  <c r="B218" i="1"/>
  <c r="B104" i="1"/>
  <c r="B1131" i="1"/>
  <c r="A656" i="1"/>
  <c r="B380" i="1"/>
  <c r="A230" i="1"/>
  <c r="A116" i="1"/>
  <c r="A966" i="1"/>
  <c r="A643" i="1"/>
  <c r="B376" i="1"/>
  <c r="B232" i="1"/>
  <c r="B118" i="1"/>
  <c r="A1084" i="1"/>
  <c r="B661" i="1"/>
  <c r="A412" i="1"/>
  <c r="A244" i="1"/>
  <c r="A130" i="1"/>
  <c r="B1071" i="1"/>
  <c r="A672" i="1"/>
  <c r="A422" i="1"/>
  <c r="B253" i="1"/>
  <c r="B139" i="1"/>
  <c r="B938" i="1"/>
  <c r="A379" i="1"/>
  <c r="A133" i="1"/>
  <c r="A864" i="1"/>
  <c r="B388" i="1"/>
  <c r="B149" i="1"/>
  <c r="B9" i="1"/>
  <c r="B654" i="1"/>
  <c r="A289" i="1"/>
  <c r="A81" i="1"/>
  <c r="A786" i="1"/>
  <c r="B198" i="1"/>
  <c r="A796" i="1"/>
  <c r="A596" i="1"/>
  <c r="B286" i="1"/>
  <c r="A79" i="1"/>
  <c r="B823" i="1"/>
  <c r="A192" i="1"/>
  <c r="B1235" i="1"/>
  <c r="B414" i="1"/>
  <c r="B191" i="1"/>
  <c r="A48" i="1"/>
  <c r="B467" i="1"/>
  <c r="A19" i="1"/>
  <c r="A768" i="1"/>
  <c r="B426" i="1"/>
  <c r="A222" i="1"/>
  <c r="B65" i="1"/>
  <c r="B324" i="1"/>
  <c r="A31" i="1"/>
  <c r="B210" i="1"/>
  <c r="B546" i="1"/>
  <c r="B171" i="1"/>
  <c r="A302" i="1"/>
  <c r="B297" i="5"/>
  <c r="B2766" i="4"/>
  <c r="A1690" i="4"/>
  <c r="B892" i="4"/>
  <c r="B353" i="4"/>
  <c r="A69" i="4"/>
  <c r="B2959" i="3"/>
  <c r="B2775" i="3"/>
  <c r="B2618" i="3"/>
  <c r="B2454" i="3"/>
  <c r="A2322" i="3"/>
  <c r="A2188" i="3"/>
  <c r="A2036" i="3"/>
  <c r="B1926" i="3"/>
  <c r="A1780" i="3"/>
  <c r="B1670" i="3"/>
  <c r="B1556" i="3"/>
  <c r="A1444" i="3"/>
  <c r="A1345" i="3"/>
  <c r="A1245" i="3"/>
  <c r="B1176" i="3"/>
  <c r="A1094" i="3"/>
  <c r="A1018" i="3"/>
  <c r="B942" i="3"/>
  <c r="A874" i="3"/>
  <c r="B810" i="3"/>
  <c r="A740" i="3"/>
  <c r="A681" i="3"/>
  <c r="B608" i="3"/>
  <c r="B542" i="3"/>
  <c r="B488" i="3"/>
  <c r="B429" i="3"/>
  <c r="B373" i="3"/>
  <c r="A310" i="3"/>
  <c r="A261" i="3"/>
  <c r="A203" i="3"/>
  <c r="A156" i="3"/>
  <c r="A108" i="3"/>
  <c r="B61" i="3"/>
  <c r="B14" i="3"/>
  <c r="A4412" i="2"/>
  <c r="A4373" i="2"/>
  <c r="A4320" i="2"/>
  <c r="A4272" i="2"/>
  <c r="B4225" i="2"/>
  <c r="A4178" i="2"/>
  <c r="B4133" i="2"/>
  <c r="A4083" i="2"/>
  <c r="A4040" i="2"/>
  <c r="B3988" i="2"/>
  <c r="A3941" i="2"/>
  <c r="B3892" i="2"/>
  <c r="A3846" i="2"/>
  <c r="A3799" i="2"/>
  <c r="B3750" i="2"/>
  <c r="A3708" i="2"/>
  <c r="A3658" i="2"/>
  <c r="B3607" i="2"/>
  <c r="A3565" i="2"/>
  <c r="B3527" i="2"/>
  <c r="B3486" i="2"/>
  <c r="A3450" i="2"/>
  <c r="A3415" i="2"/>
  <c r="A3373" i="2"/>
  <c r="A3334" i="2"/>
  <c r="B3292" i="2"/>
  <c r="A3259" i="2"/>
  <c r="A3219" i="2"/>
  <c r="B3181" i="2"/>
  <c r="B3145" i="2"/>
  <c r="A3104" i="2"/>
  <c r="B3066" i="2"/>
  <c r="A3025" i="2"/>
  <c r="A2990" i="2"/>
  <c r="A2952" i="2"/>
  <c r="A2914" i="2"/>
  <c r="A2879" i="2"/>
  <c r="B2837" i="2"/>
  <c r="A2799" i="2"/>
  <c r="A2758" i="2"/>
  <c r="A2721" i="2"/>
  <c r="A2684" i="2"/>
  <c r="A2645" i="2"/>
  <c r="A2610" i="2"/>
  <c r="B2570" i="2"/>
  <c r="B2540" i="2"/>
  <c r="A2506" i="2"/>
  <c r="A2475" i="2"/>
  <c r="B2441" i="2"/>
  <c r="B2412" i="2"/>
  <c r="B2381" i="2"/>
  <c r="B2346" i="2"/>
  <c r="B2317" i="2"/>
  <c r="B2288" i="2"/>
  <c r="B2261" i="2"/>
  <c r="B2231" i="2"/>
  <c r="A2205" i="2"/>
  <c r="B2177" i="2"/>
  <c r="A2148" i="2"/>
  <c r="B2121" i="2"/>
  <c r="A2092" i="2"/>
  <c r="B2065" i="2"/>
  <c r="B2037" i="2"/>
  <c r="A2009" i="2"/>
  <c r="B1982" i="2"/>
  <c r="A1952" i="2"/>
  <c r="A1925" i="2"/>
  <c r="B1899" i="2"/>
  <c r="A1874" i="2"/>
  <c r="A1847" i="2"/>
  <c r="B1825" i="2"/>
  <c r="B1799" i="2"/>
  <c r="A1774" i="2"/>
  <c r="A1749" i="2"/>
  <c r="B1723" i="2"/>
  <c r="A1700" i="2"/>
  <c r="A1673" i="2"/>
  <c r="B1647" i="2"/>
  <c r="B1622" i="2"/>
  <c r="A1598" i="2"/>
  <c r="A1575" i="2"/>
  <c r="B1549" i="2"/>
  <c r="B1522" i="2"/>
  <c r="A1497" i="2"/>
  <c r="A1472" i="2"/>
  <c r="A1450" i="2"/>
  <c r="A1428" i="2"/>
  <c r="B1405" i="2"/>
  <c r="B1381" i="2"/>
  <c r="B1358" i="2"/>
  <c r="A1337" i="2"/>
  <c r="B1314" i="2"/>
  <c r="B1291" i="2"/>
  <c r="A1269" i="2"/>
  <c r="B1244" i="2"/>
  <c r="A1224" i="2"/>
  <c r="B1201" i="2"/>
  <c r="B1178" i="2"/>
  <c r="A1156" i="2"/>
  <c r="A1133" i="2"/>
  <c r="A1112" i="2"/>
  <c r="B1087" i="2"/>
  <c r="B1064" i="2"/>
  <c r="B1041" i="2"/>
  <c r="A1020" i="2"/>
  <c r="A999" i="2"/>
  <c r="A976" i="2"/>
  <c r="B951" i="2"/>
  <c r="A929" i="2"/>
  <c r="B905" i="2"/>
  <c r="B884" i="2"/>
  <c r="A863" i="2"/>
  <c r="B839" i="2"/>
  <c r="B815" i="2"/>
  <c r="B792" i="2"/>
  <c r="A772" i="2"/>
  <c r="B748" i="2"/>
  <c r="A726" i="2"/>
  <c r="B702" i="2"/>
  <c r="B678" i="2"/>
  <c r="B658" i="2"/>
  <c r="B635" i="2"/>
  <c r="A615" i="2"/>
  <c r="B594" i="2"/>
  <c r="B573" i="2"/>
  <c r="A554" i="2"/>
  <c r="A532" i="2"/>
  <c r="B511" i="2"/>
  <c r="B490" i="2"/>
  <c r="A471" i="2"/>
  <c r="A452" i="2"/>
  <c r="A431" i="2"/>
  <c r="B408" i="2"/>
  <c r="A388" i="2"/>
  <c r="B367" i="2"/>
  <c r="B347" i="2"/>
  <c r="A328" i="2"/>
  <c r="B307" i="2"/>
  <c r="A285" i="2"/>
  <c r="A266" i="2"/>
  <c r="B248" i="2"/>
  <c r="B229" i="2"/>
  <c r="B210" i="2"/>
  <c r="B191" i="2"/>
  <c r="A171" i="2"/>
  <c r="A154" i="2"/>
  <c r="A135" i="2"/>
  <c r="A116" i="2"/>
  <c r="B97" i="2"/>
  <c r="B78" i="2"/>
  <c r="B60" i="2"/>
  <c r="A40" i="2"/>
  <c r="A21" i="2"/>
  <c r="A2" i="2"/>
  <c r="B2047" i="1"/>
  <c r="B2102" i="1"/>
  <c r="B2127" i="1"/>
  <c r="B1961" i="1"/>
  <c r="B1727" i="1"/>
  <c r="B2044" i="1"/>
  <c r="A1805" i="1"/>
  <c r="A1589" i="1"/>
  <c r="B1848" i="1"/>
  <c r="B1608" i="1"/>
  <c r="A1908" i="1"/>
  <c r="A1698" i="1"/>
  <c r="A1990" i="1"/>
  <c r="B1765" i="1"/>
  <c r="B2058" i="1"/>
  <c r="A1777" i="1"/>
  <c r="A1573" i="1"/>
  <c r="B1676" i="1"/>
  <c r="A1381" i="1"/>
  <c r="A1904" i="1"/>
  <c r="B1514" i="1"/>
  <c r="B1328" i="1"/>
  <c r="B1815" i="1"/>
  <c r="A1472" i="1"/>
  <c r="A1268" i="1"/>
  <c r="A1683" i="1"/>
  <c r="B1437" i="1"/>
  <c r="A2003" i="1"/>
  <c r="B1606" i="1"/>
  <c r="A1389" i="1"/>
  <c r="A1918" i="1"/>
  <c r="A1570" i="1"/>
  <c r="B1372" i="1"/>
  <c r="B1646" i="1"/>
  <c r="B1241" i="1"/>
  <c r="B1050" i="1"/>
  <c r="A1598" i="1"/>
  <c r="A1230" i="1"/>
  <c r="A1056" i="1"/>
  <c r="B1665" i="1"/>
  <c r="B1512" i="1"/>
  <c r="A1231" i="1"/>
  <c r="A1051" i="1"/>
  <c r="B1684" i="1"/>
  <c r="A1266" i="1"/>
  <c r="B1088" i="1"/>
  <c r="A1876" i="1"/>
  <c r="B1351" i="1"/>
  <c r="A1136" i="1"/>
  <c r="A956" i="1"/>
  <c r="B1792" i="1"/>
  <c r="B2028" i="1"/>
  <c r="B1205" i="1"/>
  <c r="B1285" i="1"/>
  <c r="A1493" i="1"/>
  <c r="A1078" i="1"/>
  <c r="B877" i="1"/>
  <c r="A1071" i="1"/>
  <c r="A1349" i="1"/>
  <c r="A933" i="1"/>
  <c r="A1210" i="1"/>
  <c r="A963" i="1"/>
  <c r="A1374" i="1"/>
  <c r="A1041" i="1"/>
  <c r="A1024" i="1"/>
  <c r="B765" i="1"/>
  <c r="B609" i="1"/>
  <c r="A1362" i="1"/>
  <c r="A892" i="1"/>
  <c r="A699" i="1"/>
  <c r="A525" i="1"/>
  <c r="A1168" i="1"/>
  <c r="A851" i="1"/>
  <c r="B682" i="1"/>
  <c r="B502" i="1"/>
  <c r="A924" i="1"/>
  <c r="B755" i="1"/>
  <c r="B575" i="1"/>
  <c r="A964" i="1"/>
  <c r="B655" i="1"/>
  <c r="A1845" i="1"/>
  <c r="B854" i="1"/>
  <c r="B590" i="1"/>
  <c r="A383" i="1"/>
  <c r="B1138" i="1"/>
  <c r="A694" i="1"/>
  <c r="B474" i="1"/>
  <c r="A294" i="1"/>
  <c r="B909" i="1"/>
  <c r="A611" i="1"/>
  <c r="B391" i="1"/>
  <c r="A1162" i="1"/>
  <c r="B756" i="1"/>
  <c r="B499" i="1"/>
  <c r="A321" i="1"/>
  <c r="A724" i="1"/>
  <c r="A391" i="1"/>
  <c r="B176" i="1"/>
  <c r="B1151" i="1"/>
  <c r="A506" i="1"/>
  <c r="A236" i="1"/>
  <c r="B1393" i="1"/>
  <c r="A652" i="1"/>
  <c r="B304" i="1"/>
  <c r="B124" i="1"/>
  <c r="A800" i="1"/>
  <c r="A446" i="1"/>
  <c r="A202" i="1"/>
  <c r="B1099" i="1"/>
  <c r="A527" i="1"/>
  <c r="B259" i="1"/>
  <c r="B109" i="1"/>
  <c r="B435" i="1"/>
  <c r="A92" i="1"/>
  <c r="A745" i="1"/>
  <c r="A213" i="1"/>
  <c r="B3" i="1"/>
  <c r="A517" i="1"/>
  <c r="B114" i="1"/>
  <c r="A691" i="1"/>
  <c r="A22" i="1"/>
  <c r="A818" i="1"/>
  <c r="B264" i="1"/>
  <c r="A50" i="1"/>
  <c r="B270" i="1"/>
  <c r="A1167" i="1"/>
  <c r="A334" i="1"/>
  <c r="A80" i="1"/>
  <c r="B432" i="1"/>
  <c r="A1325" i="1"/>
  <c r="B500" i="1"/>
  <c r="B195" i="1"/>
  <c r="B13" i="1"/>
  <c r="A65" i="1"/>
  <c r="A204" i="1"/>
  <c r="B216" i="1"/>
  <c r="B30" i="1"/>
  <c r="B780" i="1"/>
  <c r="B393" i="1"/>
  <c r="A458" i="1"/>
  <c r="B589" i="1"/>
  <c r="B571" i="1"/>
  <c r="B479" i="1"/>
  <c r="A902" i="1"/>
  <c r="A273" i="1"/>
  <c r="B350" i="1"/>
  <c r="A632" i="1"/>
  <c r="B293" i="5"/>
  <c r="A2689" i="4"/>
  <c r="A1554" i="4"/>
  <c r="B875" i="4"/>
  <c r="B284" i="4"/>
  <c r="B59" i="4"/>
  <c r="B2915" i="3"/>
  <c r="B2767" i="3"/>
  <c r="A2593" i="3"/>
  <c r="A2448" i="3"/>
  <c r="A2318" i="3"/>
  <c r="B2160" i="3"/>
  <c r="A2034" i="3"/>
  <c r="A1892" i="3"/>
  <c r="B1776" i="3"/>
  <c r="B1657" i="3"/>
  <c r="A1543" i="3"/>
  <c r="B1440" i="3"/>
  <c r="A1327" i="3"/>
  <c r="A1244" i="3"/>
  <c r="B1155" i="3"/>
  <c r="B1089" i="3"/>
  <c r="B1010" i="3"/>
  <c r="B933" i="3"/>
  <c r="B867" i="3"/>
  <c r="A799" i="3"/>
  <c r="A738" i="3"/>
  <c r="A664" i="3"/>
  <c r="A608" i="3"/>
  <c r="B540" i="3"/>
  <c r="B480" i="3"/>
  <c r="A426" i="3"/>
  <c r="A363" i="3"/>
  <c r="B309" i="3"/>
  <c r="A247" i="3"/>
  <c r="B201" i="3"/>
  <c r="B147" i="3"/>
  <c r="B99" i="3"/>
  <c r="A56" i="3"/>
  <c r="B6" i="3"/>
  <c r="A4411" i="2"/>
  <c r="B4360" i="2"/>
  <c r="A4318" i="2"/>
  <c r="A4269" i="2"/>
  <c r="A4219" i="2"/>
  <c r="B4176" i="2"/>
  <c r="A4126" i="2"/>
  <c r="A4081" i="2"/>
  <c r="A4027" i="2"/>
  <c r="A3988" i="2"/>
  <c r="B3935" i="2"/>
  <c r="A3888" i="2"/>
  <c r="A3842" i="2"/>
  <c r="A3793" i="2"/>
  <c r="A3750" i="2"/>
  <c r="B3697" i="2"/>
  <c r="B3654" i="2"/>
  <c r="A3606" i="2"/>
  <c r="A3559" i="2"/>
  <c r="A3525" i="2"/>
  <c r="B3485" i="2"/>
  <c r="A3448" i="2"/>
  <c r="A3405" i="2"/>
  <c r="A3371" i="2"/>
  <c r="A3332" i="2"/>
  <c r="A3292" i="2"/>
  <c r="B3258" i="2"/>
  <c r="B3216" i="2"/>
  <c r="B3179" i="2"/>
  <c r="A3137" i="2"/>
  <c r="A3103" i="2"/>
  <c r="B3064" i="2"/>
  <c r="B3024" i="2"/>
  <c r="B2988" i="2"/>
  <c r="A2948" i="2"/>
  <c r="A2913" i="2"/>
  <c r="A2870" i="2"/>
  <c r="B2831" i="2"/>
  <c r="B2797" i="2"/>
  <c r="A2756" i="2"/>
  <c r="A2720" i="2"/>
  <c r="A2680" i="2"/>
  <c r="A2643" i="2"/>
  <c r="A2602" i="2"/>
  <c r="B2567" i="2"/>
  <c r="B2537" i="2"/>
  <c r="A2504" i="2"/>
  <c r="B2474" i="2"/>
  <c r="B2440" i="2"/>
  <c r="B2410" i="2"/>
  <c r="A2376" i="2"/>
  <c r="B2344" i="2"/>
  <c r="A2314" i="2"/>
  <c r="B2284" i="2"/>
  <c r="B2258" i="2"/>
  <c r="B2229" i="2"/>
  <c r="B2203" i="2"/>
  <c r="A2172" i="2"/>
  <c r="A2146" i="2"/>
  <c r="A2116" i="2"/>
  <c r="A2090" i="2"/>
  <c r="A2062" i="2"/>
  <c r="B2034" i="2"/>
  <c r="B2004" i="2"/>
  <c r="B1978" i="2"/>
  <c r="A1950" i="2"/>
  <c r="A1924" i="2"/>
  <c r="B1895" i="2"/>
  <c r="B1871" i="2"/>
  <c r="B1845" i="2"/>
  <c r="B1820" i="2"/>
  <c r="B1795" i="2"/>
  <c r="A1773" i="2"/>
  <c r="A1743" i="2"/>
  <c r="B1720" i="2"/>
  <c r="B1694" i="2"/>
  <c r="A1671" i="2"/>
  <c r="B1644" i="2"/>
  <c r="B1620" i="2"/>
  <c r="B1592" i="2"/>
  <c r="B1568" i="2"/>
  <c r="A1544" i="2"/>
  <c r="A1520" i="2"/>
  <c r="B1493" i="2"/>
  <c r="A1470" i="2"/>
  <c r="B1444" i="2"/>
  <c r="A1426" i="2"/>
  <c r="A1401" i="2"/>
  <c r="B1378" i="2"/>
  <c r="A1355" i="2"/>
  <c r="B1334" i="2"/>
  <c r="B1311" i="2"/>
  <c r="A1290" i="2"/>
  <c r="B1264" i="2"/>
  <c r="B1243" i="2"/>
  <c r="B1219" i="2"/>
  <c r="B1198" i="2"/>
  <c r="A1175" i="2"/>
  <c r="A1154" i="2"/>
  <c r="B1127" i="2"/>
  <c r="A1107" i="2"/>
  <c r="B1085" i="2"/>
  <c r="B1062" i="2"/>
  <c r="A1040" i="2"/>
  <c r="A1017" i="2"/>
  <c r="B992" i="2"/>
  <c r="B972" i="2"/>
  <c r="B949" i="2"/>
  <c r="A927" i="2"/>
  <c r="B903" i="2"/>
  <c r="B881" i="2"/>
  <c r="A858" i="2"/>
  <c r="A836" i="2"/>
  <c r="B812" i="2"/>
  <c r="B766" i="2"/>
  <c r="B747" i="2"/>
  <c r="A722" i="2"/>
  <c r="B700" i="2"/>
  <c r="B676" i="2"/>
  <c r="B654" i="2"/>
  <c r="B632" i="2"/>
  <c r="B613" i="2"/>
  <c r="A590" i="2"/>
  <c r="B570" i="2"/>
  <c r="B549" i="2"/>
  <c r="A531" i="2"/>
  <c r="B509" i="2"/>
  <c r="A489" i="2"/>
  <c r="B466" i="2"/>
  <c r="B446" i="2"/>
  <c r="A426" i="2"/>
  <c r="A407" i="2"/>
  <c r="A386" i="2"/>
  <c r="A366" i="2"/>
  <c r="B342" i="2"/>
  <c r="B325" i="2"/>
  <c r="A303" i="2"/>
  <c r="A283" i="2"/>
  <c r="B263" i="2"/>
  <c r="A246" i="2"/>
  <c r="B227" i="2"/>
  <c r="B209" i="2"/>
  <c r="A188" i="2"/>
  <c r="A170" i="2"/>
  <c r="B150" i="2"/>
  <c r="A133" i="2"/>
  <c r="B113" i="2"/>
  <c r="A96" i="2"/>
  <c r="A74" i="2"/>
  <c r="B56" i="2"/>
  <c r="B38" i="2"/>
  <c r="A20" i="2"/>
  <c r="B2036" i="1"/>
  <c r="B2097" i="1"/>
  <c r="B1931" i="1"/>
  <c r="A2006" i="1"/>
  <c r="B1572" i="1"/>
  <c r="B2010" i="1"/>
  <c r="A1820" i="1"/>
  <c r="A1635" i="1"/>
  <c r="B1522" i="1"/>
  <c r="A1206" i="1"/>
  <c r="A1252" i="1"/>
  <c r="B1696" i="1"/>
  <c r="B1540" i="1"/>
  <c r="B1333" i="1"/>
  <c r="B1234" i="1"/>
  <c r="B1055" i="1"/>
  <c r="A890" i="1"/>
  <c r="A628" i="1"/>
  <c r="A353" i="1"/>
  <c r="A1826" i="1"/>
  <c r="B379" i="1"/>
  <c r="A471" i="1"/>
  <c r="A337" i="1"/>
  <c r="B461" i="1"/>
  <c r="A618" i="1"/>
  <c r="B392" i="1"/>
  <c r="A504" i="1"/>
  <c r="B419" i="1"/>
  <c r="B180" i="1"/>
  <c r="A108" i="1"/>
  <c r="A781" i="1"/>
  <c r="A233" i="1"/>
  <c r="B309" i="1"/>
  <c r="A1215" i="1"/>
  <c r="B1" i="1"/>
  <c r="A210" i="1"/>
  <c r="B365" i="1"/>
  <c r="A362" i="1"/>
  <c r="A199" i="1"/>
  <c r="A1264" i="2"/>
  <c r="B1921" i="1"/>
  <c r="A1183" i="1"/>
  <c r="B1186" i="1"/>
  <c r="A669" i="1"/>
  <c r="B891" i="1"/>
  <c r="A426" i="1"/>
  <c r="A465" i="1"/>
  <c r="A200" i="1"/>
  <c r="B374" i="1"/>
  <c r="A416" i="1"/>
  <c r="A953" i="1"/>
  <c r="A352" i="1"/>
  <c r="B384" i="1"/>
  <c r="B107" i="1"/>
  <c r="B3481" i="2"/>
  <c r="B2029" i="2"/>
  <c r="A1442" i="2"/>
  <c r="B1060" i="2"/>
  <c r="A764" i="2"/>
  <c r="A526" i="2"/>
  <c r="B281" i="2"/>
  <c r="A54" i="2"/>
  <c r="A1727" i="1"/>
  <c r="A1531" i="1"/>
  <c r="B1870" i="1"/>
  <c r="B1998" i="1"/>
  <c r="A1581" i="1"/>
  <c r="B943" i="1"/>
  <c r="B874" i="1"/>
  <c r="B666" i="1"/>
  <c r="B356" i="1"/>
  <c r="A580" i="1"/>
  <c r="B101" i="1"/>
  <c r="B4428" i="2"/>
  <c r="B1851" i="1"/>
  <c r="A1850" i="1"/>
  <c r="B2023" i="1"/>
  <c r="B510" i="1"/>
  <c r="B1052" i="1"/>
  <c r="A347" i="1"/>
  <c r="B122" i="1"/>
  <c r="A920" i="1"/>
  <c r="A877" i="1"/>
  <c r="A229" i="1"/>
  <c r="B156" i="1"/>
  <c r="B291" i="1"/>
  <c r="B137" i="1"/>
  <c r="A3517" i="2"/>
  <c r="A3057" i="2"/>
  <c r="A2789" i="2"/>
  <c r="A2599" i="2"/>
  <c r="A2439" i="2"/>
  <c r="B2308" i="2"/>
  <c r="B2168" i="2"/>
  <c r="B1973" i="2"/>
  <c r="B1817" i="2"/>
  <c r="A1666" i="2"/>
  <c r="B1516" i="2"/>
  <c r="A1354" i="2"/>
  <c r="B1217" i="2"/>
  <c r="B1080" i="2"/>
  <c r="B968" i="2"/>
  <c r="A855" i="2"/>
  <c r="A741" i="2"/>
  <c r="A652" i="2"/>
  <c r="B567" i="2"/>
  <c r="A465" i="2"/>
  <c r="A383" i="2"/>
  <c r="B340" i="2"/>
  <c r="A262" i="2"/>
  <c r="A187" i="2"/>
  <c r="A92" i="2"/>
  <c r="A2088" i="1"/>
  <c r="B1679" i="1"/>
  <c r="B1560" i="1"/>
  <c r="B1699" i="1"/>
  <c r="A1321" i="1"/>
  <c r="B1671" i="1"/>
  <c r="B1371" i="1"/>
  <c r="B1504" i="1"/>
  <c r="B1445" i="1"/>
  <c r="A991" i="1"/>
  <c r="A1636" i="1"/>
  <c r="A1504" i="1"/>
  <c r="A1006" i="1"/>
  <c r="B1144" i="1"/>
  <c r="B723" i="1"/>
  <c r="A663" i="1"/>
  <c r="B640" i="1"/>
  <c r="A1634" i="1"/>
  <c r="A508" i="1"/>
  <c r="A414" i="1"/>
  <c r="B349" i="1"/>
  <c r="A616" i="1"/>
  <c r="B416" i="1"/>
  <c r="B262" i="1"/>
  <c r="A887" i="1"/>
  <c r="A370" i="1"/>
  <c r="A388" i="1"/>
  <c r="A227" i="1"/>
  <c r="A253" i="1"/>
  <c r="B423" i="1"/>
  <c r="A271" i="1"/>
  <c r="B249" i="1"/>
  <c r="A818" i="3"/>
  <c r="A196" i="2"/>
  <c r="B1804" i="1"/>
  <c r="A753" i="1"/>
  <c r="A1492" i="1"/>
  <c r="A363" i="1"/>
  <c r="B692" i="1"/>
  <c r="A666" i="1"/>
  <c r="B317" i="1"/>
  <c r="B165" i="1"/>
  <c r="B1345" i="1"/>
  <c r="A678" i="1"/>
  <c r="A433" i="1"/>
  <c r="A637" i="1"/>
  <c r="B144" i="1"/>
  <c r="B233" i="5"/>
  <c r="B2580" i="4"/>
  <c r="A1540" i="4"/>
  <c r="A774" i="4"/>
  <c r="B274" i="4"/>
  <c r="B38" i="4"/>
  <c r="A2913" i="3"/>
  <c r="A2765" i="3"/>
  <c r="A2592" i="3"/>
  <c r="B2436" i="3"/>
  <c r="A2294" i="3"/>
  <c r="A2160" i="3"/>
  <c r="B2022" i="3"/>
  <c r="A1890" i="3"/>
  <c r="A1776" i="3"/>
  <c r="A1652" i="3"/>
  <c r="B1537" i="3"/>
  <c r="B1422" i="3"/>
  <c r="B1326" i="3"/>
  <c r="A1238" i="3"/>
  <c r="A1155" i="3"/>
  <c r="A1089" i="3"/>
  <c r="B1003" i="3"/>
  <c r="A933" i="3"/>
  <c r="B861" i="3"/>
  <c r="B798" i="3"/>
  <c r="B732" i="3"/>
  <c r="B663" i="3"/>
  <c r="B606" i="3"/>
  <c r="A537" i="3"/>
  <c r="B475" i="3"/>
  <c r="B420" i="3"/>
  <c r="B362" i="3"/>
  <c r="A306" i="3"/>
  <c r="A246" i="3"/>
  <c r="A200" i="3"/>
  <c r="A146" i="3"/>
  <c r="A99" i="3"/>
  <c r="B51" i="3"/>
  <c r="A6" i="3"/>
  <c r="A4410" i="2"/>
  <c r="A4360" i="2"/>
  <c r="A4317" i="2"/>
  <c r="B4264" i="2"/>
  <c r="A4218" i="2"/>
  <c r="A4169" i="2"/>
  <c r="B4122" i="2"/>
  <c r="B4075" i="2"/>
  <c r="B4026" i="2"/>
  <c r="A3984" i="2"/>
  <c r="A3934" i="2"/>
  <c r="A3884" i="2"/>
  <c r="A3838" i="2"/>
  <c r="A3791" i="2"/>
  <c r="A3745" i="2"/>
  <c r="B3695" i="2"/>
  <c r="B3652" i="2"/>
  <c r="B3600" i="2"/>
  <c r="B3558" i="2"/>
  <c r="B3517" i="2"/>
  <c r="A3482" i="2"/>
  <c r="A3443" i="2"/>
  <c r="A3403" i="2"/>
  <c r="B3370" i="2"/>
  <c r="B3328" i="2"/>
  <c r="A3290" i="2"/>
  <c r="A3250" i="2"/>
  <c r="A3216" i="2"/>
  <c r="A3175" i="2"/>
  <c r="A3136" i="2"/>
  <c r="A3102" i="2"/>
  <c r="B3059" i="2"/>
  <c r="B3022" i="2"/>
  <c r="B2982" i="2"/>
  <c r="A2947" i="2"/>
  <c r="A2907" i="2"/>
  <c r="A2868" i="2"/>
  <c r="A2831" i="2"/>
  <c r="A2790" i="2"/>
  <c r="B2755" i="2"/>
  <c r="B2713" i="2"/>
  <c r="A2679" i="2"/>
  <c r="A2638" i="2"/>
  <c r="A2600" i="2"/>
  <c r="A2567" i="2"/>
  <c r="B2532" i="2"/>
  <c r="A2502" i="2"/>
  <c r="B2468" i="2"/>
  <c r="B2439" i="2"/>
  <c r="B2405" i="2"/>
  <c r="B2371" i="2"/>
  <c r="A2344" i="2"/>
  <c r="B2309" i="2"/>
  <c r="B2282" i="2"/>
  <c r="A2253" i="2"/>
  <c r="A2226" i="2"/>
  <c r="B2196" i="2"/>
  <c r="A2170" i="2"/>
  <c r="A2142" i="2"/>
  <c r="A2114" i="2"/>
  <c r="A2087" i="2"/>
  <c r="B2056" i="2"/>
  <c r="A2030" i="2"/>
  <c r="A2003" i="2"/>
  <c r="A1974" i="2"/>
  <c r="B1947" i="2"/>
  <c r="B1917" i="2"/>
  <c r="A1895" i="2"/>
  <c r="B1869" i="2"/>
  <c r="A1844" i="2"/>
  <c r="B1819" i="2"/>
  <c r="B1793" i="2"/>
  <c r="A1769" i="2"/>
  <c r="B1742" i="2"/>
  <c r="B1716" i="2"/>
  <c r="A1692" i="2"/>
  <c r="A1668" i="2"/>
  <c r="A1644" i="2"/>
  <c r="B1618" i="2"/>
  <c r="A1592" i="2"/>
  <c r="A1566" i="2"/>
  <c r="B1541" i="2"/>
  <c r="B1517" i="2"/>
  <c r="A1493" i="2"/>
  <c r="A1468" i="2"/>
  <c r="A1444" i="2"/>
  <c r="A1421" i="2"/>
  <c r="B1400" i="2"/>
  <c r="A1377" i="2"/>
  <c r="B1354" i="2"/>
  <c r="A1331" i="2"/>
  <c r="A1307" i="2"/>
  <c r="A1287" i="2"/>
  <c r="B1218" i="2"/>
  <c r="A1196" i="2"/>
  <c r="A1174" i="2"/>
  <c r="A1150" i="2"/>
  <c r="A1127" i="2"/>
  <c r="A1104" i="2"/>
  <c r="B1082" i="2"/>
  <c r="B1061" i="2"/>
  <c r="B1038" i="2"/>
  <c r="B1014" i="2"/>
  <c r="A992" i="2"/>
  <c r="A969" i="2"/>
  <c r="A947" i="2"/>
  <c r="B925" i="2"/>
  <c r="A903" i="2"/>
  <c r="B878" i="2"/>
  <c r="B855" i="2"/>
  <c r="B834" i="2"/>
  <c r="A812" i="2"/>
  <c r="A789" i="2"/>
  <c r="A766" i="2"/>
  <c r="B741" i="2"/>
  <c r="B721" i="2"/>
  <c r="B675" i="2"/>
  <c r="B653" i="2"/>
  <c r="B630" i="2"/>
  <c r="A611" i="2"/>
  <c r="B589" i="2"/>
  <c r="B568" i="2"/>
  <c r="B547" i="2"/>
  <c r="B527" i="2"/>
  <c r="B508" i="2"/>
  <c r="A488" i="2"/>
  <c r="A466" i="2"/>
  <c r="B445" i="2"/>
  <c r="B424" i="2"/>
  <c r="A405" i="2"/>
  <c r="B385" i="2"/>
  <c r="A364" i="2"/>
  <c r="A342" i="2"/>
  <c r="B321" i="2"/>
  <c r="B302" i="2"/>
  <c r="A282" i="2"/>
  <c r="A263" i="2"/>
  <c r="B223" i="2"/>
  <c r="B206" i="2"/>
  <c r="B187" i="2"/>
  <c r="B168" i="2"/>
  <c r="A150" i="2"/>
  <c r="A131" i="2"/>
  <c r="A113" i="2"/>
  <c r="B92" i="2"/>
  <c r="B73" i="2"/>
  <c r="B36" i="2"/>
  <c r="A19" i="2"/>
  <c r="B1993" i="1"/>
  <c r="B2055" i="1"/>
  <c r="B1697" i="1"/>
  <c r="A2020" i="1"/>
  <c r="A1866" i="1"/>
  <c r="A1969" i="1"/>
  <c r="A1339" i="1"/>
  <c r="B1268" i="1"/>
  <c r="A1623" i="1"/>
  <c r="A1353" i="1"/>
  <c r="B1318" i="1"/>
  <c r="B1008" i="1"/>
  <c r="B2033" i="1"/>
  <c r="B1232" i="1"/>
  <c r="B1259" i="1"/>
  <c r="A1517" i="1"/>
  <c r="B1326" i="1"/>
  <c r="A903" i="1"/>
  <c r="A988" i="1"/>
  <c r="B1133" i="1"/>
  <c r="B802" i="1"/>
  <c r="B707" i="1"/>
  <c r="B788" i="1"/>
  <c r="A1312" i="1"/>
  <c r="B985" i="1"/>
  <c r="A319" i="1"/>
  <c r="B1030" i="1"/>
  <c r="B268" i="1"/>
  <c r="A148" i="1"/>
  <c r="A1250" i="1"/>
  <c r="A174" i="1"/>
  <c r="A90" i="1"/>
  <c r="A617" i="1"/>
  <c r="A1043" i="1"/>
  <c r="A923" i="1"/>
  <c r="B39" i="1"/>
  <c r="A105" i="1"/>
  <c r="A496" i="1"/>
  <c r="A709" i="1"/>
  <c r="A3641" i="2"/>
  <c r="A2945" i="2"/>
  <c r="B2676" i="2"/>
  <c r="B2498" i="2"/>
  <c r="B2336" i="2"/>
  <c r="A2196" i="2"/>
  <c r="A2056" i="2"/>
  <c r="B1892" i="2"/>
  <c r="A1791" i="2"/>
  <c r="A1742" i="2"/>
  <c r="A1643" i="2"/>
  <c r="B1565" i="2"/>
  <c r="B1491" i="2"/>
  <c r="A1400" i="2"/>
  <c r="B1329" i="2"/>
  <c r="B1263" i="2"/>
  <c r="A1193" i="2"/>
  <c r="B1126" i="2"/>
  <c r="A1036" i="2"/>
  <c r="B946" i="2"/>
  <c r="A899" i="2"/>
  <c r="B811" i="2"/>
  <c r="B719" i="2"/>
  <c r="B628" i="2"/>
  <c r="B546" i="2"/>
  <c r="B444" i="2"/>
  <c r="B361" i="2"/>
  <c r="A242" i="2"/>
  <c r="B128" i="2"/>
  <c r="A18" i="2"/>
  <c r="B2049" i="1"/>
  <c r="A2008" i="1"/>
  <c r="A1620" i="1"/>
  <c r="A1735" i="1"/>
  <c r="B1472" i="1"/>
  <c r="A1983" i="1"/>
  <c r="A1347" i="1"/>
  <c r="A1522" i="1"/>
  <c r="A1170" i="1"/>
  <c r="A1171" i="1"/>
  <c r="B1046" i="1"/>
  <c r="B1850" i="1"/>
  <c r="A1314" i="1"/>
  <c r="A1180" i="1"/>
  <c r="B1251" i="1"/>
  <c r="A1126" i="1"/>
  <c r="A483" i="1"/>
  <c r="A1480" i="1"/>
  <c r="B601" i="1"/>
  <c r="A341" i="1"/>
  <c r="A1246" i="1"/>
  <c r="B948" i="1"/>
  <c r="A301" i="1"/>
  <c r="A194" i="1"/>
  <c r="B88" i="1"/>
  <c r="A445" i="1"/>
  <c r="A428" i="1"/>
  <c r="A72" i="1"/>
  <c r="A1173" i="1"/>
  <c r="B45" i="1"/>
  <c r="B672" i="1"/>
  <c r="A239" i="1"/>
  <c r="A677" i="1"/>
  <c r="B890" i="3"/>
  <c r="B176" i="2"/>
  <c r="A1356" i="1"/>
  <c r="A561" i="1"/>
  <c r="B757" i="1"/>
  <c r="A427" i="1"/>
  <c r="A901" i="1"/>
  <c r="A168" i="1"/>
  <c r="A570" i="1"/>
  <c r="A569" i="1"/>
  <c r="B150" i="1"/>
  <c r="B42" i="1"/>
  <c r="B468" i="1"/>
  <c r="B48" i="1"/>
  <c r="B674" i="1"/>
  <c r="A4024" i="4"/>
  <c r="A2580" i="4"/>
  <c r="B1513" i="4"/>
  <c r="B674" i="4"/>
  <c r="A261" i="4"/>
  <c r="A6" i="4"/>
  <c r="B2899" i="3"/>
  <c r="A2730" i="3"/>
  <c r="B2591" i="3"/>
  <c r="A2424" i="3"/>
  <c r="B2276" i="3"/>
  <c r="B2148" i="3"/>
  <c r="B2005" i="3"/>
  <c r="B1886" i="3"/>
  <c r="A1748" i="3"/>
  <c r="B1645" i="3"/>
  <c r="A1525" i="3"/>
  <c r="B1412" i="3"/>
  <c r="B1320" i="3"/>
  <c r="A1222" i="3"/>
  <c r="B1154" i="3"/>
  <c r="B1069" i="3"/>
  <c r="A1003" i="3"/>
  <c r="B924" i="3"/>
  <c r="B849" i="3"/>
  <c r="A793" i="3"/>
  <c r="A722" i="3"/>
  <c r="B660" i="3"/>
  <c r="B588" i="3"/>
  <c r="A536" i="3"/>
  <c r="A472" i="3"/>
  <c r="B411" i="3"/>
  <c r="A357" i="3"/>
  <c r="B296" i="3"/>
  <c r="A245" i="3"/>
  <c r="A187" i="3"/>
  <c r="B144" i="3"/>
  <c r="A95" i="3"/>
  <c r="A45" i="3"/>
  <c r="A3" i="3"/>
  <c r="A4402" i="2"/>
  <c r="A4357" i="2"/>
  <c r="A4304" i="2"/>
  <c r="A4264" i="2"/>
  <c r="A4212" i="2"/>
  <c r="A4164" i="2"/>
  <c r="A4119" i="2"/>
  <c r="A4069" i="2"/>
  <c r="A4026" i="2"/>
  <c r="A3974" i="2"/>
  <c r="A3931" i="2"/>
  <c r="A3882" i="2"/>
  <c r="A3831" i="2"/>
  <c r="A3789" i="2"/>
  <c r="B3737" i="2"/>
  <c r="A3693" i="2"/>
  <c r="A3832" i="4"/>
  <c r="B2506" i="4"/>
  <c r="B1399" i="4"/>
  <c r="A674" i="4"/>
  <c r="A214" i="4"/>
  <c r="B3065" i="3"/>
  <c r="B2881" i="3"/>
  <c r="A2715" i="3"/>
  <c r="A2587" i="3"/>
  <c r="A2420" i="3"/>
  <c r="A2276" i="3"/>
  <c r="B2126" i="3"/>
  <c r="B2004" i="3"/>
  <c r="B1873" i="3"/>
  <c r="A1742" i="3"/>
  <c r="A1645" i="3"/>
  <c r="B1518" i="3"/>
  <c r="B1405" i="3"/>
  <c r="A1305" i="3"/>
  <c r="B1221" i="3"/>
  <c r="B1146" i="3"/>
  <c r="B1068" i="3"/>
  <c r="B1002" i="3"/>
  <c r="A920" i="3"/>
  <c r="A849" i="3"/>
  <c r="B782" i="3"/>
  <c r="B721" i="3"/>
  <c r="B656" i="3"/>
  <c r="A586" i="3"/>
  <c r="A531" i="3"/>
  <c r="B468" i="3"/>
  <c r="B408" i="3"/>
  <c r="A350" i="3"/>
  <c r="A294" i="3"/>
  <c r="A238" i="3"/>
  <c r="B186" i="3"/>
  <c r="A144" i="3"/>
  <c r="A91" i="3"/>
  <c r="A44" i="3"/>
  <c r="A4445" i="2"/>
  <c r="A4399" i="2"/>
  <c r="A4352" i="2"/>
  <c r="A4303" i="2"/>
  <c r="A4261" i="2"/>
  <c r="A4211" i="2"/>
  <c r="A4161" i="2"/>
  <c r="A4114" i="2"/>
  <c r="B4067" i="2"/>
  <c r="B4021" i="2"/>
  <c r="A3972" i="2"/>
  <c r="A3929" i="2"/>
  <c r="A3876" i="2"/>
  <c r="A3830" i="2"/>
  <c r="B3780" i="2"/>
  <c r="A3736" i="2"/>
  <c r="A3689" i="2"/>
  <c r="B3640" i="2"/>
  <c r="B3598" i="2"/>
  <c r="A3552" i="2"/>
  <c r="A3514" i="2"/>
  <c r="B3472" i="2"/>
  <c r="B3438" i="2"/>
  <c r="A3399" i="2"/>
  <c r="A3360" i="2"/>
  <c r="B3324" i="2"/>
  <c r="B3283" i="2"/>
  <c r="A3247" i="2"/>
  <c r="B3205" i="2"/>
  <c r="B3167" i="2"/>
  <c r="B3132" i="2"/>
  <c r="B3090" i="2"/>
  <c r="A3056" i="2"/>
  <c r="A3015" i="2"/>
  <c r="A2979" i="2"/>
  <c r="A2937" i="2"/>
  <c r="A2900" i="2"/>
  <c r="A2863" i="2"/>
  <c r="A2822" i="2"/>
  <c r="A2788" i="2"/>
  <c r="B2747" i="2"/>
  <c r="A2712" i="2"/>
  <c r="A2670" i="2"/>
  <c r="A2633" i="2"/>
  <c r="A2594" i="2"/>
  <c r="A2559" i="2"/>
  <c r="A2530" i="2"/>
  <c r="B2497" i="2"/>
  <c r="B2465" i="2"/>
  <c r="A2430" i="2"/>
  <c r="A2402" i="2"/>
  <c r="B2369" i="2"/>
  <c r="A2336" i="2"/>
  <c r="A2308" i="2"/>
  <c r="B2278" i="2"/>
  <c r="B2250" i="2"/>
  <c r="B2223" i="2"/>
  <c r="B2194" i="2"/>
  <c r="A2168" i="2"/>
  <c r="B2139" i="2"/>
  <c r="A2111" i="2"/>
  <c r="B2083" i="2"/>
  <c r="B2055" i="2"/>
  <c r="B2028" i="2"/>
  <c r="A2000" i="2"/>
  <c r="A1971" i="2"/>
  <c r="A1944" i="2"/>
  <c r="A1916" i="2"/>
  <c r="B1890" i="2"/>
  <c r="A1866" i="2"/>
  <c r="B1842" i="2"/>
  <c r="A1817" i="2"/>
  <c r="B1790" i="2"/>
  <c r="B1764" i="2"/>
  <c r="B1741" i="2"/>
  <c r="B1715" i="2"/>
  <c r="A1690" i="2"/>
  <c r="B1664" i="2"/>
  <c r="B1637" i="2"/>
  <c r="A1616" i="2"/>
  <c r="A1590" i="2"/>
  <c r="B1564" i="2"/>
  <c r="B1539" i="2"/>
  <c r="A1514" i="2"/>
  <c r="B1490" i="2"/>
  <c r="A1464" i="2"/>
  <c r="B1441" i="2"/>
  <c r="B1418" i="2"/>
  <c r="B1396" i="2"/>
  <c r="A1376" i="2"/>
  <c r="A1353" i="2"/>
  <c r="A1329" i="2"/>
  <c r="A1306" i="2"/>
  <c r="A1283" i="2"/>
  <c r="B1261" i="2"/>
  <c r="B1239" i="2"/>
  <c r="A1217" i="2"/>
  <c r="B1192" i="2"/>
  <c r="B1169" i="2"/>
  <c r="A1149" i="2"/>
  <c r="A1126" i="2"/>
  <c r="A1103" i="2"/>
  <c r="A1080" i="2"/>
  <c r="B1055" i="2"/>
  <c r="B1035" i="2"/>
  <c r="B1012" i="2"/>
  <c r="B989" i="2"/>
  <c r="A968" i="2"/>
  <c r="B944" i="2"/>
  <c r="A923" i="2"/>
  <c r="B898" i="2"/>
  <c r="A876" i="2"/>
  <c r="B852" i="2"/>
  <c r="B831" i="2"/>
  <c r="B810" i="2"/>
  <c r="B787" i="2"/>
  <c r="B763" i="2"/>
  <c r="B740" i="2"/>
  <c r="B717" i="2"/>
  <c r="B695" i="2"/>
  <c r="B674" i="2"/>
  <c r="B651" i="2"/>
  <c r="A628" i="2"/>
  <c r="B606" i="2"/>
  <c r="A588" i="2"/>
  <c r="A567" i="2"/>
  <c r="A546" i="2"/>
  <c r="B525" i="2"/>
  <c r="B503" i="2"/>
  <c r="A485" i="2"/>
  <c r="B464" i="2"/>
  <c r="A443" i="2"/>
  <c r="A423" i="2"/>
  <c r="A402" i="2"/>
  <c r="B382" i="2"/>
  <c r="B360" i="2"/>
  <c r="A340" i="2"/>
  <c r="B318" i="2"/>
  <c r="A299" i="2"/>
  <c r="A281" i="2"/>
  <c r="B261" i="2"/>
  <c r="B241" i="2"/>
  <c r="B222" i="2"/>
  <c r="B203" i="2"/>
  <c r="B185" i="2"/>
  <c r="B167" i="2"/>
  <c r="A148" i="2"/>
  <c r="A128" i="2"/>
  <c r="A109" i="2"/>
  <c r="B91" i="2"/>
  <c r="B72" i="2"/>
  <c r="B53" i="2"/>
  <c r="A34" i="2"/>
  <c r="A14" i="2"/>
  <c r="A2082" i="1"/>
  <c r="A2113" i="1"/>
  <c r="B2012" i="1"/>
  <c r="B2043" i="1"/>
  <c r="B1889" i="1"/>
  <c r="B1673" i="1"/>
  <c r="A1949" i="1"/>
  <c r="A1721" i="1"/>
  <c r="B1980" i="1"/>
  <c r="B1764" i="1"/>
  <c r="B1554" i="1"/>
  <c r="A1854" i="1"/>
  <c r="A1608" i="1"/>
  <c r="B1909" i="1"/>
  <c r="B1681" i="1"/>
  <c r="A1945" i="1"/>
  <c r="A1729" i="1"/>
  <c r="B1994" i="1"/>
  <c r="A1525" i="1"/>
  <c r="A1291" i="1"/>
  <c r="A1784" i="1"/>
  <c r="B1454" i="1"/>
  <c r="B1250" i="1"/>
  <c r="B1659" i="1"/>
  <c r="A1394" i="1"/>
  <c r="A1971" i="1"/>
  <c r="B1564" i="1"/>
  <c r="B1365" i="1"/>
  <c r="B1858" i="1"/>
  <c r="A1503" i="1"/>
  <c r="A1341" i="1"/>
  <c r="A1810" i="1"/>
  <c r="B1498" i="1"/>
  <c r="B1306" i="1"/>
  <c r="A1462" i="1"/>
  <c r="B1194" i="1"/>
  <c r="B2062" i="1"/>
  <c r="B1433" i="1"/>
  <c r="A1164" i="1"/>
  <c r="A990" i="1"/>
  <c r="A1977" i="1"/>
  <c r="B1416" i="1"/>
  <c r="A1165" i="1"/>
  <c r="A985" i="1"/>
  <c r="A1500" i="1"/>
  <c r="B1220" i="1"/>
  <c r="B1040" i="1"/>
  <c r="A1612" i="1"/>
  <c r="B1246" i="1"/>
  <c r="A1070" i="1"/>
  <c r="B1802" i="1"/>
  <c r="B1501" i="1"/>
  <c r="A1546" i="1"/>
  <c r="B1624" i="1"/>
  <c r="A1535" i="1"/>
  <c r="B1307" i="1"/>
  <c r="B995" i="1"/>
  <c r="A1427" i="1"/>
  <c r="B957" i="1"/>
  <c r="B1145" i="1"/>
  <c r="A891" i="1"/>
  <c r="A1138" i="1"/>
  <c r="B894" i="1"/>
  <c r="B1239" i="1"/>
  <c r="B951" i="1"/>
  <c r="B941" i="1"/>
  <c r="B717" i="1"/>
  <c r="B543" i="1"/>
  <c r="B1101" i="1"/>
  <c r="A813" i="1"/>
  <c r="A657" i="1"/>
  <c r="A477" i="1"/>
  <c r="A1013" i="1"/>
  <c r="B790" i="1"/>
  <c r="B616" i="1"/>
  <c r="A1324" i="1"/>
  <c r="A862" i="1"/>
  <c r="B689" i="1"/>
  <c r="A1558" i="1"/>
  <c r="A826" i="1"/>
  <c r="A592" i="1"/>
  <c r="B1102" i="1"/>
  <c r="B768" i="1"/>
  <c r="A505" i="1"/>
  <c r="A317" i="1"/>
  <c r="B914" i="1"/>
  <c r="A622" i="1"/>
  <c r="A408" i="1"/>
  <c r="A1240" i="1"/>
  <c r="A775" i="1"/>
  <c r="A541" i="1"/>
  <c r="B343" i="1"/>
  <c r="A938" i="1"/>
  <c r="B650" i="1"/>
  <c r="A435" i="1"/>
  <c r="B1525" i="1"/>
  <c r="A607" i="1"/>
  <c r="B292" i="1"/>
  <c r="B110" i="1"/>
  <c r="A804" i="1"/>
  <c r="A400" i="1"/>
  <c r="A188" i="1"/>
  <c r="B972" i="1"/>
  <c r="B446" i="1"/>
  <c r="B238" i="1"/>
  <c r="B82" i="1"/>
  <c r="A686" i="1"/>
  <c r="A340" i="1"/>
  <c r="A136" i="1"/>
  <c r="A814" i="1"/>
  <c r="B443" i="1"/>
  <c r="B211" i="1"/>
  <c r="B967" i="1"/>
  <c r="B342" i="1"/>
  <c r="A49" i="1"/>
  <c r="B425" i="1"/>
  <c r="A139" i="1"/>
  <c r="B834" i="1"/>
  <c r="B363" i="1"/>
  <c r="A66" i="1"/>
  <c r="A406" i="1"/>
  <c r="B917" i="1"/>
  <c r="B564" i="1"/>
  <c r="A225" i="1"/>
  <c r="B856" i="1"/>
  <c r="A77" i="1"/>
  <c r="A710" i="1"/>
  <c r="B222" i="1"/>
  <c r="A35" i="1"/>
  <c r="A290" i="1"/>
  <c r="A810" i="1"/>
  <c r="A392" i="1"/>
  <c r="B125" i="1"/>
  <c r="B566" i="1"/>
  <c r="A13" i="1"/>
  <c r="A54" i="1"/>
  <c r="A270" i="1"/>
  <c r="B240" i="1"/>
  <c r="A1029" i="1"/>
  <c r="A97" i="1"/>
  <c r="A34" i="1"/>
  <c r="A251" i="1"/>
  <c r="B96" i="1"/>
  <c r="A169" i="1"/>
  <c r="A566" i="1"/>
  <c r="B83" i="1"/>
  <c r="B99" i="1"/>
  <c r="A742" i="1"/>
  <c r="B3660" i="4"/>
  <c r="B575" i="4"/>
  <c r="A3037" i="3"/>
  <c r="B2703" i="3"/>
  <c r="B2406" i="3"/>
  <c r="B2102" i="3"/>
  <c r="B1728" i="3"/>
  <c r="A1512" i="3"/>
  <c r="B1288" i="3"/>
  <c r="B1134" i="3"/>
  <c r="A980" i="3"/>
  <c r="A838" i="3"/>
  <c r="B708" i="3"/>
  <c r="B578" i="3"/>
  <c r="B464" i="3"/>
  <c r="B338" i="3"/>
  <c r="A179" i="3"/>
  <c r="A87" i="3"/>
  <c r="A4437" i="2"/>
  <c r="B4343" i="2"/>
  <c r="B4248" i="2"/>
  <c r="B4205" i="2"/>
  <c r="A4106" i="2"/>
  <c r="A4012" i="2"/>
  <c r="A3917" i="2"/>
  <c r="A3823" i="2"/>
  <c r="A3728" i="2"/>
  <c r="B3635" i="2"/>
  <c r="A3550" i="2"/>
  <c r="B3469" i="2"/>
  <c r="B3391" i="2"/>
  <c r="A3316" i="2"/>
  <c r="B3238" i="2"/>
  <c r="B3160" i="2"/>
  <c r="A3083" i="2"/>
  <c r="A3011" i="2"/>
  <c r="A2934" i="2"/>
  <c r="A2857" i="2"/>
  <c r="B2779" i="2"/>
  <c r="A2704" i="2"/>
  <c r="A2622" i="2"/>
  <c r="A2554" i="2"/>
  <c r="A2494" i="2"/>
  <c r="A2428" i="2"/>
  <c r="B2363" i="2"/>
  <c r="A2301" i="2"/>
  <c r="B2244" i="2"/>
  <c r="B2189" i="2"/>
  <c r="A2134" i="2"/>
  <c r="B2078" i="2"/>
  <c r="B2021" i="2"/>
  <c r="A1965" i="2"/>
  <c r="A1912" i="2"/>
  <c r="B1859" i="2"/>
  <c r="A1811" i="2"/>
  <c r="B1760" i="2"/>
  <c r="A1708" i="2"/>
  <c r="A1660" i="2"/>
  <c r="B1634" i="2"/>
  <c r="A1584" i="2"/>
  <c r="A1533" i="2"/>
  <c r="B1507" i="2"/>
  <c r="A1460" i="2"/>
  <c r="B1415" i="2"/>
  <c r="B1368" i="2"/>
  <c r="A1324" i="2"/>
  <c r="A1280" i="2"/>
  <c r="B1232" i="2"/>
  <c r="B1211" i="2"/>
  <c r="A1166" i="2"/>
  <c r="A1119" i="2"/>
  <c r="B1075" i="2"/>
  <c r="A1030" i="2"/>
  <c r="A986" i="2"/>
  <c r="B938" i="2"/>
  <c r="A894" i="2"/>
  <c r="B850" i="2"/>
  <c r="A803" i="2"/>
  <c r="A759" i="2"/>
  <c r="A714" i="2"/>
  <c r="B667" i="2"/>
  <c r="A624" i="2"/>
  <c r="B582" i="2"/>
  <c r="B542" i="2"/>
  <c r="A480" i="2"/>
  <c r="A440" i="2"/>
  <c r="B396" i="2"/>
  <c r="B356" i="2"/>
  <c r="B316" i="2"/>
  <c r="A275" i="2"/>
  <c r="B237" i="2"/>
  <c r="B200" i="2"/>
  <c r="B161" i="2"/>
  <c r="A125" i="2"/>
  <c r="B86" i="2"/>
  <c r="B49" i="2"/>
  <c r="B11" i="2"/>
  <c r="A2059" i="1"/>
  <c r="A2121" i="1"/>
  <c r="B1601" i="1"/>
  <c r="A1697" i="1"/>
  <c r="B1710" i="1"/>
  <c r="A1782" i="1"/>
  <c r="B1879" i="1"/>
  <c r="A1885" i="1"/>
  <c r="B1880" i="1"/>
  <c r="A1664" i="1"/>
  <c r="A1991" i="1"/>
  <c r="A1364" i="1"/>
  <c r="B1509" i="1"/>
  <c r="B1798" i="1"/>
  <c r="A1281" i="1"/>
  <c r="B1456" i="1"/>
  <c r="A1390" i="1"/>
  <c r="A1814" i="1"/>
  <c r="A1134" i="1"/>
  <c r="A1785" i="1"/>
  <c r="A1129" i="1"/>
  <c r="A1428" i="1"/>
  <c r="B986" i="1"/>
  <c r="A1214" i="1"/>
  <c r="A1469" i="1"/>
  <c r="B1422" i="1"/>
  <c r="B1403" i="1"/>
  <c r="B931" i="1"/>
  <c r="B927" i="1"/>
  <c r="B1773" i="1"/>
  <c r="B858" i="1"/>
  <c r="B1563" i="1"/>
  <c r="B663" i="1"/>
  <c r="B1048" i="1"/>
  <c r="A609" i="1"/>
  <c r="B963" i="1"/>
  <c r="B580" i="1"/>
  <c r="B809" i="1"/>
  <c r="A1355" i="1"/>
  <c r="A520" i="1"/>
  <c r="B714" i="1"/>
  <c r="A281" i="1"/>
  <c r="B541" i="1"/>
  <c r="B1127" i="1"/>
  <c r="A474" i="1"/>
  <c r="A894" i="1"/>
  <c r="A399" i="1"/>
  <c r="B478" i="1"/>
  <c r="B80" i="1"/>
  <c r="A328" i="1"/>
  <c r="A854" i="1"/>
  <c r="B202" i="1"/>
  <c r="A547" i="1"/>
  <c r="A106" i="1"/>
  <c r="B377" i="1"/>
  <c r="A756" i="1"/>
  <c r="A14" i="1"/>
  <c r="A102" i="1"/>
  <c r="A279" i="1"/>
  <c r="A264" i="1"/>
  <c r="B493" i="1"/>
  <c r="A770" i="1"/>
  <c r="B487" i="1"/>
  <c r="A6" i="1"/>
  <c r="B762" i="1"/>
  <c r="B78" i="1"/>
  <c r="A925" i="1"/>
  <c r="B1556" i="1"/>
  <c r="A1121" i="1"/>
  <c r="A132" i="1"/>
  <c r="B20" i="1"/>
  <c r="B504" i="1"/>
  <c r="B67" i="1"/>
  <c r="A3316" i="4"/>
  <c r="B571" i="4"/>
  <c r="A3005" i="3"/>
  <c r="A2682" i="3"/>
  <c r="A2366" i="3"/>
  <c r="A2092" i="3"/>
  <c r="A1838" i="3"/>
  <c r="B1604" i="3"/>
  <c r="B1388" i="3"/>
  <c r="B1195" i="3"/>
  <c r="A1050" i="3"/>
  <c r="A978" i="3"/>
  <c r="B837" i="3"/>
  <c r="A697" i="3"/>
  <c r="A568" i="3"/>
  <c r="B450" i="3"/>
  <c r="B336" i="3"/>
  <c r="A225" i="3"/>
  <c r="A129" i="3"/>
  <c r="A34" i="3"/>
  <c r="B4384" i="2"/>
  <c r="B4290" i="2"/>
  <c r="A4194" i="2"/>
  <c r="A4101" i="2"/>
  <c r="B4009" i="2"/>
  <c r="A3916" i="2"/>
  <c r="B3822" i="2"/>
  <c r="A3720" i="2"/>
  <c r="A3626" i="2"/>
  <c r="A3541" i="2"/>
  <c r="B3467" i="2"/>
  <c r="A3391" i="2"/>
  <c r="B3313" i="2"/>
  <c r="A3235" i="2"/>
  <c r="A3122" i="2"/>
  <c r="A3047" i="2"/>
  <c r="A2968" i="2"/>
  <c r="A2889" i="2"/>
  <c r="B2814" i="2"/>
  <c r="B2735" i="2"/>
  <c r="B2662" i="2"/>
  <c r="A2587" i="2"/>
  <c r="B2520" i="2"/>
  <c r="A2458" i="2"/>
  <c r="B2392" i="2"/>
  <c r="B2329" i="2"/>
  <c r="B2272" i="2"/>
  <c r="A2216" i="2"/>
  <c r="A2160" i="2"/>
  <c r="B2104" i="2"/>
  <c r="A2049" i="2"/>
  <c r="A1994" i="2"/>
  <c r="B1936" i="2"/>
  <c r="A1883" i="2"/>
  <c r="B1833" i="2"/>
  <c r="A1785" i="2"/>
  <c r="B1732" i="2"/>
  <c r="A1683" i="2"/>
  <c r="A1634" i="2"/>
  <c r="B1581" i="2"/>
  <c r="B1532" i="2"/>
  <c r="A1481" i="2"/>
  <c r="B1437" i="2"/>
  <c r="A1390" i="2"/>
  <c r="B1345" i="2"/>
  <c r="B1300" i="2"/>
  <c r="B1253" i="2"/>
  <c r="A1211" i="2"/>
  <c r="B1165" i="2"/>
  <c r="B1118" i="2"/>
  <c r="B1074" i="2"/>
  <c r="A1029" i="2"/>
  <c r="B983" i="2"/>
  <c r="A938" i="2"/>
  <c r="A892" i="2"/>
  <c r="A848" i="2"/>
  <c r="B802" i="2"/>
  <c r="B758" i="2"/>
  <c r="A711" i="2"/>
  <c r="B666" i="2"/>
  <c r="B623" i="2"/>
  <c r="B580" i="2"/>
  <c r="A540" i="2"/>
  <c r="A500" i="2"/>
  <c r="B457" i="2"/>
  <c r="A417" i="2"/>
  <c r="B375" i="2"/>
  <c r="A336" i="2"/>
  <c r="B293" i="2"/>
  <c r="A255" i="2"/>
  <c r="A218" i="2"/>
  <c r="A179" i="2"/>
  <c r="B143" i="2"/>
  <c r="A105" i="2"/>
  <c r="A48" i="2"/>
  <c r="A11" i="2"/>
  <c r="A2035" i="1"/>
  <c r="A2109" i="1"/>
  <c r="B1595" i="1"/>
  <c r="A1685" i="1"/>
  <c r="B1698" i="1"/>
  <c r="A1776" i="1"/>
  <c r="B1861" i="1"/>
  <c r="A1867" i="1"/>
  <c r="B1868" i="1"/>
  <c r="A1249" i="1"/>
  <c r="B1400" i="1"/>
  <c r="B1575" i="1"/>
  <c r="A1839" i="1"/>
  <c r="B1323" i="1"/>
  <c r="A1467" i="1"/>
  <c r="A1678" i="1"/>
  <c r="B1958" i="1"/>
  <c r="B1128" i="1"/>
  <c r="B1349" i="1"/>
  <c r="B1953" i="1"/>
  <c r="B1296" i="1"/>
  <c r="A1208" i="1"/>
  <c r="B1272" i="1"/>
  <c r="A1523" i="1"/>
  <c r="A1191" i="1"/>
  <c r="B1211" i="1"/>
  <c r="B1073" i="1"/>
  <c r="B1033" i="1"/>
  <c r="B1181" i="1"/>
  <c r="B837" i="1"/>
  <c r="B501" i="1"/>
  <c r="A771" i="1"/>
  <c r="A1397" i="1"/>
  <c r="B754" i="1"/>
  <c r="B1079" i="1"/>
  <c r="B647" i="1"/>
  <c r="B763" i="1"/>
  <c r="A931" i="1"/>
  <c r="A455" i="1"/>
  <c r="A802" i="1"/>
  <c r="A366" i="1"/>
  <c r="A719" i="1"/>
  <c r="B283" i="1"/>
  <c r="B596" i="1"/>
  <c r="A899" i="1"/>
  <c r="B248" i="1"/>
  <c r="A696" i="1"/>
  <c r="A128" i="1"/>
  <c r="B412" i="1"/>
  <c r="B1120" i="1"/>
  <c r="A274" i="1"/>
  <c r="A706" i="1"/>
  <c r="B151" i="1"/>
  <c r="B213" i="1"/>
  <c r="B351" i="1"/>
  <c r="A702" i="1"/>
  <c r="A40" i="1"/>
  <c r="A1095" i="1"/>
  <c r="A151" i="1"/>
  <c r="A47" i="1"/>
  <c r="A185" i="1"/>
  <c r="B131" i="1"/>
  <c r="B312" i="1"/>
  <c r="A269" i="1"/>
  <c r="A822" i="1"/>
  <c r="A203" i="1"/>
  <c r="A714" i="1"/>
  <c r="A103" i="1"/>
  <c r="A249" i="1"/>
  <c r="A849" i="1"/>
  <c r="A2109" i="4"/>
  <c r="A2924" i="2"/>
  <c r="A2390" i="2"/>
  <c r="A2214" i="2"/>
  <c r="A2132" i="2"/>
  <c r="A2075" i="2"/>
  <c r="A2020" i="2"/>
  <c r="B1962" i="2"/>
  <c r="B1909" i="2"/>
  <c r="A1857" i="2"/>
  <c r="B1807" i="2"/>
  <c r="B1758" i="2"/>
  <c r="B1706" i="2"/>
  <c r="B1656" i="2"/>
  <c r="B1607" i="2"/>
  <c r="B1555" i="2"/>
  <c r="A1506" i="2"/>
  <c r="A1457" i="2"/>
  <c r="A1413" i="2"/>
  <c r="A1367" i="2"/>
  <c r="A1322" i="2"/>
  <c r="A1276" i="2"/>
  <c r="A1230" i="2"/>
  <c r="A1187" i="2"/>
  <c r="A1140" i="2"/>
  <c r="B1094" i="2"/>
  <c r="B1051" i="2"/>
  <c r="A1004" i="2"/>
  <c r="A960" i="2"/>
  <c r="B914" i="2"/>
  <c r="B867" i="2"/>
  <c r="B824" i="2"/>
  <c r="A779" i="2"/>
  <c r="B734" i="2"/>
  <c r="B687" i="2"/>
  <c r="B642" i="2"/>
  <c r="B602" i="2"/>
  <c r="B559" i="2"/>
  <c r="A519" i="2"/>
  <c r="B478" i="2"/>
  <c r="B435" i="2"/>
  <c r="B395" i="2"/>
  <c r="A354" i="2"/>
  <c r="A314" i="2"/>
  <c r="A273" i="2"/>
  <c r="B235" i="2"/>
  <c r="B197" i="2"/>
  <c r="A159" i="2"/>
  <c r="B123" i="2"/>
  <c r="B84" i="2"/>
  <c r="A46" i="2"/>
  <c r="A10" i="2"/>
  <c r="A2029" i="1"/>
  <c r="A2097" i="1"/>
  <c r="B1583" i="1"/>
  <c r="A1637" i="1"/>
  <c r="B1692" i="1"/>
  <c r="A1770" i="1"/>
  <c r="B1849" i="1"/>
  <c r="A1861" i="1"/>
  <c r="B1820" i="1"/>
  <c r="A1243" i="1"/>
  <c r="B1370" i="1"/>
  <c r="A1545" i="1"/>
  <c r="A1827" i="1"/>
  <c r="B1299" i="1"/>
  <c r="A1461" i="1"/>
  <c r="A1666" i="1"/>
  <c r="B1934" i="1"/>
  <c r="B1122" i="1"/>
  <c r="B1301" i="1"/>
  <c r="B1929" i="1"/>
  <c r="B1284" i="1"/>
  <c r="B1948" i="1"/>
  <c r="B1154" i="1"/>
  <c r="B1447" i="1"/>
  <c r="A1022" i="1"/>
  <c r="A1260" i="1"/>
  <c r="B1482" i="1"/>
  <c r="B1189" i="1"/>
  <c r="B1149" i="1"/>
  <c r="A1067" i="1"/>
  <c r="B1031" i="1"/>
  <c r="A1175" i="1"/>
  <c r="B831" i="1"/>
  <c r="A1922" i="1"/>
  <c r="A765" i="1"/>
  <c r="A1386" i="1"/>
  <c r="B748" i="1"/>
  <c r="A1065" i="1"/>
  <c r="B623" i="1"/>
  <c r="A754" i="1"/>
  <c r="A917" i="1"/>
  <c r="A449" i="1"/>
  <c r="B793" i="1"/>
  <c r="A342" i="1"/>
  <c r="A703" i="1"/>
  <c r="A1941" i="1"/>
  <c r="B594" i="1"/>
  <c r="A878" i="1"/>
  <c r="B224" i="1"/>
  <c r="A659" i="1"/>
  <c r="A122" i="1"/>
  <c r="A403" i="1"/>
  <c r="B1093" i="1"/>
  <c r="A250" i="1"/>
  <c r="A697" i="1"/>
  <c r="B145" i="1"/>
  <c r="A205" i="1"/>
  <c r="A320" i="1"/>
  <c r="B697" i="1"/>
  <c r="B1405" i="1"/>
  <c r="B1081" i="1"/>
  <c r="A114" i="1"/>
  <c r="A4" i="1"/>
  <c r="A183" i="1"/>
  <c r="A55" i="1"/>
  <c r="B267" i="1"/>
  <c r="A265" i="1"/>
  <c r="A562" i="1"/>
  <c r="B49" i="1"/>
  <c r="A524" i="1"/>
  <c r="B61" i="1"/>
  <c r="A175" i="1"/>
  <c r="B690" i="1"/>
  <c r="B1912" i="4"/>
  <c r="A1063" i="4"/>
  <c r="A126" i="4"/>
  <c r="B2802" i="3"/>
  <c r="A2495" i="3"/>
  <c r="B2196" i="3"/>
  <c r="B1944" i="3"/>
  <c r="B1700" i="3"/>
  <c r="A1471" i="3"/>
  <c r="A1272" i="3"/>
  <c r="A1040" i="3"/>
  <c r="A762" i="3"/>
  <c r="B621" i="3"/>
  <c r="A501" i="3"/>
  <c r="B381" i="3"/>
  <c r="B267" i="3"/>
  <c r="A169" i="3"/>
  <c r="B72" i="3"/>
  <c r="A4378" i="2"/>
  <c r="A4237" i="2"/>
  <c r="A4136" i="2"/>
  <c r="A4045" i="2"/>
  <c r="A3953" i="2"/>
  <c r="B3858" i="2"/>
  <c r="A3765" i="2"/>
  <c r="A3666" i="2"/>
  <c r="A3576" i="2"/>
  <c r="B3496" i="2"/>
  <c r="A3419" i="2"/>
  <c r="A3347" i="2"/>
  <c r="B3269" i="2"/>
  <c r="B3191" i="2"/>
  <c r="B3114" i="2"/>
  <c r="A3038" i="2"/>
  <c r="A2957" i="2"/>
  <c r="B2845" i="2"/>
  <c r="A2769" i="2"/>
  <c r="B2689" i="2"/>
  <c r="A2617" i="2"/>
  <c r="B2550" i="2"/>
  <c r="A2484" i="2"/>
  <c r="B2419" i="2"/>
  <c r="B2355" i="2"/>
  <c r="B2294" i="2"/>
  <c r="B2238" i="2"/>
  <c r="A2183" i="2"/>
  <c r="B2126" i="2"/>
  <c r="B2069" i="2"/>
  <c r="A2015" i="2"/>
  <c r="A1959" i="2"/>
  <c r="B1904" i="2"/>
  <c r="A1856" i="2"/>
  <c r="B1777" i="2"/>
  <c r="B1728" i="2"/>
  <c r="B1677" i="2"/>
  <c r="A1628" i="2"/>
  <c r="A1577" i="2"/>
  <c r="A1526" i="2"/>
  <c r="B1476" i="2"/>
  <c r="A1431" i="2"/>
  <c r="B1386" i="2"/>
  <c r="B1339" i="2"/>
  <c r="A1295" i="2"/>
  <c r="A1251" i="2"/>
  <c r="A1204" i="2"/>
  <c r="B1159" i="2"/>
  <c r="B1114" i="2"/>
  <c r="B1067" i="2"/>
  <c r="B1023" i="2"/>
  <c r="B977" i="2"/>
  <c r="A935" i="2"/>
  <c r="B887" i="2"/>
  <c r="B842" i="2"/>
  <c r="A798" i="2"/>
  <c r="B750" i="2"/>
  <c r="A708" i="2"/>
  <c r="B662" i="2"/>
  <c r="A617" i="2"/>
  <c r="A578" i="2"/>
  <c r="B536" i="2"/>
  <c r="A495" i="2"/>
  <c r="B453" i="2"/>
  <c r="A412" i="2"/>
  <c r="A371" i="2"/>
  <c r="A330" i="2"/>
  <c r="A290" i="2"/>
  <c r="A250" i="2"/>
  <c r="A213" i="2"/>
  <c r="A119" i="2"/>
  <c r="A63" i="2"/>
  <c r="A24" i="2"/>
  <c r="B2089" i="1"/>
  <c r="A2024" i="1"/>
  <c r="B1787" i="1"/>
  <c r="A1841" i="1"/>
  <c r="B1872" i="1"/>
  <c r="A1956" i="1"/>
  <c r="A2027" i="1"/>
  <c r="B1591" i="1"/>
  <c r="A1609" i="1"/>
  <c r="A1405" i="1"/>
  <c r="A1568" i="1"/>
  <c r="A1520" i="1"/>
  <c r="A1779" i="1"/>
  <c r="A2093" i="1"/>
  <c r="A1437" i="1"/>
  <c r="A1642" i="1"/>
  <c r="B1814" i="1"/>
  <c r="B1104" i="1"/>
  <c r="B1277" i="1"/>
  <c r="B1881" i="1"/>
  <c r="B1264" i="1"/>
  <c r="B1130" i="1"/>
  <c r="A1160" i="1"/>
  <c r="A1234" i="1"/>
  <c r="A1379" i="1"/>
  <c r="A1150" i="1"/>
  <c r="B1141" i="1"/>
  <c r="A1036" i="1"/>
  <c r="B990" i="1"/>
  <c r="B1109" i="1"/>
  <c r="B807" i="1"/>
  <c r="A1778" i="1"/>
  <c r="A1337" i="1"/>
  <c r="B712" i="1"/>
  <c r="A972" i="1"/>
  <c r="B1065" i="1"/>
  <c r="A893" i="1"/>
  <c r="A413" i="1"/>
  <c r="A330" i="1"/>
  <c r="A685" i="1"/>
  <c r="B776" i="1"/>
  <c r="B212" i="1"/>
  <c r="A272" i="1"/>
  <c r="A349" i="1"/>
  <c r="A475" i="1"/>
  <c r="B305" i="1"/>
  <c r="A846" i="1"/>
  <c r="A221" i="1"/>
  <c r="B77" i="1"/>
  <c r="A7" i="1"/>
  <c r="B1000" i="1"/>
  <c r="B333" i="1"/>
  <c r="B3763" i="4"/>
  <c r="B2268" i="4"/>
  <c r="A1381" i="4"/>
  <c r="B644" i="4"/>
  <c r="B170" i="4"/>
  <c r="B3044" i="3"/>
  <c r="A2856" i="3"/>
  <c r="B2712" i="3"/>
  <c r="B2540" i="3"/>
  <c r="A2409" i="3"/>
  <c r="B2256" i="3"/>
  <c r="A2108" i="3"/>
  <c r="B1989" i="3"/>
  <c r="A1855" i="3"/>
  <c r="A1737" i="3"/>
  <c r="A1615" i="3"/>
  <c r="A1516" i="3"/>
  <c r="A1396" i="3"/>
  <c r="B1292" i="3"/>
  <c r="B1214" i="3"/>
  <c r="A1137" i="3"/>
  <c r="A1066" i="3"/>
  <c r="B984" i="3"/>
  <c r="A915" i="3"/>
  <c r="B843" i="3"/>
  <c r="A776" i="3"/>
  <c r="A715" i="3"/>
  <c r="A645" i="3"/>
  <c r="A584" i="3"/>
  <c r="B517" i="3"/>
  <c r="A465" i="3"/>
  <c r="A403" i="3"/>
  <c r="B344" i="3"/>
  <c r="B288" i="3"/>
  <c r="A232" i="3"/>
  <c r="B183" i="3"/>
  <c r="A130" i="3"/>
  <c r="B90" i="3"/>
  <c r="A38" i="3"/>
  <c r="A4441" i="2"/>
  <c r="A4396" i="2"/>
  <c r="B4345" i="2"/>
  <c r="B4302" i="2"/>
  <c r="A4250" i="2"/>
  <c r="A4207" i="2"/>
  <c r="B4158" i="2"/>
  <c r="A4108" i="2"/>
  <c r="A4066" i="2"/>
  <c r="A4014" i="2"/>
  <c r="A3969" i="2"/>
  <c r="B3917" i="2"/>
  <c r="B3875" i="2"/>
  <c r="A3824" i="2"/>
  <c r="A3777" i="2"/>
  <c r="A3733" i="2"/>
  <c r="A3684" i="2"/>
  <c r="A3638" i="2"/>
  <c r="A3586" i="2"/>
  <c r="B3551" i="2"/>
  <c r="B3510" i="2"/>
  <c r="A3470" i="2"/>
  <c r="B3436" i="2"/>
  <c r="B3395" i="2"/>
  <c r="A3356" i="2"/>
  <c r="B3317" i="2"/>
  <c r="B3282" i="2"/>
  <c r="B3241" i="2"/>
  <c r="B3203" i="2"/>
  <c r="A3167" i="2"/>
  <c r="A3125" i="2"/>
  <c r="A3090" i="2"/>
  <c r="B3049" i="2"/>
  <c r="A3014" i="2"/>
  <c r="A2972" i="2"/>
  <c r="B2935" i="2"/>
  <c r="B2899" i="2"/>
  <c r="B2857" i="2"/>
  <c r="B2821" i="2"/>
  <c r="A2781" i="2"/>
  <c r="A2745" i="2"/>
  <c r="A2705" i="2"/>
  <c r="B2664" i="2"/>
  <c r="B2632" i="2"/>
  <c r="B2590" i="2"/>
  <c r="B2558" i="2"/>
  <c r="A2524" i="2"/>
  <c r="B2494" i="2"/>
  <c r="A2462" i="2"/>
  <c r="B2428" i="2"/>
  <c r="B2401" i="2"/>
  <c r="B2366" i="2"/>
  <c r="B2334" i="2"/>
  <c r="B2301" i="2"/>
  <c r="B2275" i="2"/>
  <c r="A2247" i="2"/>
  <c r="A2219" i="2"/>
  <c r="A2192" i="2"/>
  <c r="A2162" i="2"/>
  <c r="B2134" i="2"/>
  <c r="B2108" i="2"/>
  <c r="A2079" i="2"/>
  <c r="B2052" i="2"/>
  <c r="A2022" i="2"/>
  <c r="A1996" i="2"/>
  <c r="A1968" i="2"/>
  <c r="B1939" i="2"/>
  <c r="B1912" i="2"/>
  <c r="A1889" i="2"/>
  <c r="A1860" i="2"/>
  <c r="B1839" i="2"/>
  <c r="A1812" i="2"/>
  <c r="A1787" i="2"/>
  <c r="A1761" i="2"/>
  <c r="A1738" i="2"/>
  <c r="A1713" i="2"/>
  <c r="A1689" i="2"/>
  <c r="B1660" i="2"/>
  <c r="B1636" i="2"/>
  <c r="B1610" i="2"/>
  <c r="B1587" i="2"/>
  <c r="B1561" i="2"/>
  <c r="A1538" i="2"/>
  <c r="A1509" i="2"/>
  <c r="B1485" i="2"/>
  <c r="A1462" i="2"/>
  <c r="A1440" i="2"/>
  <c r="A1416" i="2"/>
  <c r="B1394" i="2"/>
  <c r="B1369" i="2"/>
  <c r="B1349" i="2"/>
  <c r="A1326" i="2"/>
  <c r="A1304" i="2"/>
  <c r="B1280" i="2"/>
  <c r="B1258" i="2"/>
  <c r="A1235" i="2"/>
  <c r="B1212" i="2"/>
  <c r="B1189" i="2"/>
  <c r="A1167" i="2"/>
  <c r="B1143" i="2"/>
  <c r="A1125" i="2"/>
  <c r="B1099" i="2"/>
  <c r="B1077" i="2"/>
  <c r="A1054" i="2"/>
  <c r="B1031" i="2"/>
  <c r="B1009" i="2"/>
  <c r="B988" i="2"/>
  <c r="B962" i="2"/>
  <c r="B941" i="2"/>
  <c r="B917" i="2"/>
  <c r="B897" i="2"/>
  <c r="A874" i="2"/>
  <c r="B851" i="2"/>
  <c r="B826" i="2"/>
  <c r="B804" i="2"/>
  <c r="B782" i="2"/>
  <c r="A761" i="2"/>
  <c r="B737" i="2"/>
  <c r="A716" i="2"/>
  <c r="B690" i="2"/>
  <c r="B671" i="2"/>
  <c r="A647" i="2"/>
  <c r="B625" i="2"/>
  <c r="A604" i="2"/>
  <c r="A585" i="2"/>
  <c r="B564" i="2"/>
  <c r="A545" i="2"/>
  <c r="B521" i="2"/>
  <c r="A502" i="2"/>
  <c r="B480" i="2"/>
  <c r="B461" i="2"/>
  <c r="B440" i="2"/>
  <c r="B421" i="2"/>
  <c r="B397" i="2"/>
  <c r="B378" i="2"/>
  <c r="A359" i="2"/>
  <c r="B338" i="2"/>
  <c r="A317" i="2"/>
  <c r="A297" i="2"/>
  <c r="B275" i="2"/>
  <c r="A259" i="2"/>
  <c r="B239" i="2"/>
  <c r="A221" i="2"/>
  <c r="A201" i="2"/>
  <c r="A183" i="2"/>
  <c r="B163" i="2"/>
  <c r="A145" i="2"/>
  <c r="B125" i="2"/>
  <c r="A107" i="2"/>
  <c r="A87" i="2"/>
  <c r="B71" i="2"/>
  <c r="A50" i="2"/>
  <c r="A32" i="2"/>
  <c r="B12" i="2"/>
  <c r="A2046" i="1"/>
  <c r="A2083" i="1"/>
  <c r="B2000" i="1"/>
  <c r="B1989" i="1"/>
  <c r="B1853" i="1"/>
  <c r="B1619" i="1"/>
  <c r="A1937" i="1"/>
  <c r="A1703" i="1"/>
  <c r="B1968" i="1"/>
  <c r="B1716" i="1"/>
  <c r="B2027" i="1"/>
  <c r="A1800" i="1"/>
  <c r="A1590" i="1"/>
  <c r="B1885" i="1"/>
  <c r="B1669" i="1"/>
  <c r="A1891" i="1"/>
  <c r="A1705" i="1"/>
  <c r="B1892" i="1"/>
  <c r="A1495" i="1"/>
  <c r="A1261" i="1"/>
  <c r="A1712" i="1"/>
  <c r="B1430" i="1"/>
  <c r="A2122" i="1"/>
  <c r="B1599" i="1"/>
  <c r="A1382" i="1"/>
  <c r="A1875" i="1"/>
  <c r="B1539" i="1"/>
  <c r="B1335" i="1"/>
  <c r="B1822" i="1"/>
  <c r="A1485" i="1"/>
  <c r="A1293" i="1"/>
  <c r="A1762" i="1"/>
  <c r="B1468" i="1"/>
  <c r="A2091" i="1"/>
  <c r="A1426" i="1"/>
  <c r="B1140" i="1"/>
  <c r="A1987" i="1"/>
  <c r="B1373" i="1"/>
  <c r="A1152" i="1"/>
  <c r="A2014" i="1"/>
  <c r="A1833" i="1"/>
  <c r="B1368" i="1"/>
  <c r="A1141" i="1"/>
  <c r="A2081" i="1"/>
  <c r="A1476" i="1"/>
  <c r="B1178" i="1"/>
  <c r="B1028" i="1"/>
  <c r="B1519" i="1"/>
  <c r="A1232" i="1"/>
  <c r="A1040" i="1"/>
  <c r="B1506" i="1"/>
  <c r="A1398" i="1"/>
  <c r="B1475" i="1"/>
  <c r="A1556" i="1"/>
  <c r="A1482" i="1"/>
  <c r="A1239" i="1"/>
  <c r="B977" i="1"/>
  <c r="B1233" i="1"/>
  <c r="B944" i="1"/>
  <c r="A1077" i="1"/>
  <c r="A855" i="1"/>
  <c r="B1103" i="1"/>
  <c r="B870" i="1"/>
  <c r="B1191" i="1"/>
  <c r="A936" i="1"/>
  <c r="A881" i="1"/>
  <c r="B705" i="1"/>
  <c r="B513" i="1"/>
  <c r="B1087" i="1"/>
  <c r="A783" i="1"/>
  <c r="A621" i="1"/>
  <c r="A1893" i="1"/>
  <c r="A981" i="1"/>
  <c r="B772" i="1"/>
  <c r="B604" i="1"/>
  <c r="B1153" i="1"/>
  <c r="A852" i="1"/>
  <c r="B659" i="1"/>
  <c r="A1481" i="1"/>
  <c r="B781" i="1"/>
  <c r="A538" i="1"/>
  <c r="B1049" i="1"/>
  <c r="B732" i="1"/>
  <c r="A473" i="1"/>
  <c r="A305" i="1"/>
  <c r="B829" i="1"/>
  <c r="A604" i="1"/>
  <c r="A378" i="1"/>
  <c r="B1195" i="1"/>
  <c r="A737" i="1"/>
  <c r="B498" i="1"/>
  <c r="B319" i="1"/>
  <c r="A918" i="1"/>
  <c r="B630" i="1"/>
  <c r="A423" i="1"/>
  <c r="B962" i="1"/>
  <c r="A576" i="1"/>
  <c r="B260" i="1"/>
  <c r="B98" i="1"/>
  <c r="A727" i="1"/>
  <c r="A346" i="1"/>
  <c r="A164" i="1"/>
  <c r="B893" i="1"/>
  <c r="A440" i="1"/>
  <c r="B226" i="1"/>
  <c r="B40" i="1"/>
  <c r="A655" i="1"/>
  <c r="B302" i="1"/>
  <c r="A124" i="1"/>
  <c r="A743" i="1"/>
  <c r="B395" i="1"/>
  <c r="B187" i="1"/>
  <c r="A958" i="1"/>
  <c r="A240" i="1"/>
  <c r="A20" i="1"/>
  <c r="B422" i="1"/>
  <c r="B108" i="1"/>
  <c r="A787" i="1"/>
  <c r="A326" i="1"/>
  <c r="A53" i="1"/>
  <c r="A298" i="1"/>
  <c r="A833" i="1"/>
  <c r="B512" i="1"/>
  <c r="A155" i="1"/>
  <c r="B844" i="1"/>
  <c r="A60" i="1"/>
  <c r="B620" i="1"/>
  <c r="A216" i="1"/>
  <c r="A12" i="1"/>
  <c r="A195" i="1"/>
  <c r="A778" i="1"/>
  <c r="B389" i="1"/>
  <c r="A115" i="1"/>
  <c r="A361" i="1"/>
  <c r="A1" i="1"/>
  <c r="A1137" i="1"/>
  <c r="B245" i="1"/>
  <c r="A234" i="1"/>
  <c r="A599" i="1"/>
  <c r="A17" i="1"/>
  <c r="B399" i="1"/>
  <c r="B183" i="1"/>
  <c r="A85" i="1"/>
  <c r="A64" i="1"/>
  <c r="A534" i="1"/>
  <c r="B8" i="1"/>
  <c r="B93" i="1"/>
  <c r="B447" i="1"/>
  <c r="A2182" i="4"/>
  <c r="A1366" i="4"/>
  <c r="B168" i="4"/>
  <c r="B2855" i="3"/>
  <c r="A2540" i="3"/>
  <c r="A2252" i="3"/>
  <c r="B1975" i="3"/>
  <c r="B1848" i="3"/>
  <c r="A1608" i="3"/>
  <c r="A1392" i="3"/>
  <c r="A1208" i="3"/>
  <c r="B1059" i="3"/>
  <c r="B914" i="3"/>
  <c r="B771" i="3"/>
  <c r="A644" i="3"/>
  <c r="B516" i="3"/>
  <c r="A402" i="3"/>
  <c r="A283" i="3"/>
  <c r="B229" i="3"/>
  <c r="B129" i="3"/>
  <c r="A37" i="3"/>
  <c r="A4391" i="2"/>
  <c r="A4298" i="2"/>
  <c r="A4153" i="2"/>
  <c r="A4057" i="2"/>
  <c r="A3966" i="2"/>
  <c r="A3874" i="2"/>
  <c r="A3776" i="2"/>
  <c r="A3682" i="2"/>
  <c r="A3585" i="2"/>
  <c r="A3507" i="2"/>
  <c r="A3427" i="2"/>
  <c r="B3354" i="2"/>
  <c r="A3280" i="2"/>
  <c r="A3203" i="2"/>
  <c r="B3124" i="2"/>
  <c r="A3049" i="2"/>
  <c r="A2970" i="2"/>
  <c r="B2892" i="2"/>
  <c r="B2815" i="2"/>
  <c r="A2744" i="2"/>
  <c r="A2664" i="2"/>
  <c r="A2588" i="2"/>
  <c r="B2523" i="2"/>
  <c r="A2459" i="2"/>
  <c r="A2393" i="2"/>
  <c r="B2331" i="2"/>
  <c r="A2273" i="2"/>
  <c r="A2218" i="2"/>
  <c r="B2160" i="2"/>
  <c r="A2105" i="2"/>
  <c r="B2049" i="2"/>
  <c r="B1994" i="2"/>
  <c r="A1938" i="2"/>
  <c r="B1886" i="2"/>
  <c r="A1834" i="2"/>
  <c r="A1786" i="2"/>
  <c r="B1734" i="2"/>
  <c r="B1685" i="2"/>
  <c r="A1610" i="2"/>
  <c r="B1559" i="2"/>
  <c r="B1482" i="2"/>
  <c r="A1439" i="2"/>
  <c r="B1391" i="2"/>
  <c r="A1346" i="2"/>
  <c r="B1302" i="2"/>
  <c r="A1256" i="2"/>
  <c r="B1188" i="2"/>
  <c r="A1143" i="2"/>
  <c r="B1098" i="2"/>
  <c r="A1053" i="2"/>
  <c r="B1007" i="2"/>
  <c r="A962" i="2"/>
  <c r="A916" i="2"/>
  <c r="A873" i="2"/>
  <c r="A826" i="2"/>
  <c r="A780" i="2"/>
  <c r="A737" i="2"/>
  <c r="B689" i="2"/>
  <c r="A646" i="2"/>
  <c r="B603" i="2"/>
  <c r="B560" i="2"/>
  <c r="A521" i="2"/>
  <c r="B500" i="2"/>
  <c r="B459" i="2"/>
  <c r="A418" i="2"/>
  <c r="A376" i="2"/>
  <c r="B337" i="2"/>
  <c r="B294" i="2"/>
  <c r="B255" i="2"/>
  <c r="B219" i="2"/>
  <c r="B180" i="2"/>
  <c r="A144" i="2"/>
  <c r="B105" i="2"/>
  <c r="B66" i="2"/>
  <c r="B30" i="2"/>
  <c r="A2034" i="1"/>
  <c r="A2102" i="1"/>
  <c r="B1829" i="1"/>
  <c r="A1907" i="1"/>
  <c r="B1956" i="1"/>
  <c r="B2004" i="1"/>
  <c r="A1566" i="1"/>
  <c r="B1651" i="1"/>
  <c r="A1657" i="1"/>
  <c r="A1483" i="1"/>
  <c r="A1255" i="1"/>
  <c r="B1406" i="1"/>
  <c r="B1587" i="1"/>
  <c r="A1851" i="1"/>
  <c r="B1329" i="1"/>
  <c r="A1479" i="1"/>
  <c r="A1714" i="1"/>
  <c r="B1982" i="1"/>
  <c r="B1134" i="1"/>
  <c r="B1361" i="1"/>
  <c r="B1977" i="1"/>
  <c r="B1308" i="1"/>
  <c r="A1998" i="1"/>
  <c r="B1172" i="1"/>
  <c r="B1507" i="1"/>
  <c r="A1034" i="1"/>
  <c r="A1307" i="1"/>
  <c r="B1535" i="1"/>
  <c r="A1222" i="1"/>
  <c r="B1216" i="1"/>
  <c r="B1075" i="1"/>
  <c r="A1035" i="1"/>
  <c r="B1183" i="1"/>
  <c r="B861" i="1"/>
  <c r="B507" i="1"/>
  <c r="A777" i="1"/>
  <c r="B1446" i="1"/>
  <c r="B760" i="1"/>
  <c r="B1132" i="1"/>
  <c r="B653" i="1"/>
  <c r="A772" i="1"/>
  <c r="A940" i="1"/>
  <c r="A461" i="1"/>
  <c r="A820" i="1"/>
  <c r="A372" i="1"/>
  <c r="A721" i="1"/>
  <c r="B289" i="1"/>
  <c r="B612" i="1"/>
  <c r="A934" i="1"/>
  <c r="B254" i="1"/>
  <c r="B708" i="1"/>
  <c r="A134" i="1"/>
  <c r="A421" i="1"/>
  <c r="A1965" i="1"/>
  <c r="A282" i="1"/>
  <c r="A734" i="1"/>
  <c r="B157" i="1"/>
  <c r="B215" i="1"/>
  <c r="B354" i="1"/>
  <c r="A707" i="1"/>
  <c r="A43" i="1"/>
  <c r="A1127" i="1"/>
  <c r="A153" i="1"/>
  <c r="B57" i="1"/>
  <c r="B189" i="1"/>
  <c r="A156" i="1"/>
  <c r="B386" i="1"/>
  <c r="B273" i="1"/>
  <c r="A843" i="1"/>
  <c r="B209" i="1"/>
  <c r="A746" i="1"/>
  <c r="A177" i="1"/>
  <c r="B726" i="1"/>
  <c r="A1499" i="1"/>
  <c r="A51" i="1"/>
  <c r="A2125" i="4"/>
  <c r="B1150" i="4"/>
  <c r="A161" i="4"/>
  <c r="B2845" i="3"/>
  <c r="B2525" i="3"/>
  <c r="B2238" i="3"/>
  <c r="A1953" i="3"/>
  <c r="A1711" i="3"/>
  <c r="A1479" i="3"/>
  <c r="B1280" i="3"/>
  <c r="A1129" i="3"/>
  <c r="A896" i="3"/>
  <c r="A766" i="3"/>
  <c r="B638" i="3"/>
  <c r="B513" i="3"/>
  <c r="A398" i="3"/>
  <c r="B273" i="3"/>
  <c r="A172" i="3"/>
  <c r="A78" i="3"/>
  <c r="A4435" i="2"/>
  <c r="B4342" i="2"/>
  <c r="A4246" i="2"/>
  <c r="A4152" i="2"/>
  <c r="A4054" i="2"/>
  <c r="B3960" i="2"/>
  <c r="B3859" i="2"/>
  <c r="A3768" i="2"/>
  <c r="B3676" i="2"/>
  <c r="A3584" i="2"/>
  <c r="A3503" i="2"/>
  <c r="B3426" i="2"/>
  <c r="A3349" i="2"/>
  <c r="A3271" i="2"/>
  <c r="B3198" i="2"/>
  <c r="A3158" i="2"/>
  <c r="A3082" i="2"/>
  <c r="B3004" i="2"/>
  <c r="A2930" i="2"/>
  <c r="A2854" i="2"/>
  <c r="A2777" i="2"/>
  <c r="B2700" i="2"/>
  <c r="B2621" i="2"/>
  <c r="A2553" i="2"/>
  <c r="B2486" i="2"/>
  <c r="B2425" i="2"/>
  <c r="A2363" i="2"/>
  <c r="B2299" i="2"/>
  <c r="A2244" i="2"/>
  <c r="A2188" i="2"/>
  <c r="B2133" i="2"/>
  <c r="B2075" i="2"/>
  <c r="B2020" i="2"/>
  <c r="B1964" i="2"/>
  <c r="B1910" i="2"/>
  <c r="A1858" i="2"/>
  <c r="B1810" i="2"/>
  <c r="A1760" i="2"/>
  <c r="B1707" i="2"/>
  <c r="B1659" i="2"/>
  <c r="A1608" i="2"/>
  <c r="A1558" i="2"/>
  <c r="B1506" i="2"/>
  <c r="B1457" i="2"/>
  <c r="B1413" i="2"/>
  <c r="A1368" i="2"/>
  <c r="B1323" i="2"/>
  <c r="B1276" i="2"/>
  <c r="A1232" i="2"/>
  <c r="A1188" i="2"/>
  <c r="B1140" i="2"/>
  <c r="B1096" i="2"/>
  <c r="A1052" i="2"/>
  <c r="A1005" i="2"/>
  <c r="B961" i="2"/>
  <c r="B915" i="2"/>
  <c r="A872" i="2"/>
  <c r="A825" i="2"/>
  <c r="B779" i="2"/>
  <c r="A735" i="2"/>
  <c r="A688" i="2"/>
  <c r="B645" i="2"/>
  <c r="A603" i="2"/>
  <c r="A560" i="2"/>
  <c r="B520" i="2"/>
  <c r="A479" i="2"/>
  <c r="A438" i="2"/>
  <c r="A396" i="2"/>
  <c r="B354" i="2"/>
  <c r="B314" i="2"/>
  <c r="A274" i="2"/>
  <c r="A237" i="2"/>
  <c r="A198" i="2"/>
  <c r="A161" i="2"/>
  <c r="A124" i="2"/>
  <c r="A85" i="2"/>
  <c r="A66" i="2"/>
  <c r="A30" i="2"/>
  <c r="A2016" i="1"/>
  <c r="A2084" i="1"/>
  <c r="B1823" i="1"/>
  <c r="A1883" i="1"/>
  <c r="B1926" i="1"/>
  <c r="B2002" i="1"/>
  <c r="A1560" i="1"/>
  <c r="B1615" i="1"/>
  <c r="A1651" i="1"/>
  <c r="A1477" i="1"/>
  <c r="A1652" i="1"/>
  <c r="B1983" i="1"/>
  <c r="A1358" i="1"/>
  <c r="B1503" i="1"/>
  <c r="B1762" i="1"/>
  <c r="A1275" i="1"/>
  <c r="B1450" i="1"/>
  <c r="A1378" i="1"/>
  <c r="A1790" i="1"/>
  <c r="A1128" i="1"/>
  <c r="A1737" i="1"/>
  <c r="A1123" i="1"/>
  <c r="B1972" i="1"/>
  <c r="A1416" i="1"/>
  <c r="B1160" i="1"/>
  <c r="B980" i="1"/>
  <c r="B1495" i="1"/>
  <c r="A1028" i="1"/>
  <c r="B1453" i="1"/>
  <c r="A1410" i="1"/>
  <c r="A1391" i="1"/>
  <c r="B925" i="1"/>
  <c r="B921" i="1"/>
  <c r="A1706" i="1"/>
  <c r="B852" i="1"/>
  <c r="A1277" i="1"/>
  <c r="B657" i="1"/>
  <c r="B1013" i="1"/>
  <c r="A597" i="1"/>
  <c r="B954" i="1"/>
  <c r="B574" i="1"/>
  <c r="B803" i="1"/>
  <c r="A1336" i="1"/>
  <c r="B497" i="1"/>
  <c r="B698" i="1"/>
  <c r="A275" i="1"/>
  <c r="A532" i="1"/>
  <c r="B1121" i="1"/>
  <c r="B463" i="1"/>
  <c r="B872" i="1"/>
  <c r="A393" i="1"/>
  <c r="A476" i="1"/>
  <c r="B74" i="1"/>
  <c r="A310" i="1"/>
  <c r="A834" i="1"/>
  <c r="B196" i="1"/>
  <c r="B528" i="1"/>
  <c r="A100" i="1"/>
  <c r="B359" i="1"/>
  <c r="A708" i="1"/>
  <c r="A8" i="1"/>
  <c r="A69" i="1"/>
  <c r="B227" i="1"/>
  <c r="B239" i="1"/>
  <c r="A469" i="1"/>
  <c r="A738" i="1"/>
  <c r="B436" i="1"/>
  <c r="A969" i="1"/>
  <c r="A731" i="1"/>
  <c r="A71" i="1"/>
  <c r="A896" i="1"/>
  <c r="B679" i="1"/>
  <c r="B1059" i="1"/>
  <c r="A73" i="1"/>
  <c r="A648" i="1"/>
  <c r="B490" i="1"/>
  <c r="B54" i="1"/>
  <c r="B3281" i="4"/>
  <c r="B1080" i="4"/>
  <c r="A544" i="4"/>
  <c r="B139" i="4"/>
  <c r="A3003" i="3"/>
  <c r="B2826" i="3"/>
  <c r="B2669" i="3"/>
  <c r="A2521" i="3"/>
  <c r="B2364" i="3"/>
  <c r="A2236" i="3"/>
  <c r="B2078" i="3"/>
  <c r="B1950" i="3"/>
  <c r="B1830" i="3"/>
  <c r="B1710" i="3"/>
  <c r="B1598" i="3"/>
  <c r="B1478" i="3"/>
  <c r="B1382" i="3"/>
  <c r="A1275" i="3"/>
  <c r="A1194" i="3"/>
  <c r="B1118" i="3"/>
  <c r="B1044" i="3"/>
  <c r="A972" i="3"/>
  <c r="B894" i="3"/>
  <c r="A835" i="3"/>
  <c r="B762" i="3"/>
  <c r="B696" i="3"/>
  <c r="A630" i="3"/>
  <c r="B567" i="3"/>
  <c r="B510" i="3"/>
  <c r="B446" i="3"/>
  <c r="B396" i="3"/>
  <c r="B331" i="3"/>
  <c r="A272" i="3"/>
  <c r="A220" i="3"/>
  <c r="A170" i="3"/>
  <c r="A124" i="3"/>
  <c r="A75" i="3"/>
  <c r="A32" i="3"/>
  <c r="A4429" i="2"/>
  <c r="A4384" i="2"/>
  <c r="B4333" i="2"/>
  <c r="B4288" i="2"/>
  <c r="A4242" i="2"/>
  <c r="A4193" i="2"/>
  <c r="A4150" i="2"/>
  <c r="A4099" i="2"/>
  <c r="A4053" i="2"/>
  <c r="A4004" i="2"/>
  <c r="A3959" i="2"/>
  <c r="B3911" i="2"/>
  <c r="A3859" i="2"/>
  <c r="B3820" i="2"/>
  <c r="A3767" i="2"/>
  <c r="B3719" i="2"/>
  <c r="B3672" i="2"/>
  <c r="B3625" i="2"/>
  <c r="A3583" i="2"/>
  <c r="A3538" i="2"/>
  <c r="A3502" i="2"/>
  <c r="A3460" i="2"/>
  <c r="A3426" i="2"/>
  <c r="B3384" i="2"/>
  <c r="B3348" i="2"/>
  <c r="A3308" i="2"/>
  <c r="A3270" i="2"/>
  <c r="B3234" i="2"/>
  <c r="A3192" i="2"/>
  <c r="A3157" i="2"/>
  <c r="A3116" i="2"/>
  <c r="A3081" i="2"/>
  <c r="B3040" i="2"/>
  <c r="A3000" i="2"/>
  <c r="A2967" i="2"/>
  <c r="A2888" i="2"/>
  <c r="A2846" i="2"/>
  <c r="A2813" i="2"/>
  <c r="A2773" i="2"/>
  <c r="A2733" i="2"/>
  <c r="A2700" i="2"/>
  <c r="B2657" i="2"/>
  <c r="A2620" i="2"/>
  <c r="B2579" i="2"/>
  <c r="B2552" i="2"/>
  <c r="A2518" i="2"/>
  <c r="B2484" i="2"/>
  <c r="B2456" i="2"/>
  <c r="A2422" i="2"/>
  <c r="A2357" i="2"/>
  <c r="A2328" i="2"/>
  <c r="B2298" i="2"/>
  <c r="B2271" i="2"/>
  <c r="A2242" i="2"/>
  <c r="B2186" i="2"/>
  <c r="B2159" i="2"/>
  <c r="A2102" i="2"/>
  <c r="B2046" i="2"/>
  <c r="B1991" i="2"/>
  <c r="B1935" i="2"/>
  <c r="B1882" i="2"/>
  <c r="A1832" i="2"/>
  <c r="B1784" i="2"/>
  <c r="A1732" i="2"/>
  <c r="B1681" i="2"/>
  <c r="B1633" i="2"/>
  <c r="A1581" i="2"/>
  <c r="A1532" i="2"/>
  <c r="B1480" i="2"/>
  <c r="A1433" i="2"/>
  <c r="B1389" i="2"/>
  <c r="A1344" i="2"/>
  <c r="A1300" i="2"/>
  <c r="B1252" i="2"/>
  <c r="B1208" i="2"/>
  <c r="B1164" i="2"/>
  <c r="B1117" i="2"/>
  <c r="A1073" i="2"/>
  <c r="B1028" i="2"/>
  <c r="B981" i="2"/>
  <c r="B937" i="2"/>
  <c r="B891" i="2"/>
  <c r="B846" i="2"/>
  <c r="A801" i="2"/>
  <c r="A756" i="2"/>
  <c r="B710" i="2"/>
  <c r="B664" i="2"/>
  <c r="A623" i="2"/>
  <c r="A580" i="2"/>
  <c r="B538" i="2"/>
  <c r="B499" i="2"/>
  <c r="A456" i="2"/>
  <c r="B416" i="2"/>
  <c r="A375" i="2"/>
  <c r="A332" i="2"/>
  <c r="B292" i="2"/>
  <c r="B254" i="2"/>
  <c r="B217" i="2"/>
  <c r="A178" i="2"/>
  <c r="A141" i="2"/>
  <c r="B104" i="2"/>
  <c r="B65" i="2"/>
  <c r="A28" i="2"/>
  <c r="A2010" i="1"/>
  <c r="A2060" i="1"/>
  <c r="B1817" i="1"/>
  <c r="A1877" i="1"/>
  <c r="B1920" i="1"/>
  <c r="B1990" i="1"/>
  <c r="A2123" i="1"/>
  <c r="B1609" i="1"/>
  <c r="A1633" i="1"/>
  <c r="A1471" i="1"/>
  <c r="A1616" i="1"/>
  <c r="B1923" i="1"/>
  <c r="A1346" i="1"/>
  <c r="B1485" i="1"/>
  <c r="B1750" i="1"/>
  <c r="A1269" i="1"/>
  <c r="B1426" i="1"/>
  <c r="A1366" i="1"/>
  <c r="A1766" i="1"/>
  <c r="A1122" i="1"/>
  <c r="A1713" i="1"/>
  <c r="A1099" i="1"/>
  <c r="A1404" i="1"/>
  <c r="B2100" i="1"/>
  <c r="A1202" i="1"/>
  <c r="B1415" i="1"/>
  <c r="B1331" i="1"/>
  <c r="B1350" i="1"/>
  <c r="B919" i="1"/>
  <c r="B2086" i="1"/>
  <c r="B1537" i="1"/>
  <c r="B1821" i="1"/>
  <c r="A1235" i="1"/>
  <c r="B651" i="1"/>
  <c r="B981" i="1"/>
  <c r="A591" i="1"/>
  <c r="B903" i="1"/>
  <c r="B568" i="1"/>
  <c r="B797" i="1"/>
  <c r="B1290" i="1"/>
  <c r="B494" i="1"/>
  <c r="B662" i="1"/>
  <c r="A1917" i="1"/>
  <c r="B523" i="1"/>
  <c r="B1095" i="1"/>
  <c r="B457" i="1"/>
  <c r="B828" i="1"/>
  <c r="A387" i="1"/>
  <c r="A457" i="1"/>
  <c r="B68" i="1"/>
  <c r="B308" i="1"/>
  <c r="A788" i="1"/>
  <c r="B190" i="1"/>
  <c r="A516" i="1"/>
  <c r="A94" i="1"/>
  <c r="A350" i="1"/>
  <c r="A671" i="1"/>
  <c r="B899" i="1"/>
  <c r="B33" i="1"/>
  <c r="B225" i="1"/>
  <c r="A231" i="1"/>
  <c r="B372" i="1"/>
  <c r="A590" i="1"/>
  <c r="B417" i="1"/>
  <c r="A688" i="1"/>
  <c r="B715" i="1"/>
  <c r="A68" i="1"/>
  <c r="B454" i="1"/>
  <c r="A5" i="1"/>
  <c r="A817" i="1"/>
  <c r="A38" i="1"/>
  <c r="A126" i="1"/>
  <c r="B456" i="1"/>
  <c r="B41" i="1"/>
  <c r="A3250" i="4"/>
  <c r="B429" i="4"/>
  <c r="B2984" i="3"/>
  <c r="A2663" i="3"/>
  <c r="A2361" i="3"/>
  <c r="A2078" i="3"/>
  <c r="B1812" i="3"/>
  <c r="B1581" i="3"/>
  <c r="B1358" i="3"/>
  <c r="B960" i="3"/>
  <c r="A691" i="3"/>
  <c r="A561" i="3"/>
  <c r="A446" i="3"/>
  <c r="B330" i="3"/>
  <c r="A213" i="3"/>
  <c r="B116" i="3"/>
  <c r="B20" i="3"/>
  <c r="A4330" i="2"/>
  <c r="B4285" i="2"/>
  <c r="A4192" i="2"/>
  <c r="B4098" i="2"/>
  <c r="B3996" i="2"/>
  <c r="A3903" i="2"/>
  <c r="A3808" i="2"/>
  <c r="B3715" i="2"/>
  <c r="B3623" i="2"/>
  <c r="A3537" i="2"/>
  <c r="A3458" i="2"/>
  <c r="A3384" i="2"/>
  <c r="A3305" i="2"/>
  <c r="B3227" i="2"/>
  <c r="B3151" i="2"/>
  <c r="A3080" i="2"/>
  <c r="B2999" i="2"/>
  <c r="B2923" i="2"/>
  <c r="B2884" i="2"/>
  <c r="A2812" i="2"/>
  <c r="A2732" i="2"/>
  <c r="A2656" i="2"/>
  <c r="A2579" i="2"/>
  <c r="B2515" i="2"/>
  <c r="B2448" i="2"/>
  <c r="A2388" i="2"/>
  <c r="B2325" i="2"/>
  <c r="A2265" i="2"/>
  <c r="B2209" i="2"/>
  <c r="B2153" i="2"/>
  <c r="B2098" i="2"/>
  <c r="B2041" i="2"/>
  <c r="A1985" i="2"/>
  <c r="A1930" i="2"/>
  <c r="A1880" i="2"/>
  <c r="B1829" i="2"/>
  <c r="B1804" i="2"/>
  <c r="A1755" i="2"/>
  <c r="B1703" i="2"/>
  <c r="A1654" i="2"/>
  <c r="B1603" i="2"/>
  <c r="A1552" i="2"/>
  <c r="A1505" i="2"/>
  <c r="B1454" i="2"/>
  <c r="B1408" i="2"/>
  <c r="B1365" i="2"/>
  <c r="A1318" i="2"/>
  <c r="B1274" i="2"/>
  <c r="B1228" i="2"/>
  <c r="B1181" i="2"/>
  <c r="B1138" i="2"/>
  <c r="B1093" i="2"/>
  <c r="B1048" i="2"/>
  <c r="B1001" i="2"/>
  <c r="A957" i="2"/>
  <c r="B913" i="2"/>
  <c r="A866" i="2"/>
  <c r="B821" i="2"/>
  <c r="A777" i="2"/>
  <c r="A730" i="2"/>
  <c r="B686" i="2"/>
  <c r="B640" i="2"/>
  <c r="A599" i="2"/>
  <c r="B557" i="2"/>
  <c r="B516" i="2"/>
  <c r="B474" i="2"/>
  <c r="B433" i="2"/>
  <c r="B394" i="2"/>
  <c r="B351" i="2"/>
  <c r="A310" i="2"/>
  <c r="A272" i="2"/>
  <c r="A233" i="2"/>
  <c r="A158" i="2"/>
  <c r="A83" i="2"/>
  <c r="A45" i="2"/>
  <c r="A8" i="2"/>
  <c r="A2005" i="1"/>
  <c r="A2025" i="1"/>
  <c r="B1571" i="1"/>
  <c r="A1625" i="1"/>
  <c r="B1668" i="1"/>
  <c r="A1746" i="1"/>
  <c r="B1807" i="1"/>
  <c r="A1849" i="1"/>
  <c r="B1760" i="1"/>
  <c r="A2007" i="1"/>
  <c r="B1358" i="1"/>
  <c r="A1310" i="1"/>
  <c r="B1461" i="1"/>
  <c r="B1666" i="1"/>
  <c r="B2064" i="1"/>
  <c r="B1396" i="1"/>
  <c r="A1306" i="1"/>
  <c r="A1694" i="1"/>
  <c r="A1080" i="1"/>
  <c r="A1593" i="1"/>
  <c r="A1069" i="1"/>
  <c r="A1972" i="1"/>
  <c r="A1010" i="1"/>
  <c r="B1215" i="1"/>
  <c r="B1297" i="1"/>
  <c r="B901" i="1"/>
  <c r="B1518" i="1"/>
  <c r="B1321" i="1"/>
  <c r="B1417" i="1"/>
  <c r="B1179" i="1"/>
  <c r="B633" i="1"/>
  <c r="A941" i="1"/>
  <c r="A868" i="1"/>
  <c r="B544" i="1"/>
  <c r="B611" i="1"/>
  <c r="A460" i="1"/>
  <c r="B624" i="1"/>
  <c r="A500" i="1"/>
  <c r="B969" i="1"/>
  <c r="B427" i="1"/>
  <c r="B540" i="1"/>
  <c r="A650" i="1"/>
  <c r="A110" i="1"/>
  <c r="B166" i="1"/>
  <c r="A238" i="1"/>
  <c r="A634" i="1"/>
  <c r="B27" i="1"/>
  <c r="A338" i="1"/>
  <c r="B383" i="1"/>
  <c r="A228" i="1"/>
  <c r="B1054" i="1"/>
  <c r="B3005" i="4"/>
  <c r="B1902" i="4"/>
  <c r="B1003" i="4"/>
  <c r="B386" i="4"/>
  <c r="B125" i="4"/>
  <c r="B2966" i="3"/>
  <c r="A2802" i="3"/>
  <c r="B2639" i="3"/>
  <c r="B2494" i="3"/>
  <c r="A2352" i="3"/>
  <c r="A2193" i="3"/>
  <c r="A2068" i="3"/>
  <c r="A1933" i="3"/>
  <c r="A1804" i="3"/>
  <c r="A1684" i="3"/>
  <c r="A1574" i="3"/>
  <c r="A1468" i="3"/>
  <c r="A1352" i="3"/>
  <c r="B1270" i="3"/>
  <c r="B1182" i="3"/>
  <c r="A1106" i="3"/>
  <c r="A1030" i="3"/>
  <c r="A958" i="3"/>
  <c r="B885" i="3"/>
  <c r="B817" i="3"/>
  <c r="B759" i="3"/>
  <c r="B685" i="3"/>
  <c r="A619" i="3"/>
  <c r="A555" i="3"/>
  <c r="A499" i="3"/>
  <c r="B440" i="3"/>
  <c r="B378" i="3"/>
  <c r="B327" i="3"/>
  <c r="A264" i="3"/>
  <c r="B210" i="3"/>
  <c r="B159" i="3"/>
  <c r="A115" i="3"/>
  <c r="B68" i="3"/>
  <c r="A20" i="3"/>
  <c r="A4427" i="2"/>
  <c r="A4376" i="2"/>
  <c r="A4329" i="2"/>
  <c r="A4281" i="2"/>
  <c r="A4235" i="2"/>
  <c r="A4188" i="2"/>
  <c r="A4135" i="2"/>
  <c r="A4097" i="2"/>
  <c r="B4043" i="2"/>
  <c r="A3996" i="2"/>
  <c r="A3949" i="2"/>
  <c r="A3902" i="2"/>
  <c r="A3857" i="2"/>
  <c r="A3806" i="2"/>
  <c r="A3764" i="2"/>
  <c r="A3712" i="2"/>
  <c r="A3665" i="2"/>
  <c r="A3616" i="2"/>
  <c r="A3573" i="2"/>
  <c r="A3534" i="2"/>
  <c r="A3493" i="2"/>
  <c r="B3457" i="2"/>
  <c r="A3418" i="2"/>
  <c r="A3382" i="2"/>
  <c r="B3340" i="2"/>
  <c r="A3302" i="2"/>
  <c r="B3265" i="2"/>
  <c r="B3223" i="2"/>
  <c r="A3190" i="2"/>
  <c r="B3150" i="2"/>
  <c r="B3112" i="2"/>
  <c r="A3071" i="2"/>
  <c r="B3035" i="2"/>
  <c r="A2996" i="2"/>
  <c r="B2956" i="2"/>
  <c r="A2923" i="2"/>
  <c r="B2881" i="2"/>
  <c r="A2844" i="2"/>
  <c r="A2802" i="2"/>
  <c r="A2767" i="2"/>
  <c r="B2728" i="2"/>
  <c r="A2689" i="2"/>
  <c r="A2654" i="2"/>
  <c r="A2614" i="2"/>
  <c r="B2578" i="2"/>
  <c r="B2543" i="2"/>
  <c r="B2511" i="2"/>
  <c r="A2482" i="2"/>
  <c r="A2448" i="2"/>
  <c r="B2418" i="2"/>
  <c r="A2384" i="2"/>
  <c r="B2354" i="2"/>
  <c r="A2319" i="2"/>
  <c r="A2291" i="2"/>
  <c r="B2264" i="2"/>
  <c r="B2236" i="2"/>
  <c r="B2206" i="2"/>
  <c r="A2180" i="2"/>
  <c r="B2151" i="2"/>
  <c r="B2124" i="2"/>
  <c r="B2096" i="2"/>
  <c r="B2067" i="2"/>
  <c r="A2040" i="2"/>
  <c r="B2011" i="2"/>
  <c r="B1984" i="2"/>
  <c r="B1957" i="2"/>
  <c r="A1928" i="2"/>
  <c r="B1901" i="2"/>
  <c r="B1877" i="2"/>
  <c r="B1853" i="2"/>
  <c r="A1828" i="2"/>
  <c r="B1801" i="2"/>
  <c r="B1775" i="2"/>
  <c r="A1751" i="2"/>
  <c r="A1727" i="2"/>
  <c r="B1702" i="2"/>
  <c r="A1677" i="2"/>
  <c r="A1650" i="2"/>
  <c r="B1624" i="2"/>
  <c r="B1601" i="2"/>
  <c r="B1576" i="2"/>
  <c r="A1551" i="2"/>
  <c r="B1525" i="2"/>
  <c r="B1498" i="2"/>
  <c r="A1476" i="2"/>
  <c r="B1452" i="2"/>
  <c r="B1429" i="2"/>
  <c r="B1407" i="2"/>
  <c r="B1384" i="2"/>
  <c r="B1362" i="2"/>
  <c r="B1338" i="2"/>
  <c r="A1316" i="2"/>
  <c r="A1293" i="2"/>
  <c r="A1271" i="2"/>
  <c r="B1250" i="2"/>
  <c r="B1227" i="2"/>
  <c r="B1203" i="2"/>
  <c r="A1180" i="2"/>
  <c r="B1157" i="2"/>
  <c r="A1136" i="2"/>
  <c r="A1114" i="2"/>
  <c r="A1091" i="2"/>
  <c r="A1067" i="2"/>
  <c r="A1044" i="2"/>
  <c r="A1023" i="2"/>
  <c r="B1000" i="2"/>
  <c r="A977" i="2"/>
  <c r="B954" i="2"/>
  <c r="A930" i="2"/>
  <c r="A910" i="2"/>
  <c r="A887" i="2"/>
  <c r="A864" i="2"/>
  <c r="A842" i="2"/>
  <c r="A819" i="2"/>
  <c r="B797" i="2"/>
  <c r="A773" i="2"/>
  <c r="A750" i="2"/>
  <c r="B727" i="2"/>
  <c r="A706" i="2"/>
  <c r="B684" i="2"/>
  <c r="A662" i="2"/>
  <c r="B637" i="2"/>
  <c r="B616" i="2"/>
  <c r="A596" i="2"/>
  <c r="A576" i="2"/>
  <c r="B556" i="2"/>
  <c r="A536" i="2"/>
  <c r="B513" i="2"/>
  <c r="B492" i="2"/>
  <c r="B473" i="2"/>
  <c r="A453" i="2"/>
  <c r="A432" i="2"/>
  <c r="B411" i="2"/>
  <c r="A389" i="2"/>
  <c r="B370" i="2"/>
  <c r="A350" i="2"/>
  <c r="A329" i="2"/>
  <c r="A309" i="2"/>
  <c r="A288" i="2"/>
  <c r="A270" i="2"/>
  <c r="B249" i="2"/>
  <c r="B230" i="2"/>
  <c r="B211" i="2"/>
  <c r="B193" i="2"/>
  <c r="A176" i="2"/>
  <c r="A157" i="2"/>
  <c r="A137" i="2"/>
  <c r="B117" i="2"/>
  <c r="B98" i="2"/>
  <c r="B80" i="2"/>
  <c r="B62" i="2"/>
  <c r="B43" i="2"/>
  <c r="B23" i="2"/>
  <c r="A4" i="2"/>
  <c r="B2083" i="1"/>
  <c r="B2114" i="1"/>
  <c r="A2018" i="1"/>
  <c r="B1985" i="1"/>
  <c r="B1745" i="1"/>
  <c r="B1541" i="1"/>
  <c r="A1835" i="1"/>
  <c r="A1601" i="1"/>
  <c r="B1866" i="1"/>
  <c r="B1638" i="1"/>
  <c r="A1950" i="1"/>
  <c r="A1710" i="1"/>
  <c r="A2015" i="1"/>
  <c r="B1777" i="1"/>
  <c r="B2106" i="1"/>
  <c r="A1837" i="1"/>
  <c r="A1603" i="1"/>
  <c r="B1712" i="1"/>
  <c r="A1399" i="1"/>
  <c r="A1940" i="1"/>
  <c r="A1559" i="1"/>
  <c r="B1346" i="1"/>
  <c r="B1839" i="1"/>
  <c r="A1496" i="1"/>
  <c r="A1286" i="1"/>
  <c r="A1755" i="1"/>
  <c r="B1455" i="1"/>
  <c r="A2045" i="1"/>
  <c r="B1654" i="1"/>
  <c r="A1407" i="1"/>
  <c r="A1966" i="1"/>
  <c r="A1594" i="1"/>
  <c r="B1384" i="1"/>
  <c r="B1694" i="1"/>
  <c r="A1254" i="1"/>
  <c r="B1080" i="1"/>
  <c r="A1646" i="1"/>
  <c r="A1241" i="1"/>
  <c r="A1074" i="1"/>
  <c r="B1713" i="1"/>
  <c r="A1569" i="1"/>
  <c r="B1242" i="1"/>
  <c r="A1063" i="1"/>
  <c r="B1756" i="1"/>
  <c r="A1296" i="1"/>
  <c r="B1118" i="1"/>
  <c r="A1924" i="1"/>
  <c r="B1375" i="1"/>
  <c r="A1154" i="1"/>
  <c r="A968" i="1"/>
  <c r="A1995" i="1"/>
  <c r="B1201" i="1"/>
  <c r="A1209" i="1"/>
  <c r="A1326" i="1"/>
  <c r="A1802" i="1"/>
  <c r="A1119" i="1"/>
  <c r="B889" i="1"/>
  <c r="A1102" i="1"/>
  <c r="B1511" i="1"/>
  <c r="B953" i="1"/>
  <c r="B1302" i="1"/>
  <c r="B971" i="1"/>
  <c r="A1409" i="1"/>
  <c r="B1078" i="1"/>
  <c r="B1091" i="1"/>
  <c r="B795" i="1"/>
  <c r="B621" i="1"/>
  <c r="B1398" i="1"/>
  <c r="A916" i="1"/>
  <c r="A711" i="1"/>
  <c r="A555" i="1"/>
  <c r="A1221" i="1"/>
  <c r="B865" i="1"/>
  <c r="B700" i="1"/>
  <c r="B514" i="1"/>
  <c r="B949" i="1"/>
  <c r="B767" i="1"/>
  <c r="B587" i="1"/>
  <c r="A1055" i="1"/>
  <c r="B673" i="1"/>
  <c r="A454" i="1"/>
  <c r="B867" i="1"/>
  <c r="B608" i="1"/>
  <c r="A401" i="1"/>
  <c r="B1247" i="1"/>
  <c r="B739" i="1"/>
  <c r="A482" i="1"/>
  <c r="A306" i="1"/>
  <c r="B966" i="1"/>
  <c r="A629" i="1"/>
  <c r="B421" i="1"/>
  <c r="A1259" i="1"/>
  <c r="B774" i="1"/>
  <c r="B522" i="1"/>
  <c r="A333" i="1"/>
  <c r="A798" i="1"/>
  <c r="A409" i="1"/>
  <c r="B188" i="1"/>
  <c r="A1228" i="1"/>
  <c r="A542" i="1"/>
  <c r="A266" i="1"/>
  <c r="B1605" i="1"/>
  <c r="A689" i="1"/>
  <c r="A331" i="1"/>
  <c r="B136" i="1"/>
  <c r="A889" i="1"/>
  <c r="B450" i="1"/>
  <c r="A214" i="1"/>
  <c r="B1162" i="1"/>
  <c r="A558" i="1"/>
  <c r="A296" i="1"/>
  <c r="B127" i="1"/>
  <c r="A571" i="1"/>
  <c r="B143" i="1"/>
  <c r="A782" i="1"/>
  <c r="B314" i="1"/>
  <c r="B21" i="1"/>
  <c r="A554" i="1"/>
  <c r="A219" i="1"/>
  <c r="A850" i="1"/>
  <c r="A161" i="1"/>
  <c r="B926" i="1"/>
  <c r="B335" i="1"/>
  <c r="A63" i="1"/>
  <c r="A415" i="1"/>
  <c r="A1155" i="1"/>
  <c r="A380" i="1"/>
  <c r="A113" i="1"/>
  <c r="A540" i="1"/>
  <c r="B1275" i="1"/>
  <c r="A662" i="1"/>
  <c r="A259" i="1"/>
  <c r="B25" i="1"/>
  <c r="B201" i="1"/>
  <c r="A424" i="1"/>
  <c r="B405" i="1"/>
  <c r="B408" i="1"/>
  <c r="A841" i="1"/>
  <c r="A605" i="1"/>
  <c r="B207" i="1"/>
  <c r="A994" i="1"/>
  <c r="B910" i="1"/>
  <c r="B23" i="1"/>
  <c r="B113" i="1"/>
  <c r="B296" i="1"/>
  <c r="A563" i="1"/>
  <c r="B17" i="1"/>
  <c r="A2782" i="4"/>
  <c r="B1861" i="4"/>
  <c r="A893" i="4"/>
  <c r="A367" i="4"/>
  <c r="B69" i="4"/>
  <c r="B2965" i="3"/>
  <c r="B2782" i="3"/>
  <c r="A2625" i="3"/>
  <c r="B2482" i="3"/>
  <c r="A2324" i="3"/>
  <c r="B2191" i="3"/>
  <c r="B2040" i="3"/>
  <c r="A1927" i="3"/>
  <c r="B1790" i="3"/>
  <c r="A1671" i="3"/>
  <c r="A1569" i="3"/>
  <c r="B1446" i="3"/>
  <c r="B1351" i="3"/>
  <c r="B1245" i="3"/>
  <c r="B1179" i="3"/>
  <c r="B1099" i="3"/>
  <c r="B1021" i="3"/>
  <c r="A952" i="3"/>
  <c r="A876" i="3"/>
  <c r="B813" i="3"/>
  <c r="B741" i="3"/>
  <c r="B684" i="3"/>
  <c r="B613" i="3"/>
  <c r="A549" i="3"/>
  <c r="B492" i="3"/>
  <c r="B433" i="3"/>
  <c r="A378" i="3"/>
  <c r="B312" i="3"/>
  <c r="A262" i="3"/>
  <c r="A205" i="3"/>
  <c r="A157" i="3"/>
  <c r="A112" i="3"/>
  <c r="B63" i="3"/>
  <c r="B18" i="3"/>
  <c r="A4413" i="2"/>
  <c r="A4375" i="2"/>
  <c r="A4321" i="2"/>
  <c r="A4273" i="2"/>
  <c r="A4229" i="2"/>
  <c r="A4180" i="2"/>
  <c r="B4134" i="2"/>
  <c r="A4084" i="2"/>
  <c r="A4041" i="2"/>
  <c r="A3992" i="2"/>
  <c r="B3942" i="2"/>
  <c r="A3900" i="2"/>
  <c r="A3849" i="2"/>
  <c r="A3804" i="2"/>
  <c r="A3751" i="2"/>
  <c r="A3710" i="2"/>
  <c r="A3659" i="2"/>
  <c r="B3611" i="2"/>
  <c r="A3570" i="2"/>
  <c r="A3528" i="2"/>
  <c r="B3491" i="2"/>
  <c r="B3450" i="2"/>
  <c r="A3416" i="2"/>
  <c r="A3376" i="2"/>
  <c r="B3334" i="2"/>
  <c r="B3301" i="2"/>
  <c r="A3260" i="2"/>
  <c r="A3223" i="2"/>
  <c r="A3182" i="2"/>
  <c r="A3148" i="2"/>
  <c r="B3108" i="2"/>
  <c r="A3067" i="2"/>
  <c r="A3035" i="2"/>
  <c r="B2993" i="2"/>
  <c r="A2956" i="2"/>
  <c r="A2915" i="2"/>
  <c r="A2881" i="2"/>
  <c r="A2839" i="2"/>
  <c r="A2800" i="2"/>
  <c r="B2766" i="2"/>
  <c r="A2725" i="2"/>
  <c r="A2687" i="2"/>
  <c r="B2647" i="2"/>
  <c r="B2611" i="2"/>
  <c r="A2573" i="2"/>
  <c r="A2541" i="2"/>
  <c r="A2511" i="2"/>
  <c r="B2475" i="2"/>
  <c r="B2447" i="2"/>
  <c r="B2413" i="2"/>
  <c r="B2383" i="2"/>
  <c r="B2349" i="2"/>
  <c r="A2318" i="2"/>
  <c r="A2289" i="2"/>
  <c r="A2262" i="2"/>
  <c r="A2232" i="2"/>
  <c r="B2205" i="2"/>
  <c r="B2178" i="2"/>
  <c r="B2148" i="2"/>
  <c r="A2122" i="2"/>
  <c r="B2092" i="2"/>
  <c r="A2066" i="2"/>
  <c r="A2039" i="2"/>
  <c r="B2009" i="2"/>
  <c r="A1983" i="2"/>
  <c r="B1952" i="2"/>
  <c r="B1925" i="2"/>
  <c r="A1900" i="2"/>
  <c r="B1875" i="2"/>
  <c r="B1852" i="2"/>
  <c r="A1826" i="2"/>
  <c r="A1800" i="2"/>
  <c r="A1775" i="2"/>
  <c r="B1749" i="2"/>
  <c r="A1726" i="2"/>
  <c r="A1701" i="2"/>
  <c r="B1673" i="2"/>
  <c r="B1648" i="2"/>
  <c r="A1624" i="2"/>
  <c r="A1601" i="2"/>
  <c r="B1575" i="2"/>
  <c r="B1550" i="2"/>
  <c r="A1523" i="2"/>
  <c r="A1498" i="2"/>
  <c r="B1473" i="2"/>
  <c r="A1452" i="2"/>
  <c r="B1428" i="2"/>
  <c r="B1406" i="2"/>
  <c r="A1382" i="2"/>
  <c r="A1361" i="2"/>
  <c r="B1337" i="2"/>
  <c r="B1315" i="2"/>
  <c r="A1292" i="2"/>
  <c r="B1269" i="2"/>
  <c r="B1249" i="2"/>
  <c r="B1224" i="2"/>
  <c r="A1202" i="2"/>
  <c r="B1179" i="2"/>
  <c r="B1156" i="2"/>
  <c r="B1134" i="2"/>
  <c r="B1112" i="2"/>
  <c r="A1088" i="2"/>
  <c r="A1065" i="2"/>
  <c r="A1043" i="2"/>
  <c r="B1022" i="2"/>
  <c r="B999" i="2"/>
  <c r="B976" i="2"/>
  <c r="B952" i="2"/>
  <c r="B929" i="2"/>
  <c r="A908" i="2"/>
  <c r="A886" i="2"/>
  <c r="B863" i="2"/>
  <c r="A840" i="2"/>
  <c r="A816" i="2"/>
  <c r="B795" i="2"/>
  <c r="B772" i="2"/>
  <c r="B749" i="2"/>
  <c r="B726" i="2"/>
  <c r="A704" i="2"/>
  <c r="A683" i="2"/>
  <c r="A659" i="2"/>
  <c r="A636" i="2"/>
  <c r="A616" i="2"/>
  <c r="B595" i="2"/>
  <c r="B575" i="2"/>
  <c r="B554" i="2"/>
  <c r="B532" i="2"/>
  <c r="A512" i="2"/>
  <c r="A492" i="2"/>
  <c r="A473" i="2"/>
  <c r="B452" i="2"/>
  <c r="B431" i="2"/>
  <c r="B409" i="2"/>
  <c r="B388" i="2"/>
  <c r="A369" i="2"/>
  <c r="B349" i="2"/>
  <c r="B328" i="2"/>
  <c r="A308" i="2"/>
  <c r="B285" i="2"/>
  <c r="A268" i="2"/>
  <c r="A249" i="2"/>
  <c r="A230" i="2"/>
  <c r="A211" i="2"/>
  <c r="A192" i="2"/>
  <c r="A175" i="2"/>
  <c r="A155" i="2"/>
  <c r="B135" i="2"/>
  <c r="A117" i="2"/>
  <c r="A98" i="2"/>
  <c r="A80" i="2"/>
  <c r="A61" i="2"/>
  <c r="A41" i="2"/>
  <c r="B21" i="2"/>
  <c r="B3" i="2"/>
  <c r="B2071" i="1"/>
  <c r="B2108" i="1"/>
  <c r="A2012" i="1"/>
  <c r="B1967" i="1"/>
  <c r="B1739" i="1"/>
  <c r="B2092" i="1"/>
  <c r="A1829" i="1"/>
  <c r="A1595" i="1"/>
  <c r="B1854" i="1"/>
  <c r="B1614" i="1"/>
  <c r="A1932" i="1"/>
  <c r="A1704" i="1"/>
  <c r="A2004" i="1"/>
  <c r="B1771" i="1"/>
  <c r="B2070" i="1"/>
  <c r="A1819" i="1"/>
  <c r="A1579" i="1"/>
  <c r="B1688" i="1"/>
  <c r="A1393" i="1"/>
  <c r="A1928" i="1"/>
  <c r="B1557" i="1"/>
  <c r="B1340" i="1"/>
  <c r="B1827" i="1"/>
  <c r="A1490" i="1"/>
  <c r="A1280" i="1"/>
  <c r="A1719" i="1"/>
  <c r="B1443" i="1"/>
  <c r="A2021" i="1"/>
  <c r="B1618" i="1"/>
  <c r="A1395" i="1"/>
  <c r="A1954" i="1"/>
  <c r="A1582" i="1"/>
  <c r="B1378" i="1"/>
  <c r="B1670" i="1"/>
  <c r="A1251" i="1"/>
  <c r="B1074" i="1"/>
  <c r="A1622" i="1"/>
  <c r="A1236" i="1"/>
  <c r="A1062" i="1"/>
  <c r="B1689" i="1"/>
  <c r="A1565" i="1"/>
  <c r="A1237" i="1"/>
  <c r="A1057" i="1"/>
  <c r="B1708" i="1"/>
  <c r="A1284" i="1"/>
  <c r="B1112" i="1"/>
  <c r="A1900" i="1"/>
  <c r="B1363" i="1"/>
  <c r="A1142" i="1"/>
  <c r="A962" i="1"/>
  <c r="B1984" i="1"/>
  <c r="B2124" i="1"/>
  <c r="B1207" i="1"/>
  <c r="A1288" i="1"/>
  <c r="B1576" i="1"/>
  <c r="B1117" i="1"/>
  <c r="B883" i="1"/>
  <c r="B1077" i="1"/>
  <c r="A1434" i="1"/>
  <c r="A939" i="1"/>
  <c r="A1290" i="1"/>
  <c r="A967" i="1"/>
  <c r="B1381" i="1"/>
  <c r="B1047" i="1"/>
  <c r="A1059" i="1"/>
  <c r="B789" i="1"/>
  <c r="B615" i="1"/>
  <c r="B1386" i="1"/>
  <c r="A900" i="1"/>
  <c r="A705" i="1"/>
  <c r="A549" i="1"/>
  <c r="B1204" i="1"/>
  <c r="B855" i="1"/>
  <c r="B688" i="1"/>
  <c r="B508" i="1"/>
  <c r="B934" i="1"/>
  <c r="B761" i="1"/>
  <c r="B581" i="1"/>
  <c r="A1018" i="1"/>
  <c r="A664" i="1"/>
  <c r="A448" i="1"/>
  <c r="A856" i="1"/>
  <c r="B606" i="1"/>
  <c r="A389" i="1"/>
  <c r="B1159" i="1"/>
  <c r="A730" i="1"/>
  <c r="A478" i="1"/>
  <c r="A300" i="1"/>
  <c r="B946" i="1"/>
  <c r="A613" i="1"/>
  <c r="B415" i="1"/>
  <c r="B1231" i="1"/>
  <c r="B758" i="1"/>
  <c r="A512" i="1"/>
  <c r="A327" i="1"/>
  <c r="A792" i="1"/>
  <c r="B400" i="1"/>
  <c r="B182" i="1"/>
  <c r="B1169" i="1"/>
  <c r="B517" i="1"/>
  <c r="A260" i="1"/>
  <c r="B1487" i="1"/>
  <c r="A680" i="1"/>
  <c r="A313" i="1"/>
  <c r="B130" i="1"/>
  <c r="B880" i="1"/>
  <c r="B448" i="1"/>
  <c r="A208" i="1"/>
  <c r="B1107" i="1"/>
  <c r="B530" i="1"/>
  <c r="A280" i="1"/>
  <c r="B115" i="1"/>
  <c r="B449" i="1"/>
  <c r="B141" i="1"/>
  <c r="A750" i="1"/>
  <c r="A215" i="1"/>
  <c r="B15" i="1"/>
  <c r="A533" i="1"/>
  <c r="B155" i="1"/>
  <c r="A839" i="1"/>
  <c r="A37" i="1"/>
  <c r="B845" i="1"/>
  <c r="B332" i="1"/>
  <c r="B60" i="1"/>
  <c r="A307" i="1"/>
  <c r="A1256" i="1"/>
  <c r="A343" i="1"/>
  <c r="A89" i="1"/>
  <c r="B482" i="1"/>
  <c r="B1489" i="1"/>
  <c r="A530" i="1"/>
  <c r="B228" i="1"/>
  <c r="B19" i="1"/>
  <c r="B129" i="1"/>
  <c r="B396" i="1"/>
  <c r="B278" i="1"/>
  <c r="A107" i="1"/>
  <c r="A799" i="1"/>
  <c r="B440" i="1"/>
  <c r="A600" i="1"/>
  <c r="A816" i="1"/>
  <c r="A698" i="1"/>
  <c r="B5" i="1"/>
  <c r="B89" i="1"/>
  <c r="B287" i="1"/>
  <c r="B465" i="1"/>
  <c r="B1163" i="1"/>
  <c r="A790" i="2"/>
  <c r="A2124" i="1"/>
  <c r="B1709" i="1"/>
  <c r="A1781" i="1"/>
  <c r="A2080" i="1"/>
  <c r="B1812" i="1"/>
  <c r="A1878" i="1"/>
  <c r="A1644" i="1"/>
  <c r="B1981" i="1"/>
  <c r="B1729" i="1"/>
  <c r="A1753" i="1"/>
  <c r="A2079" i="1"/>
  <c r="B1604" i="1"/>
  <c r="A1363" i="1"/>
  <c r="B1502" i="1"/>
  <c r="B1274" i="1"/>
  <c r="B1791" i="1"/>
  <c r="A1454" i="1"/>
  <c r="B2117" i="1"/>
  <c r="B1401" i="1"/>
  <c r="B1954" i="1"/>
  <c r="B1582" i="1"/>
  <c r="A1359" i="1"/>
  <c r="A1882" i="1"/>
  <c r="B1354" i="1"/>
  <c r="B1574" i="1"/>
  <c r="B1218" i="1"/>
  <c r="B1026" i="1"/>
  <c r="B1493" i="1"/>
  <c r="A1032" i="1"/>
  <c r="B1593" i="1"/>
  <c r="B1488" i="1"/>
  <c r="A1189" i="1"/>
  <c r="A1039" i="1"/>
  <c r="B1561" i="1"/>
  <c r="B1058" i="1"/>
  <c r="A1732" i="1"/>
  <c r="B1303" i="1"/>
  <c r="A1112" i="1"/>
  <c r="A2067" i="1"/>
  <c r="A1696" i="1"/>
  <c r="A2057" i="1"/>
  <c r="A1816" i="1"/>
  <c r="B1458" i="1"/>
  <c r="A1037" i="1"/>
  <c r="B1036" i="1"/>
  <c r="A1216" i="1"/>
  <c r="A915" i="1"/>
  <c r="B1185" i="1"/>
  <c r="B918" i="1"/>
  <c r="B997" i="1"/>
  <c r="A1000" i="1"/>
  <c r="B735" i="1"/>
  <c r="B573" i="1"/>
  <c r="A858" i="1"/>
  <c r="A681" i="1"/>
  <c r="A513" i="1"/>
  <c r="B843" i="1"/>
  <c r="B652" i="1"/>
  <c r="B2057" i="1"/>
  <c r="B719" i="1"/>
  <c r="B551" i="1"/>
  <c r="B915" i="1"/>
  <c r="A1677" i="1"/>
  <c r="B804" i="1"/>
  <c r="B572" i="1"/>
  <c r="B1085" i="1"/>
  <c r="B649" i="1"/>
  <c r="A438" i="1"/>
  <c r="A860" i="1"/>
  <c r="A577" i="1"/>
  <c r="B994" i="1"/>
  <c r="B738" i="1"/>
  <c r="A309" i="1"/>
  <c r="A653" i="1"/>
  <c r="B152" i="1"/>
  <c r="B1060" i="1"/>
  <c r="A224" i="1"/>
  <c r="A1049" i="1"/>
  <c r="B274" i="1"/>
  <c r="B112" i="1"/>
  <c r="A732" i="1"/>
  <c r="A178" i="1"/>
  <c r="B976" i="1"/>
  <c r="B247" i="1"/>
  <c r="B103" i="1"/>
  <c r="A83" i="1"/>
  <c r="A740" i="1"/>
  <c r="A1271" i="1"/>
  <c r="A498" i="1"/>
  <c r="A638" i="1"/>
  <c r="A1396" i="1"/>
  <c r="A258" i="1"/>
  <c r="B22" i="1"/>
  <c r="A1089" i="1"/>
  <c r="B71" i="1"/>
  <c r="B401" i="1"/>
  <c r="B471" i="1"/>
  <c r="A191" i="1"/>
  <c r="A42" i="1"/>
  <c r="B179" i="1"/>
  <c r="A1131" i="1"/>
  <c r="A526" i="1"/>
  <c r="B353" i="1"/>
  <c r="A410" i="1"/>
  <c r="A806" i="1"/>
  <c r="A198" i="1"/>
  <c r="B288" i="1"/>
  <c r="A1241" i="2"/>
  <c r="B243" i="2"/>
  <c r="B54" i="2"/>
  <c r="B2030" i="1"/>
  <c r="B1913" i="1"/>
  <c r="B1996" i="1"/>
  <c r="A1745" i="1"/>
  <c r="B1794" i="1"/>
  <c r="A1638" i="1"/>
  <c r="B1723" i="1"/>
  <c r="A1741" i="1"/>
  <c r="B1568" i="1"/>
  <c r="A1808" i="1"/>
  <c r="B1478" i="1"/>
  <c r="A1448" i="1"/>
  <c r="B2021" i="1"/>
  <c r="B1389" i="1"/>
  <c r="A1564" i="1"/>
  <c r="A1858" i="1"/>
  <c r="B1516" i="1"/>
  <c r="B1206" i="1"/>
  <c r="B1469" i="1"/>
  <c r="A1020" i="1"/>
  <c r="B1440" i="1"/>
  <c r="A1547" i="1"/>
  <c r="A1684" i="1"/>
  <c r="B1898" i="1"/>
  <c r="A1648" i="1"/>
  <c r="A1768" i="1"/>
  <c r="B1012" i="1"/>
  <c r="B1477" i="1"/>
  <c r="A1169" i="1"/>
  <c r="B912" i="1"/>
  <c r="B950" i="1"/>
  <c r="B729" i="1"/>
  <c r="B847" i="1"/>
  <c r="A489" i="1"/>
  <c r="B646" i="1"/>
  <c r="A1605" i="1"/>
  <c r="B521" i="1"/>
  <c r="A610" i="1"/>
  <c r="B516" i="1"/>
  <c r="B996" i="1"/>
  <c r="A827" i="1"/>
  <c r="B355" i="1"/>
  <c r="B668" i="1"/>
  <c r="A644" i="1"/>
  <c r="A929" i="1"/>
  <c r="A497" i="1"/>
  <c r="A695" i="1"/>
  <c r="B223" i="1"/>
  <c r="A74" i="1"/>
  <c r="A397" i="1"/>
  <c r="B231" i="1"/>
  <c r="A257" i="1"/>
  <c r="A464" i="1"/>
  <c r="B105" i="1"/>
  <c r="B132" i="1"/>
  <c r="A325" i="1"/>
  <c r="A3600" i="2"/>
  <c r="B3402" i="2"/>
  <c r="A3325" i="2"/>
  <c r="B3247" i="2"/>
  <c r="A3215" i="2"/>
  <c r="A3134" i="2"/>
  <c r="B3018" i="2"/>
  <c r="B2902" i="2"/>
  <c r="A2826" i="2"/>
  <c r="A2713" i="2"/>
  <c r="A2561" i="2"/>
  <c r="A2468" i="2"/>
  <c r="B2370" i="2"/>
  <c r="A2279" i="2"/>
  <c r="B2224" i="2"/>
  <c r="A2140" i="2"/>
  <c r="A2085" i="2"/>
  <c r="B2000" i="2"/>
  <c r="A1917" i="2"/>
  <c r="A1869" i="2"/>
  <c r="B1767" i="2"/>
  <c r="B1690" i="2"/>
  <c r="B1616" i="2"/>
  <c r="A1540" i="2"/>
  <c r="B1465" i="2"/>
  <c r="B1376" i="2"/>
  <c r="B1306" i="2"/>
  <c r="B1240" i="2"/>
  <c r="B1172" i="2"/>
  <c r="B1103" i="2"/>
  <c r="B1013" i="2"/>
  <c r="B923" i="2"/>
  <c r="B876" i="2"/>
  <c r="A788" i="2"/>
  <c r="A675" i="2"/>
  <c r="B588" i="2"/>
  <c r="B485" i="2"/>
  <c r="B423" i="2"/>
  <c r="A321" i="2"/>
  <c r="A223" i="2"/>
  <c r="A168" i="2"/>
  <c r="A111" i="2"/>
  <c r="A35" i="2"/>
  <c r="B2024" i="1"/>
  <c r="A1955" i="1"/>
  <c r="A1860" i="1"/>
  <c r="A1963" i="1"/>
  <c r="A1796" i="1"/>
  <c r="A1424" i="1"/>
  <c r="A1539" i="1"/>
  <c r="B1312" i="1"/>
  <c r="B2110" i="1"/>
  <c r="B1428" i="1"/>
  <c r="B1226" i="1"/>
  <c r="A1094" i="1"/>
  <c r="A1720" i="1"/>
  <c r="B1434" i="1"/>
  <c r="A897" i="1"/>
  <c r="B979" i="1"/>
  <c r="A837" i="1"/>
  <c r="B796" i="1"/>
  <c r="B695" i="1"/>
  <c r="B770" i="1"/>
  <c r="B631" i="1"/>
  <c r="A557" i="1"/>
  <c r="B1629" i="1"/>
  <c r="B886" i="1"/>
  <c r="B475" i="1"/>
  <c r="A142" i="1"/>
  <c r="A1163" i="1"/>
  <c r="A141" i="1"/>
  <c r="A553" i="1"/>
  <c r="B95" i="1"/>
  <c r="B321" i="1"/>
  <c r="A150" i="1"/>
  <c r="A99" i="1"/>
  <c r="B251" i="1"/>
  <c r="A201" i="1"/>
  <c r="A167" i="1"/>
  <c r="B1106" i="3"/>
  <c r="B137" i="2"/>
  <c r="B1423" i="1"/>
  <c r="B779" i="1"/>
  <c r="A832" i="1"/>
  <c r="B1219" i="1"/>
  <c r="A1244" i="1"/>
  <c r="B582" i="1"/>
  <c r="B515" i="1"/>
  <c r="A95" i="1"/>
  <c r="B698" i="2"/>
  <c r="A2118" i="1"/>
  <c r="B1566" i="1"/>
  <c r="A2031" i="1"/>
  <c r="B1683" i="1"/>
  <c r="B1894" i="1"/>
  <c r="A1534" i="1"/>
  <c r="A1176" i="1"/>
  <c r="A997" i="1"/>
  <c r="A1100" i="1"/>
  <c r="B1720" i="1"/>
  <c r="A965" i="1"/>
  <c r="B1254" i="1"/>
  <c r="B561" i="1"/>
  <c r="A1048" i="1"/>
  <c r="A882" i="1"/>
  <c r="B1197" i="1"/>
  <c r="A640" i="1"/>
  <c r="A559" i="1"/>
  <c r="A291" i="1"/>
  <c r="A418" i="1"/>
  <c r="B94" i="1"/>
  <c r="B488" i="1"/>
  <c r="A560" i="1"/>
  <c r="A606" i="1"/>
  <c r="A1223" i="1"/>
  <c r="A61" i="1"/>
  <c r="A704" i="1"/>
  <c r="B330" i="1"/>
  <c r="B275" i="1"/>
  <c r="B173" i="1"/>
  <c r="B3553" i="2"/>
  <c r="B3439" i="2"/>
  <c r="B3360" i="2"/>
  <c r="A3287" i="2"/>
  <c r="A3173" i="2"/>
  <c r="A3093" i="2"/>
  <c r="A2980" i="2"/>
  <c r="B2867" i="2"/>
  <c r="B2748" i="2"/>
  <c r="A2634" i="2"/>
  <c r="A2532" i="2"/>
  <c r="B2403" i="2"/>
  <c r="B2252" i="2"/>
  <c r="B2113" i="2"/>
  <c r="B1944" i="2"/>
  <c r="B1843" i="2"/>
  <c r="A1716" i="2"/>
  <c r="B1590" i="2"/>
  <c r="B1420" i="2"/>
  <c r="B1284" i="2"/>
  <c r="B1149" i="2"/>
  <c r="B990" i="2"/>
  <c r="B833" i="2"/>
  <c r="A698" i="2"/>
  <c r="B609" i="2"/>
  <c r="B507" i="2"/>
  <c r="A404" i="2"/>
  <c r="A302" i="2"/>
  <c r="A205" i="2"/>
  <c r="A149" i="2"/>
  <c r="A73" i="2"/>
  <c r="A2119" i="1"/>
  <c r="B1907" i="1"/>
  <c r="B1788" i="1"/>
  <c r="B1915" i="1"/>
  <c r="A1997" i="1"/>
  <c r="B1262" i="1"/>
  <c r="A1575" i="1"/>
  <c r="A1822" i="1"/>
  <c r="B1200" i="1"/>
  <c r="A1014" i="1"/>
  <c r="A1544" i="1"/>
  <c r="B1249" i="1"/>
  <c r="B1672" i="1"/>
  <c r="B961" i="1"/>
  <c r="B900" i="1"/>
  <c r="B549" i="1"/>
  <c r="B1023" i="1"/>
  <c r="A874" i="1"/>
  <c r="B1123" i="1"/>
  <c r="B956" i="1"/>
  <c r="A811" i="1"/>
  <c r="A459" i="1"/>
  <c r="B116" i="1"/>
  <c r="A995" i="1"/>
  <c r="A692" i="1"/>
  <c r="B217" i="1"/>
  <c r="A59" i="1"/>
  <c r="B857" i="1"/>
  <c r="B935" i="1"/>
  <c r="A880" i="1"/>
  <c r="A815" i="1"/>
  <c r="A25" i="1"/>
  <c r="B18" i="1"/>
  <c r="B257" i="1"/>
  <c r="A131" i="1"/>
  <c r="A84" i="1"/>
  <c r="B1189" i="3"/>
  <c r="A100" i="2"/>
  <c r="A2009" i="1"/>
  <c r="A736" i="1"/>
  <c r="B1701" i="1"/>
  <c r="B133" i="1"/>
  <c r="B1018" i="1"/>
  <c r="A263" i="1"/>
  <c r="B299" i="1"/>
  <c r="B2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20212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127"/>
  <sheetViews>
    <sheetView workbookViewId="0"/>
  </sheetViews>
  <sheetFormatPr defaultColWidth="12.6640625" defaultRowHeight="15.75" customHeight="1"/>
  <cols>
    <col min="1" max="1" width="18" bestFit="1" customWidth="1"/>
  </cols>
  <sheetData>
    <row r="1" spans="1:7">
      <c r="A1" s="1" t="str">
        <f ca="1">IFERROR(__xludf.DUMMYFUNCTION("GOOGLEFINANCE(""GOOG"", ""price"", DATE(2005,1,1), DATE(2022,9,6), ""DAILY"")"),"Date")</f>
        <v>Date</v>
      </c>
      <c r="B1" s="1" t="str">
        <f ca="1">IFERROR(__xludf.DUMMYFUNCTION("""COMPUTED_VALUE"""),"Close")</f>
        <v>Close</v>
      </c>
      <c r="G1" s="2"/>
    </row>
    <row r="2" spans="1:7">
      <c r="A2" s="3">
        <f ca="1">IFERROR(__xludf.DUMMYFUNCTION("""COMPUTED_VALUE"""),41725.6666666666)</f>
        <v>41725.666666666599</v>
      </c>
      <c r="B2" s="1">
        <f ca="1">IFERROR(__xludf.DUMMYFUNCTION("""COMPUTED_VALUE"""),27.85)</f>
        <v>27.85</v>
      </c>
    </row>
    <row r="3" spans="1:7">
      <c r="A3" s="3">
        <f ca="1">IFERROR(__xludf.DUMMYFUNCTION("""COMPUTED_VALUE"""),41726.6666666666)</f>
        <v>41726.666666666599</v>
      </c>
      <c r="B3" s="1">
        <f ca="1">IFERROR(__xludf.DUMMYFUNCTION("""COMPUTED_VALUE"""),27.92)</f>
        <v>27.92</v>
      </c>
    </row>
    <row r="4" spans="1:7">
      <c r="A4" s="3">
        <f ca="1">IFERROR(__xludf.DUMMYFUNCTION("""COMPUTED_VALUE"""),41729.6666666666)</f>
        <v>41729.666666666599</v>
      </c>
      <c r="B4" s="1">
        <f ca="1">IFERROR(__xludf.DUMMYFUNCTION("""COMPUTED_VALUE"""),27.77)</f>
        <v>27.77</v>
      </c>
    </row>
    <row r="5" spans="1:7">
      <c r="A5" s="3">
        <f ca="1">IFERROR(__xludf.DUMMYFUNCTION("""COMPUTED_VALUE"""),41730.6666666666)</f>
        <v>41730.666666666599</v>
      </c>
      <c r="B5" s="1">
        <f ca="1">IFERROR(__xludf.DUMMYFUNCTION("""COMPUTED_VALUE"""),28.28)</f>
        <v>28.28</v>
      </c>
    </row>
    <row r="6" spans="1:7">
      <c r="A6" s="3">
        <f ca="1">IFERROR(__xludf.DUMMYFUNCTION("""COMPUTED_VALUE"""),41731.6666666666)</f>
        <v>41731.666666666599</v>
      </c>
      <c r="B6" s="1">
        <f ca="1">IFERROR(__xludf.DUMMYFUNCTION("""COMPUTED_VALUE"""),28.27)</f>
        <v>28.27</v>
      </c>
    </row>
    <row r="7" spans="1:7">
      <c r="A7" s="3">
        <f ca="1">IFERROR(__xludf.DUMMYFUNCTION("""COMPUTED_VALUE"""),41732.6666666666)</f>
        <v>41732.666666666599</v>
      </c>
      <c r="B7" s="1">
        <f ca="1">IFERROR(__xludf.DUMMYFUNCTION("""COMPUTED_VALUE"""),28.41)</f>
        <v>28.41</v>
      </c>
    </row>
    <row r="8" spans="1:7">
      <c r="A8" s="3">
        <f ca="1">IFERROR(__xludf.DUMMYFUNCTION("""COMPUTED_VALUE"""),41733.6666666666)</f>
        <v>41733.666666666599</v>
      </c>
      <c r="B8" s="1">
        <f ca="1">IFERROR(__xludf.DUMMYFUNCTION("""COMPUTED_VALUE"""),27.08)</f>
        <v>27.08</v>
      </c>
    </row>
    <row r="9" spans="1:7">
      <c r="A9" s="3">
        <f ca="1">IFERROR(__xludf.DUMMYFUNCTION("""COMPUTED_VALUE"""),41736.6666666666)</f>
        <v>41736.666666666599</v>
      </c>
      <c r="B9" s="1">
        <f ca="1">IFERROR(__xludf.DUMMYFUNCTION("""COMPUTED_VALUE"""),26.83)</f>
        <v>26.83</v>
      </c>
    </row>
    <row r="10" spans="1:7">
      <c r="A10" s="3">
        <f ca="1">IFERROR(__xludf.DUMMYFUNCTION("""COMPUTED_VALUE"""),41737.6666666666)</f>
        <v>41737.666666666599</v>
      </c>
      <c r="B10" s="1">
        <f ca="1">IFERROR(__xludf.DUMMYFUNCTION("""COMPUTED_VALUE"""),27.67)</f>
        <v>27.67</v>
      </c>
    </row>
    <row r="11" spans="1:7">
      <c r="A11" s="3">
        <f ca="1">IFERROR(__xludf.DUMMYFUNCTION("""COMPUTED_VALUE"""),41738.6666666666)</f>
        <v>41738.666666666599</v>
      </c>
      <c r="B11" s="1">
        <f ca="1">IFERROR(__xludf.DUMMYFUNCTION("""COMPUTED_VALUE"""),28.13)</f>
        <v>28.13</v>
      </c>
    </row>
    <row r="12" spans="1:7">
      <c r="A12" s="3">
        <f ca="1">IFERROR(__xludf.DUMMYFUNCTION("""COMPUTED_VALUE"""),41739.6666666666)</f>
        <v>41739.666666666599</v>
      </c>
      <c r="B12" s="1">
        <f ca="1">IFERROR(__xludf.DUMMYFUNCTION("""COMPUTED_VALUE"""),26.97)</f>
        <v>26.97</v>
      </c>
    </row>
    <row r="13" spans="1:7">
      <c r="A13" s="3">
        <f ca="1">IFERROR(__xludf.DUMMYFUNCTION("""COMPUTED_VALUE"""),41740.6666666666)</f>
        <v>41740.666666666599</v>
      </c>
      <c r="B13" s="1">
        <f ca="1">IFERROR(__xludf.DUMMYFUNCTION("""COMPUTED_VALUE"""),26.46)</f>
        <v>26.46</v>
      </c>
    </row>
    <row r="14" spans="1:7">
      <c r="A14" s="3">
        <f ca="1">IFERROR(__xludf.DUMMYFUNCTION("""COMPUTED_VALUE"""),41743.6666666666)</f>
        <v>41743.666666666599</v>
      </c>
      <c r="B14" s="1">
        <f ca="1">IFERROR(__xludf.DUMMYFUNCTION("""COMPUTED_VALUE"""),26.55)</f>
        <v>26.55</v>
      </c>
    </row>
    <row r="15" spans="1:7">
      <c r="A15" s="3">
        <f ca="1">IFERROR(__xludf.DUMMYFUNCTION("""COMPUTED_VALUE"""),41744.6666666666)</f>
        <v>41744.666666666599</v>
      </c>
      <c r="B15" s="1">
        <f ca="1">IFERROR(__xludf.DUMMYFUNCTION("""COMPUTED_VALUE"""),26.75)</f>
        <v>26.75</v>
      </c>
    </row>
    <row r="16" spans="1:7">
      <c r="A16" s="3">
        <f ca="1">IFERROR(__xludf.DUMMYFUNCTION("""COMPUTED_VALUE"""),41745.6666666666)</f>
        <v>41745.666666666599</v>
      </c>
      <c r="B16" s="1">
        <f ca="1">IFERROR(__xludf.DUMMYFUNCTION("""COMPUTED_VALUE"""),27.75)</f>
        <v>27.75</v>
      </c>
    </row>
    <row r="17" spans="1:2">
      <c r="A17" s="3">
        <f ca="1">IFERROR(__xludf.DUMMYFUNCTION("""COMPUTED_VALUE"""),41746.6666666666)</f>
        <v>41746.666666666599</v>
      </c>
      <c r="B17" s="1">
        <f ca="1">IFERROR(__xludf.DUMMYFUNCTION("""COMPUTED_VALUE"""),26.73)</f>
        <v>26.73</v>
      </c>
    </row>
    <row r="18" spans="1:2">
      <c r="A18" s="3">
        <f ca="1">IFERROR(__xludf.DUMMYFUNCTION("""COMPUTED_VALUE"""),41750.6666666666)</f>
        <v>41750.666666666599</v>
      </c>
      <c r="B18" s="1">
        <f ca="1">IFERROR(__xludf.DUMMYFUNCTION("""COMPUTED_VALUE"""),26.36)</f>
        <v>26.36</v>
      </c>
    </row>
    <row r="19" spans="1:2">
      <c r="A19" s="3">
        <f ca="1">IFERROR(__xludf.DUMMYFUNCTION("""COMPUTED_VALUE"""),41751.6666666666)</f>
        <v>41751.666666666599</v>
      </c>
      <c r="B19" s="1">
        <f ca="1">IFERROR(__xludf.DUMMYFUNCTION("""COMPUTED_VALUE"""),26.67)</f>
        <v>26.67</v>
      </c>
    </row>
    <row r="20" spans="1:2">
      <c r="A20" s="3">
        <f ca="1">IFERROR(__xludf.DUMMYFUNCTION("""COMPUTED_VALUE"""),41752.6666666666)</f>
        <v>41752.666666666599</v>
      </c>
      <c r="B20" s="1">
        <f ca="1">IFERROR(__xludf.DUMMYFUNCTION("""COMPUTED_VALUE"""),26.27)</f>
        <v>26.27</v>
      </c>
    </row>
    <row r="21" spans="1:2">
      <c r="A21" s="3">
        <f ca="1">IFERROR(__xludf.DUMMYFUNCTION("""COMPUTED_VALUE"""),41753.6666666666)</f>
        <v>41753.666666666599</v>
      </c>
      <c r="B21" s="1">
        <f ca="1">IFERROR(__xludf.DUMMYFUNCTION("""COMPUTED_VALUE"""),26.19)</f>
        <v>26.19</v>
      </c>
    </row>
    <row r="22" spans="1:2">
      <c r="A22" s="3">
        <f ca="1">IFERROR(__xludf.DUMMYFUNCTION("""COMPUTED_VALUE"""),41754.6666666666)</f>
        <v>41754.666666666599</v>
      </c>
      <c r="B22" s="1">
        <f ca="1">IFERROR(__xludf.DUMMYFUNCTION("""COMPUTED_VALUE"""),25.74)</f>
        <v>25.74</v>
      </c>
    </row>
    <row r="23" spans="1:2">
      <c r="A23" s="3">
        <f ca="1">IFERROR(__xludf.DUMMYFUNCTION("""COMPUTED_VALUE"""),41757.6666666666)</f>
        <v>41757.666666666599</v>
      </c>
      <c r="B23" s="1">
        <f ca="1">IFERROR(__xludf.DUMMYFUNCTION("""COMPUTED_VALUE"""),25.79)</f>
        <v>25.79</v>
      </c>
    </row>
    <row r="24" spans="1:2">
      <c r="A24" s="3">
        <f ca="1">IFERROR(__xludf.DUMMYFUNCTION("""COMPUTED_VALUE"""),41758.6666666666)</f>
        <v>41758.666666666599</v>
      </c>
      <c r="B24" s="1">
        <f ca="1">IFERROR(__xludf.DUMMYFUNCTION("""COMPUTED_VALUE"""),26.31)</f>
        <v>26.31</v>
      </c>
    </row>
    <row r="25" spans="1:2">
      <c r="A25" s="3">
        <f ca="1">IFERROR(__xludf.DUMMYFUNCTION("""COMPUTED_VALUE"""),41759.6666666666)</f>
        <v>41759.666666666599</v>
      </c>
      <c r="B25" s="1">
        <f ca="1">IFERROR(__xludf.DUMMYFUNCTION("""COMPUTED_VALUE"""),26.26)</f>
        <v>26.26</v>
      </c>
    </row>
    <row r="26" spans="1:2">
      <c r="A26" s="3">
        <f ca="1">IFERROR(__xludf.DUMMYFUNCTION("""COMPUTED_VALUE"""),41760.6666666666)</f>
        <v>41760.666666666599</v>
      </c>
      <c r="B26" s="1">
        <f ca="1">IFERROR(__xludf.DUMMYFUNCTION("""COMPUTED_VALUE"""),26.49)</f>
        <v>26.49</v>
      </c>
    </row>
    <row r="27" spans="1:2">
      <c r="A27" s="3">
        <f ca="1">IFERROR(__xludf.DUMMYFUNCTION("""COMPUTED_VALUE"""),41761.6666666666)</f>
        <v>41761.666666666599</v>
      </c>
      <c r="B27" s="1">
        <f ca="1">IFERROR(__xludf.DUMMYFUNCTION("""COMPUTED_VALUE"""),26.32)</f>
        <v>26.32</v>
      </c>
    </row>
    <row r="28" spans="1:2">
      <c r="A28" s="3">
        <f ca="1">IFERROR(__xludf.DUMMYFUNCTION("""COMPUTED_VALUE"""),41764.6666666666)</f>
        <v>41764.666666666599</v>
      </c>
      <c r="B28" s="1">
        <f ca="1">IFERROR(__xludf.DUMMYFUNCTION("""COMPUTED_VALUE"""),26.32)</f>
        <v>26.32</v>
      </c>
    </row>
    <row r="29" spans="1:2">
      <c r="A29" s="3">
        <f ca="1">IFERROR(__xludf.DUMMYFUNCTION("""COMPUTED_VALUE"""),41765.6666666666)</f>
        <v>41765.666666666599</v>
      </c>
      <c r="B29" s="1">
        <f ca="1">IFERROR(__xludf.DUMMYFUNCTION("""COMPUTED_VALUE"""),25.69)</f>
        <v>25.69</v>
      </c>
    </row>
    <row r="30" spans="1:2">
      <c r="A30" s="3">
        <f ca="1">IFERROR(__xludf.DUMMYFUNCTION("""COMPUTED_VALUE"""),41766.6666666666)</f>
        <v>41766.666666666599</v>
      </c>
      <c r="B30" s="1">
        <f ca="1">IFERROR(__xludf.DUMMYFUNCTION("""COMPUTED_VALUE"""),25.43)</f>
        <v>25.43</v>
      </c>
    </row>
    <row r="31" spans="1:2">
      <c r="A31" s="3">
        <f ca="1">IFERROR(__xludf.DUMMYFUNCTION("""COMPUTED_VALUE"""),41767.6666666666)</f>
        <v>41767.666666666599</v>
      </c>
      <c r="B31" s="1">
        <f ca="1">IFERROR(__xludf.DUMMYFUNCTION("""COMPUTED_VALUE"""),25.48)</f>
        <v>25.48</v>
      </c>
    </row>
    <row r="32" spans="1:2">
      <c r="A32" s="3">
        <f ca="1">IFERROR(__xludf.DUMMYFUNCTION("""COMPUTED_VALUE"""),41768.6666666666)</f>
        <v>41768.666666666599</v>
      </c>
      <c r="B32" s="1">
        <f ca="1">IFERROR(__xludf.DUMMYFUNCTION("""COMPUTED_VALUE"""),25.87)</f>
        <v>25.87</v>
      </c>
    </row>
    <row r="33" spans="1:2">
      <c r="A33" s="3">
        <f ca="1">IFERROR(__xludf.DUMMYFUNCTION("""COMPUTED_VALUE"""),41771.6666666666)</f>
        <v>41771.666666666599</v>
      </c>
      <c r="B33" s="1">
        <f ca="1">IFERROR(__xludf.DUMMYFUNCTION("""COMPUTED_VALUE"""),26.42)</f>
        <v>26.42</v>
      </c>
    </row>
    <row r="34" spans="1:2">
      <c r="A34" s="3">
        <f ca="1">IFERROR(__xludf.DUMMYFUNCTION("""COMPUTED_VALUE"""),41772.6666666666)</f>
        <v>41772.666666666599</v>
      </c>
      <c r="B34" s="1">
        <f ca="1">IFERROR(__xludf.DUMMYFUNCTION("""COMPUTED_VALUE"""),26.58)</f>
        <v>26.58</v>
      </c>
    </row>
    <row r="35" spans="1:2">
      <c r="A35" s="3">
        <f ca="1">IFERROR(__xludf.DUMMYFUNCTION("""COMPUTED_VALUE"""),41773.6666666666)</f>
        <v>41773.666666666599</v>
      </c>
      <c r="B35" s="1">
        <f ca="1">IFERROR(__xludf.DUMMYFUNCTION("""COMPUTED_VALUE"""),26.26)</f>
        <v>26.26</v>
      </c>
    </row>
    <row r="36" spans="1:2">
      <c r="A36" s="3">
        <f ca="1">IFERROR(__xludf.DUMMYFUNCTION("""COMPUTED_VALUE"""),41774.6666666666)</f>
        <v>41774.666666666599</v>
      </c>
      <c r="B36" s="1">
        <f ca="1">IFERROR(__xludf.DUMMYFUNCTION("""COMPUTED_VALUE"""),25.93)</f>
        <v>25.93</v>
      </c>
    </row>
    <row r="37" spans="1:2">
      <c r="A37" s="3">
        <f ca="1">IFERROR(__xludf.DUMMYFUNCTION("""COMPUTED_VALUE"""),41775.6666666666)</f>
        <v>41775.666666666599</v>
      </c>
      <c r="B37" s="1">
        <f ca="1">IFERROR(__xludf.DUMMYFUNCTION("""COMPUTED_VALUE"""),25.96)</f>
        <v>25.96</v>
      </c>
    </row>
    <row r="38" spans="1:2">
      <c r="A38" s="3">
        <f ca="1">IFERROR(__xludf.DUMMYFUNCTION("""COMPUTED_VALUE"""),41778.6666666666)</f>
        <v>41778.666666666599</v>
      </c>
      <c r="B38" s="1">
        <f ca="1">IFERROR(__xludf.DUMMYFUNCTION("""COMPUTED_VALUE"""),26.37)</f>
        <v>26.37</v>
      </c>
    </row>
    <row r="39" spans="1:2">
      <c r="A39" s="3">
        <f ca="1">IFERROR(__xludf.DUMMYFUNCTION("""COMPUTED_VALUE"""),41779.6666666666)</f>
        <v>41779.666666666599</v>
      </c>
      <c r="B39" s="1">
        <f ca="1">IFERROR(__xludf.DUMMYFUNCTION("""COMPUTED_VALUE"""),26.42)</f>
        <v>26.42</v>
      </c>
    </row>
    <row r="40" spans="1:2">
      <c r="A40" s="3">
        <f ca="1">IFERROR(__xludf.DUMMYFUNCTION("""COMPUTED_VALUE"""),41780.6666666666)</f>
        <v>41780.666666666599</v>
      </c>
      <c r="B40" s="1">
        <f ca="1">IFERROR(__xludf.DUMMYFUNCTION("""COMPUTED_VALUE"""),26.87)</f>
        <v>26.87</v>
      </c>
    </row>
    <row r="41" spans="1:2">
      <c r="A41" s="3">
        <f ca="1">IFERROR(__xludf.DUMMYFUNCTION("""COMPUTED_VALUE"""),41781.6666666666)</f>
        <v>41781.666666666599</v>
      </c>
      <c r="B41" s="1">
        <f ca="1">IFERROR(__xludf.DUMMYFUNCTION("""COMPUTED_VALUE"""),27.18)</f>
        <v>27.18</v>
      </c>
    </row>
    <row r="42" spans="1:2">
      <c r="A42" s="3">
        <f ca="1">IFERROR(__xludf.DUMMYFUNCTION("""COMPUTED_VALUE"""),41782.6666666666)</f>
        <v>41782.666666666599</v>
      </c>
      <c r="B42" s="1">
        <f ca="1">IFERROR(__xludf.DUMMYFUNCTION("""COMPUTED_VALUE"""),27.56)</f>
        <v>27.56</v>
      </c>
    </row>
    <row r="43" spans="1:2">
      <c r="A43" s="3">
        <f ca="1">IFERROR(__xludf.DUMMYFUNCTION("""COMPUTED_VALUE"""),41786.6666666666)</f>
        <v>41786.666666666599</v>
      </c>
      <c r="B43" s="1">
        <f ca="1">IFERROR(__xludf.DUMMYFUNCTION("""COMPUTED_VALUE"""),28.22)</f>
        <v>28.22</v>
      </c>
    </row>
    <row r="44" spans="1:2">
      <c r="A44" s="3">
        <f ca="1">IFERROR(__xludf.DUMMYFUNCTION("""COMPUTED_VALUE"""),41787.6666666666)</f>
        <v>41787.666666666599</v>
      </c>
      <c r="B44" s="1">
        <f ca="1">IFERROR(__xludf.DUMMYFUNCTION("""COMPUTED_VALUE"""),28.01)</f>
        <v>28.01</v>
      </c>
    </row>
    <row r="45" spans="1:2">
      <c r="A45" s="3">
        <f ca="1">IFERROR(__xludf.DUMMYFUNCTION("""COMPUTED_VALUE"""),41788.6666666666)</f>
        <v>41788.666666666599</v>
      </c>
      <c r="B45" s="1">
        <f ca="1">IFERROR(__xludf.DUMMYFUNCTION("""COMPUTED_VALUE"""),27.93)</f>
        <v>27.93</v>
      </c>
    </row>
    <row r="46" spans="1:2">
      <c r="A46" s="3">
        <f ca="1">IFERROR(__xludf.DUMMYFUNCTION("""COMPUTED_VALUE"""),41789.6666666666)</f>
        <v>41789.666666666599</v>
      </c>
      <c r="B46" s="1">
        <f ca="1">IFERROR(__xludf.DUMMYFUNCTION("""COMPUTED_VALUE"""),27.92)</f>
        <v>27.92</v>
      </c>
    </row>
    <row r="47" spans="1:2">
      <c r="A47" s="3">
        <f ca="1">IFERROR(__xludf.DUMMYFUNCTION("""COMPUTED_VALUE"""),41792.6666666666)</f>
        <v>41792.666666666599</v>
      </c>
      <c r="B47" s="1">
        <f ca="1">IFERROR(__xludf.DUMMYFUNCTION("""COMPUTED_VALUE"""),27.62)</f>
        <v>27.62</v>
      </c>
    </row>
    <row r="48" spans="1:2">
      <c r="A48" s="3">
        <f ca="1">IFERROR(__xludf.DUMMYFUNCTION("""COMPUTED_VALUE"""),41793.6666666666)</f>
        <v>41793.666666666599</v>
      </c>
      <c r="B48" s="1">
        <f ca="1">IFERROR(__xludf.DUMMYFUNCTION("""COMPUTED_VALUE"""),27.17)</f>
        <v>27.17</v>
      </c>
    </row>
    <row r="49" spans="1:2">
      <c r="A49" s="3">
        <f ca="1">IFERROR(__xludf.DUMMYFUNCTION("""COMPUTED_VALUE"""),41794.6666666666)</f>
        <v>41794.666666666599</v>
      </c>
      <c r="B49" s="1">
        <f ca="1">IFERROR(__xludf.DUMMYFUNCTION("""COMPUTED_VALUE"""),27.16)</f>
        <v>27.16</v>
      </c>
    </row>
    <row r="50" spans="1:2">
      <c r="A50" s="3">
        <f ca="1">IFERROR(__xludf.DUMMYFUNCTION("""COMPUTED_VALUE"""),41795.6666666666)</f>
        <v>41795.666666666599</v>
      </c>
      <c r="B50" s="1">
        <f ca="1">IFERROR(__xludf.DUMMYFUNCTION("""COMPUTED_VALUE"""),27.62)</f>
        <v>27.62</v>
      </c>
    </row>
    <row r="51" spans="1:2">
      <c r="A51" s="3">
        <f ca="1">IFERROR(__xludf.DUMMYFUNCTION("""COMPUTED_VALUE"""),41796.6666666666)</f>
        <v>41796.666666666599</v>
      </c>
      <c r="B51" s="1">
        <f ca="1">IFERROR(__xludf.DUMMYFUNCTION("""COMPUTED_VALUE"""),27.74)</f>
        <v>27.74</v>
      </c>
    </row>
    <row r="52" spans="1:2">
      <c r="A52" s="3">
        <f ca="1">IFERROR(__xludf.DUMMYFUNCTION("""COMPUTED_VALUE"""),41799.6666666666)</f>
        <v>41799.666666666599</v>
      </c>
      <c r="B52" s="1">
        <f ca="1">IFERROR(__xludf.DUMMYFUNCTION("""COMPUTED_VALUE"""),28.03)</f>
        <v>28.03</v>
      </c>
    </row>
    <row r="53" spans="1:2">
      <c r="A53" s="3">
        <f ca="1">IFERROR(__xludf.DUMMYFUNCTION("""COMPUTED_VALUE"""),41800.6666666666)</f>
        <v>41800.666666666599</v>
      </c>
      <c r="B53" s="1">
        <f ca="1">IFERROR(__xludf.DUMMYFUNCTION("""COMPUTED_VALUE"""),27.95)</f>
        <v>27.95</v>
      </c>
    </row>
    <row r="54" spans="1:2">
      <c r="A54" s="3">
        <f ca="1">IFERROR(__xludf.DUMMYFUNCTION("""COMPUTED_VALUE"""),41801.6666666666)</f>
        <v>41801.666666666599</v>
      </c>
      <c r="B54" s="1">
        <f ca="1">IFERROR(__xludf.DUMMYFUNCTION("""COMPUTED_VALUE"""),27.87)</f>
        <v>27.87</v>
      </c>
    </row>
    <row r="55" spans="1:2">
      <c r="A55" s="3">
        <f ca="1">IFERROR(__xludf.DUMMYFUNCTION("""COMPUTED_VALUE"""),41802.6666666666)</f>
        <v>41802.666666666599</v>
      </c>
      <c r="B55" s="1">
        <f ca="1">IFERROR(__xludf.DUMMYFUNCTION("""COMPUTED_VALUE"""),27.49)</f>
        <v>27.49</v>
      </c>
    </row>
    <row r="56" spans="1:2">
      <c r="A56" s="3">
        <f ca="1">IFERROR(__xludf.DUMMYFUNCTION("""COMPUTED_VALUE"""),41803.6666666666)</f>
        <v>41803.666666666599</v>
      </c>
      <c r="B56" s="1">
        <f ca="1">IFERROR(__xludf.DUMMYFUNCTION("""COMPUTED_VALUE"""),27.51)</f>
        <v>27.51</v>
      </c>
    </row>
    <row r="57" spans="1:2">
      <c r="A57" s="3">
        <f ca="1">IFERROR(__xludf.DUMMYFUNCTION("""COMPUTED_VALUE"""),41806.6666666666)</f>
        <v>41806.666666666599</v>
      </c>
      <c r="B57" s="1">
        <f ca="1">IFERROR(__xludf.DUMMYFUNCTION("""COMPUTED_VALUE"""),27.14)</f>
        <v>27.14</v>
      </c>
    </row>
    <row r="58" spans="1:2">
      <c r="A58" s="3">
        <f ca="1">IFERROR(__xludf.DUMMYFUNCTION("""COMPUTED_VALUE"""),41807.6666666666)</f>
        <v>41807.666666666599</v>
      </c>
      <c r="B58" s="1">
        <f ca="1">IFERROR(__xludf.DUMMYFUNCTION("""COMPUTED_VALUE"""),27.08)</f>
        <v>27.08</v>
      </c>
    </row>
    <row r="59" spans="1:2">
      <c r="A59" s="3">
        <f ca="1">IFERROR(__xludf.DUMMYFUNCTION("""COMPUTED_VALUE"""),41808.6666666666)</f>
        <v>41808.666666666599</v>
      </c>
      <c r="B59" s="1">
        <f ca="1">IFERROR(__xludf.DUMMYFUNCTION("""COMPUTED_VALUE"""),27.59)</f>
        <v>27.59</v>
      </c>
    </row>
    <row r="60" spans="1:2">
      <c r="A60" s="3">
        <f ca="1">IFERROR(__xludf.DUMMYFUNCTION("""COMPUTED_VALUE"""),41809.6666666666)</f>
        <v>41809.666666666599</v>
      </c>
      <c r="B60" s="1">
        <f ca="1">IFERROR(__xludf.DUMMYFUNCTION("""COMPUTED_VALUE"""),27.67)</f>
        <v>27.67</v>
      </c>
    </row>
    <row r="61" spans="1:2">
      <c r="A61" s="3">
        <f ca="1">IFERROR(__xludf.DUMMYFUNCTION("""COMPUTED_VALUE"""),41810.6666666666)</f>
        <v>41810.666666666599</v>
      </c>
      <c r="B61" s="1">
        <f ca="1">IFERROR(__xludf.DUMMYFUNCTION("""COMPUTED_VALUE"""),27.74)</f>
        <v>27.74</v>
      </c>
    </row>
    <row r="62" spans="1:2">
      <c r="A62" s="3">
        <f ca="1">IFERROR(__xludf.DUMMYFUNCTION("""COMPUTED_VALUE"""),41813.6666666666)</f>
        <v>41813.666666666599</v>
      </c>
      <c r="B62" s="1">
        <f ca="1">IFERROR(__xludf.DUMMYFUNCTION("""COMPUTED_VALUE"""),28.17)</f>
        <v>28.17</v>
      </c>
    </row>
    <row r="63" spans="1:2">
      <c r="A63" s="3">
        <f ca="1">IFERROR(__xludf.DUMMYFUNCTION("""COMPUTED_VALUE"""),41814.6666666666)</f>
        <v>41814.666666666599</v>
      </c>
      <c r="B63" s="1">
        <f ca="1">IFERROR(__xludf.DUMMYFUNCTION("""COMPUTED_VALUE"""),28.15)</f>
        <v>28.15</v>
      </c>
    </row>
    <row r="64" spans="1:2">
      <c r="A64" s="3">
        <f ca="1">IFERROR(__xludf.DUMMYFUNCTION("""COMPUTED_VALUE"""),41815.6666666666)</f>
        <v>41815.666666666599</v>
      </c>
      <c r="B64" s="1">
        <f ca="1">IFERROR(__xludf.DUMMYFUNCTION("""COMPUTED_VALUE"""),28.85)</f>
        <v>28.85</v>
      </c>
    </row>
    <row r="65" spans="1:2">
      <c r="A65" s="3">
        <f ca="1">IFERROR(__xludf.DUMMYFUNCTION("""COMPUTED_VALUE"""),41816.6666666666)</f>
        <v>41816.666666666599</v>
      </c>
      <c r="B65" s="1">
        <f ca="1">IFERROR(__xludf.DUMMYFUNCTION("""COMPUTED_VALUE"""),28.72)</f>
        <v>28.72</v>
      </c>
    </row>
    <row r="66" spans="1:2">
      <c r="A66" s="3">
        <f ca="1">IFERROR(__xludf.DUMMYFUNCTION("""COMPUTED_VALUE"""),41817.6666666666)</f>
        <v>41817.666666666599</v>
      </c>
      <c r="B66" s="1">
        <f ca="1">IFERROR(__xludf.DUMMYFUNCTION("""COMPUTED_VALUE"""),28.78)</f>
        <v>28.78</v>
      </c>
    </row>
    <row r="67" spans="1:2">
      <c r="A67" s="3">
        <f ca="1">IFERROR(__xludf.DUMMYFUNCTION("""COMPUTED_VALUE"""),41820.6666666666)</f>
        <v>41820.666666666599</v>
      </c>
      <c r="B67" s="1">
        <f ca="1">IFERROR(__xludf.DUMMYFUNCTION("""COMPUTED_VALUE"""),28.69)</f>
        <v>28.69</v>
      </c>
    </row>
    <row r="68" spans="1:2">
      <c r="A68" s="3">
        <f ca="1">IFERROR(__xludf.DUMMYFUNCTION("""COMPUTED_VALUE"""),41821.6666666666)</f>
        <v>41821.666666666599</v>
      </c>
      <c r="B68" s="1">
        <f ca="1">IFERROR(__xludf.DUMMYFUNCTION("""COMPUTED_VALUE"""),29.05)</f>
        <v>29.05</v>
      </c>
    </row>
    <row r="69" spans="1:2">
      <c r="A69" s="3">
        <f ca="1">IFERROR(__xludf.DUMMYFUNCTION("""COMPUTED_VALUE"""),41822.6666666666)</f>
        <v>41822.666666666599</v>
      </c>
      <c r="B69" s="1">
        <f ca="1">IFERROR(__xludf.DUMMYFUNCTION("""COMPUTED_VALUE"""),29.04)</f>
        <v>29.04</v>
      </c>
    </row>
    <row r="70" spans="1:2">
      <c r="A70" s="3">
        <f ca="1">IFERROR(__xludf.DUMMYFUNCTION("""COMPUTED_VALUE"""),41823.6666666666)</f>
        <v>41823.666666666599</v>
      </c>
      <c r="B70" s="1">
        <f ca="1">IFERROR(__xludf.DUMMYFUNCTION("""COMPUTED_VALUE"""),29.16)</f>
        <v>29.16</v>
      </c>
    </row>
    <row r="71" spans="1:2">
      <c r="A71" s="3">
        <f ca="1">IFERROR(__xludf.DUMMYFUNCTION("""COMPUTED_VALUE"""),41827.6666666666)</f>
        <v>41827.666666666599</v>
      </c>
      <c r="B71" s="1">
        <f ca="1">IFERROR(__xludf.DUMMYFUNCTION("""COMPUTED_VALUE"""),29.03)</f>
        <v>29.03</v>
      </c>
    </row>
    <row r="72" spans="1:2">
      <c r="A72" s="3">
        <f ca="1">IFERROR(__xludf.DUMMYFUNCTION("""COMPUTED_VALUE"""),41828.6666666666)</f>
        <v>41828.666666666599</v>
      </c>
      <c r="B72" s="1">
        <f ca="1">IFERROR(__xludf.DUMMYFUNCTION("""COMPUTED_VALUE"""),28.48)</f>
        <v>28.48</v>
      </c>
    </row>
    <row r="73" spans="1:2">
      <c r="A73" s="3">
        <f ca="1">IFERROR(__xludf.DUMMYFUNCTION("""COMPUTED_VALUE"""),41829.6666666666)</f>
        <v>41829.666666666599</v>
      </c>
      <c r="B73" s="1">
        <f ca="1">IFERROR(__xludf.DUMMYFUNCTION("""COMPUTED_VALUE"""),28.73)</f>
        <v>28.73</v>
      </c>
    </row>
    <row r="74" spans="1:2">
      <c r="A74" s="3">
        <f ca="1">IFERROR(__xludf.DUMMYFUNCTION("""COMPUTED_VALUE"""),41830.6666666666)</f>
        <v>41830.666666666599</v>
      </c>
      <c r="B74" s="1">
        <f ca="1">IFERROR(__xludf.DUMMYFUNCTION("""COMPUTED_VALUE"""),28.48)</f>
        <v>28.48</v>
      </c>
    </row>
    <row r="75" spans="1:2">
      <c r="A75" s="3">
        <f ca="1">IFERROR(__xludf.DUMMYFUNCTION("""COMPUTED_VALUE"""),41831.6666666666)</f>
        <v>41831.666666666599</v>
      </c>
      <c r="B75" s="1">
        <f ca="1">IFERROR(__xludf.DUMMYFUNCTION("""COMPUTED_VALUE"""),28.88)</f>
        <v>28.88</v>
      </c>
    </row>
    <row r="76" spans="1:2">
      <c r="A76" s="3">
        <f ca="1">IFERROR(__xludf.DUMMYFUNCTION("""COMPUTED_VALUE"""),41834.6666666666)</f>
        <v>41834.666666666599</v>
      </c>
      <c r="B76" s="1">
        <f ca="1">IFERROR(__xludf.DUMMYFUNCTION("""COMPUTED_VALUE"""),29.16)</f>
        <v>29.16</v>
      </c>
    </row>
    <row r="77" spans="1:2">
      <c r="A77" s="3">
        <f ca="1">IFERROR(__xludf.DUMMYFUNCTION("""COMPUTED_VALUE"""),41835.6666666666)</f>
        <v>41835.666666666599</v>
      </c>
      <c r="B77" s="1">
        <f ca="1">IFERROR(__xludf.DUMMYFUNCTION("""COMPUTED_VALUE"""),29.16)</f>
        <v>29.16</v>
      </c>
    </row>
    <row r="78" spans="1:2">
      <c r="A78" s="3">
        <f ca="1">IFERROR(__xludf.DUMMYFUNCTION("""COMPUTED_VALUE"""),41836.6666666666)</f>
        <v>41836.666666666599</v>
      </c>
      <c r="B78" s="1">
        <f ca="1">IFERROR(__xludf.DUMMYFUNCTION("""COMPUTED_VALUE"""),29.05)</f>
        <v>29.05</v>
      </c>
    </row>
    <row r="79" spans="1:2">
      <c r="A79" s="3">
        <f ca="1">IFERROR(__xludf.DUMMYFUNCTION("""COMPUTED_VALUE"""),41837.6666666666)</f>
        <v>41837.666666666599</v>
      </c>
      <c r="B79" s="1">
        <f ca="1">IFERROR(__xludf.DUMMYFUNCTION("""COMPUTED_VALUE"""),28.61)</f>
        <v>28.61</v>
      </c>
    </row>
    <row r="80" spans="1:2">
      <c r="A80" s="3">
        <f ca="1">IFERROR(__xludf.DUMMYFUNCTION("""COMPUTED_VALUE"""),41838.6666666666)</f>
        <v>41838.666666666599</v>
      </c>
      <c r="B80" s="1">
        <f ca="1">IFERROR(__xludf.DUMMYFUNCTION("""COMPUTED_VALUE"""),29.67)</f>
        <v>29.67</v>
      </c>
    </row>
    <row r="81" spans="1:2">
      <c r="A81" s="3">
        <f ca="1">IFERROR(__xludf.DUMMYFUNCTION("""COMPUTED_VALUE"""),41841.6666666666)</f>
        <v>41841.666666666599</v>
      </c>
      <c r="B81" s="1">
        <f ca="1">IFERROR(__xludf.DUMMYFUNCTION("""COMPUTED_VALUE"""),29.39)</f>
        <v>29.39</v>
      </c>
    </row>
    <row r="82" spans="1:2">
      <c r="A82" s="3">
        <f ca="1">IFERROR(__xludf.DUMMYFUNCTION("""COMPUTED_VALUE"""),41842.6666666666)</f>
        <v>41842.666666666599</v>
      </c>
      <c r="B82" s="1">
        <f ca="1">IFERROR(__xludf.DUMMYFUNCTION("""COMPUTED_VALUE"""),29.66)</f>
        <v>29.66</v>
      </c>
    </row>
    <row r="83" spans="1:2">
      <c r="A83" s="3">
        <f ca="1">IFERROR(__xludf.DUMMYFUNCTION("""COMPUTED_VALUE"""),41843.6666666666)</f>
        <v>41843.666666666599</v>
      </c>
      <c r="B83" s="1">
        <f ca="1">IFERROR(__xludf.DUMMYFUNCTION("""COMPUTED_VALUE"""),29.72)</f>
        <v>29.72</v>
      </c>
    </row>
    <row r="84" spans="1:2">
      <c r="A84" s="3">
        <f ca="1">IFERROR(__xludf.DUMMYFUNCTION("""COMPUTED_VALUE"""),41844.6666666666)</f>
        <v>41844.666666666599</v>
      </c>
      <c r="B84" s="1">
        <f ca="1">IFERROR(__xludf.DUMMYFUNCTION("""COMPUTED_VALUE"""),29.59)</f>
        <v>29.59</v>
      </c>
    </row>
    <row r="85" spans="1:2">
      <c r="A85" s="3">
        <f ca="1">IFERROR(__xludf.DUMMYFUNCTION("""COMPUTED_VALUE"""),41845.6666666666)</f>
        <v>41845.666666666599</v>
      </c>
      <c r="B85" s="1">
        <f ca="1">IFERROR(__xludf.DUMMYFUNCTION("""COMPUTED_VALUE"""),29.37)</f>
        <v>29.37</v>
      </c>
    </row>
    <row r="86" spans="1:2">
      <c r="A86" s="3">
        <f ca="1">IFERROR(__xludf.DUMMYFUNCTION("""COMPUTED_VALUE"""),41848.6666666666)</f>
        <v>41848.666666666599</v>
      </c>
      <c r="B86" s="1">
        <f ca="1">IFERROR(__xludf.DUMMYFUNCTION("""COMPUTED_VALUE"""),29.45)</f>
        <v>29.45</v>
      </c>
    </row>
    <row r="87" spans="1:2">
      <c r="A87" s="3">
        <f ca="1">IFERROR(__xludf.DUMMYFUNCTION("""COMPUTED_VALUE"""),41849.6666666666)</f>
        <v>41849.666666666599</v>
      </c>
      <c r="B87" s="1">
        <f ca="1">IFERROR(__xludf.DUMMYFUNCTION("""COMPUTED_VALUE"""),29.2)</f>
        <v>29.2</v>
      </c>
    </row>
    <row r="88" spans="1:2">
      <c r="A88" s="3">
        <f ca="1">IFERROR(__xludf.DUMMYFUNCTION("""COMPUTED_VALUE"""),41850.6666666666)</f>
        <v>41850.666666666599</v>
      </c>
      <c r="B88" s="1">
        <f ca="1">IFERROR(__xludf.DUMMYFUNCTION("""COMPUTED_VALUE"""),29.29)</f>
        <v>29.29</v>
      </c>
    </row>
    <row r="89" spans="1:2">
      <c r="A89" s="3">
        <f ca="1">IFERROR(__xludf.DUMMYFUNCTION("""COMPUTED_VALUE"""),41851.6666666666)</f>
        <v>41851.666666666599</v>
      </c>
      <c r="B89" s="1">
        <f ca="1">IFERROR(__xludf.DUMMYFUNCTION("""COMPUTED_VALUE"""),28.5)</f>
        <v>28.5</v>
      </c>
    </row>
    <row r="90" spans="1:2">
      <c r="A90" s="3">
        <f ca="1">IFERROR(__xludf.DUMMYFUNCTION("""COMPUTED_VALUE"""),41852.6666666666)</f>
        <v>41852.666666666599</v>
      </c>
      <c r="B90" s="1">
        <f ca="1">IFERROR(__xludf.DUMMYFUNCTION("""COMPUTED_VALUE"""),28.23)</f>
        <v>28.23</v>
      </c>
    </row>
    <row r="91" spans="1:2">
      <c r="A91" s="3">
        <f ca="1">IFERROR(__xludf.DUMMYFUNCTION("""COMPUTED_VALUE"""),41855.6666666666)</f>
        <v>41855.666666666599</v>
      </c>
      <c r="B91" s="1">
        <f ca="1">IFERROR(__xludf.DUMMYFUNCTION("""COMPUTED_VALUE"""),28.58)</f>
        <v>28.58</v>
      </c>
    </row>
    <row r="92" spans="1:2">
      <c r="A92" s="3">
        <f ca="1">IFERROR(__xludf.DUMMYFUNCTION("""COMPUTED_VALUE"""),41856.6666666666)</f>
        <v>41856.666666666599</v>
      </c>
      <c r="B92" s="1">
        <f ca="1">IFERROR(__xludf.DUMMYFUNCTION("""COMPUTED_VALUE"""),28.18)</f>
        <v>28.18</v>
      </c>
    </row>
    <row r="93" spans="1:2">
      <c r="A93" s="3">
        <f ca="1">IFERROR(__xludf.DUMMYFUNCTION("""COMPUTED_VALUE"""),41857.6666666666)</f>
        <v>41857.666666666599</v>
      </c>
      <c r="B93" s="1">
        <f ca="1">IFERROR(__xludf.DUMMYFUNCTION("""COMPUTED_VALUE"""),28.24)</f>
        <v>28.24</v>
      </c>
    </row>
    <row r="94" spans="1:2">
      <c r="A94" s="3">
        <f ca="1">IFERROR(__xludf.DUMMYFUNCTION("""COMPUTED_VALUE"""),41858.6666666666)</f>
        <v>41858.666666666599</v>
      </c>
      <c r="B94" s="1">
        <f ca="1">IFERROR(__xludf.DUMMYFUNCTION("""COMPUTED_VALUE"""),28.09)</f>
        <v>28.09</v>
      </c>
    </row>
    <row r="95" spans="1:2">
      <c r="A95" s="3">
        <f ca="1">IFERROR(__xludf.DUMMYFUNCTION("""COMPUTED_VALUE"""),41859.6666666666)</f>
        <v>41859.666666666599</v>
      </c>
      <c r="B95" s="1">
        <f ca="1">IFERROR(__xludf.DUMMYFUNCTION("""COMPUTED_VALUE"""),28.36)</f>
        <v>28.36</v>
      </c>
    </row>
    <row r="96" spans="1:2">
      <c r="A96" s="3">
        <f ca="1">IFERROR(__xludf.DUMMYFUNCTION("""COMPUTED_VALUE"""),41862.6666666666)</f>
        <v>41862.666666666599</v>
      </c>
      <c r="B96" s="1">
        <f ca="1">IFERROR(__xludf.DUMMYFUNCTION("""COMPUTED_VALUE"""),28.32)</f>
        <v>28.32</v>
      </c>
    </row>
    <row r="97" spans="1:2">
      <c r="A97" s="3">
        <f ca="1">IFERROR(__xludf.DUMMYFUNCTION("""COMPUTED_VALUE"""),41863.6666666666)</f>
        <v>41863.666666666599</v>
      </c>
      <c r="B97" s="1">
        <f ca="1">IFERROR(__xludf.DUMMYFUNCTION("""COMPUTED_VALUE"""),28.06)</f>
        <v>28.06</v>
      </c>
    </row>
    <row r="98" spans="1:2">
      <c r="A98" s="3">
        <f ca="1">IFERROR(__xludf.DUMMYFUNCTION("""COMPUTED_VALUE"""),41864.6666666666)</f>
        <v>41864.666666666599</v>
      </c>
      <c r="B98" s="1">
        <f ca="1">IFERROR(__xludf.DUMMYFUNCTION("""COMPUTED_VALUE"""),28.66)</f>
        <v>28.66</v>
      </c>
    </row>
    <row r="99" spans="1:2">
      <c r="A99" s="3">
        <f ca="1">IFERROR(__xludf.DUMMYFUNCTION("""COMPUTED_VALUE"""),41865.6666666666)</f>
        <v>41865.666666666599</v>
      </c>
      <c r="B99" s="1">
        <f ca="1">IFERROR(__xludf.DUMMYFUNCTION("""COMPUTED_VALUE"""),28.65)</f>
        <v>28.65</v>
      </c>
    </row>
    <row r="100" spans="1:2">
      <c r="A100" s="3">
        <f ca="1">IFERROR(__xludf.DUMMYFUNCTION("""COMPUTED_VALUE"""),41866.6666666666)</f>
        <v>41866.666666666599</v>
      </c>
      <c r="B100" s="1">
        <f ca="1">IFERROR(__xludf.DUMMYFUNCTION("""COMPUTED_VALUE"""),28.6)</f>
        <v>28.6</v>
      </c>
    </row>
    <row r="101" spans="1:2">
      <c r="A101" s="3">
        <f ca="1">IFERROR(__xludf.DUMMYFUNCTION("""COMPUTED_VALUE"""),41869.6666666666)</f>
        <v>41869.666666666599</v>
      </c>
      <c r="B101" s="1">
        <f ca="1">IFERROR(__xludf.DUMMYFUNCTION("""COMPUTED_VALUE"""),29.03)</f>
        <v>29.03</v>
      </c>
    </row>
    <row r="102" spans="1:2">
      <c r="A102" s="3">
        <f ca="1">IFERROR(__xludf.DUMMYFUNCTION("""COMPUTED_VALUE"""),41870.6666666666)</f>
        <v>41870.666666666599</v>
      </c>
      <c r="B102" s="1">
        <f ca="1">IFERROR(__xludf.DUMMYFUNCTION("""COMPUTED_VALUE"""),29.26)</f>
        <v>29.26</v>
      </c>
    </row>
    <row r="103" spans="1:2">
      <c r="A103" s="3">
        <f ca="1">IFERROR(__xludf.DUMMYFUNCTION("""COMPUTED_VALUE"""),41871.6666666666)</f>
        <v>41871.666666666599</v>
      </c>
      <c r="B103" s="1">
        <f ca="1">IFERROR(__xludf.DUMMYFUNCTION("""COMPUTED_VALUE"""),29.14)</f>
        <v>29.14</v>
      </c>
    </row>
    <row r="104" spans="1:2">
      <c r="A104" s="3">
        <f ca="1">IFERROR(__xludf.DUMMYFUNCTION("""COMPUTED_VALUE"""),41872.6666666666)</f>
        <v>41872.666666666599</v>
      </c>
      <c r="B104" s="1">
        <f ca="1">IFERROR(__xludf.DUMMYFUNCTION("""COMPUTED_VALUE"""),29.09)</f>
        <v>29.09</v>
      </c>
    </row>
    <row r="105" spans="1:2">
      <c r="A105" s="3">
        <f ca="1">IFERROR(__xludf.DUMMYFUNCTION("""COMPUTED_VALUE"""),41873.6666666666)</f>
        <v>41873.666666666599</v>
      </c>
      <c r="B105" s="1">
        <f ca="1">IFERROR(__xludf.DUMMYFUNCTION("""COMPUTED_VALUE"""),29.05)</f>
        <v>29.05</v>
      </c>
    </row>
    <row r="106" spans="1:2">
      <c r="A106" s="3">
        <f ca="1">IFERROR(__xludf.DUMMYFUNCTION("""COMPUTED_VALUE"""),41876.6666666666)</f>
        <v>41876.666666666599</v>
      </c>
      <c r="B106" s="1">
        <f ca="1">IFERROR(__xludf.DUMMYFUNCTION("""COMPUTED_VALUE"""),28.93)</f>
        <v>28.93</v>
      </c>
    </row>
    <row r="107" spans="1:2">
      <c r="A107" s="3">
        <f ca="1">IFERROR(__xludf.DUMMYFUNCTION("""COMPUTED_VALUE"""),41877.6666666666)</f>
        <v>41877.666666666599</v>
      </c>
      <c r="B107" s="1">
        <f ca="1">IFERROR(__xludf.DUMMYFUNCTION("""COMPUTED_VALUE"""),28.81)</f>
        <v>28.81</v>
      </c>
    </row>
    <row r="108" spans="1:2">
      <c r="A108" s="3">
        <f ca="1">IFERROR(__xludf.DUMMYFUNCTION("""COMPUTED_VALUE"""),41878.6666666666)</f>
        <v>41878.666666666599</v>
      </c>
      <c r="B108" s="1">
        <f ca="1">IFERROR(__xludf.DUMMYFUNCTION("""COMPUTED_VALUE"""),28.47)</f>
        <v>28.47</v>
      </c>
    </row>
    <row r="109" spans="1:2">
      <c r="A109" s="3">
        <f ca="1">IFERROR(__xludf.DUMMYFUNCTION("""COMPUTED_VALUE"""),41879.6666666666)</f>
        <v>41879.666666666599</v>
      </c>
      <c r="B109" s="1">
        <f ca="1">IFERROR(__xludf.DUMMYFUNCTION("""COMPUTED_VALUE"""),28.38)</f>
        <v>28.38</v>
      </c>
    </row>
    <row r="110" spans="1:2">
      <c r="A110" s="3">
        <f ca="1">IFERROR(__xludf.DUMMYFUNCTION("""COMPUTED_VALUE"""),41880.6666666666)</f>
        <v>41880.666666666599</v>
      </c>
      <c r="B110" s="1">
        <f ca="1">IFERROR(__xludf.DUMMYFUNCTION("""COMPUTED_VALUE"""),28.5)</f>
        <v>28.5</v>
      </c>
    </row>
    <row r="111" spans="1:2">
      <c r="A111" s="3">
        <f ca="1">IFERROR(__xludf.DUMMYFUNCTION("""COMPUTED_VALUE"""),41884.6666666666)</f>
        <v>41884.666666666599</v>
      </c>
      <c r="B111" s="1">
        <f ca="1">IFERROR(__xludf.DUMMYFUNCTION("""COMPUTED_VALUE"""),28.79)</f>
        <v>28.79</v>
      </c>
    </row>
    <row r="112" spans="1:2">
      <c r="A112" s="3">
        <f ca="1">IFERROR(__xludf.DUMMYFUNCTION("""COMPUTED_VALUE"""),41885.6666666666)</f>
        <v>41885.666666666599</v>
      </c>
      <c r="B112" s="1">
        <f ca="1">IFERROR(__xludf.DUMMYFUNCTION("""COMPUTED_VALUE"""),28.82)</f>
        <v>28.82</v>
      </c>
    </row>
    <row r="113" spans="1:2">
      <c r="A113" s="3">
        <f ca="1">IFERROR(__xludf.DUMMYFUNCTION("""COMPUTED_VALUE"""),41886.6666666666)</f>
        <v>41886.666666666599</v>
      </c>
      <c r="B113" s="1">
        <f ca="1">IFERROR(__xludf.DUMMYFUNCTION("""COMPUTED_VALUE"""),29.02)</f>
        <v>29.02</v>
      </c>
    </row>
    <row r="114" spans="1:2">
      <c r="A114" s="3">
        <f ca="1">IFERROR(__xludf.DUMMYFUNCTION("""COMPUTED_VALUE"""),41887.6666666666)</f>
        <v>41887.666666666599</v>
      </c>
      <c r="B114" s="1">
        <f ca="1">IFERROR(__xludf.DUMMYFUNCTION("""COMPUTED_VALUE"""),29.22)</f>
        <v>29.22</v>
      </c>
    </row>
    <row r="115" spans="1:2">
      <c r="A115" s="3">
        <f ca="1">IFERROR(__xludf.DUMMYFUNCTION("""COMPUTED_VALUE"""),41890.6666666666)</f>
        <v>41890.666666666599</v>
      </c>
      <c r="B115" s="1">
        <f ca="1">IFERROR(__xludf.DUMMYFUNCTION("""COMPUTED_VALUE"""),29.41)</f>
        <v>29.41</v>
      </c>
    </row>
    <row r="116" spans="1:2">
      <c r="A116" s="3">
        <f ca="1">IFERROR(__xludf.DUMMYFUNCTION("""COMPUTED_VALUE"""),41891.6666666666)</f>
        <v>41891.666666666599</v>
      </c>
      <c r="B116" s="1">
        <f ca="1">IFERROR(__xludf.DUMMYFUNCTION("""COMPUTED_VALUE"""),28.97)</f>
        <v>28.97</v>
      </c>
    </row>
    <row r="117" spans="1:2">
      <c r="A117" s="3">
        <f ca="1">IFERROR(__xludf.DUMMYFUNCTION("""COMPUTED_VALUE"""),41892.6666666666)</f>
        <v>41892.666666666599</v>
      </c>
      <c r="B117" s="1">
        <f ca="1">IFERROR(__xludf.DUMMYFUNCTION("""COMPUTED_VALUE"""),29.08)</f>
        <v>29.08</v>
      </c>
    </row>
    <row r="118" spans="1:2">
      <c r="A118" s="3">
        <f ca="1">IFERROR(__xludf.DUMMYFUNCTION("""COMPUTED_VALUE"""),41893.6666666666)</f>
        <v>41893.666666666599</v>
      </c>
      <c r="B118" s="1">
        <f ca="1">IFERROR(__xludf.DUMMYFUNCTION("""COMPUTED_VALUE"""),28.99)</f>
        <v>28.99</v>
      </c>
    </row>
    <row r="119" spans="1:2">
      <c r="A119" s="3">
        <f ca="1">IFERROR(__xludf.DUMMYFUNCTION("""COMPUTED_VALUE"""),41894.6666666666)</f>
        <v>41894.666666666599</v>
      </c>
      <c r="B119" s="1">
        <f ca="1">IFERROR(__xludf.DUMMYFUNCTION("""COMPUTED_VALUE"""),28.7)</f>
        <v>28.7</v>
      </c>
    </row>
    <row r="120" spans="1:2">
      <c r="A120" s="3">
        <f ca="1">IFERROR(__xludf.DUMMYFUNCTION("""COMPUTED_VALUE"""),41897.6666666666)</f>
        <v>41897.666666666599</v>
      </c>
      <c r="B120" s="1">
        <f ca="1">IFERROR(__xludf.DUMMYFUNCTION("""COMPUTED_VALUE"""),28.58)</f>
        <v>28.58</v>
      </c>
    </row>
    <row r="121" spans="1:2">
      <c r="A121" s="3">
        <f ca="1">IFERROR(__xludf.DUMMYFUNCTION("""COMPUTED_VALUE"""),41898.6666666666)</f>
        <v>41898.666666666599</v>
      </c>
      <c r="B121" s="1">
        <f ca="1">IFERROR(__xludf.DUMMYFUNCTION("""COMPUTED_VALUE"""),28.92)</f>
        <v>28.92</v>
      </c>
    </row>
    <row r="122" spans="1:2">
      <c r="A122" s="3">
        <f ca="1">IFERROR(__xludf.DUMMYFUNCTION("""COMPUTED_VALUE"""),41899.6666666666)</f>
        <v>41899.666666666599</v>
      </c>
      <c r="B122" s="1">
        <f ca="1">IFERROR(__xludf.DUMMYFUNCTION("""COMPUTED_VALUE"""),29.16)</f>
        <v>29.16</v>
      </c>
    </row>
    <row r="123" spans="1:2">
      <c r="A123" s="3">
        <f ca="1">IFERROR(__xludf.DUMMYFUNCTION("""COMPUTED_VALUE"""),41900.6666666666)</f>
        <v>41900.666666666599</v>
      </c>
      <c r="B123" s="1">
        <f ca="1">IFERROR(__xludf.DUMMYFUNCTION("""COMPUTED_VALUE"""),29.38)</f>
        <v>29.38</v>
      </c>
    </row>
    <row r="124" spans="1:2">
      <c r="A124" s="3">
        <f ca="1">IFERROR(__xludf.DUMMYFUNCTION("""COMPUTED_VALUE"""),41901.6666666666)</f>
        <v>41901.666666666599</v>
      </c>
      <c r="B124" s="1">
        <f ca="1">IFERROR(__xludf.DUMMYFUNCTION("""COMPUTED_VALUE"""),29.72)</f>
        <v>29.72</v>
      </c>
    </row>
    <row r="125" spans="1:2">
      <c r="A125" s="3">
        <f ca="1">IFERROR(__xludf.DUMMYFUNCTION("""COMPUTED_VALUE"""),41904.6666666666)</f>
        <v>41904.666666666599</v>
      </c>
      <c r="B125" s="1">
        <f ca="1">IFERROR(__xludf.DUMMYFUNCTION("""COMPUTED_VALUE"""),29.29)</f>
        <v>29.29</v>
      </c>
    </row>
    <row r="126" spans="1:2">
      <c r="A126" s="3">
        <f ca="1">IFERROR(__xludf.DUMMYFUNCTION("""COMPUTED_VALUE"""),41905.6666666666)</f>
        <v>41905.666666666599</v>
      </c>
      <c r="B126" s="1">
        <f ca="1">IFERROR(__xludf.DUMMYFUNCTION("""COMPUTED_VALUE"""),28.98)</f>
        <v>28.98</v>
      </c>
    </row>
    <row r="127" spans="1:2">
      <c r="A127" s="3">
        <f ca="1">IFERROR(__xludf.DUMMYFUNCTION("""COMPUTED_VALUE"""),41906.6666666666)</f>
        <v>41906.666666666599</v>
      </c>
      <c r="B127" s="1">
        <f ca="1">IFERROR(__xludf.DUMMYFUNCTION("""COMPUTED_VALUE"""),29.32)</f>
        <v>29.32</v>
      </c>
    </row>
    <row r="128" spans="1:2">
      <c r="A128" s="3">
        <f ca="1">IFERROR(__xludf.DUMMYFUNCTION("""COMPUTED_VALUE"""),41907.6666666666)</f>
        <v>41907.666666666599</v>
      </c>
      <c r="B128" s="1">
        <f ca="1">IFERROR(__xludf.DUMMYFUNCTION("""COMPUTED_VALUE"""),28.67)</f>
        <v>28.67</v>
      </c>
    </row>
    <row r="129" spans="1:2">
      <c r="A129" s="3">
        <f ca="1">IFERROR(__xludf.DUMMYFUNCTION("""COMPUTED_VALUE"""),41908.6666666666)</f>
        <v>41908.666666666599</v>
      </c>
      <c r="B129" s="1">
        <f ca="1">IFERROR(__xludf.DUMMYFUNCTION("""COMPUTED_VALUE"""),28.78)</f>
        <v>28.78</v>
      </c>
    </row>
    <row r="130" spans="1:2">
      <c r="A130" s="3">
        <f ca="1">IFERROR(__xludf.DUMMYFUNCTION("""COMPUTED_VALUE"""),41911.6666666666)</f>
        <v>41911.666666666599</v>
      </c>
      <c r="B130" s="1">
        <f ca="1">IFERROR(__xludf.DUMMYFUNCTION("""COMPUTED_VALUE"""),28.74)</f>
        <v>28.74</v>
      </c>
    </row>
    <row r="131" spans="1:2">
      <c r="A131" s="3">
        <f ca="1">IFERROR(__xludf.DUMMYFUNCTION("""COMPUTED_VALUE"""),41912.6666666666)</f>
        <v>41912.666666666599</v>
      </c>
      <c r="B131" s="1">
        <f ca="1">IFERROR(__xludf.DUMMYFUNCTION("""COMPUTED_VALUE"""),28.79)</f>
        <v>28.79</v>
      </c>
    </row>
    <row r="132" spans="1:2">
      <c r="A132" s="3">
        <f ca="1">IFERROR(__xludf.DUMMYFUNCTION("""COMPUTED_VALUE"""),41913.6666666666)</f>
        <v>41913.666666666599</v>
      </c>
      <c r="B132" s="1">
        <f ca="1">IFERROR(__xludf.DUMMYFUNCTION("""COMPUTED_VALUE"""),28.34)</f>
        <v>28.34</v>
      </c>
    </row>
    <row r="133" spans="1:2">
      <c r="A133" s="3">
        <f ca="1">IFERROR(__xludf.DUMMYFUNCTION("""COMPUTED_VALUE"""),41914.6666666666)</f>
        <v>41914.666666666599</v>
      </c>
      <c r="B133" s="1">
        <f ca="1">IFERROR(__xludf.DUMMYFUNCTION("""COMPUTED_VALUE"""),28.43)</f>
        <v>28.43</v>
      </c>
    </row>
    <row r="134" spans="1:2">
      <c r="A134" s="3">
        <f ca="1">IFERROR(__xludf.DUMMYFUNCTION("""COMPUTED_VALUE"""),41915.6666666666)</f>
        <v>41915.666666666599</v>
      </c>
      <c r="B134" s="1">
        <f ca="1">IFERROR(__xludf.DUMMYFUNCTION("""COMPUTED_VALUE"""),28.69)</f>
        <v>28.69</v>
      </c>
    </row>
    <row r="135" spans="1:2">
      <c r="A135" s="3">
        <f ca="1">IFERROR(__xludf.DUMMYFUNCTION("""COMPUTED_VALUE"""),41918.6666666666)</f>
        <v>41918.666666666599</v>
      </c>
      <c r="B135" s="1">
        <f ca="1">IFERROR(__xludf.DUMMYFUNCTION("""COMPUTED_VALUE"""),28.79)</f>
        <v>28.79</v>
      </c>
    </row>
    <row r="136" spans="1:2">
      <c r="A136" s="3">
        <f ca="1">IFERROR(__xludf.DUMMYFUNCTION("""COMPUTED_VALUE"""),41919.6666666666)</f>
        <v>41919.666666666599</v>
      </c>
      <c r="B136" s="1">
        <f ca="1">IFERROR(__xludf.DUMMYFUNCTION("""COMPUTED_VALUE"""),28.11)</f>
        <v>28.11</v>
      </c>
    </row>
    <row r="137" spans="1:2">
      <c r="A137" s="3">
        <f ca="1">IFERROR(__xludf.DUMMYFUNCTION("""COMPUTED_VALUE"""),41920.6666666666)</f>
        <v>41920.666666666599</v>
      </c>
      <c r="B137" s="1">
        <f ca="1">IFERROR(__xludf.DUMMYFUNCTION("""COMPUTED_VALUE"""),28.55)</f>
        <v>28.55</v>
      </c>
    </row>
    <row r="138" spans="1:2">
      <c r="A138" s="3">
        <f ca="1">IFERROR(__xludf.DUMMYFUNCTION("""COMPUTED_VALUE"""),41921.6666666666)</f>
        <v>41921.666666666599</v>
      </c>
      <c r="B138" s="1">
        <f ca="1">IFERROR(__xludf.DUMMYFUNCTION("""COMPUTED_VALUE"""),27.97)</f>
        <v>27.97</v>
      </c>
    </row>
    <row r="139" spans="1:2">
      <c r="A139" s="3">
        <f ca="1">IFERROR(__xludf.DUMMYFUNCTION("""COMPUTED_VALUE"""),41922.6666666666)</f>
        <v>41922.666666666599</v>
      </c>
      <c r="B139" s="1">
        <f ca="1">IFERROR(__xludf.DUMMYFUNCTION("""COMPUTED_VALUE"""),27.15)</f>
        <v>27.15</v>
      </c>
    </row>
    <row r="140" spans="1:2">
      <c r="A140" s="3">
        <f ca="1">IFERROR(__xludf.DUMMYFUNCTION("""COMPUTED_VALUE"""),41925.6666666666)</f>
        <v>41925.666666666599</v>
      </c>
      <c r="B140" s="1">
        <f ca="1">IFERROR(__xludf.DUMMYFUNCTION("""COMPUTED_VALUE"""),26.59)</f>
        <v>26.59</v>
      </c>
    </row>
    <row r="141" spans="1:2">
      <c r="A141" s="3">
        <f ca="1">IFERROR(__xludf.DUMMYFUNCTION("""COMPUTED_VALUE"""),41926.6666666666)</f>
        <v>41926.666666666599</v>
      </c>
      <c r="B141" s="1">
        <f ca="1">IFERROR(__xludf.DUMMYFUNCTION("""COMPUTED_VALUE"""),26.82)</f>
        <v>26.82</v>
      </c>
    </row>
    <row r="142" spans="1:2">
      <c r="A142" s="3">
        <f ca="1">IFERROR(__xludf.DUMMYFUNCTION("""COMPUTED_VALUE"""),41927.6666666666)</f>
        <v>41927.666666666599</v>
      </c>
      <c r="B142" s="1">
        <f ca="1">IFERROR(__xludf.DUMMYFUNCTION("""COMPUTED_VALUE"""),26.43)</f>
        <v>26.43</v>
      </c>
    </row>
    <row r="143" spans="1:2">
      <c r="A143" s="3">
        <f ca="1">IFERROR(__xludf.DUMMYFUNCTION("""COMPUTED_VALUE"""),41928.6666666666)</f>
        <v>41928.666666666599</v>
      </c>
      <c r="B143" s="1">
        <f ca="1">IFERROR(__xludf.DUMMYFUNCTION("""COMPUTED_VALUE"""),26.15)</f>
        <v>26.15</v>
      </c>
    </row>
    <row r="144" spans="1:2">
      <c r="A144" s="3">
        <f ca="1">IFERROR(__xludf.DUMMYFUNCTION("""COMPUTED_VALUE"""),41929.6666666666)</f>
        <v>41929.666666666599</v>
      </c>
      <c r="B144" s="1">
        <f ca="1">IFERROR(__xludf.DUMMYFUNCTION("""COMPUTED_VALUE"""),25.49)</f>
        <v>25.49</v>
      </c>
    </row>
    <row r="145" spans="1:2">
      <c r="A145" s="3">
        <f ca="1">IFERROR(__xludf.DUMMYFUNCTION("""COMPUTED_VALUE"""),41932.6666666666)</f>
        <v>41932.666666666599</v>
      </c>
      <c r="B145" s="1">
        <f ca="1">IFERROR(__xludf.DUMMYFUNCTION("""COMPUTED_VALUE"""),25.97)</f>
        <v>25.97</v>
      </c>
    </row>
    <row r="146" spans="1:2">
      <c r="A146" s="3">
        <f ca="1">IFERROR(__xludf.DUMMYFUNCTION("""COMPUTED_VALUE"""),41933.6666666666)</f>
        <v>41933.666666666599</v>
      </c>
      <c r="B146" s="1">
        <f ca="1">IFERROR(__xludf.DUMMYFUNCTION("""COMPUTED_VALUE"""),26.25)</f>
        <v>26.25</v>
      </c>
    </row>
    <row r="147" spans="1:2">
      <c r="A147" s="3">
        <f ca="1">IFERROR(__xludf.DUMMYFUNCTION("""COMPUTED_VALUE"""),41934.6666666666)</f>
        <v>41934.666666666599</v>
      </c>
      <c r="B147" s="1">
        <f ca="1">IFERROR(__xludf.DUMMYFUNCTION("""COMPUTED_VALUE"""),26.56)</f>
        <v>26.56</v>
      </c>
    </row>
    <row r="148" spans="1:2">
      <c r="A148" s="3">
        <f ca="1">IFERROR(__xludf.DUMMYFUNCTION("""COMPUTED_VALUE"""),41935.6666666666)</f>
        <v>41935.666666666599</v>
      </c>
      <c r="B148" s="1">
        <f ca="1">IFERROR(__xludf.DUMMYFUNCTION("""COMPUTED_VALUE"""),27.12)</f>
        <v>27.12</v>
      </c>
    </row>
    <row r="149" spans="1:2">
      <c r="A149" s="3">
        <f ca="1">IFERROR(__xludf.DUMMYFUNCTION("""COMPUTED_VALUE"""),41936.6666666666)</f>
        <v>41936.666666666599</v>
      </c>
      <c r="B149" s="1">
        <f ca="1">IFERROR(__xludf.DUMMYFUNCTION("""COMPUTED_VALUE"""),26.92)</f>
        <v>26.92</v>
      </c>
    </row>
    <row r="150" spans="1:2">
      <c r="A150" s="3">
        <f ca="1">IFERROR(__xludf.DUMMYFUNCTION("""COMPUTED_VALUE"""),41939.6666666666)</f>
        <v>41939.666666666599</v>
      </c>
      <c r="B150" s="1">
        <f ca="1">IFERROR(__xludf.DUMMYFUNCTION("""COMPUTED_VALUE"""),26.96)</f>
        <v>26.96</v>
      </c>
    </row>
    <row r="151" spans="1:2">
      <c r="A151" s="3">
        <f ca="1">IFERROR(__xludf.DUMMYFUNCTION("""COMPUTED_VALUE"""),41940.6666666666)</f>
        <v>41940.666666666599</v>
      </c>
      <c r="B151" s="1">
        <f ca="1">IFERROR(__xludf.DUMMYFUNCTION("""COMPUTED_VALUE"""),27.37)</f>
        <v>27.37</v>
      </c>
    </row>
    <row r="152" spans="1:2">
      <c r="A152" s="3">
        <f ca="1">IFERROR(__xludf.DUMMYFUNCTION("""COMPUTED_VALUE"""),41941.6666666666)</f>
        <v>41941.666666666599</v>
      </c>
      <c r="B152" s="1">
        <f ca="1">IFERROR(__xludf.DUMMYFUNCTION("""COMPUTED_VALUE"""),27.39)</f>
        <v>27.39</v>
      </c>
    </row>
    <row r="153" spans="1:2">
      <c r="A153" s="3">
        <f ca="1">IFERROR(__xludf.DUMMYFUNCTION("""COMPUTED_VALUE"""),41942.6666666666)</f>
        <v>41942.666666666599</v>
      </c>
      <c r="B153" s="1">
        <f ca="1">IFERROR(__xludf.DUMMYFUNCTION("""COMPUTED_VALUE"""),27.44)</f>
        <v>27.44</v>
      </c>
    </row>
    <row r="154" spans="1:2">
      <c r="A154" s="3">
        <f ca="1">IFERROR(__xludf.DUMMYFUNCTION("""COMPUTED_VALUE"""),41943.6666666666)</f>
        <v>41943.666666666599</v>
      </c>
      <c r="B154" s="1">
        <f ca="1">IFERROR(__xludf.DUMMYFUNCTION("""COMPUTED_VALUE"""),27.88)</f>
        <v>27.88</v>
      </c>
    </row>
    <row r="155" spans="1:2">
      <c r="A155" s="3">
        <f ca="1">IFERROR(__xludf.DUMMYFUNCTION("""COMPUTED_VALUE"""),41946.6666666666)</f>
        <v>41946.666666666599</v>
      </c>
      <c r="B155" s="1">
        <f ca="1">IFERROR(__xludf.DUMMYFUNCTION("""COMPUTED_VALUE"""),27.69)</f>
        <v>27.69</v>
      </c>
    </row>
    <row r="156" spans="1:2">
      <c r="A156" s="3">
        <f ca="1">IFERROR(__xludf.DUMMYFUNCTION("""COMPUTED_VALUE"""),41947.6666666666)</f>
        <v>41947.666666666599</v>
      </c>
      <c r="B156" s="1">
        <f ca="1">IFERROR(__xludf.DUMMYFUNCTION("""COMPUTED_VALUE"""),27.63)</f>
        <v>27.63</v>
      </c>
    </row>
    <row r="157" spans="1:2">
      <c r="A157" s="3">
        <f ca="1">IFERROR(__xludf.DUMMYFUNCTION("""COMPUTED_VALUE"""),41948.6666666666)</f>
        <v>41948.666666666599</v>
      </c>
      <c r="B157" s="1">
        <f ca="1">IFERROR(__xludf.DUMMYFUNCTION("""COMPUTED_VALUE"""),27.22)</f>
        <v>27.22</v>
      </c>
    </row>
    <row r="158" spans="1:2">
      <c r="A158" s="3">
        <f ca="1">IFERROR(__xludf.DUMMYFUNCTION("""COMPUTED_VALUE"""),41949.6666666666)</f>
        <v>41949.666666666599</v>
      </c>
      <c r="B158" s="1">
        <f ca="1">IFERROR(__xludf.DUMMYFUNCTION("""COMPUTED_VALUE"""),27.03)</f>
        <v>27.03</v>
      </c>
    </row>
    <row r="159" spans="1:2">
      <c r="A159" s="3">
        <f ca="1">IFERROR(__xludf.DUMMYFUNCTION("""COMPUTED_VALUE"""),41950.6666666666)</f>
        <v>41950.666666666599</v>
      </c>
      <c r="B159" s="1">
        <f ca="1">IFERROR(__xludf.DUMMYFUNCTION("""COMPUTED_VALUE"""),26.98)</f>
        <v>26.98</v>
      </c>
    </row>
    <row r="160" spans="1:2">
      <c r="A160" s="3">
        <f ca="1">IFERROR(__xludf.DUMMYFUNCTION("""COMPUTED_VALUE"""),41953.6666666666)</f>
        <v>41953.666666666599</v>
      </c>
      <c r="B160" s="1">
        <f ca="1">IFERROR(__xludf.DUMMYFUNCTION("""COMPUTED_VALUE"""),27.3)</f>
        <v>27.3</v>
      </c>
    </row>
    <row r="161" spans="1:2">
      <c r="A161" s="3">
        <f ca="1">IFERROR(__xludf.DUMMYFUNCTION("""COMPUTED_VALUE"""),41954.6666666666)</f>
        <v>41954.666666666599</v>
      </c>
      <c r="B161" s="1">
        <f ca="1">IFERROR(__xludf.DUMMYFUNCTION("""COMPUTED_VALUE"""),27.44)</f>
        <v>27.44</v>
      </c>
    </row>
    <row r="162" spans="1:2">
      <c r="A162" s="3">
        <f ca="1">IFERROR(__xludf.DUMMYFUNCTION("""COMPUTED_VALUE"""),41955.6666666666)</f>
        <v>41955.666666666599</v>
      </c>
      <c r="B162" s="1">
        <f ca="1">IFERROR(__xludf.DUMMYFUNCTION("""COMPUTED_VALUE"""),27.29)</f>
        <v>27.29</v>
      </c>
    </row>
    <row r="163" spans="1:2">
      <c r="A163" s="3">
        <f ca="1">IFERROR(__xludf.DUMMYFUNCTION("""COMPUTED_VALUE"""),41956.6666666666)</f>
        <v>41956.666666666599</v>
      </c>
      <c r="B163" s="1">
        <f ca="1">IFERROR(__xludf.DUMMYFUNCTION("""COMPUTED_VALUE"""),27.19)</f>
        <v>27.19</v>
      </c>
    </row>
    <row r="164" spans="1:2">
      <c r="A164" s="3">
        <f ca="1">IFERROR(__xludf.DUMMYFUNCTION("""COMPUTED_VALUE"""),41957.6666666666)</f>
        <v>41957.666666666599</v>
      </c>
      <c r="B164" s="1">
        <f ca="1">IFERROR(__xludf.DUMMYFUNCTION("""COMPUTED_VALUE"""),27.15)</f>
        <v>27.15</v>
      </c>
    </row>
    <row r="165" spans="1:2">
      <c r="A165" s="3">
        <f ca="1">IFERROR(__xludf.DUMMYFUNCTION("""COMPUTED_VALUE"""),41960.6666666666)</f>
        <v>41960.666666666599</v>
      </c>
      <c r="B165" s="1">
        <f ca="1">IFERROR(__xludf.DUMMYFUNCTION("""COMPUTED_VALUE"""),26.75)</f>
        <v>26.75</v>
      </c>
    </row>
    <row r="166" spans="1:2">
      <c r="A166" s="3">
        <f ca="1">IFERROR(__xludf.DUMMYFUNCTION("""COMPUTED_VALUE"""),41961.6666666666)</f>
        <v>41961.666666666599</v>
      </c>
      <c r="B166" s="1">
        <f ca="1">IFERROR(__xludf.DUMMYFUNCTION("""COMPUTED_VALUE"""),26.68)</f>
        <v>26.68</v>
      </c>
    </row>
    <row r="167" spans="1:2">
      <c r="A167" s="3">
        <f ca="1">IFERROR(__xludf.DUMMYFUNCTION("""COMPUTED_VALUE"""),41962.6666666666)</f>
        <v>41962.666666666599</v>
      </c>
      <c r="B167" s="1">
        <f ca="1">IFERROR(__xludf.DUMMYFUNCTION("""COMPUTED_VALUE"""),26.78)</f>
        <v>26.78</v>
      </c>
    </row>
    <row r="168" spans="1:2">
      <c r="A168" s="3">
        <f ca="1">IFERROR(__xludf.DUMMYFUNCTION("""COMPUTED_VALUE"""),41963.6666666666)</f>
        <v>41963.666666666599</v>
      </c>
      <c r="B168" s="1">
        <f ca="1">IFERROR(__xludf.DUMMYFUNCTION("""COMPUTED_VALUE"""),26.67)</f>
        <v>26.67</v>
      </c>
    </row>
    <row r="169" spans="1:2">
      <c r="A169" s="3">
        <f ca="1">IFERROR(__xludf.DUMMYFUNCTION("""COMPUTED_VALUE"""),41964.6666666666)</f>
        <v>41964.666666666599</v>
      </c>
      <c r="B169" s="1">
        <f ca="1">IFERROR(__xludf.DUMMYFUNCTION("""COMPUTED_VALUE"""),26.8)</f>
        <v>26.8</v>
      </c>
    </row>
    <row r="170" spans="1:2">
      <c r="A170" s="3">
        <f ca="1">IFERROR(__xludf.DUMMYFUNCTION("""COMPUTED_VALUE"""),41967.6666666666)</f>
        <v>41967.666666666599</v>
      </c>
      <c r="B170" s="1">
        <f ca="1">IFERROR(__xludf.DUMMYFUNCTION("""COMPUTED_VALUE"""),26.89)</f>
        <v>26.89</v>
      </c>
    </row>
    <row r="171" spans="1:2">
      <c r="A171" s="3">
        <f ca="1">IFERROR(__xludf.DUMMYFUNCTION("""COMPUTED_VALUE"""),41968.6666666666)</f>
        <v>41968.666666666599</v>
      </c>
      <c r="B171" s="1">
        <f ca="1">IFERROR(__xludf.DUMMYFUNCTION("""COMPUTED_VALUE"""),26.98)</f>
        <v>26.98</v>
      </c>
    </row>
    <row r="172" spans="1:2">
      <c r="A172" s="3">
        <f ca="1">IFERROR(__xludf.DUMMYFUNCTION("""COMPUTED_VALUE"""),41969.6666666666)</f>
        <v>41969.666666666599</v>
      </c>
      <c r="B172" s="1">
        <f ca="1">IFERROR(__xludf.DUMMYFUNCTION("""COMPUTED_VALUE"""),26.94)</f>
        <v>26.94</v>
      </c>
    </row>
    <row r="173" spans="1:2">
      <c r="A173" s="3">
        <f ca="1">IFERROR(__xludf.DUMMYFUNCTION("""COMPUTED_VALUE"""),41971.6666666666)</f>
        <v>41971.666666666599</v>
      </c>
      <c r="B173" s="1">
        <f ca="1">IFERROR(__xludf.DUMMYFUNCTION("""COMPUTED_VALUE"""),27.02)</f>
        <v>27.02</v>
      </c>
    </row>
    <row r="174" spans="1:2">
      <c r="A174" s="3">
        <f ca="1">IFERROR(__xludf.DUMMYFUNCTION("""COMPUTED_VALUE"""),41974.6666666666)</f>
        <v>41974.666666666599</v>
      </c>
      <c r="B174" s="1">
        <f ca="1">IFERROR(__xludf.DUMMYFUNCTION("""COMPUTED_VALUE"""),26.62)</f>
        <v>26.62</v>
      </c>
    </row>
    <row r="175" spans="1:2">
      <c r="A175" s="3">
        <f ca="1">IFERROR(__xludf.DUMMYFUNCTION("""COMPUTED_VALUE"""),41975.6666666666)</f>
        <v>41975.666666666599</v>
      </c>
      <c r="B175" s="1">
        <f ca="1">IFERROR(__xludf.DUMMYFUNCTION("""COMPUTED_VALUE"""),26.61)</f>
        <v>26.61</v>
      </c>
    </row>
    <row r="176" spans="1:2">
      <c r="A176" s="3">
        <f ca="1">IFERROR(__xludf.DUMMYFUNCTION("""COMPUTED_VALUE"""),41976.6666666666)</f>
        <v>41976.666666666599</v>
      </c>
      <c r="B176" s="1">
        <f ca="1">IFERROR(__xludf.DUMMYFUNCTION("""COMPUTED_VALUE"""),26.49)</f>
        <v>26.49</v>
      </c>
    </row>
    <row r="177" spans="1:2">
      <c r="A177" s="3">
        <f ca="1">IFERROR(__xludf.DUMMYFUNCTION("""COMPUTED_VALUE"""),41977.6666666666)</f>
        <v>41977.666666666599</v>
      </c>
      <c r="B177" s="1">
        <f ca="1">IFERROR(__xludf.DUMMYFUNCTION("""COMPUTED_VALUE"""),26.79)</f>
        <v>26.79</v>
      </c>
    </row>
    <row r="178" spans="1:2">
      <c r="A178" s="3">
        <f ca="1">IFERROR(__xludf.DUMMYFUNCTION("""COMPUTED_VALUE"""),41978.6666666666)</f>
        <v>41978.666666666599</v>
      </c>
      <c r="B178" s="1">
        <f ca="1">IFERROR(__xludf.DUMMYFUNCTION("""COMPUTED_VALUE"""),26.19)</f>
        <v>26.19</v>
      </c>
    </row>
    <row r="179" spans="1:2">
      <c r="A179" s="3">
        <f ca="1">IFERROR(__xludf.DUMMYFUNCTION("""COMPUTED_VALUE"""),41981.6666666666)</f>
        <v>41981.666666666599</v>
      </c>
      <c r="B179" s="1">
        <f ca="1">IFERROR(__xludf.DUMMYFUNCTION("""COMPUTED_VALUE"""),26.28)</f>
        <v>26.28</v>
      </c>
    </row>
    <row r="180" spans="1:2">
      <c r="A180" s="3">
        <f ca="1">IFERROR(__xludf.DUMMYFUNCTION("""COMPUTED_VALUE"""),41982.6666666666)</f>
        <v>41982.666666666599</v>
      </c>
      <c r="B180" s="1">
        <f ca="1">IFERROR(__xludf.DUMMYFUNCTION("""COMPUTED_VALUE"""),26.6)</f>
        <v>26.6</v>
      </c>
    </row>
    <row r="181" spans="1:2">
      <c r="A181" s="3">
        <f ca="1">IFERROR(__xludf.DUMMYFUNCTION("""COMPUTED_VALUE"""),41983.6666666666)</f>
        <v>41983.666666666599</v>
      </c>
      <c r="B181" s="1">
        <f ca="1">IFERROR(__xludf.DUMMYFUNCTION("""COMPUTED_VALUE"""),26.23)</f>
        <v>26.23</v>
      </c>
    </row>
    <row r="182" spans="1:2">
      <c r="A182" s="3">
        <f ca="1">IFERROR(__xludf.DUMMYFUNCTION("""COMPUTED_VALUE"""),41984.6666666666)</f>
        <v>41984.666666666599</v>
      </c>
      <c r="B182" s="1">
        <f ca="1">IFERROR(__xludf.DUMMYFUNCTION("""COMPUTED_VALUE"""),26.34)</f>
        <v>26.34</v>
      </c>
    </row>
    <row r="183" spans="1:2">
      <c r="A183" s="3">
        <f ca="1">IFERROR(__xludf.DUMMYFUNCTION("""COMPUTED_VALUE"""),41985.6666666666)</f>
        <v>41985.666666666599</v>
      </c>
      <c r="B183" s="1">
        <f ca="1">IFERROR(__xludf.DUMMYFUNCTION("""COMPUTED_VALUE"""),25.86)</f>
        <v>25.86</v>
      </c>
    </row>
    <row r="184" spans="1:2">
      <c r="A184" s="3">
        <f ca="1">IFERROR(__xludf.DUMMYFUNCTION("""COMPUTED_VALUE"""),41988.6666666666)</f>
        <v>41988.666666666599</v>
      </c>
      <c r="B184" s="1">
        <f ca="1">IFERROR(__xludf.DUMMYFUNCTION("""COMPUTED_VALUE"""),25.62)</f>
        <v>25.62</v>
      </c>
    </row>
    <row r="185" spans="1:2">
      <c r="A185" s="3">
        <f ca="1">IFERROR(__xludf.DUMMYFUNCTION("""COMPUTED_VALUE"""),41989.6666666666)</f>
        <v>41989.666666666599</v>
      </c>
      <c r="B185" s="1">
        <f ca="1">IFERROR(__xludf.DUMMYFUNCTION("""COMPUTED_VALUE"""),24.7)</f>
        <v>24.7</v>
      </c>
    </row>
    <row r="186" spans="1:2">
      <c r="A186" s="3">
        <f ca="1">IFERROR(__xludf.DUMMYFUNCTION("""COMPUTED_VALUE"""),41990.6666666666)</f>
        <v>41990.666666666599</v>
      </c>
      <c r="B186" s="1">
        <f ca="1">IFERROR(__xludf.DUMMYFUNCTION("""COMPUTED_VALUE"""),25.18)</f>
        <v>25.18</v>
      </c>
    </row>
    <row r="187" spans="1:2">
      <c r="A187" s="3">
        <f ca="1">IFERROR(__xludf.DUMMYFUNCTION("""COMPUTED_VALUE"""),41991.6666666666)</f>
        <v>41991.666666666599</v>
      </c>
      <c r="B187" s="1">
        <f ca="1">IFERROR(__xludf.DUMMYFUNCTION("""COMPUTED_VALUE"""),25.49)</f>
        <v>25.49</v>
      </c>
    </row>
    <row r="188" spans="1:2">
      <c r="A188" s="3">
        <f ca="1">IFERROR(__xludf.DUMMYFUNCTION("""COMPUTED_VALUE"""),41992.6666666666)</f>
        <v>41992.666666666599</v>
      </c>
      <c r="B188" s="1">
        <f ca="1">IFERROR(__xludf.DUMMYFUNCTION("""COMPUTED_VALUE"""),25.75)</f>
        <v>25.75</v>
      </c>
    </row>
    <row r="189" spans="1:2">
      <c r="A189" s="3">
        <f ca="1">IFERROR(__xludf.DUMMYFUNCTION("""COMPUTED_VALUE"""),41995.6666666666)</f>
        <v>41995.666666666599</v>
      </c>
      <c r="B189" s="1">
        <f ca="1">IFERROR(__xludf.DUMMYFUNCTION("""COMPUTED_VALUE"""),26.17)</f>
        <v>26.17</v>
      </c>
    </row>
    <row r="190" spans="1:2">
      <c r="A190" s="3">
        <f ca="1">IFERROR(__xludf.DUMMYFUNCTION("""COMPUTED_VALUE"""),41996.6666666666)</f>
        <v>41996.666666666599</v>
      </c>
      <c r="B190" s="1">
        <f ca="1">IFERROR(__xludf.DUMMYFUNCTION("""COMPUTED_VALUE"""),26.46)</f>
        <v>26.46</v>
      </c>
    </row>
    <row r="191" spans="1:2">
      <c r="A191" s="3">
        <f ca="1">IFERROR(__xludf.DUMMYFUNCTION("""COMPUTED_VALUE"""),41997.6666666666)</f>
        <v>41997.666666666599</v>
      </c>
      <c r="B191" s="1">
        <f ca="1">IFERROR(__xludf.DUMMYFUNCTION("""COMPUTED_VALUE"""),26.37)</f>
        <v>26.37</v>
      </c>
    </row>
    <row r="192" spans="1:2">
      <c r="A192" s="3">
        <f ca="1">IFERROR(__xludf.DUMMYFUNCTION("""COMPUTED_VALUE"""),41999.6666666666)</f>
        <v>41999.666666666599</v>
      </c>
      <c r="B192" s="1">
        <f ca="1">IFERROR(__xludf.DUMMYFUNCTION("""COMPUTED_VALUE"""),26.63)</f>
        <v>26.63</v>
      </c>
    </row>
    <row r="193" spans="1:2">
      <c r="A193" s="3">
        <f ca="1">IFERROR(__xludf.DUMMYFUNCTION("""COMPUTED_VALUE"""),42002.6666666666)</f>
        <v>42002.666666666599</v>
      </c>
      <c r="B193" s="1">
        <f ca="1">IFERROR(__xludf.DUMMYFUNCTION("""COMPUTED_VALUE"""),26.44)</f>
        <v>26.44</v>
      </c>
    </row>
    <row r="194" spans="1:2">
      <c r="A194" s="3">
        <f ca="1">IFERROR(__xludf.DUMMYFUNCTION("""COMPUTED_VALUE"""),42003.6666666666)</f>
        <v>42003.666666666599</v>
      </c>
      <c r="B194" s="1">
        <f ca="1">IFERROR(__xludf.DUMMYFUNCTION("""COMPUTED_VALUE"""),26.45)</f>
        <v>26.45</v>
      </c>
    </row>
    <row r="195" spans="1:2">
      <c r="A195" s="3">
        <f ca="1">IFERROR(__xludf.DUMMYFUNCTION("""COMPUTED_VALUE"""),42004.6666666666)</f>
        <v>42004.666666666599</v>
      </c>
      <c r="B195" s="1">
        <f ca="1">IFERROR(__xludf.DUMMYFUNCTION("""COMPUTED_VALUE"""),26.25)</f>
        <v>26.25</v>
      </c>
    </row>
    <row r="196" spans="1:2">
      <c r="A196" s="3">
        <f ca="1">IFERROR(__xludf.DUMMYFUNCTION("""COMPUTED_VALUE"""),42006.6666666666)</f>
        <v>42006.666666666599</v>
      </c>
      <c r="B196" s="1">
        <f ca="1">IFERROR(__xludf.DUMMYFUNCTION("""COMPUTED_VALUE"""),26.17)</f>
        <v>26.17</v>
      </c>
    </row>
    <row r="197" spans="1:2">
      <c r="A197" s="3">
        <f ca="1">IFERROR(__xludf.DUMMYFUNCTION("""COMPUTED_VALUE"""),42009.6666666666)</f>
        <v>42009.666666666599</v>
      </c>
      <c r="B197" s="1">
        <f ca="1">IFERROR(__xludf.DUMMYFUNCTION("""COMPUTED_VALUE"""),25.62)</f>
        <v>25.62</v>
      </c>
    </row>
    <row r="198" spans="1:2">
      <c r="A198" s="3">
        <f ca="1">IFERROR(__xludf.DUMMYFUNCTION("""COMPUTED_VALUE"""),42010.6666666666)</f>
        <v>42010.666666666599</v>
      </c>
      <c r="B198" s="1">
        <f ca="1">IFERROR(__xludf.DUMMYFUNCTION("""COMPUTED_VALUE"""),25.03)</f>
        <v>25.03</v>
      </c>
    </row>
    <row r="199" spans="1:2">
      <c r="A199" s="3">
        <f ca="1">IFERROR(__xludf.DUMMYFUNCTION("""COMPUTED_VALUE"""),42011.6666666666)</f>
        <v>42011.666666666599</v>
      </c>
      <c r="B199" s="1">
        <f ca="1">IFERROR(__xludf.DUMMYFUNCTION("""COMPUTED_VALUE"""),24.99)</f>
        <v>24.99</v>
      </c>
    </row>
    <row r="200" spans="1:2">
      <c r="A200" s="3">
        <f ca="1">IFERROR(__xludf.DUMMYFUNCTION("""COMPUTED_VALUE"""),42012.6666666666)</f>
        <v>42012.666666666599</v>
      </c>
      <c r="B200" s="1">
        <f ca="1">IFERROR(__xludf.DUMMYFUNCTION("""COMPUTED_VALUE"""),25.07)</f>
        <v>25.07</v>
      </c>
    </row>
    <row r="201" spans="1:2">
      <c r="A201" s="3">
        <f ca="1">IFERROR(__xludf.DUMMYFUNCTION("""COMPUTED_VALUE"""),42013.6666666666)</f>
        <v>42013.666666666599</v>
      </c>
      <c r="B201" s="1">
        <f ca="1">IFERROR(__xludf.DUMMYFUNCTION("""COMPUTED_VALUE"""),24.74)</f>
        <v>24.74</v>
      </c>
    </row>
    <row r="202" spans="1:2">
      <c r="A202" s="3">
        <f ca="1">IFERROR(__xludf.DUMMYFUNCTION("""COMPUTED_VALUE"""),42016.6666666666)</f>
        <v>42016.666666666599</v>
      </c>
      <c r="B202" s="1">
        <f ca="1">IFERROR(__xludf.DUMMYFUNCTION("""COMPUTED_VALUE"""),24.56)</f>
        <v>24.56</v>
      </c>
    </row>
    <row r="203" spans="1:2">
      <c r="A203" s="3">
        <f ca="1">IFERROR(__xludf.DUMMYFUNCTION("""COMPUTED_VALUE"""),42017.6666666666)</f>
        <v>42017.666666666599</v>
      </c>
      <c r="B203" s="1">
        <f ca="1">IFERROR(__xludf.DUMMYFUNCTION("""COMPUTED_VALUE"""),24.74)</f>
        <v>24.74</v>
      </c>
    </row>
    <row r="204" spans="1:2">
      <c r="A204" s="3">
        <f ca="1">IFERROR(__xludf.DUMMYFUNCTION("""COMPUTED_VALUE"""),42018.6666666666)</f>
        <v>42018.666666666599</v>
      </c>
      <c r="B204" s="1">
        <f ca="1">IFERROR(__xludf.DUMMYFUNCTION("""COMPUTED_VALUE"""),24.97)</f>
        <v>24.97</v>
      </c>
    </row>
    <row r="205" spans="1:2">
      <c r="A205" s="3">
        <f ca="1">IFERROR(__xludf.DUMMYFUNCTION("""COMPUTED_VALUE"""),42019.6666666666)</f>
        <v>42019.666666666599</v>
      </c>
      <c r="B205" s="1">
        <f ca="1">IFERROR(__xludf.DUMMYFUNCTION("""COMPUTED_VALUE"""),25.02)</f>
        <v>25.02</v>
      </c>
    </row>
    <row r="206" spans="1:2">
      <c r="A206" s="3">
        <f ca="1">IFERROR(__xludf.DUMMYFUNCTION("""COMPUTED_VALUE"""),42020.6666666666)</f>
        <v>42020.666666666599</v>
      </c>
      <c r="B206" s="1">
        <f ca="1">IFERROR(__xludf.DUMMYFUNCTION("""COMPUTED_VALUE"""),25.33)</f>
        <v>25.33</v>
      </c>
    </row>
    <row r="207" spans="1:2">
      <c r="A207" s="3">
        <f ca="1">IFERROR(__xludf.DUMMYFUNCTION("""COMPUTED_VALUE"""),42024.6666666666)</f>
        <v>42024.666666666599</v>
      </c>
      <c r="B207" s="1">
        <f ca="1">IFERROR(__xludf.DUMMYFUNCTION("""COMPUTED_VALUE"""),25.28)</f>
        <v>25.28</v>
      </c>
    </row>
    <row r="208" spans="1:2">
      <c r="A208" s="3">
        <f ca="1">IFERROR(__xludf.DUMMYFUNCTION("""COMPUTED_VALUE"""),42025.6666666666)</f>
        <v>42025.666666666599</v>
      </c>
      <c r="B208" s="1">
        <f ca="1">IFERROR(__xludf.DUMMYFUNCTION("""COMPUTED_VALUE"""),25.83)</f>
        <v>25.83</v>
      </c>
    </row>
    <row r="209" spans="1:2">
      <c r="A209" s="3">
        <f ca="1">IFERROR(__xludf.DUMMYFUNCTION("""COMPUTED_VALUE"""),42026.6666666666)</f>
        <v>42026.666666666599</v>
      </c>
      <c r="B209" s="1">
        <f ca="1">IFERROR(__xludf.DUMMYFUNCTION("""COMPUTED_VALUE"""),26.65)</f>
        <v>26.65</v>
      </c>
    </row>
    <row r="210" spans="1:2">
      <c r="A210" s="3">
        <f ca="1">IFERROR(__xludf.DUMMYFUNCTION("""COMPUTED_VALUE"""),42027.6666666666)</f>
        <v>42027.666666666599</v>
      </c>
      <c r="B210" s="1">
        <f ca="1">IFERROR(__xludf.DUMMYFUNCTION("""COMPUTED_VALUE"""),26.92)</f>
        <v>26.92</v>
      </c>
    </row>
    <row r="211" spans="1:2">
      <c r="A211" s="3">
        <f ca="1">IFERROR(__xludf.DUMMYFUNCTION("""COMPUTED_VALUE"""),42030.6666666666)</f>
        <v>42030.666666666599</v>
      </c>
      <c r="B211" s="1">
        <f ca="1">IFERROR(__xludf.DUMMYFUNCTION("""COMPUTED_VALUE"""),26.69)</f>
        <v>26.69</v>
      </c>
    </row>
    <row r="212" spans="1:2">
      <c r="A212" s="3">
        <f ca="1">IFERROR(__xludf.DUMMYFUNCTION("""COMPUTED_VALUE"""),42031.6666666666)</f>
        <v>42031.666666666599</v>
      </c>
      <c r="B212" s="1">
        <f ca="1">IFERROR(__xludf.DUMMYFUNCTION("""COMPUTED_VALUE"""),25.86)</f>
        <v>25.86</v>
      </c>
    </row>
    <row r="213" spans="1:2">
      <c r="A213" s="3">
        <f ca="1">IFERROR(__xludf.DUMMYFUNCTION("""COMPUTED_VALUE"""),42032.6666666666)</f>
        <v>42032.666666666599</v>
      </c>
      <c r="B213" s="1">
        <f ca="1">IFERROR(__xludf.DUMMYFUNCTION("""COMPUTED_VALUE"""),25.43)</f>
        <v>25.43</v>
      </c>
    </row>
    <row r="214" spans="1:2">
      <c r="A214" s="3">
        <f ca="1">IFERROR(__xludf.DUMMYFUNCTION("""COMPUTED_VALUE"""),42033.6666666666)</f>
        <v>42033.666666666599</v>
      </c>
      <c r="B214" s="1">
        <f ca="1">IFERROR(__xludf.DUMMYFUNCTION("""COMPUTED_VALUE"""),25.46)</f>
        <v>25.46</v>
      </c>
    </row>
    <row r="215" spans="1:2">
      <c r="A215" s="3">
        <f ca="1">IFERROR(__xludf.DUMMYFUNCTION("""COMPUTED_VALUE"""),42034.6666666666)</f>
        <v>42034.666666666599</v>
      </c>
      <c r="B215" s="1">
        <f ca="1">IFERROR(__xludf.DUMMYFUNCTION("""COMPUTED_VALUE"""),26.65)</f>
        <v>26.65</v>
      </c>
    </row>
    <row r="216" spans="1:2">
      <c r="A216" s="3">
        <f ca="1">IFERROR(__xludf.DUMMYFUNCTION("""COMPUTED_VALUE"""),42037.6666666666)</f>
        <v>42037.666666666599</v>
      </c>
      <c r="B216" s="1">
        <f ca="1">IFERROR(__xludf.DUMMYFUNCTION("""COMPUTED_VALUE"""),26.35)</f>
        <v>26.35</v>
      </c>
    </row>
    <row r="217" spans="1:2">
      <c r="A217" s="3">
        <f ca="1">IFERROR(__xludf.DUMMYFUNCTION("""COMPUTED_VALUE"""),42038.6666666666)</f>
        <v>42038.666666666599</v>
      </c>
      <c r="B217" s="1">
        <f ca="1">IFERROR(__xludf.DUMMYFUNCTION("""COMPUTED_VALUE"""),26.39)</f>
        <v>26.39</v>
      </c>
    </row>
    <row r="218" spans="1:2">
      <c r="A218" s="3">
        <f ca="1">IFERROR(__xludf.DUMMYFUNCTION("""COMPUTED_VALUE"""),42039.6666666666)</f>
        <v>42039.666666666599</v>
      </c>
      <c r="B218" s="1">
        <f ca="1">IFERROR(__xludf.DUMMYFUNCTION("""COMPUTED_VALUE"""),26.07)</f>
        <v>26.07</v>
      </c>
    </row>
    <row r="219" spans="1:2">
      <c r="A219" s="3">
        <f ca="1">IFERROR(__xludf.DUMMYFUNCTION("""COMPUTED_VALUE"""),42040.6666666666)</f>
        <v>42040.666666666599</v>
      </c>
      <c r="B219" s="1">
        <f ca="1">IFERROR(__xludf.DUMMYFUNCTION("""COMPUTED_VALUE"""),26.31)</f>
        <v>26.31</v>
      </c>
    </row>
    <row r="220" spans="1:2">
      <c r="A220" s="3">
        <f ca="1">IFERROR(__xludf.DUMMYFUNCTION("""COMPUTED_VALUE"""),42041.6666666666)</f>
        <v>42041.666666666599</v>
      </c>
      <c r="B220" s="1">
        <f ca="1">IFERROR(__xludf.DUMMYFUNCTION("""COMPUTED_VALUE"""),26.48)</f>
        <v>26.48</v>
      </c>
    </row>
    <row r="221" spans="1:2">
      <c r="A221" s="3">
        <f ca="1">IFERROR(__xludf.DUMMYFUNCTION("""COMPUTED_VALUE"""),42044.6666666666)</f>
        <v>42044.666666666599</v>
      </c>
      <c r="B221" s="1">
        <f ca="1">IFERROR(__xludf.DUMMYFUNCTION("""COMPUTED_VALUE"""),26.32)</f>
        <v>26.32</v>
      </c>
    </row>
    <row r="222" spans="1:2">
      <c r="A222" s="3">
        <f ca="1">IFERROR(__xludf.DUMMYFUNCTION("""COMPUTED_VALUE"""),42045.6666666666)</f>
        <v>42045.666666666599</v>
      </c>
      <c r="B222" s="1">
        <f ca="1">IFERROR(__xludf.DUMMYFUNCTION("""COMPUTED_VALUE"""),26.77)</f>
        <v>26.77</v>
      </c>
    </row>
    <row r="223" spans="1:2">
      <c r="A223" s="3">
        <f ca="1">IFERROR(__xludf.DUMMYFUNCTION("""COMPUTED_VALUE"""),42046.6666666666)</f>
        <v>42046.666666666599</v>
      </c>
      <c r="B223" s="1">
        <f ca="1">IFERROR(__xludf.DUMMYFUNCTION("""COMPUTED_VALUE"""),26.73)</f>
        <v>26.73</v>
      </c>
    </row>
    <row r="224" spans="1:2">
      <c r="A224" s="3">
        <f ca="1">IFERROR(__xludf.DUMMYFUNCTION("""COMPUTED_VALUE"""),42047.6666666666)</f>
        <v>42047.666666666599</v>
      </c>
      <c r="B224" s="1">
        <f ca="1">IFERROR(__xludf.DUMMYFUNCTION("""COMPUTED_VALUE"""),27.07)</f>
        <v>27.07</v>
      </c>
    </row>
    <row r="225" spans="1:2">
      <c r="A225" s="3">
        <f ca="1">IFERROR(__xludf.DUMMYFUNCTION("""COMPUTED_VALUE"""),42048.6666666666)</f>
        <v>42048.666666666599</v>
      </c>
      <c r="B225" s="1">
        <f ca="1">IFERROR(__xludf.DUMMYFUNCTION("""COMPUTED_VALUE"""),27.38)</f>
        <v>27.38</v>
      </c>
    </row>
    <row r="226" spans="1:2">
      <c r="A226" s="3">
        <f ca="1">IFERROR(__xludf.DUMMYFUNCTION("""COMPUTED_VALUE"""),42052.6666666666)</f>
        <v>42052.666666666599</v>
      </c>
      <c r="B226" s="1">
        <f ca="1">IFERROR(__xludf.DUMMYFUNCTION("""COMPUTED_VALUE"""),27.07)</f>
        <v>27.07</v>
      </c>
    </row>
    <row r="227" spans="1:2">
      <c r="A227" s="3">
        <f ca="1">IFERROR(__xludf.DUMMYFUNCTION("""COMPUTED_VALUE"""),42053.6666666666)</f>
        <v>42053.666666666599</v>
      </c>
      <c r="B227" s="1">
        <f ca="1">IFERROR(__xludf.DUMMYFUNCTION("""COMPUTED_VALUE"""),26.91)</f>
        <v>26.91</v>
      </c>
    </row>
    <row r="228" spans="1:2">
      <c r="A228" s="3">
        <f ca="1">IFERROR(__xludf.DUMMYFUNCTION("""COMPUTED_VALUE"""),42054.6666666666)</f>
        <v>42054.666666666599</v>
      </c>
      <c r="B228" s="1">
        <f ca="1">IFERROR(__xludf.DUMMYFUNCTION("""COMPUTED_VALUE"""),27.07)</f>
        <v>27.07</v>
      </c>
    </row>
    <row r="229" spans="1:2">
      <c r="A229" s="3">
        <f ca="1">IFERROR(__xludf.DUMMYFUNCTION("""COMPUTED_VALUE"""),42055.6666666666)</f>
        <v>42055.666666666599</v>
      </c>
      <c r="B229" s="1">
        <f ca="1">IFERROR(__xludf.DUMMYFUNCTION("""COMPUTED_VALUE"""),26.87)</f>
        <v>26.87</v>
      </c>
    </row>
    <row r="230" spans="1:2">
      <c r="A230" s="3">
        <f ca="1">IFERROR(__xludf.DUMMYFUNCTION("""COMPUTED_VALUE"""),42058.6666666666)</f>
        <v>42058.666666666599</v>
      </c>
      <c r="B230" s="1">
        <f ca="1">IFERROR(__xludf.DUMMYFUNCTION("""COMPUTED_VALUE"""),26.52)</f>
        <v>26.52</v>
      </c>
    </row>
    <row r="231" spans="1:2">
      <c r="A231" s="3">
        <f ca="1">IFERROR(__xludf.DUMMYFUNCTION("""COMPUTED_VALUE"""),42059.6666666666)</f>
        <v>42059.666666666599</v>
      </c>
      <c r="B231" s="1">
        <f ca="1">IFERROR(__xludf.DUMMYFUNCTION("""COMPUTED_VALUE"""),26.73)</f>
        <v>26.73</v>
      </c>
    </row>
    <row r="232" spans="1:2">
      <c r="A232" s="3">
        <f ca="1">IFERROR(__xludf.DUMMYFUNCTION("""COMPUTED_VALUE"""),42060.6666666666)</f>
        <v>42060.666666666599</v>
      </c>
      <c r="B232" s="1">
        <f ca="1">IFERROR(__xludf.DUMMYFUNCTION("""COMPUTED_VALUE"""),27.12)</f>
        <v>27.12</v>
      </c>
    </row>
    <row r="233" spans="1:2">
      <c r="A233" s="3">
        <f ca="1">IFERROR(__xludf.DUMMYFUNCTION("""COMPUTED_VALUE"""),42061.6666666666)</f>
        <v>42061.666666666599</v>
      </c>
      <c r="B233" s="1">
        <f ca="1">IFERROR(__xludf.DUMMYFUNCTION("""COMPUTED_VALUE"""),27.7)</f>
        <v>27.7</v>
      </c>
    </row>
    <row r="234" spans="1:2">
      <c r="A234" s="3">
        <f ca="1">IFERROR(__xludf.DUMMYFUNCTION("""COMPUTED_VALUE"""),42062.6666666666)</f>
        <v>42062.666666666599</v>
      </c>
      <c r="B234" s="1">
        <f ca="1">IFERROR(__xludf.DUMMYFUNCTION("""COMPUTED_VALUE"""),27.84)</f>
        <v>27.84</v>
      </c>
    </row>
    <row r="235" spans="1:2">
      <c r="A235" s="3">
        <f ca="1">IFERROR(__xludf.DUMMYFUNCTION("""COMPUTED_VALUE"""),42065.6666666666)</f>
        <v>42065.666666666599</v>
      </c>
      <c r="B235" s="1">
        <f ca="1">IFERROR(__xludf.DUMMYFUNCTION("""COMPUTED_VALUE"""),28.49)</f>
        <v>28.49</v>
      </c>
    </row>
    <row r="236" spans="1:2">
      <c r="A236" s="3">
        <f ca="1">IFERROR(__xludf.DUMMYFUNCTION("""COMPUTED_VALUE"""),42066.6666666666)</f>
        <v>42066.666666666599</v>
      </c>
      <c r="B236" s="1">
        <f ca="1">IFERROR(__xludf.DUMMYFUNCTION("""COMPUTED_VALUE"""),28.6)</f>
        <v>28.6</v>
      </c>
    </row>
    <row r="237" spans="1:2">
      <c r="A237" s="3">
        <f ca="1">IFERROR(__xludf.DUMMYFUNCTION("""COMPUTED_VALUE"""),42067.6666666666)</f>
        <v>42067.666666666599</v>
      </c>
      <c r="B237" s="1">
        <f ca="1">IFERROR(__xludf.DUMMYFUNCTION("""COMPUTED_VALUE"""),28.59)</f>
        <v>28.59</v>
      </c>
    </row>
    <row r="238" spans="1:2">
      <c r="A238" s="3">
        <f ca="1">IFERROR(__xludf.DUMMYFUNCTION("""COMPUTED_VALUE"""),42068.6666666666)</f>
        <v>42068.666666666599</v>
      </c>
      <c r="B238" s="1">
        <f ca="1">IFERROR(__xludf.DUMMYFUNCTION("""COMPUTED_VALUE"""),28.69)</f>
        <v>28.69</v>
      </c>
    </row>
    <row r="239" spans="1:2">
      <c r="A239" s="3">
        <f ca="1">IFERROR(__xludf.DUMMYFUNCTION("""COMPUTED_VALUE"""),42069.6666666666)</f>
        <v>42069.666666666599</v>
      </c>
      <c r="B239" s="1">
        <f ca="1">IFERROR(__xludf.DUMMYFUNCTION("""COMPUTED_VALUE"""),28.31)</f>
        <v>28.31</v>
      </c>
    </row>
    <row r="240" spans="1:2">
      <c r="A240" s="3">
        <f ca="1">IFERROR(__xludf.DUMMYFUNCTION("""COMPUTED_VALUE"""),42072.6666666666)</f>
        <v>42072.666666666599</v>
      </c>
      <c r="B240" s="1">
        <f ca="1">IFERROR(__xludf.DUMMYFUNCTION("""COMPUTED_VALUE"""),28.36)</f>
        <v>28.36</v>
      </c>
    </row>
    <row r="241" spans="1:2">
      <c r="A241" s="3">
        <f ca="1">IFERROR(__xludf.DUMMYFUNCTION("""COMPUTED_VALUE"""),42073.6666666666)</f>
        <v>42073.666666666599</v>
      </c>
      <c r="B241" s="1">
        <f ca="1">IFERROR(__xludf.DUMMYFUNCTION("""COMPUTED_VALUE"""),27.67)</f>
        <v>27.67</v>
      </c>
    </row>
    <row r="242" spans="1:2">
      <c r="A242" s="3">
        <f ca="1">IFERROR(__xludf.DUMMYFUNCTION("""COMPUTED_VALUE"""),42074.6666666666)</f>
        <v>42074.666666666599</v>
      </c>
      <c r="B242" s="1">
        <f ca="1">IFERROR(__xludf.DUMMYFUNCTION("""COMPUTED_VALUE"""),27.48)</f>
        <v>27.48</v>
      </c>
    </row>
    <row r="243" spans="1:2">
      <c r="A243" s="3">
        <f ca="1">IFERROR(__xludf.DUMMYFUNCTION("""COMPUTED_VALUE"""),42075.6666666666)</f>
        <v>42075.666666666599</v>
      </c>
      <c r="B243" s="1">
        <f ca="1">IFERROR(__xludf.DUMMYFUNCTION("""COMPUTED_VALUE"""),27.7)</f>
        <v>27.7</v>
      </c>
    </row>
    <row r="244" spans="1:2">
      <c r="A244" s="3">
        <f ca="1">IFERROR(__xludf.DUMMYFUNCTION("""COMPUTED_VALUE"""),42076.6666666666)</f>
        <v>42076.666666666599</v>
      </c>
      <c r="B244" s="1">
        <f ca="1">IFERROR(__xludf.DUMMYFUNCTION("""COMPUTED_VALUE"""),27.29)</f>
        <v>27.29</v>
      </c>
    </row>
    <row r="245" spans="1:2">
      <c r="A245" s="3">
        <f ca="1">IFERROR(__xludf.DUMMYFUNCTION("""COMPUTED_VALUE"""),42079.6666666666)</f>
        <v>42079.666666666599</v>
      </c>
      <c r="B245" s="1">
        <f ca="1">IFERROR(__xludf.DUMMYFUNCTION("""COMPUTED_VALUE"""),27.65)</f>
        <v>27.65</v>
      </c>
    </row>
    <row r="246" spans="1:2">
      <c r="A246" s="3">
        <f ca="1">IFERROR(__xludf.DUMMYFUNCTION("""COMPUTED_VALUE"""),42080.6666666666)</f>
        <v>42080.666666666599</v>
      </c>
      <c r="B246" s="1">
        <f ca="1">IFERROR(__xludf.DUMMYFUNCTION("""COMPUTED_VALUE"""),27.47)</f>
        <v>27.47</v>
      </c>
    </row>
    <row r="247" spans="1:2">
      <c r="A247" s="3">
        <f ca="1">IFERROR(__xludf.DUMMYFUNCTION("""COMPUTED_VALUE"""),42081.6666666666)</f>
        <v>42081.666666666599</v>
      </c>
      <c r="B247" s="1">
        <f ca="1">IFERROR(__xludf.DUMMYFUNCTION("""COMPUTED_VALUE"""),27.9)</f>
        <v>27.9</v>
      </c>
    </row>
    <row r="248" spans="1:2">
      <c r="A248" s="3">
        <f ca="1">IFERROR(__xludf.DUMMYFUNCTION("""COMPUTED_VALUE"""),42082.6666666666)</f>
        <v>42082.666666666599</v>
      </c>
      <c r="B248" s="1">
        <f ca="1">IFERROR(__xludf.DUMMYFUNCTION("""COMPUTED_VALUE"""),27.82)</f>
        <v>27.82</v>
      </c>
    </row>
    <row r="249" spans="1:2">
      <c r="A249" s="3">
        <f ca="1">IFERROR(__xludf.DUMMYFUNCTION("""COMPUTED_VALUE"""),42083.6666666666)</f>
        <v>42083.666666666599</v>
      </c>
      <c r="B249" s="1">
        <f ca="1">IFERROR(__xludf.DUMMYFUNCTION("""COMPUTED_VALUE"""),27.94)</f>
        <v>27.94</v>
      </c>
    </row>
    <row r="250" spans="1:2">
      <c r="A250" s="3">
        <f ca="1">IFERROR(__xludf.DUMMYFUNCTION("""COMPUTED_VALUE"""),42086.6666666666)</f>
        <v>42086.666666666599</v>
      </c>
      <c r="B250" s="1">
        <f ca="1">IFERROR(__xludf.DUMMYFUNCTION("""COMPUTED_VALUE"""),27.86)</f>
        <v>27.86</v>
      </c>
    </row>
    <row r="251" spans="1:2">
      <c r="A251" s="3">
        <f ca="1">IFERROR(__xludf.DUMMYFUNCTION("""COMPUTED_VALUE"""),42087.6666666666)</f>
        <v>42087.666666666599</v>
      </c>
      <c r="B251" s="1">
        <f ca="1">IFERROR(__xludf.DUMMYFUNCTION("""COMPUTED_VALUE"""),28.43)</f>
        <v>28.43</v>
      </c>
    </row>
    <row r="252" spans="1:2">
      <c r="A252" s="3">
        <f ca="1">IFERROR(__xludf.DUMMYFUNCTION("""COMPUTED_VALUE"""),42088.6666666666)</f>
        <v>42088.666666666599</v>
      </c>
      <c r="B252" s="1">
        <f ca="1">IFERROR(__xludf.DUMMYFUNCTION("""COMPUTED_VALUE"""),27.86)</f>
        <v>27.86</v>
      </c>
    </row>
    <row r="253" spans="1:2">
      <c r="A253" s="3">
        <f ca="1">IFERROR(__xludf.DUMMYFUNCTION("""COMPUTED_VALUE"""),42089.6666666666)</f>
        <v>42089.666666666599</v>
      </c>
      <c r="B253" s="1">
        <f ca="1">IFERROR(__xludf.DUMMYFUNCTION("""COMPUTED_VALUE"""),27.68)</f>
        <v>27.68</v>
      </c>
    </row>
    <row r="254" spans="1:2">
      <c r="A254" s="3">
        <f ca="1">IFERROR(__xludf.DUMMYFUNCTION("""COMPUTED_VALUE"""),42090.6666666666)</f>
        <v>42090.666666666599</v>
      </c>
      <c r="B254" s="1">
        <f ca="1">IFERROR(__xludf.DUMMYFUNCTION("""COMPUTED_VALUE"""),27.34)</f>
        <v>27.34</v>
      </c>
    </row>
    <row r="255" spans="1:2">
      <c r="A255" s="3">
        <f ca="1">IFERROR(__xludf.DUMMYFUNCTION("""COMPUTED_VALUE"""),42093.6666666666)</f>
        <v>42093.666666666599</v>
      </c>
      <c r="B255" s="1">
        <f ca="1">IFERROR(__xludf.DUMMYFUNCTION("""COMPUTED_VALUE"""),27.53)</f>
        <v>27.53</v>
      </c>
    </row>
    <row r="256" spans="1:2">
      <c r="A256" s="3">
        <f ca="1">IFERROR(__xludf.DUMMYFUNCTION("""COMPUTED_VALUE"""),42094.6666666666)</f>
        <v>42094.666666666599</v>
      </c>
      <c r="B256" s="1">
        <f ca="1">IFERROR(__xludf.DUMMYFUNCTION("""COMPUTED_VALUE"""),27.32)</f>
        <v>27.32</v>
      </c>
    </row>
    <row r="257" spans="1:2">
      <c r="A257" s="3">
        <f ca="1">IFERROR(__xludf.DUMMYFUNCTION("""COMPUTED_VALUE"""),42095.6666666666)</f>
        <v>42095.666666666599</v>
      </c>
      <c r="B257" s="1">
        <f ca="1">IFERROR(__xludf.DUMMYFUNCTION("""COMPUTED_VALUE"""),27.05)</f>
        <v>27.05</v>
      </c>
    </row>
    <row r="258" spans="1:2">
      <c r="A258" s="3">
        <f ca="1">IFERROR(__xludf.DUMMYFUNCTION("""COMPUTED_VALUE"""),42096.6666666666)</f>
        <v>42096.666666666599</v>
      </c>
      <c r="B258" s="1">
        <f ca="1">IFERROR(__xludf.DUMMYFUNCTION("""COMPUTED_VALUE"""),26.7)</f>
        <v>26.7</v>
      </c>
    </row>
    <row r="259" spans="1:2">
      <c r="A259" s="3">
        <f ca="1">IFERROR(__xludf.DUMMYFUNCTION("""COMPUTED_VALUE"""),42100.6666666666)</f>
        <v>42100.666666666599</v>
      </c>
      <c r="B259" s="1">
        <f ca="1">IFERROR(__xludf.DUMMYFUNCTION("""COMPUTED_VALUE"""),26.76)</f>
        <v>26.76</v>
      </c>
    </row>
    <row r="260" spans="1:2">
      <c r="A260" s="3">
        <f ca="1">IFERROR(__xludf.DUMMYFUNCTION("""COMPUTED_VALUE"""),42101.6666666666)</f>
        <v>42101.666666666599</v>
      </c>
      <c r="B260" s="1">
        <f ca="1">IFERROR(__xludf.DUMMYFUNCTION("""COMPUTED_VALUE"""),26.78)</f>
        <v>26.78</v>
      </c>
    </row>
    <row r="261" spans="1:2">
      <c r="A261" s="3">
        <f ca="1">IFERROR(__xludf.DUMMYFUNCTION("""COMPUTED_VALUE"""),42102.6666666666)</f>
        <v>42102.666666666599</v>
      </c>
      <c r="B261" s="1">
        <f ca="1">IFERROR(__xludf.DUMMYFUNCTION("""COMPUTED_VALUE"""),27.01)</f>
        <v>27.01</v>
      </c>
    </row>
    <row r="262" spans="1:2">
      <c r="A262" s="3">
        <f ca="1">IFERROR(__xludf.DUMMYFUNCTION("""COMPUTED_VALUE"""),42103.6666666666)</f>
        <v>42103.666666666599</v>
      </c>
      <c r="B262" s="1">
        <f ca="1">IFERROR(__xludf.DUMMYFUNCTION("""COMPUTED_VALUE"""),26.96)</f>
        <v>26.96</v>
      </c>
    </row>
    <row r="263" spans="1:2">
      <c r="A263" s="3">
        <f ca="1">IFERROR(__xludf.DUMMYFUNCTION("""COMPUTED_VALUE"""),42104.6666666666)</f>
        <v>42104.666666666599</v>
      </c>
      <c r="B263" s="1">
        <f ca="1">IFERROR(__xludf.DUMMYFUNCTION("""COMPUTED_VALUE"""),26.93)</f>
        <v>26.93</v>
      </c>
    </row>
    <row r="264" spans="1:2">
      <c r="A264" s="3">
        <f ca="1">IFERROR(__xludf.DUMMYFUNCTION("""COMPUTED_VALUE"""),42107.6666666666)</f>
        <v>42107.666666666599</v>
      </c>
      <c r="B264" s="1">
        <f ca="1">IFERROR(__xludf.DUMMYFUNCTION("""COMPUTED_VALUE"""),26.88)</f>
        <v>26.88</v>
      </c>
    </row>
    <row r="265" spans="1:2">
      <c r="A265" s="3">
        <f ca="1">IFERROR(__xludf.DUMMYFUNCTION("""COMPUTED_VALUE"""),42108.6666666666)</f>
        <v>42108.666666666599</v>
      </c>
      <c r="B265" s="1">
        <f ca="1">IFERROR(__xludf.DUMMYFUNCTION("""COMPUTED_VALUE"""),26.45)</f>
        <v>26.45</v>
      </c>
    </row>
    <row r="266" spans="1:2">
      <c r="A266" s="3">
        <f ca="1">IFERROR(__xludf.DUMMYFUNCTION("""COMPUTED_VALUE"""),42109.6666666666)</f>
        <v>42109.666666666599</v>
      </c>
      <c r="B266" s="1">
        <f ca="1">IFERROR(__xludf.DUMMYFUNCTION("""COMPUTED_VALUE"""),26.55)</f>
        <v>26.55</v>
      </c>
    </row>
    <row r="267" spans="1:2">
      <c r="A267" s="3">
        <f ca="1">IFERROR(__xludf.DUMMYFUNCTION("""COMPUTED_VALUE"""),42110.6666666666)</f>
        <v>42110.666666666599</v>
      </c>
      <c r="B267" s="1">
        <f ca="1">IFERROR(__xludf.DUMMYFUNCTION("""COMPUTED_VALUE"""),26.62)</f>
        <v>26.62</v>
      </c>
    </row>
    <row r="268" spans="1:2">
      <c r="A268" s="3">
        <f ca="1">IFERROR(__xludf.DUMMYFUNCTION("""COMPUTED_VALUE"""),42111.6666666666)</f>
        <v>42111.666666666599</v>
      </c>
      <c r="B268" s="1">
        <f ca="1">IFERROR(__xludf.DUMMYFUNCTION("""COMPUTED_VALUE"""),26.13)</f>
        <v>26.13</v>
      </c>
    </row>
    <row r="269" spans="1:2">
      <c r="A269" s="3">
        <f ca="1">IFERROR(__xludf.DUMMYFUNCTION("""COMPUTED_VALUE"""),42114.6666666666)</f>
        <v>42114.666666666599</v>
      </c>
      <c r="B269" s="1">
        <f ca="1">IFERROR(__xludf.DUMMYFUNCTION("""COMPUTED_VALUE"""),26.7)</f>
        <v>26.7</v>
      </c>
    </row>
    <row r="270" spans="1:2">
      <c r="A270" s="3">
        <f ca="1">IFERROR(__xludf.DUMMYFUNCTION("""COMPUTED_VALUE"""),42115.6666666666)</f>
        <v>42115.666666666599</v>
      </c>
      <c r="B270" s="1">
        <f ca="1">IFERROR(__xludf.DUMMYFUNCTION("""COMPUTED_VALUE"""),26.63)</f>
        <v>26.63</v>
      </c>
    </row>
    <row r="271" spans="1:2">
      <c r="A271" s="3">
        <f ca="1">IFERROR(__xludf.DUMMYFUNCTION("""COMPUTED_VALUE"""),42116.6666666666)</f>
        <v>42116.666666666599</v>
      </c>
      <c r="B271" s="1">
        <f ca="1">IFERROR(__xludf.DUMMYFUNCTION("""COMPUTED_VALUE"""),26.89)</f>
        <v>26.89</v>
      </c>
    </row>
    <row r="272" spans="1:2">
      <c r="A272" s="3">
        <f ca="1">IFERROR(__xludf.DUMMYFUNCTION("""COMPUTED_VALUE"""),42117.6666666666)</f>
        <v>42117.666666666599</v>
      </c>
      <c r="B272" s="1">
        <f ca="1">IFERROR(__xludf.DUMMYFUNCTION("""COMPUTED_VALUE"""),27.28)</f>
        <v>27.28</v>
      </c>
    </row>
    <row r="273" spans="1:2">
      <c r="A273" s="3">
        <f ca="1">IFERROR(__xludf.DUMMYFUNCTION("""COMPUTED_VALUE"""),42118.6666666666)</f>
        <v>42118.666666666599</v>
      </c>
      <c r="B273" s="1">
        <f ca="1">IFERROR(__xludf.DUMMYFUNCTION("""COMPUTED_VALUE"""),28.18)</f>
        <v>28.18</v>
      </c>
    </row>
    <row r="274" spans="1:2">
      <c r="A274" s="3">
        <f ca="1">IFERROR(__xludf.DUMMYFUNCTION("""COMPUTED_VALUE"""),42121.6666666666)</f>
        <v>42121.666666666599</v>
      </c>
      <c r="B274" s="1">
        <f ca="1">IFERROR(__xludf.DUMMYFUNCTION("""COMPUTED_VALUE"""),27.77)</f>
        <v>27.77</v>
      </c>
    </row>
    <row r="275" spans="1:2">
      <c r="A275" s="3">
        <f ca="1">IFERROR(__xludf.DUMMYFUNCTION("""COMPUTED_VALUE"""),42122.6666666666)</f>
        <v>42122.666666666599</v>
      </c>
      <c r="B275" s="1">
        <f ca="1">IFERROR(__xludf.DUMMYFUNCTION("""COMPUTED_VALUE"""),27.68)</f>
        <v>27.68</v>
      </c>
    </row>
    <row r="276" spans="1:2">
      <c r="A276" s="3">
        <f ca="1">IFERROR(__xludf.DUMMYFUNCTION("""COMPUTED_VALUE"""),42123.6666666666)</f>
        <v>42123.666666666599</v>
      </c>
      <c r="B276" s="1">
        <f ca="1">IFERROR(__xludf.DUMMYFUNCTION("""COMPUTED_VALUE"""),27.45)</f>
        <v>27.45</v>
      </c>
    </row>
    <row r="277" spans="1:2">
      <c r="A277" s="3">
        <f ca="1">IFERROR(__xludf.DUMMYFUNCTION("""COMPUTED_VALUE"""),42124.6666666666)</f>
        <v>42124.666666666599</v>
      </c>
      <c r="B277" s="1">
        <f ca="1">IFERROR(__xludf.DUMMYFUNCTION("""COMPUTED_VALUE"""),26.87)</f>
        <v>26.87</v>
      </c>
    </row>
    <row r="278" spans="1:2">
      <c r="A278" s="3">
        <f ca="1">IFERROR(__xludf.DUMMYFUNCTION("""COMPUTED_VALUE"""),42125.6666666666)</f>
        <v>42125.666666666599</v>
      </c>
      <c r="B278" s="1">
        <f ca="1">IFERROR(__xludf.DUMMYFUNCTION("""COMPUTED_VALUE"""),26.9)</f>
        <v>26.9</v>
      </c>
    </row>
    <row r="279" spans="1:2">
      <c r="A279" s="3">
        <f ca="1">IFERROR(__xludf.DUMMYFUNCTION("""COMPUTED_VALUE"""),42128.6666666666)</f>
        <v>42128.666666666599</v>
      </c>
      <c r="B279" s="1">
        <f ca="1">IFERROR(__xludf.DUMMYFUNCTION("""COMPUTED_VALUE"""),27.04)</f>
        <v>27.04</v>
      </c>
    </row>
    <row r="280" spans="1:2">
      <c r="A280" s="3">
        <f ca="1">IFERROR(__xludf.DUMMYFUNCTION("""COMPUTED_VALUE"""),42129.6666666666)</f>
        <v>42129.666666666599</v>
      </c>
      <c r="B280" s="1">
        <f ca="1">IFERROR(__xludf.DUMMYFUNCTION("""COMPUTED_VALUE"""),26.54)</f>
        <v>26.54</v>
      </c>
    </row>
    <row r="281" spans="1:2">
      <c r="A281" s="3">
        <f ca="1">IFERROR(__xludf.DUMMYFUNCTION("""COMPUTED_VALUE"""),42130.6666666666)</f>
        <v>42130.666666666599</v>
      </c>
      <c r="B281" s="1">
        <f ca="1">IFERROR(__xludf.DUMMYFUNCTION("""COMPUTED_VALUE"""),26.21)</f>
        <v>26.21</v>
      </c>
    </row>
    <row r="282" spans="1:2">
      <c r="A282" s="3">
        <f ca="1">IFERROR(__xludf.DUMMYFUNCTION("""COMPUTED_VALUE"""),42131.6666666666)</f>
        <v>42131.666666666599</v>
      </c>
      <c r="B282" s="1">
        <f ca="1">IFERROR(__xludf.DUMMYFUNCTION("""COMPUTED_VALUE"""),26.54)</f>
        <v>26.54</v>
      </c>
    </row>
    <row r="283" spans="1:2">
      <c r="A283" s="3">
        <f ca="1">IFERROR(__xludf.DUMMYFUNCTION("""COMPUTED_VALUE"""),42132.6666666666)</f>
        <v>42132.666666666599</v>
      </c>
      <c r="B283" s="1">
        <f ca="1">IFERROR(__xludf.DUMMYFUNCTION("""COMPUTED_VALUE"""),26.91)</f>
        <v>26.91</v>
      </c>
    </row>
    <row r="284" spans="1:2">
      <c r="A284" s="3">
        <f ca="1">IFERROR(__xludf.DUMMYFUNCTION("""COMPUTED_VALUE"""),42135.6666666666)</f>
        <v>42135.666666666599</v>
      </c>
      <c r="B284" s="1">
        <f ca="1">IFERROR(__xludf.DUMMYFUNCTION("""COMPUTED_VALUE"""),26.79)</f>
        <v>26.79</v>
      </c>
    </row>
    <row r="285" spans="1:2">
      <c r="A285" s="3">
        <f ca="1">IFERROR(__xludf.DUMMYFUNCTION("""COMPUTED_VALUE"""),42136.6666666666)</f>
        <v>42136.666666666599</v>
      </c>
      <c r="B285" s="1">
        <f ca="1">IFERROR(__xludf.DUMMYFUNCTION("""COMPUTED_VALUE"""),26.45)</f>
        <v>26.45</v>
      </c>
    </row>
    <row r="286" spans="1:2">
      <c r="A286" s="3">
        <f ca="1">IFERROR(__xludf.DUMMYFUNCTION("""COMPUTED_VALUE"""),42137.6666666666)</f>
        <v>42137.666666666599</v>
      </c>
      <c r="B286" s="1">
        <f ca="1">IFERROR(__xludf.DUMMYFUNCTION("""COMPUTED_VALUE"""),26.48)</f>
        <v>26.48</v>
      </c>
    </row>
    <row r="287" spans="1:2">
      <c r="A287" s="3">
        <f ca="1">IFERROR(__xludf.DUMMYFUNCTION("""COMPUTED_VALUE"""),42138.6666666666)</f>
        <v>42138.666666666599</v>
      </c>
      <c r="B287" s="1">
        <f ca="1">IFERROR(__xludf.DUMMYFUNCTION("""COMPUTED_VALUE"""),26.92)</f>
        <v>26.92</v>
      </c>
    </row>
    <row r="288" spans="1:2">
      <c r="A288" s="3">
        <f ca="1">IFERROR(__xludf.DUMMYFUNCTION("""COMPUTED_VALUE"""),42139.6666666666)</f>
        <v>42139.666666666599</v>
      </c>
      <c r="B288" s="1">
        <f ca="1">IFERROR(__xludf.DUMMYFUNCTION("""COMPUTED_VALUE"""),26.69)</f>
        <v>26.69</v>
      </c>
    </row>
    <row r="289" spans="1:2">
      <c r="A289" s="3">
        <f ca="1">IFERROR(__xludf.DUMMYFUNCTION("""COMPUTED_VALUE"""),42142.6666666666)</f>
        <v>42142.666666666599</v>
      </c>
      <c r="B289" s="1">
        <f ca="1">IFERROR(__xludf.DUMMYFUNCTION("""COMPUTED_VALUE"""),26.62)</f>
        <v>26.62</v>
      </c>
    </row>
    <row r="290" spans="1:2">
      <c r="A290" s="3">
        <f ca="1">IFERROR(__xludf.DUMMYFUNCTION("""COMPUTED_VALUE"""),42143.6666666666)</f>
        <v>42143.666666666599</v>
      </c>
      <c r="B290" s="1">
        <f ca="1">IFERROR(__xludf.DUMMYFUNCTION("""COMPUTED_VALUE"""),26.87)</f>
        <v>26.87</v>
      </c>
    </row>
    <row r="291" spans="1:2">
      <c r="A291" s="3">
        <f ca="1">IFERROR(__xludf.DUMMYFUNCTION("""COMPUTED_VALUE"""),42144.6666666666)</f>
        <v>42144.666666666599</v>
      </c>
      <c r="B291" s="1">
        <f ca="1">IFERROR(__xludf.DUMMYFUNCTION("""COMPUTED_VALUE"""),26.96)</f>
        <v>26.96</v>
      </c>
    </row>
    <row r="292" spans="1:2">
      <c r="A292" s="3">
        <f ca="1">IFERROR(__xludf.DUMMYFUNCTION("""COMPUTED_VALUE"""),42145.6666666666)</f>
        <v>42145.666666666599</v>
      </c>
      <c r="B292" s="1">
        <f ca="1">IFERROR(__xludf.DUMMYFUNCTION("""COMPUTED_VALUE"""),27.13)</f>
        <v>27.13</v>
      </c>
    </row>
    <row r="293" spans="1:2">
      <c r="A293" s="3">
        <f ca="1">IFERROR(__xludf.DUMMYFUNCTION("""COMPUTED_VALUE"""),42146.6666666666)</f>
        <v>42146.666666666599</v>
      </c>
      <c r="B293" s="1">
        <f ca="1">IFERROR(__xludf.DUMMYFUNCTION("""COMPUTED_VALUE"""),27.01)</f>
        <v>27.01</v>
      </c>
    </row>
    <row r="294" spans="1:2">
      <c r="A294" s="3">
        <f ca="1">IFERROR(__xludf.DUMMYFUNCTION("""COMPUTED_VALUE"""),42150.6666666666)</f>
        <v>42150.666666666599</v>
      </c>
      <c r="B294" s="1">
        <f ca="1">IFERROR(__xludf.DUMMYFUNCTION("""COMPUTED_VALUE"""),26.62)</f>
        <v>26.62</v>
      </c>
    </row>
    <row r="295" spans="1:2">
      <c r="A295" s="3">
        <f ca="1">IFERROR(__xludf.DUMMYFUNCTION("""COMPUTED_VALUE"""),42151.6666666666)</f>
        <v>42151.666666666599</v>
      </c>
      <c r="B295" s="1">
        <f ca="1">IFERROR(__xludf.DUMMYFUNCTION("""COMPUTED_VALUE"""),26.99)</f>
        <v>26.99</v>
      </c>
    </row>
    <row r="296" spans="1:2">
      <c r="A296" s="3">
        <f ca="1">IFERROR(__xludf.DUMMYFUNCTION("""COMPUTED_VALUE"""),42152.6666666666)</f>
        <v>42152.666666666599</v>
      </c>
      <c r="B296" s="1">
        <f ca="1">IFERROR(__xludf.DUMMYFUNCTION("""COMPUTED_VALUE"""),26.99)</f>
        <v>26.99</v>
      </c>
    </row>
    <row r="297" spans="1:2">
      <c r="A297" s="3">
        <f ca="1">IFERROR(__xludf.DUMMYFUNCTION("""COMPUTED_VALUE"""),42153.6666666666)</f>
        <v>42153.666666666599</v>
      </c>
      <c r="B297" s="1">
        <f ca="1">IFERROR(__xludf.DUMMYFUNCTION("""COMPUTED_VALUE"""),26.61)</f>
        <v>26.61</v>
      </c>
    </row>
    <row r="298" spans="1:2">
      <c r="A298" s="3">
        <f ca="1">IFERROR(__xludf.DUMMYFUNCTION("""COMPUTED_VALUE"""),42156.6666666666)</f>
        <v>42156.666666666599</v>
      </c>
      <c r="B298" s="1">
        <f ca="1">IFERROR(__xludf.DUMMYFUNCTION("""COMPUTED_VALUE"""),26.7)</f>
        <v>26.7</v>
      </c>
    </row>
    <row r="299" spans="1:2">
      <c r="A299" s="3">
        <f ca="1">IFERROR(__xludf.DUMMYFUNCTION("""COMPUTED_VALUE"""),42157.6666666666)</f>
        <v>42157.666666666599</v>
      </c>
      <c r="B299" s="1">
        <f ca="1">IFERROR(__xludf.DUMMYFUNCTION("""COMPUTED_VALUE"""),26.96)</f>
        <v>26.96</v>
      </c>
    </row>
    <row r="300" spans="1:2">
      <c r="A300" s="3">
        <f ca="1">IFERROR(__xludf.DUMMYFUNCTION("""COMPUTED_VALUE"""),42158.6666666666)</f>
        <v>42158.666666666599</v>
      </c>
      <c r="B300" s="1">
        <f ca="1">IFERROR(__xludf.DUMMYFUNCTION("""COMPUTED_VALUE"""),27.02)</f>
        <v>27.02</v>
      </c>
    </row>
    <row r="301" spans="1:2">
      <c r="A301" s="3">
        <f ca="1">IFERROR(__xludf.DUMMYFUNCTION("""COMPUTED_VALUE"""),42159.6666666666)</f>
        <v>42159.666666666599</v>
      </c>
      <c r="B301" s="1">
        <f ca="1">IFERROR(__xludf.DUMMYFUNCTION("""COMPUTED_VALUE"""),26.84)</f>
        <v>26.84</v>
      </c>
    </row>
    <row r="302" spans="1:2">
      <c r="A302" s="3">
        <f ca="1">IFERROR(__xludf.DUMMYFUNCTION("""COMPUTED_VALUE"""),42160.6666666666)</f>
        <v>42160.666666666599</v>
      </c>
      <c r="B302" s="1">
        <f ca="1">IFERROR(__xludf.DUMMYFUNCTION("""COMPUTED_VALUE"""),26.67)</f>
        <v>26.67</v>
      </c>
    </row>
    <row r="303" spans="1:2">
      <c r="A303" s="3">
        <f ca="1">IFERROR(__xludf.DUMMYFUNCTION("""COMPUTED_VALUE"""),42163.6666666666)</f>
        <v>42163.666666666599</v>
      </c>
      <c r="B303" s="1">
        <f ca="1">IFERROR(__xludf.DUMMYFUNCTION("""COMPUTED_VALUE"""),26.34)</f>
        <v>26.34</v>
      </c>
    </row>
    <row r="304" spans="1:2">
      <c r="A304" s="3">
        <f ca="1">IFERROR(__xludf.DUMMYFUNCTION("""COMPUTED_VALUE"""),42164.6666666666)</f>
        <v>42164.666666666599</v>
      </c>
      <c r="B304" s="1">
        <f ca="1">IFERROR(__xludf.DUMMYFUNCTION("""COMPUTED_VALUE"""),26.33)</f>
        <v>26.33</v>
      </c>
    </row>
    <row r="305" spans="1:2">
      <c r="A305" s="3">
        <f ca="1">IFERROR(__xludf.DUMMYFUNCTION("""COMPUTED_VALUE"""),42165.6666666666)</f>
        <v>42165.666666666599</v>
      </c>
      <c r="B305" s="1">
        <f ca="1">IFERROR(__xludf.DUMMYFUNCTION("""COMPUTED_VALUE"""),26.83)</f>
        <v>26.83</v>
      </c>
    </row>
    <row r="306" spans="1:2">
      <c r="A306" s="3">
        <f ca="1">IFERROR(__xludf.DUMMYFUNCTION("""COMPUTED_VALUE"""),42166.6666666666)</f>
        <v>42166.666666666599</v>
      </c>
      <c r="B306" s="1">
        <f ca="1">IFERROR(__xludf.DUMMYFUNCTION("""COMPUTED_VALUE"""),26.73)</f>
        <v>26.73</v>
      </c>
    </row>
    <row r="307" spans="1:2">
      <c r="A307" s="3">
        <f ca="1">IFERROR(__xludf.DUMMYFUNCTION("""COMPUTED_VALUE"""),42167.6666666666)</f>
        <v>42167.666666666599</v>
      </c>
      <c r="B307" s="1">
        <f ca="1">IFERROR(__xludf.DUMMYFUNCTION("""COMPUTED_VALUE"""),26.62)</f>
        <v>26.62</v>
      </c>
    </row>
    <row r="308" spans="1:2">
      <c r="A308" s="3">
        <f ca="1">IFERROR(__xludf.DUMMYFUNCTION("""COMPUTED_VALUE"""),42170.6666666666)</f>
        <v>42170.666666666599</v>
      </c>
      <c r="B308" s="1">
        <f ca="1">IFERROR(__xludf.DUMMYFUNCTION("""COMPUTED_VALUE"""),26.36)</f>
        <v>26.36</v>
      </c>
    </row>
    <row r="309" spans="1:2">
      <c r="A309" s="3">
        <f ca="1">IFERROR(__xludf.DUMMYFUNCTION("""COMPUTED_VALUE"""),42171.6666666666)</f>
        <v>42171.666666666599</v>
      </c>
      <c r="B309" s="1">
        <f ca="1">IFERROR(__xludf.DUMMYFUNCTION("""COMPUTED_VALUE"""),26.41)</f>
        <v>26.41</v>
      </c>
    </row>
    <row r="310" spans="1:2">
      <c r="A310" s="3">
        <f ca="1">IFERROR(__xludf.DUMMYFUNCTION("""COMPUTED_VALUE"""),42172.6666666666)</f>
        <v>42172.666666666599</v>
      </c>
      <c r="B310" s="1">
        <f ca="1">IFERROR(__xludf.DUMMYFUNCTION("""COMPUTED_VALUE"""),26.46)</f>
        <v>26.46</v>
      </c>
    </row>
    <row r="311" spans="1:2">
      <c r="A311" s="3">
        <f ca="1">IFERROR(__xludf.DUMMYFUNCTION("""COMPUTED_VALUE"""),42173.6666666666)</f>
        <v>42173.666666666599</v>
      </c>
      <c r="B311" s="1">
        <f ca="1">IFERROR(__xludf.DUMMYFUNCTION("""COMPUTED_VALUE"""),26.84)</f>
        <v>26.84</v>
      </c>
    </row>
    <row r="312" spans="1:2">
      <c r="A312" s="3">
        <f ca="1">IFERROR(__xludf.DUMMYFUNCTION("""COMPUTED_VALUE"""),42174.6666666666)</f>
        <v>42174.666666666599</v>
      </c>
      <c r="B312" s="1">
        <f ca="1">IFERROR(__xludf.DUMMYFUNCTION("""COMPUTED_VALUE"""),26.83)</f>
        <v>26.83</v>
      </c>
    </row>
    <row r="313" spans="1:2">
      <c r="A313" s="3">
        <f ca="1">IFERROR(__xludf.DUMMYFUNCTION("""COMPUTED_VALUE"""),42177.6666666666)</f>
        <v>42177.666666666599</v>
      </c>
      <c r="B313" s="1">
        <f ca="1">IFERROR(__xludf.DUMMYFUNCTION("""COMPUTED_VALUE"""),26.91)</f>
        <v>26.91</v>
      </c>
    </row>
    <row r="314" spans="1:2">
      <c r="A314" s="3">
        <f ca="1">IFERROR(__xludf.DUMMYFUNCTION("""COMPUTED_VALUE"""),42178.6666666666)</f>
        <v>42178.666666666599</v>
      </c>
      <c r="B314" s="1">
        <f ca="1">IFERROR(__xludf.DUMMYFUNCTION("""COMPUTED_VALUE"""),27.02)</f>
        <v>27.02</v>
      </c>
    </row>
    <row r="315" spans="1:2">
      <c r="A315" s="3">
        <f ca="1">IFERROR(__xludf.DUMMYFUNCTION("""COMPUTED_VALUE"""),42179.6666666666)</f>
        <v>42179.666666666599</v>
      </c>
      <c r="B315" s="1">
        <f ca="1">IFERROR(__xludf.DUMMYFUNCTION("""COMPUTED_VALUE"""),26.89)</f>
        <v>26.89</v>
      </c>
    </row>
    <row r="316" spans="1:2">
      <c r="A316" s="3">
        <f ca="1">IFERROR(__xludf.DUMMYFUNCTION("""COMPUTED_VALUE"""),42180.6666666666)</f>
        <v>42180.666666666599</v>
      </c>
      <c r="B316" s="1">
        <f ca="1">IFERROR(__xludf.DUMMYFUNCTION("""COMPUTED_VALUE"""),26.76)</f>
        <v>26.76</v>
      </c>
    </row>
    <row r="317" spans="1:2">
      <c r="A317" s="3">
        <f ca="1">IFERROR(__xludf.DUMMYFUNCTION("""COMPUTED_VALUE"""),42181.6666666666)</f>
        <v>42181.666666666599</v>
      </c>
      <c r="B317" s="1">
        <f ca="1">IFERROR(__xludf.DUMMYFUNCTION("""COMPUTED_VALUE"""),26.58)</f>
        <v>26.58</v>
      </c>
    </row>
    <row r="318" spans="1:2">
      <c r="A318" s="3">
        <f ca="1">IFERROR(__xludf.DUMMYFUNCTION("""COMPUTED_VALUE"""),42184.6666666666)</f>
        <v>42184.666666666599</v>
      </c>
      <c r="B318" s="1">
        <f ca="1">IFERROR(__xludf.DUMMYFUNCTION("""COMPUTED_VALUE"""),26.08)</f>
        <v>26.08</v>
      </c>
    </row>
    <row r="319" spans="1:2">
      <c r="A319" s="3">
        <f ca="1">IFERROR(__xludf.DUMMYFUNCTION("""COMPUTED_VALUE"""),42185.6666666666)</f>
        <v>42185.666666666599</v>
      </c>
      <c r="B319" s="1">
        <f ca="1">IFERROR(__xludf.DUMMYFUNCTION("""COMPUTED_VALUE"""),26.03)</f>
        <v>26.03</v>
      </c>
    </row>
    <row r="320" spans="1:2">
      <c r="A320" s="3">
        <f ca="1">IFERROR(__xludf.DUMMYFUNCTION("""COMPUTED_VALUE"""),42186.6666666666)</f>
        <v>42186.666666666599</v>
      </c>
      <c r="B320" s="1">
        <f ca="1">IFERROR(__xludf.DUMMYFUNCTION("""COMPUTED_VALUE"""),26.09)</f>
        <v>26.09</v>
      </c>
    </row>
    <row r="321" spans="1:2">
      <c r="A321" s="3">
        <f ca="1">IFERROR(__xludf.DUMMYFUNCTION("""COMPUTED_VALUE"""),42187.6666666666)</f>
        <v>42187.666666666599</v>
      </c>
      <c r="B321" s="1">
        <f ca="1">IFERROR(__xludf.DUMMYFUNCTION("""COMPUTED_VALUE"""),26.17)</f>
        <v>26.17</v>
      </c>
    </row>
    <row r="322" spans="1:2">
      <c r="A322" s="3">
        <f ca="1">IFERROR(__xludf.DUMMYFUNCTION("""COMPUTED_VALUE"""),42191.6666666666)</f>
        <v>42191.666666666599</v>
      </c>
      <c r="B322" s="1">
        <f ca="1">IFERROR(__xludf.DUMMYFUNCTION("""COMPUTED_VALUE"""),26.14)</f>
        <v>26.14</v>
      </c>
    </row>
    <row r="323" spans="1:2">
      <c r="A323" s="3">
        <f ca="1">IFERROR(__xludf.DUMMYFUNCTION("""COMPUTED_VALUE"""),42192.6666666666)</f>
        <v>42192.666666666599</v>
      </c>
      <c r="B323" s="1">
        <f ca="1">IFERROR(__xludf.DUMMYFUNCTION("""COMPUTED_VALUE"""),26.25)</f>
        <v>26.25</v>
      </c>
    </row>
    <row r="324" spans="1:2">
      <c r="A324" s="3">
        <f ca="1">IFERROR(__xludf.DUMMYFUNCTION("""COMPUTED_VALUE"""),42193.6666666666)</f>
        <v>42193.666666666599</v>
      </c>
      <c r="B324" s="1">
        <f ca="1">IFERROR(__xludf.DUMMYFUNCTION("""COMPUTED_VALUE"""),25.84)</f>
        <v>25.84</v>
      </c>
    </row>
    <row r="325" spans="1:2">
      <c r="A325" s="3">
        <f ca="1">IFERROR(__xludf.DUMMYFUNCTION("""COMPUTED_VALUE"""),42194.6666666666)</f>
        <v>42194.666666666599</v>
      </c>
      <c r="B325" s="1">
        <f ca="1">IFERROR(__xludf.DUMMYFUNCTION("""COMPUTED_VALUE"""),26.03)</f>
        <v>26.03</v>
      </c>
    </row>
    <row r="326" spans="1:2">
      <c r="A326" s="3">
        <f ca="1">IFERROR(__xludf.DUMMYFUNCTION("""COMPUTED_VALUE"""),42195.6666666666)</f>
        <v>42195.666666666599</v>
      </c>
      <c r="B326" s="1">
        <f ca="1">IFERROR(__xludf.DUMMYFUNCTION("""COMPUTED_VALUE"""),26.51)</f>
        <v>26.51</v>
      </c>
    </row>
    <row r="327" spans="1:2">
      <c r="A327" s="3">
        <f ca="1">IFERROR(__xludf.DUMMYFUNCTION("""COMPUTED_VALUE"""),42198.6666666666)</f>
        <v>42198.666666666599</v>
      </c>
      <c r="B327" s="1">
        <f ca="1">IFERROR(__xludf.DUMMYFUNCTION("""COMPUTED_VALUE"""),27.33)</f>
        <v>27.33</v>
      </c>
    </row>
    <row r="328" spans="1:2">
      <c r="A328" s="3">
        <f ca="1">IFERROR(__xludf.DUMMYFUNCTION("""COMPUTED_VALUE"""),42199.6666666666)</f>
        <v>42199.666666666599</v>
      </c>
      <c r="B328" s="1">
        <f ca="1">IFERROR(__xludf.DUMMYFUNCTION("""COMPUTED_VALUE"""),28.06)</f>
        <v>28.06</v>
      </c>
    </row>
    <row r="329" spans="1:2">
      <c r="A329" s="3">
        <f ca="1">IFERROR(__xludf.DUMMYFUNCTION("""COMPUTED_VALUE"""),42200.6666666666)</f>
        <v>42200.666666666599</v>
      </c>
      <c r="B329" s="1">
        <f ca="1">IFERROR(__xludf.DUMMYFUNCTION("""COMPUTED_VALUE"""),28.01)</f>
        <v>28.01</v>
      </c>
    </row>
    <row r="330" spans="1:2">
      <c r="A330" s="3">
        <f ca="1">IFERROR(__xludf.DUMMYFUNCTION("""COMPUTED_VALUE"""),42201.6666666666)</f>
        <v>42201.666666666599</v>
      </c>
      <c r="B330" s="1">
        <f ca="1">IFERROR(__xludf.DUMMYFUNCTION("""COMPUTED_VALUE"""),28.99)</f>
        <v>28.99</v>
      </c>
    </row>
    <row r="331" spans="1:2">
      <c r="A331" s="3">
        <f ca="1">IFERROR(__xludf.DUMMYFUNCTION("""COMPUTED_VALUE"""),42202.6666666666)</f>
        <v>42202.666666666599</v>
      </c>
      <c r="B331" s="1">
        <f ca="1">IFERROR(__xludf.DUMMYFUNCTION("""COMPUTED_VALUE"""),33.65)</f>
        <v>33.65</v>
      </c>
    </row>
    <row r="332" spans="1:2">
      <c r="A332" s="3">
        <f ca="1">IFERROR(__xludf.DUMMYFUNCTION("""COMPUTED_VALUE"""),42205.6666666666)</f>
        <v>42205.666666666599</v>
      </c>
      <c r="B332" s="1">
        <f ca="1">IFERROR(__xludf.DUMMYFUNCTION("""COMPUTED_VALUE"""),33.15)</f>
        <v>33.15</v>
      </c>
    </row>
    <row r="333" spans="1:2">
      <c r="A333" s="3">
        <f ca="1">IFERROR(__xludf.DUMMYFUNCTION("""COMPUTED_VALUE"""),42206.6666666666)</f>
        <v>42206.666666666599</v>
      </c>
      <c r="B333" s="1">
        <f ca="1">IFERROR(__xludf.DUMMYFUNCTION("""COMPUTED_VALUE"""),33.12)</f>
        <v>33.119999999999997</v>
      </c>
    </row>
    <row r="334" spans="1:2">
      <c r="A334" s="3">
        <f ca="1">IFERROR(__xludf.DUMMYFUNCTION("""COMPUTED_VALUE"""),42207.6666666666)</f>
        <v>42207.666666666599</v>
      </c>
      <c r="B334" s="1">
        <f ca="1">IFERROR(__xludf.DUMMYFUNCTION("""COMPUTED_VALUE"""),33.1)</f>
        <v>33.1</v>
      </c>
    </row>
    <row r="335" spans="1:2">
      <c r="A335" s="3">
        <f ca="1">IFERROR(__xludf.DUMMYFUNCTION("""COMPUTED_VALUE"""),42208.6666666666)</f>
        <v>42208.666666666599</v>
      </c>
      <c r="B335" s="1">
        <f ca="1">IFERROR(__xludf.DUMMYFUNCTION("""COMPUTED_VALUE"""),32.21)</f>
        <v>32.21</v>
      </c>
    </row>
    <row r="336" spans="1:2">
      <c r="A336" s="3">
        <f ca="1">IFERROR(__xludf.DUMMYFUNCTION("""COMPUTED_VALUE"""),42209.6666666666)</f>
        <v>42209.666666666599</v>
      </c>
      <c r="B336" s="1">
        <f ca="1">IFERROR(__xludf.DUMMYFUNCTION("""COMPUTED_VALUE"""),31.18)</f>
        <v>31.18</v>
      </c>
    </row>
    <row r="337" spans="1:2">
      <c r="A337" s="3">
        <f ca="1">IFERROR(__xludf.DUMMYFUNCTION("""COMPUTED_VALUE"""),42212.6666666666)</f>
        <v>42212.666666666599</v>
      </c>
      <c r="B337" s="1">
        <f ca="1">IFERROR(__xludf.DUMMYFUNCTION("""COMPUTED_VALUE"""),31.36)</f>
        <v>31.36</v>
      </c>
    </row>
    <row r="338" spans="1:2">
      <c r="A338" s="3">
        <f ca="1">IFERROR(__xludf.DUMMYFUNCTION("""COMPUTED_VALUE"""),42213.6666666666)</f>
        <v>42213.666666666599</v>
      </c>
      <c r="B338" s="1">
        <f ca="1">IFERROR(__xludf.DUMMYFUNCTION("""COMPUTED_VALUE"""),31.4)</f>
        <v>31.4</v>
      </c>
    </row>
    <row r="339" spans="1:2">
      <c r="A339" s="3">
        <f ca="1">IFERROR(__xludf.DUMMYFUNCTION("""COMPUTED_VALUE"""),42214.6666666666)</f>
        <v>42214.666666666599</v>
      </c>
      <c r="B339" s="1">
        <f ca="1">IFERROR(__xludf.DUMMYFUNCTION("""COMPUTED_VALUE"""),31.6)</f>
        <v>31.6</v>
      </c>
    </row>
    <row r="340" spans="1:2">
      <c r="A340" s="3">
        <f ca="1">IFERROR(__xludf.DUMMYFUNCTION("""COMPUTED_VALUE"""),42215.6666666666)</f>
        <v>42215.666666666599</v>
      </c>
      <c r="B340" s="1">
        <f ca="1">IFERROR(__xludf.DUMMYFUNCTION("""COMPUTED_VALUE"""),31.63)</f>
        <v>31.63</v>
      </c>
    </row>
    <row r="341" spans="1:2">
      <c r="A341" s="3">
        <f ca="1">IFERROR(__xludf.DUMMYFUNCTION("""COMPUTED_VALUE"""),42216.6666666666)</f>
        <v>42216.666666666599</v>
      </c>
      <c r="B341" s="1">
        <f ca="1">IFERROR(__xludf.DUMMYFUNCTION("""COMPUTED_VALUE"""),31.28)</f>
        <v>31.28</v>
      </c>
    </row>
    <row r="342" spans="1:2">
      <c r="A342" s="3">
        <f ca="1">IFERROR(__xludf.DUMMYFUNCTION("""COMPUTED_VALUE"""),42219.6666666666)</f>
        <v>42219.666666666599</v>
      </c>
      <c r="B342" s="1">
        <f ca="1">IFERROR(__xludf.DUMMYFUNCTION("""COMPUTED_VALUE"""),31.56)</f>
        <v>31.56</v>
      </c>
    </row>
    <row r="343" spans="1:2">
      <c r="A343" s="3">
        <f ca="1">IFERROR(__xludf.DUMMYFUNCTION("""COMPUTED_VALUE"""),42220.6666666666)</f>
        <v>42220.666666666599</v>
      </c>
      <c r="B343" s="1">
        <f ca="1">IFERROR(__xludf.DUMMYFUNCTION("""COMPUTED_VALUE"""),31.46)</f>
        <v>31.46</v>
      </c>
    </row>
    <row r="344" spans="1:2">
      <c r="A344" s="3">
        <f ca="1">IFERROR(__xludf.DUMMYFUNCTION("""COMPUTED_VALUE"""),42221.6666666666)</f>
        <v>42221.666666666599</v>
      </c>
      <c r="B344" s="1">
        <f ca="1">IFERROR(__xludf.DUMMYFUNCTION("""COMPUTED_VALUE"""),32.19)</f>
        <v>32.19</v>
      </c>
    </row>
    <row r="345" spans="1:2">
      <c r="A345" s="3">
        <f ca="1">IFERROR(__xludf.DUMMYFUNCTION("""COMPUTED_VALUE"""),42222.6666666666)</f>
        <v>42222.666666666599</v>
      </c>
      <c r="B345" s="1">
        <f ca="1">IFERROR(__xludf.DUMMYFUNCTION("""COMPUTED_VALUE"""),32.13)</f>
        <v>32.130000000000003</v>
      </c>
    </row>
    <row r="346" spans="1:2">
      <c r="A346" s="3">
        <f ca="1">IFERROR(__xludf.DUMMYFUNCTION("""COMPUTED_VALUE"""),42223.6666666666)</f>
        <v>42223.666666666599</v>
      </c>
      <c r="B346" s="1">
        <f ca="1">IFERROR(__xludf.DUMMYFUNCTION("""COMPUTED_VALUE"""),31.77)</f>
        <v>31.77</v>
      </c>
    </row>
    <row r="347" spans="1:2">
      <c r="A347" s="3">
        <f ca="1">IFERROR(__xludf.DUMMYFUNCTION("""COMPUTED_VALUE"""),42226.6666666666)</f>
        <v>42226.666666666599</v>
      </c>
      <c r="B347" s="1">
        <f ca="1">IFERROR(__xludf.DUMMYFUNCTION("""COMPUTED_VALUE"""),31.69)</f>
        <v>31.69</v>
      </c>
    </row>
    <row r="348" spans="1:2">
      <c r="A348" s="3">
        <f ca="1">IFERROR(__xludf.DUMMYFUNCTION("""COMPUTED_VALUE"""),42227.6666666666)</f>
        <v>42227.666666666599</v>
      </c>
      <c r="B348" s="1">
        <f ca="1">IFERROR(__xludf.DUMMYFUNCTION("""COMPUTED_VALUE"""),33.04)</f>
        <v>33.04</v>
      </c>
    </row>
    <row r="349" spans="1:2">
      <c r="A349" s="3">
        <f ca="1">IFERROR(__xludf.DUMMYFUNCTION("""COMPUTED_VALUE"""),42228.6666666666)</f>
        <v>42228.666666666599</v>
      </c>
      <c r="B349" s="1">
        <f ca="1">IFERROR(__xludf.DUMMYFUNCTION("""COMPUTED_VALUE"""),32.98)</f>
        <v>32.979999999999997</v>
      </c>
    </row>
    <row r="350" spans="1:2">
      <c r="A350" s="3">
        <f ca="1">IFERROR(__xludf.DUMMYFUNCTION("""COMPUTED_VALUE"""),42229.6666666666)</f>
        <v>42229.666666666599</v>
      </c>
      <c r="B350" s="1">
        <f ca="1">IFERROR(__xludf.DUMMYFUNCTION("""COMPUTED_VALUE"""),32.82)</f>
        <v>32.82</v>
      </c>
    </row>
    <row r="351" spans="1:2">
      <c r="A351" s="3">
        <f ca="1">IFERROR(__xludf.DUMMYFUNCTION("""COMPUTED_VALUE"""),42230.6666666666)</f>
        <v>42230.666666666599</v>
      </c>
      <c r="B351" s="1">
        <f ca="1">IFERROR(__xludf.DUMMYFUNCTION("""COMPUTED_VALUE"""),32.86)</f>
        <v>32.86</v>
      </c>
    </row>
    <row r="352" spans="1:2">
      <c r="A352" s="3">
        <f ca="1">IFERROR(__xludf.DUMMYFUNCTION("""COMPUTED_VALUE"""),42233.6666666666)</f>
        <v>42233.666666666599</v>
      </c>
      <c r="B352" s="1">
        <f ca="1">IFERROR(__xludf.DUMMYFUNCTION("""COMPUTED_VALUE"""),33.04)</f>
        <v>33.04</v>
      </c>
    </row>
    <row r="353" spans="1:2">
      <c r="A353" s="3">
        <f ca="1">IFERROR(__xludf.DUMMYFUNCTION("""COMPUTED_VALUE"""),42234.6666666666)</f>
        <v>42234.666666666599</v>
      </c>
      <c r="B353" s="1">
        <f ca="1">IFERROR(__xludf.DUMMYFUNCTION("""COMPUTED_VALUE"""),32.81)</f>
        <v>32.81</v>
      </c>
    </row>
    <row r="354" spans="1:2">
      <c r="A354" s="3">
        <f ca="1">IFERROR(__xludf.DUMMYFUNCTION("""COMPUTED_VALUE"""),42235.6666666666)</f>
        <v>42235.666666666599</v>
      </c>
      <c r="B354" s="1">
        <f ca="1">IFERROR(__xludf.DUMMYFUNCTION("""COMPUTED_VALUE"""),33.05)</f>
        <v>33.049999999999997</v>
      </c>
    </row>
    <row r="355" spans="1:2">
      <c r="A355" s="3">
        <f ca="1">IFERROR(__xludf.DUMMYFUNCTION("""COMPUTED_VALUE"""),42236.6666666666)</f>
        <v>42236.666666666599</v>
      </c>
      <c r="B355" s="1">
        <f ca="1">IFERROR(__xludf.DUMMYFUNCTION("""COMPUTED_VALUE"""),32.34)</f>
        <v>32.340000000000003</v>
      </c>
    </row>
    <row r="356" spans="1:2">
      <c r="A356" s="3">
        <f ca="1">IFERROR(__xludf.DUMMYFUNCTION("""COMPUTED_VALUE"""),42237.6666666666)</f>
        <v>42237.666666666599</v>
      </c>
      <c r="B356" s="1">
        <f ca="1">IFERROR(__xludf.DUMMYFUNCTION("""COMPUTED_VALUE"""),30.62)</f>
        <v>30.62</v>
      </c>
    </row>
    <row r="357" spans="1:2">
      <c r="A357" s="3">
        <f ca="1">IFERROR(__xludf.DUMMYFUNCTION("""COMPUTED_VALUE"""),42240.6666666666)</f>
        <v>42240.666666666599</v>
      </c>
      <c r="B357" s="1">
        <f ca="1">IFERROR(__xludf.DUMMYFUNCTION("""COMPUTED_VALUE"""),29.48)</f>
        <v>29.48</v>
      </c>
    </row>
    <row r="358" spans="1:2">
      <c r="A358" s="3">
        <f ca="1">IFERROR(__xludf.DUMMYFUNCTION("""COMPUTED_VALUE"""),42241.6666666666)</f>
        <v>42241.666666666599</v>
      </c>
      <c r="B358" s="1">
        <f ca="1">IFERROR(__xludf.DUMMYFUNCTION("""COMPUTED_VALUE"""),29.1)</f>
        <v>29.1</v>
      </c>
    </row>
    <row r="359" spans="1:2">
      <c r="A359" s="3">
        <f ca="1">IFERROR(__xludf.DUMMYFUNCTION("""COMPUTED_VALUE"""),42242.6666666666)</f>
        <v>42242.666666666599</v>
      </c>
      <c r="B359" s="1">
        <f ca="1">IFERROR(__xludf.DUMMYFUNCTION("""COMPUTED_VALUE"""),31.43)</f>
        <v>31.43</v>
      </c>
    </row>
    <row r="360" spans="1:2">
      <c r="A360" s="3">
        <f ca="1">IFERROR(__xludf.DUMMYFUNCTION("""COMPUTED_VALUE"""),42243.6666666666)</f>
        <v>42243.666666666599</v>
      </c>
      <c r="B360" s="1">
        <f ca="1">IFERROR(__xludf.DUMMYFUNCTION("""COMPUTED_VALUE"""),31.88)</f>
        <v>31.88</v>
      </c>
    </row>
    <row r="361" spans="1:2">
      <c r="A361" s="3">
        <f ca="1">IFERROR(__xludf.DUMMYFUNCTION("""COMPUTED_VALUE"""),42244.6666666666)</f>
        <v>42244.666666666599</v>
      </c>
      <c r="B361" s="1">
        <f ca="1">IFERROR(__xludf.DUMMYFUNCTION("""COMPUTED_VALUE"""),31.52)</f>
        <v>31.52</v>
      </c>
    </row>
    <row r="362" spans="1:2">
      <c r="A362" s="3">
        <f ca="1">IFERROR(__xludf.DUMMYFUNCTION("""COMPUTED_VALUE"""),42247.6666666666)</f>
        <v>42247.666666666599</v>
      </c>
      <c r="B362" s="1">
        <f ca="1">IFERROR(__xludf.DUMMYFUNCTION("""COMPUTED_VALUE"""),30.91)</f>
        <v>30.91</v>
      </c>
    </row>
    <row r="363" spans="1:2">
      <c r="A363" s="3">
        <f ca="1">IFERROR(__xludf.DUMMYFUNCTION("""COMPUTED_VALUE"""),42248.6666666666)</f>
        <v>42248.666666666599</v>
      </c>
      <c r="B363" s="1">
        <f ca="1">IFERROR(__xludf.DUMMYFUNCTION("""COMPUTED_VALUE"""),29.89)</f>
        <v>29.89</v>
      </c>
    </row>
    <row r="364" spans="1:2">
      <c r="A364" s="3">
        <f ca="1">IFERROR(__xludf.DUMMYFUNCTION("""COMPUTED_VALUE"""),42249.6666666666)</f>
        <v>42249.666666666599</v>
      </c>
      <c r="B364" s="1">
        <f ca="1">IFERROR(__xludf.DUMMYFUNCTION("""COMPUTED_VALUE"""),30.72)</f>
        <v>30.72</v>
      </c>
    </row>
    <row r="365" spans="1:2">
      <c r="A365" s="3">
        <f ca="1">IFERROR(__xludf.DUMMYFUNCTION("""COMPUTED_VALUE"""),42250.6666666666)</f>
        <v>42250.666666666599</v>
      </c>
      <c r="B365" s="1">
        <f ca="1">IFERROR(__xludf.DUMMYFUNCTION("""COMPUTED_VALUE"""),30.31)</f>
        <v>30.31</v>
      </c>
    </row>
    <row r="366" spans="1:2">
      <c r="A366" s="3">
        <f ca="1">IFERROR(__xludf.DUMMYFUNCTION("""COMPUTED_VALUE"""),42251.6666666666)</f>
        <v>42251.666666666599</v>
      </c>
      <c r="B366" s="1">
        <f ca="1">IFERROR(__xludf.DUMMYFUNCTION("""COMPUTED_VALUE"""),30.04)</f>
        <v>30.04</v>
      </c>
    </row>
    <row r="367" spans="1:2">
      <c r="A367" s="3">
        <f ca="1">IFERROR(__xludf.DUMMYFUNCTION("""COMPUTED_VALUE"""),42255.6666666666)</f>
        <v>42255.666666666599</v>
      </c>
      <c r="B367" s="1">
        <f ca="1">IFERROR(__xludf.DUMMYFUNCTION("""COMPUTED_VALUE"""),30.73)</f>
        <v>30.73</v>
      </c>
    </row>
    <row r="368" spans="1:2">
      <c r="A368" s="3">
        <f ca="1">IFERROR(__xludf.DUMMYFUNCTION("""COMPUTED_VALUE"""),42256.6666666666)</f>
        <v>42256.666666666599</v>
      </c>
      <c r="B368" s="1">
        <f ca="1">IFERROR(__xludf.DUMMYFUNCTION("""COMPUTED_VALUE"""),30.64)</f>
        <v>30.64</v>
      </c>
    </row>
    <row r="369" spans="1:2">
      <c r="A369" s="3">
        <f ca="1">IFERROR(__xludf.DUMMYFUNCTION("""COMPUTED_VALUE"""),42257.6666666666)</f>
        <v>42257.666666666599</v>
      </c>
      <c r="B369" s="1">
        <f ca="1">IFERROR(__xludf.DUMMYFUNCTION("""COMPUTED_VALUE"""),31.07)</f>
        <v>31.07</v>
      </c>
    </row>
    <row r="370" spans="1:2">
      <c r="A370" s="3">
        <f ca="1">IFERROR(__xludf.DUMMYFUNCTION("""COMPUTED_VALUE"""),42258.6666666666)</f>
        <v>42258.666666666599</v>
      </c>
      <c r="B370" s="1">
        <f ca="1">IFERROR(__xludf.DUMMYFUNCTION("""COMPUTED_VALUE"""),31.29)</f>
        <v>31.29</v>
      </c>
    </row>
    <row r="371" spans="1:2">
      <c r="A371" s="3">
        <f ca="1">IFERROR(__xludf.DUMMYFUNCTION("""COMPUTED_VALUE"""),42261.6666666666)</f>
        <v>42261.666666666599</v>
      </c>
      <c r="B371" s="1">
        <f ca="1">IFERROR(__xludf.DUMMYFUNCTION("""COMPUTED_VALUE"""),31.16)</f>
        <v>31.16</v>
      </c>
    </row>
    <row r="372" spans="1:2">
      <c r="A372" s="3">
        <f ca="1">IFERROR(__xludf.DUMMYFUNCTION("""COMPUTED_VALUE"""),42262.6666666666)</f>
        <v>42262.666666666599</v>
      </c>
      <c r="B372" s="1">
        <f ca="1">IFERROR(__xludf.DUMMYFUNCTION("""COMPUTED_VALUE"""),31.76)</f>
        <v>31.76</v>
      </c>
    </row>
    <row r="373" spans="1:2">
      <c r="A373" s="3">
        <f ca="1">IFERROR(__xludf.DUMMYFUNCTION("""COMPUTED_VALUE"""),42263.6666666666)</f>
        <v>42263.666666666599</v>
      </c>
      <c r="B373" s="1">
        <f ca="1">IFERROR(__xludf.DUMMYFUNCTION("""COMPUTED_VALUE"""),31.8)</f>
        <v>31.8</v>
      </c>
    </row>
    <row r="374" spans="1:2">
      <c r="A374" s="3">
        <f ca="1">IFERROR(__xludf.DUMMYFUNCTION("""COMPUTED_VALUE"""),42264.6666666666)</f>
        <v>42264.666666666599</v>
      </c>
      <c r="B374" s="1">
        <f ca="1">IFERROR(__xludf.DUMMYFUNCTION("""COMPUTED_VALUE"""),32.15)</f>
        <v>32.15</v>
      </c>
    </row>
    <row r="375" spans="1:2">
      <c r="A375" s="3">
        <f ca="1">IFERROR(__xludf.DUMMYFUNCTION("""COMPUTED_VALUE"""),42265.6666666666)</f>
        <v>42265.666666666599</v>
      </c>
      <c r="B375" s="1">
        <f ca="1">IFERROR(__xludf.DUMMYFUNCTION("""COMPUTED_VALUE"""),31.46)</f>
        <v>31.46</v>
      </c>
    </row>
    <row r="376" spans="1:2">
      <c r="A376" s="3">
        <f ca="1">IFERROR(__xludf.DUMMYFUNCTION("""COMPUTED_VALUE"""),42268.6666666666)</f>
        <v>42268.666666666599</v>
      </c>
      <c r="B376" s="1">
        <f ca="1">IFERROR(__xludf.DUMMYFUNCTION("""COMPUTED_VALUE"""),31.77)</f>
        <v>31.77</v>
      </c>
    </row>
    <row r="377" spans="1:2">
      <c r="A377" s="3">
        <f ca="1">IFERROR(__xludf.DUMMYFUNCTION("""COMPUTED_VALUE"""),42269.6666666666)</f>
        <v>42269.666666666599</v>
      </c>
      <c r="B377" s="1">
        <f ca="1">IFERROR(__xludf.DUMMYFUNCTION("""COMPUTED_VALUE"""),31.13)</f>
        <v>31.13</v>
      </c>
    </row>
    <row r="378" spans="1:2">
      <c r="A378" s="3">
        <f ca="1">IFERROR(__xludf.DUMMYFUNCTION("""COMPUTED_VALUE"""),42270.6666666666)</f>
        <v>42270.666666666599</v>
      </c>
      <c r="B378" s="1">
        <f ca="1">IFERROR(__xludf.DUMMYFUNCTION("""COMPUTED_VALUE"""),31.12)</f>
        <v>31.12</v>
      </c>
    </row>
    <row r="379" spans="1:2">
      <c r="A379" s="3">
        <f ca="1">IFERROR(__xludf.DUMMYFUNCTION("""COMPUTED_VALUE"""),42271.6666666666)</f>
        <v>42271.666666666599</v>
      </c>
      <c r="B379" s="1">
        <f ca="1">IFERROR(__xludf.DUMMYFUNCTION("""COMPUTED_VALUE"""),31.29)</f>
        <v>31.29</v>
      </c>
    </row>
    <row r="380" spans="1:2">
      <c r="A380" s="3">
        <f ca="1">IFERROR(__xludf.DUMMYFUNCTION("""COMPUTED_VALUE"""),42272.6666666666)</f>
        <v>42272.666666666599</v>
      </c>
      <c r="B380" s="1">
        <f ca="1">IFERROR(__xludf.DUMMYFUNCTION("""COMPUTED_VALUE"""),30.6)</f>
        <v>30.6</v>
      </c>
    </row>
    <row r="381" spans="1:2">
      <c r="A381" s="3">
        <f ca="1">IFERROR(__xludf.DUMMYFUNCTION("""COMPUTED_VALUE"""),42275.6666666666)</f>
        <v>42275.666666666599</v>
      </c>
      <c r="B381" s="1">
        <f ca="1">IFERROR(__xludf.DUMMYFUNCTION("""COMPUTED_VALUE"""),29.74)</f>
        <v>29.74</v>
      </c>
    </row>
    <row r="382" spans="1:2">
      <c r="A382" s="3">
        <f ca="1">IFERROR(__xludf.DUMMYFUNCTION("""COMPUTED_VALUE"""),42276.6666666666)</f>
        <v>42276.666666666599</v>
      </c>
      <c r="B382" s="1">
        <f ca="1">IFERROR(__xludf.DUMMYFUNCTION("""COMPUTED_VALUE"""),29.75)</f>
        <v>29.75</v>
      </c>
    </row>
    <row r="383" spans="1:2">
      <c r="A383" s="3">
        <f ca="1">IFERROR(__xludf.DUMMYFUNCTION("""COMPUTED_VALUE"""),42277.6666666666)</f>
        <v>42277.666666666599</v>
      </c>
      <c r="B383" s="1">
        <f ca="1">IFERROR(__xludf.DUMMYFUNCTION("""COMPUTED_VALUE"""),30.42)</f>
        <v>30.42</v>
      </c>
    </row>
    <row r="384" spans="1:2">
      <c r="A384" s="3">
        <f ca="1">IFERROR(__xludf.DUMMYFUNCTION("""COMPUTED_VALUE"""),42278.6666666666)</f>
        <v>42278.666666666599</v>
      </c>
      <c r="B384" s="1">
        <f ca="1">IFERROR(__xludf.DUMMYFUNCTION("""COMPUTED_VALUE"""),30.56)</f>
        <v>30.56</v>
      </c>
    </row>
    <row r="385" spans="1:2">
      <c r="A385" s="3">
        <f ca="1">IFERROR(__xludf.DUMMYFUNCTION("""COMPUTED_VALUE"""),42279.6666666666)</f>
        <v>42279.666666666599</v>
      </c>
      <c r="B385" s="1">
        <f ca="1">IFERROR(__xludf.DUMMYFUNCTION("""COMPUTED_VALUE"""),31.35)</f>
        <v>31.35</v>
      </c>
    </row>
    <row r="386" spans="1:2">
      <c r="A386" s="3">
        <f ca="1">IFERROR(__xludf.DUMMYFUNCTION("""COMPUTED_VALUE"""),42282.6666666666)</f>
        <v>42282.666666666599</v>
      </c>
      <c r="B386" s="1">
        <f ca="1">IFERROR(__xludf.DUMMYFUNCTION("""COMPUTED_VALUE"""),32.07)</f>
        <v>32.07</v>
      </c>
    </row>
    <row r="387" spans="1:2">
      <c r="A387" s="3">
        <f ca="1">IFERROR(__xludf.DUMMYFUNCTION("""COMPUTED_VALUE"""),42283.6666666666)</f>
        <v>42283.666666666599</v>
      </c>
      <c r="B387" s="1">
        <f ca="1">IFERROR(__xludf.DUMMYFUNCTION("""COMPUTED_VALUE"""),32.27)</f>
        <v>32.270000000000003</v>
      </c>
    </row>
    <row r="388" spans="1:2">
      <c r="A388" s="3">
        <f ca="1">IFERROR(__xludf.DUMMYFUNCTION("""COMPUTED_VALUE"""),42284.6666666666)</f>
        <v>42284.666666666599</v>
      </c>
      <c r="B388" s="1">
        <f ca="1">IFERROR(__xludf.DUMMYFUNCTION("""COMPUTED_VALUE"""),32.12)</f>
        <v>32.119999999999997</v>
      </c>
    </row>
    <row r="389" spans="1:2">
      <c r="A389" s="3">
        <f ca="1">IFERROR(__xludf.DUMMYFUNCTION("""COMPUTED_VALUE"""),42285.6666666666)</f>
        <v>42285.666666666599</v>
      </c>
      <c r="B389" s="1">
        <f ca="1">IFERROR(__xludf.DUMMYFUNCTION("""COMPUTED_VALUE"""),31.96)</f>
        <v>31.96</v>
      </c>
    </row>
    <row r="390" spans="1:2">
      <c r="A390" s="3">
        <f ca="1">IFERROR(__xludf.DUMMYFUNCTION("""COMPUTED_VALUE"""),42286.6666666666)</f>
        <v>42286.666666666599</v>
      </c>
      <c r="B390" s="1">
        <f ca="1">IFERROR(__xludf.DUMMYFUNCTION("""COMPUTED_VALUE"""),32.18)</f>
        <v>32.18</v>
      </c>
    </row>
    <row r="391" spans="1:2">
      <c r="A391" s="3">
        <f ca="1">IFERROR(__xludf.DUMMYFUNCTION("""COMPUTED_VALUE"""),42289.6666666666)</f>
        <v>42289.666666666599</v>
      </c>
      <c r="B391" s="1">
        <f ca="1">IFERROR(__xludf.DUMMYFUNCTION("""COMPUTED_VALUE"""),32.33)</f>
        <v>32.33</v>
      </c>
    </row>
    <row r="392" spans="1:2">
      <c r="A392" s="3">
        <f ca="1">IFERROR(__xludf.DUMMYFUNCTION("""COMPUTED_VALUE"""),42290.6666666666)</f>
        <v>42290.666666666599</v>
      </c>
      <c r="B392" s="1">
        <f ca="1">IFERROR(__xludf.DUMMYFUNCTION("""COMPUTED_VALUE"""),32.62)</f>
        <v>32.619999999999997</v>
      </c>
    </row>
    <row r="393" spans="1:2">
      <c r="A393" s="3">
        <f ca="1">IFERROR(__xludf.DUMMYFUNCTION("""COMPUTED_VALUE"""),42291.6666666666)</f>
        <v>42291.666666666599</v>
      </c>
      <c r="B393" s="1">
        <f ca="1">IFERROR(__xludf.DUMMYFUNCTION("""COMPUTED_VALUE"""),32.56)</f>
        <v>32.56</v>
      </c>
    </row>
    <row r="394" spans="1:2">
      <c r="A394" s="3">
        <f ca="1">IFERROR(__xludf.DUMMYFUNCTION("""COMPUTED_VALUE"""),42292.6666666666)</f>
        <v>42292.666666666599</v>
      </c>
      <c r="B394" s="1">
        <f ca="1">IFERROR(__xludf.DUMMYFUNCTION("""COMPUTED_VALUE"""),33.09)</f>
        <v>33.090000000000003</v>
      </c>
    </row>
    <row r="395" spans="1:2">
      <c r="A395" s="3">
        <f ca="1">IFERROR(__xludf.DUMMYFUNCTION("""COMPUTED_VALUE"""),42293.6666666666)</f>
        <v>42293.666666666599</v>
      </c>
      <c r="B395" s="1">
        <f ca="1">IFERROR(__xludf.DUMMYFUNCTION("""COMPUTED_VALUE"""),33.11)</f>
        <v>33.11</v>
      </c>
    </row>
    <row r="396" spans="1:2">
      <c r="A396" s="3">
        <f ca="1">IFERROR(__xludf.DUMMYFUNCTION("""COMPUTED_VALUE"""),42296.6666666666)</f>
        <v>42296.666666666599</v>
      </c>
      <c r="B396" s="1">
        <f ca="1">IFERROR(__xludf.DUMMYFUNCTION("""COMPUTED_VALUE"""),33.31)</f>
        <v>33.31</v>
      </c>
    </row>
    <row r="397" spans="1:2">
      <c r="A397" s="3">
        <f ca="1">IFERROR(__xludf.DUMMYFUNCTION("""COMPUTED_VALUE"""),42297.6666666666)</f>
        <v>42297.666666666599</v>
      </c>
      <c r="B397" s="1">
        <f ca="1">IFERROR(__xludf.DUMMYFUNCTION("""COMPUTED_VALUE"""),32.51)</f>
        <v>32.51</v>
      </c>
    </row>
    <row r="398" spans="1:2">
      <c r="A398" s="3">
        <f ca="1">IFERROR(__xludf.DUMMYFUNCTION("""COMPUTED_VALUE"""),42298.6666666666)</f>
        <v>42298.666666666599</v>
      </c>
      <c r="B398" s="1">
        <f ca="1">IFERROR(__xludf.DUMMYFUNCTION("""COMPUTED_VALUE"""),32.13)</f>
        <v>32.130000000000003</v>
      </c>
    </row>
    <row r="399" spans="1:2">
      <c r="A399" s="3">
        <f ca="1">IFERROR(__xludf.DUMMYFUNCTION("""COMPUTED_VALUE"""),42299.6666666666)</f>
        <v>42299.666666666599</v>
      </c>
      <c r="B399" s="1">
        <f ca="1">IFERROR(__xludf.DUMMYFUNCTION("""COMPUTED_VALUE"""),32.59)</f>
        <v>32.590000000000003</v>
      </c>
    </row>
    <row r="400" spans="1:2">
      <c r="A400" s="3">
        <f ca="1">IFERROR(__xludf.DUMMYFUNCTION("""COMPUTED_VALUE"""),42300.6666666666)</f>
        <v>42300.666666666599</v>
      </c>
      <c r="B400" s="1">
        <f ca="1">IFERROR(__xludf.DUMMYFUNCTION("""COMPUTED_VALUE"""),35.1)</f>
        <v>35.1</v>
      </c>
    </row>
    <row r="401" spans="1:2">
      <c r="A401" s="3">
        <f ca="1">IFERROR(__xludf.DUMMYFUNCTION("""COMPUTED_VALUE"""),42303.6666666666)</f>
        <v>42303.666666666599</v>
      </c>
      <c r="B401" s="1">
        <f ca="1">IFERROR(__xludf.DUMMYFUNCTION("""COMPUTED_VALUE"""),35.64)</f>
        <v>35.64</v>
      </c>
    </row>
    <row r="402" spans="1:2">
      <c r="A402" s="3">
        <f ca="1">IFERROR(__xludf.DUMMYFUNCTION("""COMPUTED_VALUE"""),42304.6666666666)</f>
        <v>42304.666666666599</v>
      </c>
      <c r="B402" s="1">
        <f ca="1">IFERROR(__xludf.DUMMYFUNCTION("""COMPUTED_VALUE"""),35.42)</f>
        <v>35.42</v>
      </c>
    </row>
    <row r="403" spans="1:2">
      <c r="A403" s="3">
        <f ca="1">IFERROR(__xludf.DUMMYFUNCTION("""COMPUTED_VALUE"""),42305.6666666666)</f>
        <v>42305.666666666599</v>
      </c>
      <c r="B403" s="1">
        <f ca="1">IFERROR(__xludf.DUMMYFUNCTION("""COMPUTED_VALUE"""),35.65)</f>
        <v>35.65</v>
      </c>
    </row>
    <row r="404" spans="1:2">
      <c r="A404" s="3">
        <f ca="1">IFERROR(__xludf.DUMMYFUNCTION("""COMPUTED_VALUE"""),42306.6666666666)</f>
        <v>42306.666666666599</v>
      </c>
      <c r="B404" s="1">
        <f ca="1">IFERROR(__xludf.DUMMYFUNCTION("""COMPUTED_VALUE"""),35.85)</f>
        <v>35.85</v>
      </c>
    </row>
    <row r="405" spans="1:2">
      <c r="A405" s="3">
        <f ca="1">IFERROR(__xludf.DUMMYFUNCTION("""COMPUTED_VALUE"""),42307.6666666666)</f>
        <v>42307.666666666599</v>
      </c>
      <c r="B405" s="1">
        <f ca="1">IFERROR(__xludf.DUMMYFUNCTION("""COMPUTED_VALUE"""),35.54)</f>
        <v>35.54</v>
      </c>
    </row>
    <row r="406" spans="1:2">
      <c r="A406" s="3">
        <f ca="1">IFERROR(__xludf.DUMMYFUNCTION("""COMPUTED_VALUE"""),42310.6666666666)</f>
        <v>42310.666666666599</v>
      </c>
      <c r="B406" s="1">
        <f ca="1">IFERROR(__xludf.DUMMYFUNCTION("""COMPUTED_VALUE"""),36.06)</f>
        <v>36.06</v>
      </c>
    </row>
    <row r="407" spans="1:2">
      <c r="A407" s="3">
        <f ca="1">IFERROR(__xludf.DUMMYFUNCTION("""COMPUTED_VALUE"""),42311.6666666666)</f>
        <v>42311.666666666599</v>
      </c>
      <c r="B407" s="1">
        <f ca="1">IFERROR(__xludf.DUMMYFUNCTION("""COMPUTED_VALUE"""),36.11)</f>
        <v>36.11</v>
      </c>
    </row>
    <row r="408" spans="1:2">
      <c r="A408" s="3">
        <f ca="1">IFERROR(__xludf.DUMMYFUNCTION("""COMPUTED_VALUE"""),42312.6666666666)</f>
        <v>42312.666666666599</v>
      </c>
      <c r="B408" s="1">
        <f ca="1">IFERROR(__xludf.DUMMYFUNCTION("""COMPUTED_VALUE"""),36.41)</f>
        <v>36.409999999999997</v>
      </c>
    </row>
    <row r="409" spans="1:2">
      <c r="A409" s="3">
        <f ca="1">IFERROR(__xludf.DUMMYFUNCTION("""COMPUTED_VALUE"""),42313.6666666666)</f>
        <v>42313.666666666599</v>
      </c>
      <c r="B409" s="1">
        <f ca="1">IFERROR(__xludf.DUMMYFUNCTION("""COMPUTED_VALUE"""),36.56)</f>
        <v>36.56</v>
      </c>
    </row>
    <row r="410" spans="1:2">
      <c r="A410" s="3">
        <f ca="1">IFERROR(__xludf.DUMMYFUNCTION("""COMPUTED_VALUE"""),42314.6666666666)</f>
        <v>42314.666666666599</v>
      </c>
      <c r="B410" s="1">
        <f ca="1">IFERROR(__xludf.DUMMYFUNCTION("""COMPUTED_VALUE"""),36.69)</f>
        <v>36.69</v>
      </c>
    </row>
    <row r="411" spans="1:2">
      <c r="A411" s="3">
        <f ca="1">IFERROR(__xludf.DUMMYFUNCTION("""COMPUTED_VALUE"""),42317.6666666666)</f>
        <v>42317.666666666599</v>
      </c>
      <c r="B411" s="1">
        <f ca="1">IFERROR(__xludf.DUMMYFUNCTION("""COMPUTED_VALUE"""),36.24)</f>
        <v>36.24</v>
      </c>
    </row>
    <row r="412" spans="1:2">
      <c r="A412" s="3">
        <f ca="1">IFERROR(__xludf.DUMMYFUNCTION("""COMPUTED_VALUE"""),42318.6666666666)</f>
        <v>42318.666666666599</v>
      </c>
      <c r="B412" s="1">
        <f ca="1">IFERROR(__xludf.DUMMYFUNCTION("""COMPUTED_VALUE"""),36.42)</f>
        <v>36.42</v>
      </c>
    </row>
    <row r="413" spans="1:2">
      <c r="A413" s="3">
        <f ca="1">IFERROR(__xludf.DUMMYFUNCTION("""COMPUTED_VALUE"""),42319.6666666666)</f>
        <v>42319.666666666599</v>
      </c>
      <c r="B413" s="1">
        <f ca="1">IFERROR(__xludf.DUMMYFUNCTION("""COMPUTED_VALUE"""),36.77)</f>
        <v>36.770000000000003</v>
      </c>
    </row>
    <row r="414" spans="1:2">
      <c r="A414" s="3">
        <f ca="1">IFERROR(__xludf.DUMMYFUNCTION("""COMPUTED_VALUE"""),42320.6666666666)</f>
        <v>42320.666666666599</v>
      </c>
      <c r="B414" s="1">
        <f ca="1">IFERROR(__xludf.DUMMYFUNCTION("""COMPUTED_VALUE"""),36.56)</f>
        <v>36.56</v>
      </c>
    </row>
    <row r="415" spans="1:2">
      <c r="A415" s="3">
        <f ca="1">IFERROR(__xludf.DUMMYFUNCTION("""COMPUTED_VALUE"""),42321.6666666666)</f>
        <v>42321.666666666599</v>
      </c>
      <c r="B415" s="1">
        <f ca="1">IFERROR(__xludf.DUMMYFUNCTION("""COMPUTED_VALUE"""),35.85)</f>
        <v>35.85</v>
      </c>
    </row>
    <row r="416" spans="1:2">
      <c r="A416" s="3">
        <f ca="1">IFERROR(__xludf.DUMMYFUNCTION("""COMPUTED_VALUE"""),42324.6666666666)</f>
        <v>42324.666666666599</v>
      </c>
      <c r="B416" s="1">
        <f ca="1">IFERROR(__xludf.DUMMYFUNCTION("""COMPUTED_VALUE"""),36.45)</f>
        <v>36.450000000000003</v>
      </c>
    </row>
    <row r="417" spans="1:2">
      <c r="A417" s="3">
        <f ca="1">IFERROR(__xludf.DUMMYFUNCTION("""COMPUTED_VALUE"""),42325.6666666666)</f>
        <v>42325.666666666599</v>
      </c>
      <c r="B417" s="1">
        <f ca="1">IFERROR(__xludf.DUMMYFUNCTION("""COMPUTED_VALUE"""),36.27)</f>
        <v>36.270000000000003</v>
      </c>
    </row>
    <row r="418" spans="1:2">
      <c r="A418" s="3">
        <f ca="1">IFERROR(__xludf.DUMMYFUNCTION("""COMPUTED_VALUE"""),42326.6666666666)</f>
        <v>42326.666666666599</v>
      </c>
      <c r="B418" s="1">
        <f ca="1">IFERROR(__xludf.DUMMYFUNCTION("""COMPUTED_VALUE"""),37)</f>
        <v>37</v>
      </c>
    </row>
    <row r="419" spans="1:2">
      <c r="A419" s="3">
        <f ca="1">IFERROR(__xludf.DUMMYFUNCTION("""COMPUTED_VALUE"""),42327.6666666666)</f>
        <v>42327.666666666599</v>
      </c>
      <c r="B419" s="1">
        <f ca="1">IFERROR(__xludf.DUMMYFUNCTION("""COMPUTED_VALUE"""),36.92)</f>
        <v>36.92</v>
      </c>
    </row>
    <row r="420" spans="1:2">
      <c r="A420" s="3">
        <f ca="1">IFERROR(__xludf.DUMMYFUNCTION("""COMPUTED_VALUE"""),42328.6666666666)</f>
        <v>42328.666666666599</v>
      </c>
      <c r="B420" s="1">
        <f ca="1">IFERROR(__xludf.DUMMYFUNCTION("""COMPUTED_VALUE"""),37.83)</f>
        <v>37.83</v>
      </c>
    </row>
    <row r="421" spans="1:2">
      <c r="A421" s="3">
        <f ca="1">IFERROR(__xludf.DUMMYFUNCTION("""COMPUTED_VALUE"""),42331.6666666666)</f>
        <v>42331.666666666599</v>
      </c>
      <c r="B421" s="1">
        <f ca="1">IFERROR(__xludf.DUMMYFUNCTION("""COMPUTED_VALUE"""),37.8)</f>
        <v>37.799999999999997</v>
      </c>
    </row>
    <row r="422" spans="1:2">
      <c r="A422" s="3">
        <f ca="1">IFERROR(__xludf.DUMMYFUNCTION("""COMPUTED_VALUE"""),42332.6666666666)</f>
        <v>42332.666666666599</v>
      </c>
      <c r="B422" s="1">
        <f ca="1">IFERROR(__xludf.DUMMYFUNCTION("""COMPUTED_VALUE"""),37.41)</f>
        <v>37.409999999999997</v>
      </c>
    </row>
    <row r="423" spans="1:2">
      <c r="A423" s="3">
        <f ca="1">IFERROR(__xludf.DUMMYFUNCTION("""COMPUTED_VALUE"""),42333.6666666666)</f>
        <v>42333.666666666599</v>
      </c>
      <c r="B423" s="1">
        <f ca="1">IFERROR(__xludf.DUMMYFUNCTION("""COMPUTED_VALUE"""),37.41)</f>
        <v>37.409999999999997</v>
      </c>
    </row>
    <row r="424" spans="1:2">
      <c r="A424" s="3">
        <f ca="1">IFERROR(__xludf.DUMMYFUNCTION("""COMPUTED_VALUE"""),42335.6666666666)</f>
        <v>42335.666666666599</v>
      </c>
      <c r="B424" s="1">
        <f ca="1">IFERROR(__xludf.DUMMYFUNCTION("""COMPUTED_VALUE"""),37.51)</f>
        <v>37.51</v>
      </c>
    </row>
    <row r="425" spans="1:2">
      <c r="A425" s="3">
        <f ca="1">IFERROR(__xludf.DUMMYFUNCTION("""COMPUTED_VALUE"""),42338.6666666666)</f>
        <v>42338.666666666599</v>
      </c>
      <c r="B425" s="1">
        <f ca="1">IFERROR(__xludf.DUMMYFUNCTION("""COMPUTED_VALUE"""),37.13)</f>
        <v>37.130000000000003</v>
      </c>
    </row>
    <row r="426" spans="1:2">
      <c r="A426" s="3">
        <f ca="1">IFERROR(__xludf.DUMMYFUNCTION("""COMPUTED_VALUE"""),42339.6666666666)</f>
        <v>42339.666666666599</v>
      </c>
      <c r="B426" s="1">
        <f ca="1">IFERROR(__xludf.DUMMYFUNCTION("""COMPUTED_VALUE"""),38.35)</f>
        <v>38.35</v>
      </c>
    </row>
    <row r="427" spans="1:2">
      <c r="A427" s="3">
        <f ca="1">IFERROR(__xludf.DUMMYFUNCTION("""COMPUTED_VALUE"""),42340.6666666666)</f>
        <v>42340.666666666599</v>
      </c>
      <c r="B427" s="1">
        <f ca="1">IFERROR(__xludf.DUMMYFUNCTION("""COMPUTED_VALUE"""),38.12)</f>
        <v>38.119999999999997</v>
      </c>
    </row>
    <row r="428" spans="1:2">
      <c r="A428" s="3">
        <f ca="1">IFERROR(__xludf.DUMMYFUNCTION("""COMPUTED_VALUE"""),42341.6666666666)</f>
        <v>42341.666666666599</v>
      </c>
      <c r="B428" s="1">
        <f ca="1">IFERROR(__xludf.DUMMYFUNCTION("""COMPUTED_VALUE"""),37.63)</f>
        <v>37.630000000000003</v>
      </c>
    </row>
    <row r="429" spans="1:2">
      <c r="A429" s="3">
        <f ca="1">IFERROR(__xludf.DUMMYFUNCTION("""COMPUTED_VALUE"""),42342.6666666666)</f>
        <v>42342.666666666599</v>
      </c>
      <c r="B429" s="1">
        <f ca="1">IFERROR(__xludf.DUMMYFUNCTION("""COMPUTED_VALUE"""),38.34)</f>
        <v>38.340000000000003</v>
      </c>
    </row>
    <row r="430" spans="1:2">
      <c r="A430" s="3">
        <f ca="1">IFERROR(__xludf.DUMMYFUNCTION("""COMPUTED_VALUE"""),42345.6666666666)</f>
        <v>42345.666666666599</v>
      </c>
      <c r="B430" s="1">
        <f ca="1">IFERROR(__xludf.DUMMYFUNCTION("""COMPUTED_VALUE"""),38.16)</f>
        <v>38.159999999999997</v>
      </c>
    </row>
    <row r="431" spans="1:2">
      <c r="A431" s="3">
        <f ca="1">IFERROR(__xludf.DUMMYFUNCTION("""COMPUTED_VALUE"""),42346.6666666666)</f>
        <v>42346.666666666599</v>
      </c>
      <c r="B431" s="1">
        <f ca="1">IFERROR(__xludf.DUMMYFUNCTION("""COMPUTED_VALUE"""),38.12)</f>
        <v>38.119999999999997</v>
      </c>
    </row>
    <row r="432" spans="1:2">
      <c r="A432" s="3">
        <f ca="1">IFERROR(__xludf.DUMMYFUNCTION("""COMPUTED_VALUE"""),42347.6666666666)</f>
        <v>42347.666666666599</v>
      </c>
      <c r="B432" s="1">
        <f ca="1">IFERROR(__xludf.DUMMYFUNCTION("""COMPUTED_VALUE"""),37.58)</f>
        <v>37.58</v>
      </c>
    </row>
    <row r="433" spans="1:2">
      <c r="A433" s="3">
        <f ca="1">IFERROR(__xludf.DUMMYFUNCTION("""COMPUTED_VALUE"""),42348.6666666666)</f>
        <v>42348.666666666599</v>
      </c>
      <c r="B433" s="1">
        <f ca="1">IFERROR(__xludf.DUMMYFUNCTION("""COMPUTED_VALUE"""),37.47)</f>
        <v>37.47</v>
      </c>
    </row>
    <row r="434" spans="1:2">
      <c r="A434" s="3">
        <f ca="1">IFERROR(__xludf.DUMMYFUNCTION("""COMPUTED_VALUE"""),42349.6666666666)</f>
        <v>42349.666666666599</v>
      </c>
      <c r="B434" s="1">
        <f ca="1">IFERROR(__xludf.DUMMYFUNCTION("""COMPUTED_VALUE"""),36.94)</f>
        <v>36.94</v>
      </c>
    </row>
    <row r="435" spans="1:2">
      <c r="A435" s="3">
        <f ca="1">IFERROR(__xludf.DUMMYFUNCTION("""COMPUTED_VALUE"""),42352.6666666666)</f>
        <v>42352.666666666599</v>
      </c>
      <c r="B435" s="1">
        <f ca="1">IFERROR(__xludf.DUMMYFUNCTION("""COMPUTED_VALUE"""),37.39)</f>
        <v>37.39</v>
      </c>
    </row>
    <row r="436" spans="1:2">
      <c r="A436" s="3">
        <f ca="1">IFERROR(__xludf.DUMMYFUNCTION("""COMPUTED_VALUE"""),42353.6666666666)</f>
        <v>42353.666666666599</v>
      </c>
      <c r="B436" s="1">
        <f ca="1">IFERROR(__xludf.DUMMYFUNCTION("""COMPUTED_VALUE"""),37.17)</f>
        <v>37.17</v>
      </c>
    </row>
    <row r="437" spans="1:2">
      <c r="A437" s="3">
        <f ca="1">IFERROR(__xludf.DUMMYFUNCTION("""COMPUTED_VALUE"""),42354.6666666666)</f>
        <v>42354.666666666599</v>
      </c>
      <c r="B437" s="1">
        <f ca="1">IFERROR(__xludf.DUMMYFUNCTION("""COMPUTED_VALUE"""),37.9)</f>
        <v>37.9</v>
      </c>
    </row>
    <row r="438" spans="1:2">
      <c r="A438" s="3">
        <f ca="1">IFERROR(__xludf.DUMMYFUNCTION("""COMPUTED_VALUE"""),42355.6666666666)</f>
        <v>42355.666666666599</v>
      </c>
      <c r="B438" s="1">
        <f ca="1">IFERROR(__xludf.DUMMYFUNCTION("""COMPUTED_VALUE"""),37.47)</f>
        <v>37.47</v>
      </c>
    </row>
    <row r="439" spans="1:2">
      <c r="A439" s="3">
        <f ca="1">IFERROR(__xludf.DUMMYFUNCTION("""COMPUTED_VALUE"""),42356.6666666666)</f>
        <v>42356.666666666599</v>
      </c>
      <c r="B439" s="1">
        <f ca="1">IFERROR(__xludf.DUMMYFUNCTION("""COMPUTED_VALUE"""),36.97)</f>
        <v>36.97</v>
      </c>
    </row>
    <row r="440" spans="1:2">
      <c r="A440" s="3">
        <f ca="1">IFERROR(__xludf.DUMMYFUNCTION("""COMPUTED_VALUE"""),42359.6666666666)</f>
        <v>42359.666666666599</v>
      </c>
      <c r="B440" s="1">
        <f ca="1">IFERROR(__xludf.DUMMYFUNCTION("""COMPUTED_VALUE"""),37.39)</f>
        <v>37.39</v>
      </c>
    </row>
    <row r="441" spans="1:2">
      <c r="A441" s="3">
        <f ca="1">IFERROR(__xludf.DUMMYFUNCTION("""COMPUTED_VALUE"""),42360.6666666666)</f>
        <v>42360.666666666599</v>
      </c>
      <c r="B441" s="1">
        <f ca="1">IFERROR(__xludf.DUMMYFUNCTION("""COMPUTED_VALUE"""),37.5)</f>
        <v>37.5</v>
      </c>
    </row>
    <row r="442" spans="1:2">
      <c r="A442" s="3">
        <f ca="1">IFERROR(__xludf.DUMMYFUNCTION("""COMPUTED_VALUE"""),42361.6666666666)</f>
        <v>42361.666666666599</v>
      </c>
      <c r="B442" s="1">
        <f ca="1">IFERROR(__xludf.DUMMYFUNCTION("""COMPUTED_VALUE"""),37.52)</f>
        <v>37.520000000000003</v>
      </c>
    </row>
    <row r="443" spans="1:2">
      <c r="A443" s="3">
        <f ca="1">IFERROR(__xludf.DUMMYFUNCTION("""COMPUTED_VALUE"""),42362.6666666666)</f>
        <v>42362.666666666599</v>
      </c>
      <c r="B443" s="1">
        <f ca="1">IFERROR(__xludf.DUMMYFUNCTION("""COMPUTED_VALUE"""),37.42)</f>
        <v>37.42</v>
      </c>
    </row>
    <row r="444" spans="1:2">
      <c r="A444" s="3">
        <f ca="1">IFERROR(__xludf.DUMMYFUNCTION("""COMPUTED_VALUE"""),42366.6666666666)</f>
        <v>42366.666666666599</v>
      </c>
      <c r="B444" s="1">
        <f ca="1">IFERROR(__xludf.DUMMYFUNCTION("""COMPUTED_VALUE"""),38.13)</f>
        <v>38.130000000000003</v>
      </c>
    </row>
    <row r="445" spans="1:2">
      <c r="A445" s="3">
        <f ca="1">IFERROR(__xludf.DUMMYFUNCTION("""COMPUTED_VALUE"""),42367.6666666666)</f>
        <v>42367.666666666599</v>
      </c>
      <c r="B445" s="1">
        <f ca="1">IFERROR(__xludf.DUMMYFUNCTION("""COMPUTED_VALUE"""),38.83)</f>
        <v>38.83</v>
      </c>
    </row>
    <row r="446" spans="1:2">
      <c r="A446" s="3">
        <f ca="1">IFERROR(__xludf.DUMMYFUNCTION("""COMPUTED_VALUE"""),42368.6666666666)</f>
        <v>42368.666666666599</v>
      </c>
      <c r="B446" s="1">
        <f ca="1">IFERROR(__xludf.DUMMYFUNCTION("""COMPUTED_VALUE"""),38.55)</f>
        <v>38.549999999999997</v>
      </c>
    </row>
    <row r="447" spans="1:2">
      <c r="A447" s="3">
        <f ca="1">IFERROR(__xludf.DUMMYFUNCTION("""COMPUTED_VALUE"""),42369.6666666666)</f>
        <v>42369.666666666599</v>
      </c>
      <c r="B447" s="1">
        <f ca="1">IFERROR(__xludf.DUMMYFUNCTION("""COMPUTED_VALUE"""),37.94)</f>
        <v>37.94</v>
      </c>
    </row>
    <row r="448" spans="1:2">
      <c r="A448" s="3">
        <f ca="1">IFERROR(__xludf.DUMMYFUNCTION("""COMPUTED_VALUE"""),42373.6666666666)</f>
        <v>42373.666666666599</v>
      </c>
      <c r="B448" s="1">
        <f ca="1">IFERROR(__xludf.DUMMYFUNCTION("""COMPUTED_VALUE"""),37.09)</f>
        <v>37.090000000000003</v>
      </c>
    </row>
    <row r="449" spans="1:2">
      <c r="A449" s="3">
        <f ca="1">IFERROR(__xludf.DUMMYFUNCTION("""COMPUTED_VALUE"""),42374.6666666666)</f>
        <v>42374.666666666599</v>
      </c>
      <c r="B449" s="1">
        <f ca="1">IFERROR(__xludf.DUMMYFUNCTION("""COMPUTED_VALUE"""),37.13)</f>
        <v>37.130000000000003</v>
      </c>
    </row>
    <row r="450" spans="1:2">
      <c r="A450" s="3">
        <f ca="1">IFERROR(__xludf.DUMMYFUNCTION("""COMPUTED_VALUE"""),42375.6666666666)</f>
        <v>42375.666666666599</v>
      </c>
      <c r="B450" s="1">
        <f ca="1">IFERROR(__xludf.DUMMYFUNCTION("""COMPUTED_VALUE"""),37.18)</f>
        <v>37.18</v>
      </c>
    </row>
    <row r="451" spans="1:2">
      <c r="A451" s="3">
        <f ca="1">IFERROR(__xludf.DUMMYFUNCTION("""COMPUTED_VALUE"""),42376.6666666666)</f>
        <v>42376.666666666599</v>
      </c>
      <c r="B451" s="1">
        <f ca="1">IFERROR(__xludf.DUMMYFUNCTION("""COMPUTED_VALUE"""),36.32)</f>
        <v>36.32</v>
      </c>
    </row>
    <row r="452" spans="1:2">
      <c r="A452" s="3">
        <f ca="1">IFERROR(__xludf.DUMMYFUNCTION("""COMPUTED_VALUE"""),42377.6666666666)</f>
        <v>42377.666666666599</v>
      </c>
      <c r="B452" s="1">
        <f ca="1">IFERROR(__xludf.DUMMYFUNCTION("""COMPUTED_VALUE"""),35.72)</f>
        <v>35.72</v>
      </c>
    </row>
    <row r="453" spans="1:2">
      <c r="A453" s="3">
        <f ca="1">IFERROR(__xludf.DUMMYFUNCTION("""COMPUTED_VALUE"""),42380.6666666666)</f>
        <v>42380.666666666599</v>
      </c>
      <c r="B453" s="1">
        <f ca="1">IFERROR(__xludf.DUMMYFUNCTION("""COMPUTED_VALUE"""),35.8)</f>
        <v>35.799999999999997</v>
      </c>
    </row>
    <row r="454" spans="1:2">
      <c r="A454" s="3">
        <f ca="1">IFERROR(__xludf.DUMMYFUNCTION("""COMPUTED_VALUE"""),42381.6666666666)</f>
        <v>42381.666666666599</v>
      </c>
      <c r="B454" s="1">
        <f ca="1">IFERROR(__xludf.DUMMYFUNCTION("""COMPUTED_VALUE"""),36.3)</f>
        <v>36.299999999999997</v>
      </c>
    </row>
    <row r="455" spans="1:2">
      <c r="A455" s="3">
        <f ca="1">IFERROR(__xludf.DUMMYFUNCTION("""COMPUTED_VALUE"""),42382.6666666666)</f>
        <v>42382.666666666599</v>
      </c>
      <c r="B455" s="1">
        <f ca="1">IFERROR(__xludf.DUMMYFUNCTION("""COMPUTED_VALUE"""),35.03)</f>
        <v>35.03</v>
      </c>
    </row>
    <row r="456" spans="1:2">
      <c r="A456" s="3">
        <f ca="1">IFERROR(__xludf.DUMMYFUNCTION("""COMPUTED_VALUE"""),42383.6666666666)</f>
        <v>42383.666666666599</v>
      </c>
      <c r="B456" s="1">
        <f ca="1">IFERROR(__xludf.DUMMYFUNCTION("""COMPUTED_VALUE"""),35.74)</f>
        <v>35.74</v>
      </c>
    </row>
    <row r="457" spans="1:2">
      <c r="A457" s="3">
        <f ca="1">IFERROR(__xludf.DUMMYFUNCTION("""COMPUTED_VALUE"""),42384.6666666666)</f>
        <v>42384.666666666599</v>
      </c>
      <c r="B457" s="1">
        <f ca="1">IFERROR(__xludf.DUMMYFUNCTION("""COMPUTED_VALUE"""),34.72)</f>
        <v>34.72</v>
      </c>
    </row>
    <row r="458" spans="1:2">
      <c r="A458" s="3">
        <f ca="1">IFERROR(__xludf.DUMMYFUNCTION("""COMPUTED_VALUE"""),42388.6666666666)</f>
        <v>42388.666666666599</v>
      </c>
      <c r="B458" s="1">
        <f ca="1">IFERROR(__xludf.DUMMYFUNCTION("""COMPUTED_VALUE"""),35.09)</f>
        <v>35.090000000000003</v>
      </c>
    </row>
    <row r="459" spans="1:2">
      <c r="A459" s="3">
        <f ca="1">IFERROR(__xludf.DUMMYFUNCTION("""COMPUTED_VALUE"""),42389.6666666666)</f>
        <v>42389.666666666599</v>
      </c>
      <c r="B459" s="1">
        <f ca="1">IFERROR(__xludf.DUMMYFUNCTION("""COMPUTED_VALUE"""),34.92)</f>
        <v>34.92</v>
      </c>
    </row>
    <row r="460" spans="1:2">
      <c r="A460" s="3">
        <f ca="1">IFERROR(__xludf.DUMMYFUNCTION("""COMPUTED_VALUE"""),42390.6666666666)</f>
        <v>42390.666666666599</v>
      </c>
      <c r="B460" s="1">
        <f ca="1">IFERROR(__xludf.DUMMYFUNCTION("""COMPUTED_VALUE"""),35.33)</f>
        <v>35.33</v>
      </c>
    </row>
    <row r="461" spans="1:2">
      <c r="A461" s="3">
        <f ca="1">IFERROR(__xludf.DUMMYFUNCTION("""COMPUTED_VALUE"""),42391.6666666666)</f>
        <v>42391.666666666599</v>
      </c>
      <c r="B461" s="1">
        <f ca="1">IFERROR(__xludf.DUMMYFUNCTION("""COMPUTED_VALUE"""),36.26)</f>
        <v>36.26</v>
      </c>
    </row>
    <row r="462" spans="1:2">
      <c r="A462" s="3">
        <f ca="1">IFERROR(__xludf.DUMMYFUNCTION("""COMPUTED_VALUE"""),42394.6666666666)</f>
        <v>42394.666666666599</v>
      </c>
      <c r="B462" s="1">
        <f ca="1">IFERROR(__xludf.DUMMYFUNCTION("""COMPUTED_VALUE"""),35.58)</f>
        <v>35.58</v>
      </c>
    </row>
    <row r="463" spans="1:2">
      <c r="A463" s="3">
        <f ca="1">IFERROR(__xludf.DUMMYFUNCTION("""COMPUTED_VALUE"""),42395.6666666666)</f>
        <v>42395.666666666599</v>
      </c>
      <c r="B463" s="1">
        <f ca="1">IFERROR(__xludf.DUMMYFUNCTION("""COMPUTED_VALUE"""),35.65)</f>
        <v>35.65</v>
      </c>
    </row>
    <row r="464" spans="1:2">
      <c r="A464" s="3">
        <f ca="1">IFERROR(__xludf.DUMMYFUNCTION("""COMPUTED_VALUE"""),42396.6666666666)</f>
        <v>42396.666666666599</v>
      </c>
      <c r="B464" s="1">
        <f ca="1">IFERROR(__xludf.DUMMYFUNCTION("""COMPUTED_VALUE"""),35)</f>
        <v>35</v>
      </c>
    </row>
    <row r="465" spans="1:2">
      <c r="A465" s="3">
        <f ca="1">IFERROR(__xludf.DUMMYFUNCTION("""COMPUTED_VALUE"""),42397.6666666666)</f>
        <v>42397.666666666599</v>
      </c>
      <c r="B465" s="1">
        <f ca="1">IFERROR(__xludf.DUMMYFUNCTION("""COMPUTED_VALUE"""),36.55)</f>
        <v>36.549999999999997</v>
      </c>
    </row>
    <row r="466" spans="1:2">
      <c r="A466" s="3">
        <f ca="1">IFERROR(__xludf.DUMMYFUNCTION("""COMPUTED_VALUE"""),42398.6666666666)</f>
        <v>42398.666666666599</v>
      </c>
      <c r="B466" s="1">
        <f ca="1">IFERROR(__xludf.DUMMYFUNCTION("""COMPUTED_VALUE"""),37.15)</f>
        <v>37.15</v>
      </c>
    </row>
    <row r="467" spans="1:2">
      <c r="A467" s="3">
        <f ca="1">IFERROR(__xludf.DUMMYFUNCTION("""COMPUTED_VALUE"""),42401.6666666666)</f>
        <v>42401.666666666599</v>
      </c>
      <c r="B467" s="1">
        <f ca="1">IFERROR(__xludf.DUMMYFUNCTION("""COMPUTED_VALUE"""),37.6)</f>
        <v>37.6</v>
      </c>
    </row>
    <row r="468" spans="1:2">
      <c r="A468" s="3">
        <f ca="1">IFERROR(__xludf.DUMMYFUNCTION("""COMPUTED_VALUE"""),42402.6666666666)</f>
        <v>42402.666666666599</v>
      </c>
      <c r="B468" s="1">
        <f ca="1">IFERROR(__xludf.DUMMYFUNCTION("""COMPUTED_VALUE"""),38.23)</f>
        <v>38.229999999999997</v>
      </c>
    </row>
    <row r="469" spans="1:2">
      <c r="A469" s="3">
        <f ca="1">IFERROR(__xludf.DUMMYFUNCTION("""COMPUTED_VALUE"""),42403.6666666666)</f>
        <v>42403.666666666599</v>
      </c>
      <c r="B469" s="1">
        <f ca="1">IFERROR(__xludf.DUMMYFUNCTION("""COMPUTED_VALUE"""),36.35)</f>
        <v>36.35</v>
      </c>
    </row>
    <row r="470" spans="1:2">
      <c r="A470" s="3">
        <f ca="1">IFERROR(__xludf.DUMMYFUNCTION("""COMPUTED_VALUE"""),42404.6666666666)</f>
        <v>42404.666666666599</v>
      </c>
      <c r="B470" s="1">
        <f ca="1">IFERROR(__xludf.DUMMYFUNCTION("""COMPUTED_VALUE"""),35.4)</f>
        <v>35.4</v>
      </c>
    </row>
    <row r="471" spans="1:2">
      <c r="A471" s="3">
        <f ca="1">IFERROR(__xludf.DUMMYFUNCTION("""COMPUTED_VALUE"""),42405.6666666666)</f>
        <v>42405.666666666599</v>
      </c>
      <c r="B471" s="1">
        <f ca="1">IFERROR(__xludf.DUMMYFUNCTION("""COMPUTED_VALUE"""),34.18)</f>
        <v>34.18</v>
      </c>
    </row>
    <row r="472" spans="1:2">
      <c r="A472" s="3">
        <f ca="1">IFERROR(__xludf.DUMMYFUNCTION("""COMPUTED_VALUE"""),42408.6666666666)</f>
        <v>42408.666666666599</v>
      </c>
      <c r="B472" s="1">
        <f ca="1">IFERROR(__xludf.DUMMYFUNCTION("""COMPUTED_VALUE"""),34.14)</f>
        <v>34.14</v>
      </c>
    </row>
    <row r="473" spans="1:2">
      <c r="A473" s="3">
        <f ca="1">IFERROR(__xludf.DUMMYFUNCTION("""COMPUTED_VALUE"""),42409.6666666666)</f>
        <v>42409.666666666599</v>
      </c>
      <c r="B473" s="1">
        <f ca="1">IFERROR(__xludf.DUMMYFUNCTION("""COMPUTED_VALUE"""),33.91)</f>
        <v>33.909999999999997</v>
      </c>
    </row>
    <row r="474" spans="1:2">
      <c r="A474" s="3">
        <f ca="1">IFERROR(__xludf.DUMMYFUNCTION("""COMPUTED_VALUE"""),42410.6666666666)</f>
        <v>42410.666666666599</v>
      </c>
      <c r="B474" s="1">
        <f ca="1">IFERROR(__xludf.DUMMYFUNCTION("""COMPUTED_VALUE"""),34.21)</f>
        <v>34.21</v>
      </c>
    </row>
    <row r="475" spans="1:2">
      <c r="A475" s="3">
        <f ca="1">IFERROR(__xludf.DUMMYFUNCTION("""COMPUTED_VALUE"""),42411.6666666666)</f>
        <v>42411.666666666599</v>
      </c>
      <c r="B475" s="1">
        <f ca="1">IFERROR(__xludf.DUMMYFUNCTION("""COMPUTED_VALUE"""),34.16)</f>
        <v>34.159999999999997</v>
      </c>
    </row>
    <row r="476" spans="1:2">
      <c r="A476" s="3">
        <f ca="1">IFERROR(__xludf.DUMMYFUNCTION("""COMPUTED_VALUE"""),42412.6666666666)</f>
        <v>42412.666666666599</v>
      </c>
      <c r="B476" s="1">
        <f ca="1">IFERROR(__xludf.DUMMYFUNCTION("""COMPUTED_VALUE"""),34.12)</f>
        <v>34.119999999999997</v>
      </c>
    </row>
    <row r="477" spans="1:2">
      <c r="A477" s="3">
        <f ca="1">IFERROR(__xludf.DUMMYFUNCTION("""COMPUTED_VALUE"""),42416.6666666666)</f>
        <v>42416.666666666599</v>
      </c>
      <c r="B477" s="1">
        <f ca="1">IFERROR(__xludf.DUMMYFUNCTION("""COMPUTED_VALUE"""),34.55)</f>
        <v>34.549999999999997</v>
      </c>
    </row>
    <row r="478" spans="1:2">
      <c r="A478" s="3">
        <f ca="1">IFERROR(__xludf.DUMMYFUNCTION("""COMPUTED_VALUE"""),42417.6666666666)</f>
        <v>42417.666666666599</v>
      </c>
      <c r="B478" s="1">
        <f ca="1">IFERROR(__xludf.DUMMYFUNCTION("""COMPUTED_VALUE"""),35.42)</f>
        <v>35.42</v>
      </c>
    </row>
    <row r="479" spans="1:2">
      <c r="A479" s="3">
        <f ca="1">IFERROR(__xludf.DUMMYFUNCTION("""COMPUTED_VALUE"""),42418.6666666666)</f>
        <v>42418.666666666599</v>
      </c>
      <c r="B479" s="1">
        <f ca="1">IFERROR(__xludf.DUMMYFUNCTION("""COMPUTED_VALUE"""),34.87)</f>
        <v>34.869999999999997</v>
      </c>
    </row>
    <row r="480" spans="1:2">
      <c r="A480" s="3">
        <f ca="1">IFERROR(__xludf.DUMMYFUNCTION("""COMPUTED_VALUE"""),42419.6666666666)</f>
        <v>42419.666666666599</v>
      </c>
      <c r="B480" s="1">
        <f ca="1">IFERROR(__xludf.DUMMYFUNCTION("""COMPUTED_VALUE"""),35.05)</f>
        <v>35.049999999999997</v>
      </c>
    </row>
    <row r="481" spans="1:2">
      <c r="A481" s="3">
        <f ca="1">IFERROR(__xludf.DUMMYFUNCTION("""COMPUTED_VALUE"""),42422.6666666666)</f>
        <v>42422.666666666599</v>
      </c>
      <c r="B481" s="1">
        <f ca="1">IFERROR(__xludf.DUMMYFUNCTION("""COMPUTED_VALUE"""),35.32)</f>
        <v>35.32</v>
      </c>
    </row>
    <row r="482" spans="1:2">
      <c r="A482" s="3">
        <f ca="1">IFERROR(__xludf.DUMMYFUNCTION("""COMPUTED_VALUE"""),42423.6666666666)</f>
        <v>42423.666666666599</v>
      </c>
      <c r="B482" s="1">
        <f ca="1">IFERROR(__xludf.DUMMYFUNCTION("""COMPUTED_VALUE"""),34.79)</f>
        <v>34.79</v>
      </c>
    </row>
    <row r="483" spans="1:2">
      <c r="A483" s="3">
        <f ca="1">IFERROR(__xludf.DUMMYFUNCTION("""COMPUTED_VALUE"""),42424.6666666666)</f>
        <v>42424.666666666599</v>
      </c>
      <c r="B483" s="1">
        <f ca="1">IFERROR(__xludf.DUMMYFUNCTION("""COMPUTED_VALUE"""),34.98)</f>
        <v>34.979999999999997</v>
      </c>
    </row>
    <row r="484" spans="1:2">
      <c r="A484" s="3">
        <f ca="1">IFERROR(__xludf.DUMMYFUNCTION("""COMPUTED_VALUE"""),42425.6666666666)</f>
        <v>42425.666666666599</v>
      </c>
      <c r="B484" s="1">
        <f ca="1">IFERROR(__xludf.DUMMYFUNCTION("""COMPUTED_VALUE"""),35.29)</f>
        <v>35.29</v>
      </c>
    </row>
    <row r="485" spans="1:2">
      <c r="A485" s="3">
        <f ca="1">IFERROR(__xludf.DUMMYFUNCTION("""COMPUTED_VALUE"""),42426.6666666666)</f>
        <v>42426.666666666599</v>
      </c>
      <c r="B485" s="1">
        <f ca="1">IFERROR(__xludf.DUMMYFUNCTION("""COMPUTED_VALUE"""),35.25)</f>
        <v>35.25</v>
      </c>
    </row>
    <row r="486" spans="1:2">
      <c r="A486" s="3">
        <f ca="1">IFERROR(__xludf.DUMMYFUNCTION("""COMPUTED_VALUE"""),42429.6666666666)</f>
        <v>42429.666666666599</v>
      </c>
      <c r="B486" s="1">
        <f ca="1">IFERROR(__xludf.DUMMYFUNCTION("""COMPUTED_VALUE"""),34.89)</f>
        <v>34.89</v>
      </c>
    </row>
    <row r="487" spans="1:2">
      <c r="A487" s="3">
        <f ca="1">IFERROR(__xludf.DUMMYFUNCTION("""COMPUTED_VALUE"""),42430.6666666666)</f>
        <v>42430.666666666599</v>
      </c>
      <c r="B487" s="1">
        <f ca="1">IFERROR(__xludf.DUMMYFUNCTION("""COMPUTED_VALUE"""),35.94)</f>
        <v>35.94</v>
      </c>
    </row>
    <row r="488" spans="1:2">
      <c r="A488" s="3">
        <f ca="1">IFERROR(__xludf.DUMMYFUNCTION("""COMPUTED_VALUE"""),42431.6666666666)</f>
        <v>42431.666666666599</v>
      </c>
      <c r="B488" s="1">
        <f ca="1">IFERROR(__xludf.DUMMYFUNCTION("""COMPUTED_VALUE"""),35.94)</f>
        <v>35.94</v>
      </c>
    </row>
    <row r="489" spans="1:2">
      <c r="A489" s="3">
        <f ca="1">IFERROR(__xludf.DUMMYFUNCTION("""COMPUTED_VALUE"""),42432.6666666666)</f>
        <v>42432.666666666599</v>
      </c>
      <c r="B489" s="1">
        <f ca="1">IFERROR(__xludf.DUMMYFUNCTION("""COMPUTED_VALUE"""),35.62)</f>
        <v>35.619999999999997</v>
      </c>
    </row>
    <row r="490" spans="1:2">
      <c r="A490" s="3">
        <f ca="1">IFERROR(__xludf.DUMMYFUNCTION("""COMPUTED_VALUE"""),42433.6666666666)</f>
        <v>42433.666666666599</v>
      </c>
      <c r="B490" s="1">
        <f ca="1">IFERROR(__xludf.DUMMYFUNCTION("""COMPUTED_VALUE"""),35.54)</f>
        <v>35.54</v>
      </c>
    </row>
    <row r="491" spans="1:2">
      <c r="A491" s="3">
        <f ca="1">IFERROR(__xludf.DUMMYFUNCTION("""COMPUTED_VALUE"""),42436.6666666666)</f>
        <v>42436.666666666599</v>
      </c>
      <c r="B491" s="1">
        <f ca="1">IFERROR(__xludf.DUMMYFUNCTION("""COMPUTED_VALUE"""),34.76)</f>
        <v>34.76</v>
      </c>
    </row>
    <row r="492" spans="1:2">
      <c r="A492" s="3">
        <f ca="1">IFERROR(__xludf.DUMMYFUNCTION("""COMPUTED_VALUE"""),42437.6666666666)</f>
        <v>42437.666666666599</v>
      </c>
      <c r="B492" s="1">
        <f ca="1">IFERROR(__xludf.DUMMYFUNCTION("""COMPUTED_VALUE"""),34.7)</f>
        <v>34.700000000000003</v>
      </c>
    </row>
    <row r="493" spans="1:2">
      <c r="A493" s="3">
        <f ca="1">IFERROR(__xludf.DUMMYFUNCTION("""COMPUTED_VALUE"""),42438.6666666666)</f>
        <v>42438.666666666599</v>
      </c>
      <c r="B493" s="1">
        <f ca="1">IFERROR(__xludf.DUMMYFUNCTION("""COMPUTED_VALUE"""),35.26)</f>
        <v>35.26</v>
      </c>
    </row>
    <row r="494" spans="1:2">
      <c r="A494" s="3">
        <f ca="1">IFERROR(__xludf.DUMMYFUNCTION("""COMPUTED_VALUE"""),42439.6666666666)</f>
        <v>42439.666666666599</v>
      </c>
      <c r="B494" s="1">
        <f ca="1">IFERROR(__xludf.DUMMYFUNCTION("""COMPUTED_VALUE"""),35.64)</f>
        <v>35.64</v>
      </c>
    </row>
    <row r="495" spans="1:2">
      <c r="A495" s="3">
        <f ca="1">IFERROR(__xludf.DUMMYFUNCTION("""COMPUTED_VALUE"""),42440.6666666666)</f>
        <v>42440.666666666599</v>
      </c>
      <c r="B495" s="1">
        <f ca="1">IFERROR(__xludf.DUMMYFUNCTION("""COMPUTED_VALUE"""),36.34)</f>
        <v>36.340000000000003</v>
      </c>
    </row>
    <row r="496" spans="1:2">
      <c r="A496" s="3">
        <f ca="1">IFERROR(__xludf.DUMMYFUNCTION("""COMPUTED_VALUE"""),42443.6666666666)</f>
        <v>42443.666666666599</v>
      </c>
      <c r="B496" s="1">
        <f ca="1">IFERROR(__xludf.DUMMYFUNCTION("""COMPUTED_VALUE"""),36.52)</f>
        <v>36.520000000000003</v>
      </c>
    </row>
    <row r="497" spans="1:2">
      <c r="A497" s="3">
        <f ca="1">IFERROR(__xludf.DUMMYFUNCTION("""COMPUTED_VALUE"""),42444.6666666666)</f>
        <v>42444.666666666599</v>
      </c>
      <c r="B497" s="1">
        <f ca="1">IFERROR(__xludf.DUMMYFUNCTION("""COMPUTED_VALUE"""),36.42)</f>
        <v>36.42</v>
      </c>
    </row>
    <row r="498" spans="1:2">
      <c r="A498" s="3">
        <f ca="1">IFERROR(__xludf.DUMMYFUNCTION("""COMPUTED_VALUE"""),42445.6666666666)</f>
        <v>42445.666666666599</v>
      </c>
      <c r="B498" s="1">
        <f ca="1">IFERROR(__xludf.DUMMYFUNCTION("""COMPUTED_VALUE"""),36.8)</f>
        <v>36.799999999999997</v>
      </c>
    </row>
    <row r="499" spans="1:2">
      <c r="A499" s="3">
        <f ca="1">IFERROR(__xludf.DUMMYFUNCTION("""COMPUTED_VALUE"""),42446.6666666666)</f>
        <v>42446.666666666599</v>
      </c>
      <c r="B499" s="1">
        <f ca="1">IFERROR(__xludf.DUMMYFUNCTION("""COMPUTED_VALUE"""),36.89)</f>
        <v>36.89</v>
      </c>
    </row>
    <row r="500" spans="1:2">
      <c r="A500" s="3">
        <f ca="1">IFERROR(__xludf.DUMMYFUNCTION("""COMPUTED_VALUE"""),42447.6666666666)</f>
        <v>42447.666666666599</v>
      </c>
      <c r="B500" s="1">
        <f ca="1">IFERROR(__xludf.DUMMYFUNCTION("""COMPUTED_VALUE"""),36.88)</f>
        <v>36.880000000000003</v>
      </c>
    </row>
    <row r="501" spans="1:2">
      <c r="A501" s="3">
        <f ca="1">IFERROR(__xludf.DUMMYFUNCTION("""COMPUTED_VALUE"""),42450.6666666666)</f>
        <v>42450.666666666599</v>
      </c>
      <c r="B501" s="1">
        <f ca="1">IFERROR(__xludf.DUMMYFUNCTION("""COMPUTED_VALUE"""),37.1)</f>
        <v>37.1</v>
      </c>
    </row>
    <row r="502" spans="1:2">
      <c r="A502" s="3">
        <f ca="1">IFERROR(__xludf.DUMMYFUNCTION("""COMPUTED_VALUE"""),42451.6666666666)</f>
        <v>42451.666666666599</v>
      </c>
      <c r="B502" s="1">
        <f ca="1">IFERROR(__xludf.DUMMYFUNCTION("""COMPUTED_VALUE"""),37.04)</f>
        <v>37.04</v>
      </c>
    </row>
    <row r="503" spans="1:2">
      <c r="A503" s="3">
        <f ca="1">IFERROR(__xludf.DUMMYFUNCTION("""COMPUTED_VALUE"""),42452.6666666666)</f>
        <v>42452.666666666599</v>
      </c>
      <c r="B503" s="1">
        <f ca="1">IFERROR(__xludf.DUMMYFUNCTION("""COMPUTED_VALUE"""),36.9)</f>
        <v>36.9</v>
      </c>
    </row>
    <row r="504" spans="1:2">
      <c r="A504" s="3">
        <f ca="1">IFERROR(__xludf.DUMMYFUNCTION("""COMPUTED_VALUE"""),42453.6666666666)</f>
        <v>42453.666666666599</v>
      </c>
      <c r="B504" s="1">
        <f ca="1">IFERROR(__xludf.DUMMYFUNCTION("""COMPUTED_VALUE"""),36.77)</f>
        <v>36.770000000000003</v>
      </c>
    </row>
    <row r="505" spans="1:2">
      <c r="A505" s="3">
        <f ca="1">IFERROR(__xludf.DUMMYFUNCTION("""COMPUTED_VALUE"""),42457.6666666666)</f>
        <v>42457.666666666599</v>
      </c>
      <c r="B505" s="1">
        <f ca="1">IFERROR(__xludf.DUMMYFUNCTION("""COMPUTED_VALUE"""),36.68)</f>
        <v>36.68</v>
      </c>
    </row>
    <row r="506" spans="1:2">
      <c r="A506" s="3">
        <f ca="1">IFERROR(__xludf.DUMMYFUNCTION("""COMPUTED_VALUE"""),42458.6666666666)</f>
        <v>42458.666666666599</v>
      </c>
      <c r="B506" s="1">
        <f ca="1">IFERROR(__xludf.DUMMYFUNCTION("""COMPUTED_VALUE"""),37.24)</f>
        <v>37.24</v>
      </c>
    </row>
    <row r="507" spans="1:2">
      <c r="A507" s="3">
        <f ca="1">IFERROR(__xludf.DUMMYFUNCTION("""COMPUTED_VALUE"""),42459.6666666666)</f>
        <v>42459.666666666599</v>
      </c>
      <c r="B507" s="1">
        <f ca="1">IFERROR(__xludf.DUMMYFUNCTION("""COMPUTED_VALUE"""),37.53)</f>
        <v>37.53</v>
      </c>
    </row>
    <row r="508" spans="1:2">
      <c r="A508" s="3">
        <f ca="1">IFERROR(__xludf.DUMMYFUNCTION("""COMPUTED_VALUE"""),42460.6666666666)</f>
        <v>42460.666666666599</v>
      </c>
      <c r="B508" s="1">
        <f ca="1">IFERROR(__xludf.DUMMYFUNCTION("""COMPUTED_VALUE"""),37.25)</f>
        <v>37.25</v>
      </c>
    </row>
    <row r="509" spans="1:2">
      <c r="A509" s="3">
        <f ca="1">IFERROR(__xludf.DUMMYFUNCTION("""COMPUTED_VALUE"""),42461.6666666666)</f>
        <v>42461.666666666599</v>
      </c>
      <c r="B509" s="1">
        <f ca="1">IFERROR(__xludf.DUMMYFUNCTION("""COMPUTED_VALUE"""),37.5)</f>
        <v>37.5</v>
      </c>
    </row>
    <row r="510" spans="1:2">
      <c r="A510" s="3">
        <f ca="1">IFERROR(__xludf.DUMMYFUNCTION("""COMPUTED_VALUE"""),42464.6666666666)</f>
        <v>42464.666666666599</v>
      </c>
      <c r="B510" s="1">
        <f ca="1">IFERROR(__xludf.DUMMYFUNCTION("""COMPUTED_VALUE"""),37.26)</f>
        <v>37.26</v>
      </c>
    </row>
    <row r="511" spans="1:2">
      <c r="A511" s="3">
        <f ca="1">IFERROR(__xludf.DUMMYFUNCTION("""COMPUTED_VALUE"""),42465.6666666666)</f>
        <v>42465.666666666599</v>
      </c>
      <c r="B511" s="1">
        <f ca="1">IFERROR(__xludf.DUMMYFUNCTION("""COMPUTED_VALUE"""),36.89)</f>
        <v>36.89</v>
      </c>
    </row>
    <row r="512" spans="1:2">
      <c r="A512" s="3">
        <f ca="1">IFERROR(__xludf.DUMMYFUNCTION("""COMPUTED_VALUE"""),42466.6666666666)</f>
        <v>42466.666666666599</v>
      </c>
      <c r="B512" s="1">
        <f ca="1">IFERROR(__xludf.DUMMYFUNCTION("""COMPUTED_VALUE"""),37.28)</f>
        <v>37.28</v>
      </c>
    </row>
    <row r="513" spans="1:2">
      <c r="A513" s="3">
        <f ca="1">IFERROR(__xludf.DUMMYFUNCTION("""COMPUTED_VALUE"""),42467.6666666666)</f>
        <v>42467.666666666599</v>
      </c>
      <c r="B513" s="1">
        <f ca="1">IFERROR(__xludf.DUMMYFUNCTION("""COMPUTED_VALUE"""),37.01)</f>
        <v>37.01</v>
      </c>
    </row>
    <row r="514" spans="1:2">
      <c r="A514" s="3">
        <f ca="1">IFERROR(__xludf.DUMMYFUNCTION("""COMPUTED_VALUE"""),42468.6666666666)</f>
        <v>42468.666666666599</v>
      </c>
      <c r="B514" s="1">
        <f ca="1">IFERROR(__xludf.DUMMYFUNCTION("""COMPUTED_VALUE"""),36.96)</f>
        <v>36.96</v>
      </c>
    </row>
    <row r="515" spans="1:2">
      <c r="A515" s="3">
        <f ca="1">IFERROR(__xludf.DUMMYFUNCTION("""COMPUTED_VALUE"""),42471.6666666666)</f>
        <v>42471.666666666599</v>
      </c>
      <c r="B515" s="1">
        <f ca="1">IFERROR(__xludf.DUMMYFUNCTION("""COMPUTED_VALUE"""),36.81)</f>
        <v>36.81</v>
      </c>
    </row>
    <row r="516" spans="1:2">
      <c r="A516" s="3">
        <f ca="1">IFERROR(__xludf.DUMMYFUNCTION("""COMPUTED_VALUE"""),42472.6666666666)</f>
        <v>42472.666666666599</v>
      </c>
      <c r="B516" s="1">
        <f ca="1">IFERROR(__xludf.DUMMYFUNCTION("""COMPUTED_VALUE"""),37.15)</f>
        <v>37.15</v>
      </c>
    </row>
    <row r="517" spans="1:2">
      <c r="A517" s="3">
        <f ca="1">IFERROR(__xludf.DUMMYFUNCTION("""COMPUTED_VALUE"""),42473.6666666666)</f>
        <v>42473.666666666599</v>
      </c>
      <c r="B517" s="1">
        <f ca="1">IFERROR(__xludf.DUMMYFUNCTION("""COMPUTED_VALUE"""),37.59)</f>
        <v>37.590000000000003</v>
      </c>
    </row>
    <row r="518" spans="1:2">
      <c r="A518" s="3">
        <f ca="1">IFERROR(__xludf.DUMMYFUNCTION("""COMPUTED_VALUE"""),42474.6666666666)</f>
        <v>42474.666666666599</v>
      </c>
      <c r="B518" s="1">
        <f ca="1">IFERROR(__xludf.DUMMYFUNCTION("""COMPUTED_VALUE"""),37.66)</f>
        <v>37.659999999999997</v>
      </c>
    </row>
    <row r="519" spans="1:2">
      <c r="A519" s="3">
        <f ca="1">IFERROR(__xludf.DUMMYFUNCTION("""COMPUTED_VALUE"""),42475.6666666666)</f>
        <v>42475.666666666599</v>
      </c>
      <c r="B519" s="1">
        <f ca="1">IFERROR(__xludf.DUMMYFUNCTION("""COMPUTED_VALUE"""),37.95)</f>
        <v>37.950000000000003</v>
      </c>
    </row>
    <row r="520" spans="1:2">
      <c r="A520" s="3">
        <f ca="1">IFERROR(__xludf.DUMMYFUNCTION("""COMPUTED_VALUE"""),42478.6666666666)</f>
        <v>42478.666666666599</v>
      </c>
      <c r="B520" s="1">
        <f ca="1">IFERROR(__xludf.DUMMYFUNCTION("""COMPUTED_VALUE"""),38.33)</f>
        <v>38.33</v>
      </c>
    </row>
    <row r="521" spans="1:2">
      <c r="A521" s="3">
        <f ca="1">IFERROR(__xludf.DUMMYFUNCTION("""COMPUTED_VALUE"""),42479.6666666666)</f>
        <v>42479.666666666599</v>
      </c>
      <c r="B521" s="1">
        <f ca="1">IFERROR(__xludf.DUMMYFUNCTION("""COMPUTED_VALUE"""),37.7)</f>
        <v>37.700000000000003</v>
      </c>
    </row>
    <row r="522" spans="1:2">
      <c r="A522" s="3">
        <f ca="1">IFERROR(__xludf.DUMMYFUNCTION("""COMPUTED_VALUE"""),42480.6666666666)</f>
        <v>42480.666666666599</v>
      </c>
      <c r="B522" s="1">
        <f ca="1">IFERROR(__xludf.DUMMYFUNCTION("""COMPUTED_VALUE"""),37.63)</f>
        <v>37.630000000000003</v>
      </c>
    </row>
    <row r="523" spans="1:2">
      <c r="A523" s="3">
        <f ca="1">IFERROR(__xludf.DUMMYFUNCTION("""COMPUTED_VALUE"""),42481.6666666666)</f>
        <v>42481.666666666599</v>
      </c>
      <c r="B523" s="1">
        <f ca="1">IFERROR(__xludf.DUMMYFUNCTION("""COMPUTED_VALUE"""),37.96)</f>
        <v>37.96</v>
      </c>
    </row>
    <row r="524" spans="1:2">
      <c r="A524" s="3">
        <f ca="1">IFERROR(__xludf.DUMMYFUNCTION("""COMPUTED_VALUE"""),42482.6666666666)</f>
        <v>42482.666666666599</v>
      </c>
      <c r="B524" s="1">
        <f ca="1">IFERROR(__xludf.DUMMYFUNCTION("""COMPUTED_VALUE"""),35.94)</f>
        <v>35.94</v>
      </c>
    </row>
    <row r="525" spans="1:2">
      <c r="A525" s="3">
        <f ca="1">IFERROR(__xludf.DUMMYFUNCTION("""COMPUTED_VALUE"""),42485.6666666666)</f>
        <v>42485.666666666599</v>
      </c>
      <c r="B525" s="1">
        <f ca="1">IFERROR(__xludf.DUMMYFUNCTION("""COMPUTED_VALUE"""),36.16)</f>
        <v>36.159999999999997</v>
      </c>
    </row>
    <row r="526" spans="1:2">
      <c r="A526" s="3">
        <f ca="1">IFERROR(__xludf.DUMMYFUNCTION("""COMPUTED_VALUE"""),42486.6666666666)</f>
        <v>42486.666666666599</v>
      </c>
      <c r="B526" s="1">
        <f ca="1">IFERROR(__xludf.DUMMYFUNCTION("""COMPUTED_VALUE"""),35.41)</f>
        <v>35.409999999999997</v>
      </c>
    </row>
    <row r="527" spans="1:2">
      <c r="A527" s="3">
        <f ca="1">IFERROR(__xludf.DUMMYFUNCTION("""COMPUTED_VALUE"""),42487.6666666666)</f>
        <v>42487.666666666599</v>
      </c>
      <c r="B527" s="1">
        <f ca="1">IFERROR(__xludf.DUMMYFUNCTION("""COMPUTED_VALUE"""),35.29)</f>
        <v>35.29</v>
      </c>
    </row>
    <row r="528" spans="1:2">
      <c r="A528" s="3">
        <f ca="1">IFERROR(__xludf.DUMMYFUNCTION("""COMPUTED_VALUE"""),42488.6666666666)</f>
        <v>42488.666666666599</v>
      </c>
      <c r="B528" s="1">
        <f ca="1">IFERROR(__xludf.DUMMYFUNCTION("""COMPUTED_VALUE"""),34.55)</f>
        <v>34.549999999999997</v>
      </c>
    </row>
    <row r="529" spans="1:2">
      <c r="A529" s="3">
        <f ca="1">IFERROR(__xludf.DUMMYFUNCTION("""COMPUTED_VALUE"""),42489.6666666666)</f>
        <v>42489.666666666599</v>
      </c>
      <c r="B529" s="1">
        <f ca="1">IFERROR(__xludf.DUMMYFUNCTION("""COMPUTED_VALUE"""),34.65)</f>
        <v>34.65</v>
      </c>
    </row>
    <row r="530" spans="1:2">
      <c r="A530" s="3">
        <f ca="1">IFERROR(__xludf.DUMMYFUNCTION("""COMPUTED_VALUE"""),42492.6666666666)</f>
        <v>42492.666666666599</v>
      </c>
      <c r="B530" s="1">
        <f ca="1">IFERROR(__xludf.DUMMYFUNCTION("""COMPUTED_VALUE"""),34.91)</f>
        <v>34.909999999999997</v>
      </c>
    </row>
    <row r="531" spans="1:2">
      <c r="A531" s="3">
        <f ca="1">IFERROR(__xludf.DUMMYFUNCTION("""COMPUTED_VALUE"""),42493.6666666666)</f>
        <v>42493.666666666599</v>
      </c>
      <c r="B531" s="1">
        <f ca="1">IFERROR(__xludf.DUMMYFUNCTION("""COMPUTED_VALUE"""),34.62)</f>
        <v>34.619999999999997</v>
      </c>
    </row>
    <row r="532" spans="1:2">
      <c r="A532" s="3">
        <f ca="1">IFERROR(__xludf.DUMMYFUNCTION("""COMPUTED_VALUE"""),42494.6666666666)</f>
        <v>42494.666666666599</v>
      </c>
      <c r="B532" s="1">
        <f ca="1">IFERROR(__xludf.DUMMYFUNCTION("""COMPUTED_VALUE"""),34.78)</f>
        <v>34.78</v>
      </c>
    </row>
    <row r="533" spans="1:2">
      <c r="A533" s="3">
        <f ca="1">IFERROR(__xludf.DUMMYFUNCTION("""COMPUTED_VALUE"""),42495.6666666666)</f>
        <v>42495.666666666599</v>
      </c>
      <c r="B533" s="1">
        <f ca="1">IFERROR(__xludf.DUMMYFUNCTION("""COMPUTED_VALUE"""),35.07)</f>
        <v>35.07</v>
      </c>
    </row>
    <row r="534" spans="1:2">
      <c r="A534" s="3">
        <f ca="1">IFERROR(__xludf.DUMMYFUNCTION("""COMPUTED_VALUE"""),42496.6666666666)</f>
        <v>42496.666666666599</v>
      </c>
      <c r="B534" s="1">
        <f ca="1">IFERROR(__xludf.DUMMYFUNCTION("""COMPUTED_VALUE"""),35.56)</f>
        <v>35.56</v>
      </c>
    </row>
    <row r="535" spans="1:2">
      <c r="A535" s="3">
        <f ca="1">IFERROR(__xludf.DUMMYFUNCTION("""COMPUTED_VALUE"""),42499.6666666666)</f>
        <v>42499.666666666599</v>
      </c>
      <c r="B535" s="1">
        <f ca="1">IFERROR(__xludf.DUMMYFUNCTION("""COMPUTED_VALUE"""),35.65)</f>
        <v>35.65</v>
      </c>
    </row>
    <row r="536" spans="1:2">
      <c r="A536" s="3">
        <f ca="1">IFERROR(__xludf.DUMMYFUNCTION("""COMPUTED_VALUE"""),42500.6666666666)</f>
        <v>42500.666666666599</v>
      </c>
      <c r="B536" s="1">
        <f ca="1">IFERROR(__xludf.DUMMYFUNCTION("""COMPUTED_VALUE"""),36.16)</f>
        <v>36.159999999999997</v>
      </c>
    </row>
    <row r="537" spans="1:2">
      <c r="A537" s="3">
        <f ca="1">IFERROR(__xludf.DUMMYFUNCTION("""COMPUTED_VALUE"""),42501.6666666666)</f>
        <v>42501.666666666599</v>
      </c>
      <c r="B537" s="1">
        <f ca="1">IFERROR(__xludf.DUMMYFUNCTION("""COMPUTED_VALUE"""),35.76)</f>
        <v>35.76</v>
      </c>
    </row>
    <row r="538" spans="1:2">
      <c r="A538" s="3">
        <f ca="1">IFERROR(__xludf.DUMMYFUNCTION("""COMPUTED_VALUE"""),42502.6666666666)</f>
        <v>42502.666666666599</v>
      </c>
      <c r="B538" s="1">
        <f ca="1">IFERROR(__xludf.DUMMYFUNCTION("""COMPUTED_VALUE"""),35.67)</f>
        <v>35.67</v>
      </c>
    </row>
    <row r="539" spans="1:2">
      <c r="A539" s="3">
        <f ca="1">IFERROR(__xludf.DUMMYFUNCTION("""COMPUTED_VALUE"""),42503.6666666666)</f>
        <v>42503.666666666599</v>
      </c>
      <c r="B539" s="1">
        <f ca="1">IFERROR(__xludf.DUMMYFUNCTION("""COMPUTED_VALUE"""),35.54)</f>
        <v>35.54</v>
      </c>
    </row>
    <row r="540" spans="1:2">
      <c r="A540" s="3">
        <f ca="1">IFERROR(__xludf.DUMMYFUNCTION("""COMPUTED_VALUE"""),42506.6666666666)</f>
        <v>42506.666666666599</v>
      </c>
      <c r="B540" s="1">
        <f ca="1">IFERROR(__xludf.DUMMYFUNCTION("""COMPUTED_VALUE"""),35.82)</f>
        <v>35.82</v>
      </c>
    </row>
    <row r="541" spans="1:2">
      <c r="A541" s="3">
        <f ca="1">IFERROR(__xludf.DUMMYFUNCTION("""COMPUTED_VALUE"""),42507.6666666666)</f>
        <v>42507.666666666599</v>
      </c>
      <c r="B541" s="1">
        <f ca="1">IFERROR(__xludf.DUMMYFUNCTION("""COMPUTED_VALUE"""),35.31)</f>
        <v>35.31</v>
      </c>
    </row>
    <row r="542" spans="1:2">
      <c r="A542" s="3">
        <f ca="1">IFERROR(__xludf.DUMMYFUNCTION("""COMPUTED_VALUE"""),42508.6666666666)</f>
        <v>42508.666666666599</v>
      </c>
      <c r="B542" s="1">
        <f ca="1">IFERROR(__xludf.DUMMYFUNCTION("""COMPUTED_VALUE"""),35.33)</f>
        <v>35.33</v>
      </c>
    </row>
    <row r="543" spans="1:2">
      <c r="A543" s="3">
        <f ca="1">IFERROR(__xludf.DUMMYFUNCTION("""COMPUTED_VALUE"""),42509.6666666666)</f>
        <v>42509.666666666599</v>
      </c>
      <c r="B543" s="1">
        <f ca="1">IFERROR(__xludf.DUMMYFUNCTION("""COMPUTED_VALUE"""),35.02)</f>
        <v>35.020000000000003</v>
      </c>
    </row>
    <row r="544" spans="1:2">
      <c r="A544" s="3">
        <f ca="1">IFERROR(__xludf.DUMMYFUNCTION("""COMPUTED_VALUE"""),42510.6666666666)</f>
        <v>42510.666666666599</v>
      </c>
      <c r="B544" s="1">
        <f ca="1">IFERROR(__xludf.DUMMYFUNCTION("""COMPUTED_VALUE"""),35.49)</f>
        <v>35.49</v>
      </c>
    </row>
    <row r="545" spans="1:2">
      <c r="A545" s="3">
        <f ca="1">IFERROR(__xludf.DUMMYFUNCTION("""COMPUTED_VALUE"""),42513.6666666666)</f>
        <v>42513.666666666599</v>
      </c>
      <c r="B545" s="1">
        <f ca="1">IFERROR(__xludf.DUMMYFUNCTION("""COMPUTED_VALUE"""),35.21)</f>
        <v>35.21</v>
      </c>
    </row>
    <row r="546" spans="1:2">
      <c r="A546" s="3">
        <f ca="1">IFERROR(__xludf.DUMMYFUNCTION("""COMPUTED_VALUE"""),42514.6666666666)</f>
        <v>42514.666666666599</v>
      </c>
      <c r="B546" s="1">
        <f ca="1">IFERROR(__xludf.DUMMYFUNCTION("""COMPUTED_VALUE"""),36)</f>
        <v>36</v>
      </c>
    </row>
    <row r="547" spans="1:2">
      <c r="A547" s="3">
        <f ca="1">IFERROR(__xludf.DUMMYFUNCTION("""COMPUTED_VALUE"""),42515.6666666666)</f>
        <v>42515.666666666599</v>
      </c>
      <c r="B547" s="1">
        <f ca="1">IFERROR(__xludf.DUMMYFUNCTION("""COMPUTED_VALUE"""),36.26)</f>
        <v>36.26</v>
      </c>
    </row>
    <row r="548" spans="1:2">
      <c r="A548" s="3">
        <f ca="1">IFERROR(__xludf.DUMMYFUNCTION("""COMPUTED_VALUE"""),42516.6666666666)</f>
        <v>42516.666666666599</v>
      </c>
      <c r="B548" s="1">
        <f ca="1">IFERROR(__xludf.DUMMYFUNCTION("""COMPUTED_VALUE"""),36.21)</f>
        <v>36.21</v>
      </c>
    </row>
    <row r="549" spans="1:2">
      <c r="A549" s="3">
        <f ca="1">IFERROR(__xludf.DUMMYFUNCTION("""COMPUTED_VALUE"""),42517.6666666666)</f>
        <v>42517.666666666599</v>
      </c>
      <c r="B549" s="1">
        <f ca="1">IFERROR(__xludf.DUMMYFUNCTION("""COMPUTED_VALUE"""),36.63)</f>
        <v>36.630000000000003</v>
      </c>
    </row>
    <row r="550" spans="1:2">
      <c r="A550" s="3">
        <f ca="1">IFERROR(__xludf.DUMMYFUNCTION("""COMPUTED_VALUE"""),42521.6666666666)</f>
        <v>42521.666666666599</v>
      </c>
      <c r="B550" s="1">
        <f ca="1">IFERROR(__xludf.DUMMYFUNCTION("""COMPUTED_VALUE"""),36.79)</f>
        <v>36.79</v>
      </c>
    </row>
    <row r="551" spans="1:2">
      <c r="A551" s="3">
        <f ca="1">IFERROR(__xludf.DUMMYFUNCTION("""COMPUTED_VALUE"""),42522.6666666666)</f>
        <v>42522.666666666599</v>
      </c>
      <c r="B551" s="1">
        <f ca="1">IFERROR(__xludf.DUMMYFUNCTION("""COMPUTED_VALUE"""),36.71)</f>
        <v>36.71</v>
      </c>
    </row>
    <row r="552" spans="1:2">
      <c r="A552" s="3">
        <f ca="1">IFERROR(__xludf.DUMMYFUNCTION("""COMPUTED_VALUE"""),42523.6666666666)</f>
        <v>42523.666666666599</v>
      </c>
      <c r="B552" s="1">
        <f ca="1">IFERROR(__xludf.DUMMYFUNCTION("""COMPUTED_VALUE"""),36.52)</f>
        <v>36.520000000000003</v>
      </c>
    </row>
    <row r="553" spans="1:2">
      <c r="A553" s="3">
        <f ca="1">IFERROR(__xludf.DUMMYFUNCTION("""COMPUTED_VALUE"""),42524.6666666666)</f>
        <v>42524.666666666599</v>
      </c>
      <c r="B553" s="1">
        <f ca="1">IFERROR(__xludf.DUMMYFUNCTION("""COMPUTED_VALUE"""),36.12)</f>
        <v>36.119999999999997</v>
      </c>
    </row>
    <row r="554" spans="1:2">
      <c r="A554" s="3">
        <f ca="1">IFERROR(__xludf.DUMMYFUNCTION("""COMPUTED_VALUE"""),42527.6666666666)</f>
        <v>42527.666666666599</v>
      </c>
      <c r="B554" s="1">
        <f ca="1">IFERROR(__xludf.DUMMYFUNCTION("""COMPUTED_VALUE"""),35.83)</f>
        <v>35.83</v>
      </c>
    </row>
    <row r="555" spans="1:2">
      <c r="A555" s="3">
        <f ca="1">IFERROR(__xludf.DUMMYFUNCTION("""COMPUTED_VALUE"""),42528.6666666666)</f>
        <v>42528.666666666599</v>
      </c>
      <c r="B555" s="1">
        <f ca="1">IFERROR(__xludf.DUMMYFUNCTION("""COMPUTED_VALUE"""),35.83)</f>
        <v>35.83</v>
      </c>
    </row>
    <row r="556" spans="1:2">
      <c r="A556" s="3">
        <f ca="1">IFERROR(__xludf.DUMMYFUNCTION("""COMPUTED_VALUE"""),42529.6666666666)</f>
        <v>42529.666666666599</v>
      </c>
      <c r="B556" s="1">
        <f ca="1">IFERROR(__xludf.DUMMYFUNCTION("""COMPUTED_VALUE"""),36.41)</f>
        <v>36.409999999999997</v>
      </c>
    </row>
    <row r="557" spans="1:2">
      <c r="A557" s="3">
        <f ca="1">IFERROR(__xludf.DUMMYFUNCTION("""COMPUTED_VALUE"""),42530.6666666666)</f>
        <v>42530.666666666599</v>
      </c>
      <c r="B557" s="1">
        <f ca="1">IFERROR(__xludf.DUMMYFUNCTION("""COMPUTED_VALUE"""),36.43)</f>
        <v>36.43</v>
      </c>
    </row>
    <row r="558" spans="1:2">
      <c r="A558" s="3">
        <f ca="1">IFERROR(__xludf.DUMMYFUNCTION("""COMPUTED_VALUE"""),42531.6666666666)</f>
        <v>42531.666666666599</v>
      </c>
      <c r="B558" s="1">
        <f ca="1">IFERROR(__xludf.DUMMYFUNCTION("""COMPUTED_VALUE"""),35.97)</f>
        <v>35.97</v>
      </c>
    </row>
    <row r="559" spans="1:2">
      <c r="A559" s="3">
        <f ca="1">IFERROR(__xludf.DUMMYFUNCTION("""COMPUTED_VALUE"""),42534.6666666666)</f>
        <v>42534.666666666599</v>
      </c>
      <c r="B559" s="1">
        <f ca="1">IFERROR(__xludf.DUMMYFUNCTION("""COMPUTED_VALUE"""),35.92)</f>
        <v>35.92</v>
      </c>
    </row>
    <row r="560" spans="1:2">
      <c r="A560" s="3">
        <f ca="1">IFERROR(__xludf.DUMMYFUNCTION("""COMPUTED_VALUE"""),42535.6666666666)</f>
        <v>42535.666666666599</v>
      </c>
      <c r="B560" s="1">
        <f ca="1">IFERROR(__xludf.DUMMYFUNCTION("""COMPUTED_VALUE"""),35.91)</f>
        <v>35.909999999999997</v>
      </c>
    </row>
    <row r="561" spans="1:2">
      <c r="A561" s="3">
        <f ca="1">IFERROR(__xludf.DUMMYFUNCTION("""COMPUTED_VALUE"""),42536.6666666666)</f>
        <v>42536.666666666599</v>
      </c>
      <c r="B561" s="1">
        <f ca="1">IFERROR(__xludf.DUMMYFUNCTION("""COMPUTED_VALUE"""),35.95)</f>
        <v>35.950000000000003</v>
      </c>
    </row>
    <row r="562" spans="1:2">
      <c r="A562" s="3">
        <f ca="1">IFERROR(__xludf.DUMMYFUNCTION("""COMPUTED_VALUE"""),42537.6666666666)</f>
        <v>42537.666666666599</v>
      </c>
      <c r="B562" s="1">
        <f ca="1">IFERROR(__xludf.DUMMYFUNCTION("""COMPUTED_VALUE"""),35.52)</f>
        <v>35.520000000000003</v>
      </c>
    </row>
    <row r="563" spans="1:2">
      <c r="A563" s="3">
        <f ca="1">IFERROR(__xludf.DUMMYFUNCTION("""COMPUTED_VALUE"""),42538.6666666666)</f>
        <v>42538.666666666599</v>
      </c>
      <c r="B563" s="1">
        <f ca="1">IFERROR(__xludf.DUMMYFUNCTION("""COMPUTED_VALUE"""),34.59)</f>
        <v>34.590000000000003</v>
      </c>
    </row>
    <row r="564" spans="1:2">
      <c r="A564" s="3">
        <f ca="1">IFERROR(__xludf.DUMMYFUNCTION("""COMPUTED_VALUE"""),42541.6666666666)</f>
        <v>42541.666666666599</v>
      </c>
      <c r="B564" s="1">
        <f ca="1">IFERROR(__xludf.DUMMYFUNCTION("""COMPUTED_VALUE"""),34.69)</f>
        <v>34.69</v>
      </c>
    </row>
    <row r="565" spans="1:2">
      <c r="A565" s="3">
        <f ca="1">IFERROR(__xludf.DUMMYFUNCTION("""COMPUTED_VALUE"""),42542.6666666666)</f>
        <v>42542.666666666599</v>
      </c>
      <c r="B565" s="1">
        <f ca="1">IFERROR(__xludf.DUMMYFUNCTION("""COMPUTED_VALUE"""),34.8)</f>
        <v>34.799999999999997</v>
      </c>
    </row>
    <row r="566" spans="1:2">
      <c r="A566" s="3">
        <f ca="1">IFERROR(__xludf.DUMMYFUNCTION("""COMPUTED_VALUE"""),42543.6666666666)</f>
        <v>42543.666666666599</v>
      </c>
      <c r="B566" s="1">
        <f ca="1">IFERROR(__xludf.DUMMYFUNCTION("""COMPUTED_VALUE"""),34.87)</f>
        <v>34.869999999999997</v>
      </c>
    </row>
    <row r="567" spans="1:2">
      <c r="A567" s="3">
        <f ca="1">IFERROR(__xludf.DUMMYFUNCTION("""COMPUTED_VALUE"""),42544.6666666666)</f>
        <v>42544.666666666599</v>
      </c>
      <c r="B567" s="1">
        <f ca="1">IFERROR(__xludf.DUMMYFUNCTION("""COMPUTED_VALUE"""),35.09)</f>
        <v>35.090000000000003</v>
      </c>
    </row>
    <row r="568" spans="1:2">
      <c r="A568" s="3">
        <f ca="1">IFERROR(__xludf.DUMMYFUNCTION("""COMPUTED_VALUE"""),42545.6666666666)</f>
        <v>42545.666666666599</v>
      </c>
      <c r="B568" s="1">
        <f ca="1">IFERROR(__xludf.DUMMYFUNCTION("""COMPUTED_VALUE"""),33.76)</f>
        <v>33.76</v>
      </c>
    </row>
    <row r="569" spans="1:2">
      <c r="A569" s="3">
        <f ca="1">IFERROR(__xludf.DUMMYFUNCTION("""COMPUTED_VALUE"""),42548.6666666666)</f>
        <v>42548.666666666599</v>
      </c>
      <c r="B569" s="1">
        <f ca="1">IFERROR(__xludf.DUMMYFUNCTION("""COMPUTED_VALUE"""),33.41)</f>
        <v>33.409999999999997</v>
      </c>
    </row>
    <row r="570" spans="1:2">
      <c r="A570" s="3">
        <f ca="1">IFERROR(__xludf.DUMMYFUNCTION("""COMPUTED_VALUE"""),42549.6666666666)</f>
        <v>42549.666666666599</v>
      </c>
      <c r="B570" s="1">
        <f ca="1">IFERROR(__xludf.DUMMYFUNCTION("""COMPUTED_VALUE"""),34)</f>
        <v>34</v>
      </c>
    </row>
    <row r="571" spans="1:2">
      <c r="A571" s="3">
        <f ca="1">IFERROR(__xludf.DUMMYFUNCTION("""COMPUTED_VALUE"""),42550.6666666666)</f>
        <v>42550.666666666599</v>
      </c>
      <c r="B571" s="1">
        <f ca="1">IFERROR(__xludf.DUMMYFUNCTION("""COMPUTED_VALUE"""),34.21)</f>
        <v>34.21</v>
      </c>
    </row>
    <row r="572" spans="1:2">
      <c r="A572" s="3">
        <f ca="1">IFERROR(__xludf.DUMMYFUNCTION("""COMPUTED_VALUE"""),42551.6666666666)</f>
        <v>42551.666666666599</v>
      </c>
      <c r="B572" s="1">
        <f ca="1">IFERROR(__xludf.DUMMYFUNCTION("""COMPUTED_VALUE"""),34.6)</f>
        <v>34.6</v>
      </c>
    </row>
    <row r="573" spans="1:2">
      <c r="A573" s="3">
        <f ca="1">IFERROR(__xludf.DUMMYFUNCTION("""COMPUTED_VALUE"""),42552.6666666666)</f>
        <v>42552.666666666599</v>
      </c>
      <c r="B573" s="1">
        <f ca="1">IFERROR(__xludf.DUMMYFUNCTION("""COMPUTED_VALUE"""),34.96)</f>
        <v>34.96</v>
      </c>
    </row>
    <row r="574" spans="1:2">
      <c r="A574" s="3">
        <f ca="1">IFERROR(__xludf.DUMMYFUNCTION("""COMPUTED_VALUE"""),42556.6666666666)</f>
        <v>42556.666666666599</v>
      </c>
      <c r="B574" s="1">
        <f ca="1">IFERROR(__xludf.DUMMYFUNCTION("""COMPUTED_VALUE"""),34.72)</f>
        <v>34.72</v>
      </c>
    </row>
    <row r="575" spans="1:2">
      <c r="A575" s="3">
        <f ca="1">IFERROR(__xludf.DUMMYFUNCTION("""COMPUTED_VALUE"""),42557.6666666666)</f>
        <v>42557.666666666599</v>
      </c>
      <c r="B575" s="1">
        <f ca="1">IFERROR(__xludf.DUMMYFUNCTION("""COMPUTED_VALUE"""),34.89)</f>
        <v>34.89</v>
      </c>
    </row>
    <row r="576" spans="1:2">
      <c r="A576" s="3">
        <f ca="1">IFERROR(__xludf.DUMMYFUNCTION("""COMPUTED_VALUE"""),42558.6666666666)</f>
        <v>42558.666666666599</v>
      </c>
      <c r="B576" s="1">
        <f ca="1">IFERROR(__xludf.DUMMYFUNCTION("""COMPUTED_VALUE"""),34.77)</f>
        <v>34.770000000000003</v>
      </c>
    </row>
    <row r="577" spans="1:2">
      <c r="A577" s="3">
        <f ca="1">IFERROR(__xludf.DUMMYFUNCTION("""COMPUTED_VALUE"""),42559.6666666666)</f>
        <v>42559.666666666599</v>
      </c>
      <c r="B577" s="1">
        <f ca="1">IFERROR(__xludf.DUMMYFUNCTION("""COMPUTED_VALUE"""),35.28)</f>
        <v>35.28</v>
      </c>
    </row>
    <row r="578" spans="1:2">
      <c r="A578" s="3">
        <f ca="1">IFERROR(__xludf.DUMMYFUNCTION("""COMPUTED_VALUE"""),42562.6666666666)</f>
        <v>42562.666666666599</v>
      </c>
      <c r="B578" s="1">
        <f ca="1">IFERROR(__xludf.DUMMYFUNCTION("""COMPUTED_VALUE"""),35.75)</f>
        <v>35.75</v>
      </c>
    </row>
    <row r="579" spans="1:2">
      <c r="A579" s="3">
        <f ca="1">IFERROR(__xludf.DUMMYFUNCTION("""COMPUTED_VALUE"""),42563.6666666666)</f>
        <v>42563.666666666599</v>
      </c>
      <c r="B579" s="1">
        <f ca="1">IFERROR(__xludf.DUMMYFUNCTION("""COMPUTED_VALUE"""),36.03)</f>
        <v>36.03</v>
      </c>
    </row>
    <row r="580" spans="1:2">
      <c r="A580" s="3">
        <f ca="1">IFERROR(__xludf.DUMMYFUNCTION("""COMPUTED_VALUE"""),42564.6666666666)</f>
        <v>42564.666666666599</v>
      </c>
      <c r="B580" s="1">
        <f ca="1">IFERROR(__xludf.DUMMYFUNCTION("""COMPUTED_VALUE"""),35.85)</f>
        <v>35.85</v>
      </c>
    </row>
    <row r="581" spans="1:2">
      <c r="A581" s="3">
        <f ca="1">IFERROR(__xludf.DUMMYFUNCTION("""COMPUTED_VALUE"""),42565.6666666666)</f>
        <v>42565.666666666599</v>
      </c>
      <c r="B581" s="1">
        <f ca="1">IFERROR(__xludf.DUMMYFUNCTION("""COMPUTED_VALUE"""),36.05)</f>
        <v>36.049999999999997</v>
      </c>
    </row>
    <row r="582" spans="1:2">
      <c r="A582" s="3">
        <f ca="1">IFERROR(__xludf.DUMMYFUNCTION("""COMPUTED_VALUE"""),42566.6666666666)</f>
        <v>42566.666666666599</v>
      </c>
      <c r="B582" s="1">
        <f ca="1">IFERROR(__xludf.DUMMYFUNCTION("""COMPUTED_VALUE"""),35.99)</f>
        <v>35.99</v>
      </c>
    </row>
    <row r="583" spans="1:2">
      <c r="A583" s="3">
        <f ca="1">IFERROR(__xludf.DUMMYFUNCTION("""COMPUTED_VALUE"""),42569.6666666666)</f>
        <v>42569.666666666599</v>
      </c>
      <c r="B583" s="1">
        <f ca="1">IFERROR(__xludf.DUMMYFUNCTION("""COMPUTED_VALUE"""),36.69)</f>
        <v>36.69</v>
      </c>
    </row>
    <row r="584" spans="1:2">
      <c r="A584" s="3">
        <f ca="1">IFERROR(__xludf.DUMMYFUNCTION("""COMPUTED_VALUE"""),42570.6666666666)</f>
        <v>42570.666666666599</v>
      </c>
      <c r="B584" s="1">
        <f ca="1">IFERROR(__xludf.DUMMYFUNCTION("""COMPUTED_VALUE"""),36.85)</f>
        <v>36.85</v>
      </c>
    </row>
    <row r="585" spans="1:2">
      <c r="A585" s="3">
        <f ca="1">IFERROR(__xludf.DUMMYFUNCTION("""COMPUTED_VALUE"""),42571.6666666666)</f>
        <v>42571.666666666599</v>
      </c>
      <c r="B585" s="1">
        <f ca="1">IFERROR(__xludf.DUMMYFUNCTION("""COMPUTED_VALUE"""),37.06)</f>
        <v>37.06</v>
      </c>
    </row>
    <row r="586" spans="1:2">
      <c r="A586" s="3">
        <f ca="1">IFERROR(__xludf.DUMMYFUNCTION("""COMPUTED_VALUE"""),42572.6666666666)</f>
        <v>42572.666666666599</v>
      </c>
      <c r="B586" s="1">
        <f ca="1">IFERROR(__xludf.DUMMYFUNCTION("""COMPUTED_VALUE"""),36.93)</f>
        <v>36.93</v>
      </c>
    </row>
    <row r="587" spans="1:2">
      <c r="A587" s="3">
        <f ca="1">IFERROR(__xludf.DUMMYFUNCTION("""COMPUTED_VALUE"""),42573.6666666666)</f>
        <v>42573.666666666599</v>
      </c>
      <c r="B587" s="1">
        <f ca="1">IFERROR(__xludf.DUMMYFUNCTION("""COMPUTED_VALUE"""),37.14)</f>
        <v>37.14</v>
      </c>
    </row>
    <row r="588" spans="1:2">
      <c r="A588" s="3">
        <f ca="1">IFERROR(__xludf.DUMMYFUNCTION("""COMPUTED_VALUE"""),42576.6666666666)</f>
        <v>42576.666666666599</v>
      </c>
      <c r="B588" s="1">
        <f ca="1">IFERROR(__xludf.DUMMYFUNCTION("""COMPUTED_VALUE"""),36.99)</f>
        <v>36.99</v>
      </c>
    </row>
    <row r="589" spans="1:2">
      <c r="A589" s="3">
        <f ca="1">IFERROR(__xludf.DUMMYFUNCTION("""COMPUTED_VALUE"""),42577.6666666666)</f>
        <v>42577.666666666599</v>
      </c>
      <c r="B589" s="1">
        <f ca="1">IFERROR(__xludf.DUMMYFUNCTION("""COMPUTED_VALUE"""),36.92)</f>
        <v>36.92</v>
      </c>
    </row>
    <row r="590" spans="1:2">
      <c r="A590" s="3">
        <f ca="1">IFERROR(__xludf.DUMMYFUNCTION("""COMPUTED_VALUE"""),42578.6666666666)</f>
        <v>42578.666666666599</v>
      </c>
      <c r="B590" s="1">
        <f ca="1">IFERROR(__xludf.DUMMYFUNCTION("""COMPUTED_VALUE"""),37.09)</f>
        <v>37.090000000000003</v>
      </c>
    </row>
    <row r="591" spans="1:2">
      <c r="A591" s="3">
        <f ca="1">IFERROR(__xludf.DUMMYFUNCTION("""COMPUTED_VALUE"""),42579.6666666666)</f>
        <v>42579.666666666599</v>
      </c>
      <c r="B591" s="1">
        <f ca="1">IFERROR(__xludf.DUMMYFUNCTION("""COMPUTED_VALUE"""),37.3)</f>
        <v>37.299999999999997</v>
      </c>
    </row>
    <row r="592" spans="1:2">
      <c r="A592" s="3">
        <f ca="1">IFERROR(__xludf.DUMMYFUNCTION("""COMPUTED_VALUE"""),42580.6666666666)</f>
        <v>42580.666666666599</v>
      </c>
      <c r="B592" s="1">
        <f ca="1">IFERROR(__xludf.DUMMYFUNCTION("""COMPUTED_VALUE"""),38.44)</f>
        <v>38.44</v>
      </c>
    </row>
    <row r="593" spans="1:2">
      <c r="A593" s="3">
        <f ca="1">IFERROR(__xludf.DUMMYFUNCTION("""COMPUTED_VALUE"""),42583.6666666666)</f>
        <v>42583.666666666599</v>
      </c>
      <c r="B593" s="1">
        <f ca="1">IFERROR(__xludf.DUMMYFUNCTION("""COMPUTED_VALUE"""),38.64)</f>
        <v>38.64</v>
      </c>
    </row>
    <row r="594" spans="1:2">
      <c r="A594" s="3">
        <f ca="1">IFERROR(__xludf.DUMMYFUNCTION("""COMPUTED_VALUE"""),42584.6666666666)</f>
        <v>42584.666666666599</v>
      </c>
      <c r="B594" s="1">
        <f ca="1">IFERROR(__xludf.DUMMYFUNCTION("""COMPUTED_VALUE"""),38.55)</f>
        <v>38.549999999999997</v>
      </c>
    </row>
    <row r="595" spans="1:2">
      <c r="A595" s="3">
        <f ca="1">IFERROR(__xludf.DUMMYFUNCTION("""COMPUTED_VALUE"""),42585.6666666666)</f>
        <v>42585.666666666599</v>
      </c>
      <c r="B595" s="1">
        <f ca="1">IFERROR(__xludf.DUMMYFUNCTION("""COMPUTED_VALUE"""),38.66)</f>
        <v>38.659999999999997</v>
      </c>
    </row>
    <row r="596" spans="1:2">
      <c r="A596" s="3">
        <f ca="1">IFERROR(__xludf.DUMMYFUNCTION("""COMPUTED_VALUE"""),42586.6666666666)</f>
        <v>42586.666666666599</v>
      </c>
      <c r="B596" s="1">
        <f ca="1">IFERROR(__xludf.DUMMYFUNCTION("""COMPUTED_VALUE"""),38.58)</f>
        <v>38.58</v>
      </c>
    </row>
    <row r="597" spans="1:2">
      <c r="A597" s="3">
        <f ca="1">IFERROR(__xludf.DUMMYFUNCTION("""COMPUTED_VALUE"""),42587.6666666666)</f>
        <v>42587.666666666599</v>
      </c>
      <c r="B597" s="1">
        <f ca="1">IFERROR(__xludf.DUMMYFUNCTION("""COMPUTED_VALUE"""),39.11)</f>
        <v>39.11</v>
      </c>
    </row>
    <row r="598" spans="1:2">
      <c r="A598" s="3">
        <f ca="1">IFERROR(__xludf.DUMMYFUNCTION("""COMPUTED_VALUE"""),42590.6666666666)</f>
        <v>42590.666666666599</v>
      </c>
      <c r="B598" s="1">
        <f ca="1">IFERROR(__xludf.DUMMYFUNCTION("""COMPUTED_VALUE"""),39.09)</f>
        <v>39.090000000000003</v>
      </c>
    </row>
    <row r="599" spans="1:2">
      <c r="A599" s="3">
        <f ca="1">IFERROR(__xludf.DUMMYFUNCTION("""COMPUTED_VALUE"""),42591.6666666666)</f>
        <v>42591.666666666599</v>
      </c>
      <c r="B599" s="1">
        <f ca="1">IFERROR(__xludf.DUMMYFUNCTION("""COMPUTED_VALUE"""),39.21)</f>
        <v>39.21</v>
      </c>
    </row>
    <row r="600" spans="1:2">
      <c r="A600" s="3">
        <f ca="1">IFERROR(__xludf.DUMMYFUNCTION("""COMPUTED_VALUE"""),42592.6666666666)</f>
        <v>42592.666666666599</v>
      </c>
      <c r="B600" s="1">
        <f ca="1">IFERROR(__xludf.DUMMYFUNCTION("""COMPUTED_VALUE"""),39.23)</f>
        <v>39.229999999999997</v>
      </c>
    </row>
    <row r="601" spans="1:2">
      <c r="A601" s="3">
        <f ca="1">IFERROR(__xludf.DUMMYFUNCTION("""COMPUTED_VALUE"""),42593.6666666666)</f>
        <v>42593.666666666599</v>
      </c>
      <c r="B601" s="1">
        <f ca="1">IFERROR(__xludf.DUMMYFUNCTION("""COMPUTED_VALUE"""),39.24)</f>
        <v>39.24</v>
      </c>
    </row>
    <row r="602" spans="1:2">
      <c r="A602" s="3">
        <f ca="1">IFERROR(__xludf.DUMMYFUNCTION("""COMPUTED_VALUE"""),42594.6666666666)</f>
        <v>42594.666666666599</v>
      </c>
      <c r="B602" s="1">
        <f ca="1">IFERROR(__xludf.DUMMYFUNCTION("""COMPUTED_VALUE"""),39.16)</f>
        <v>39.159999999999997</v>
      </c>
    </row>
    <row r="603" spans="1:2">
      <c r="A603" s="3">
        <f ca="1">IFERROR(__xludf.DUMMYFUNCTION("""COMPUTED_VALUE"""),42597.6666666666)</f>
        <v>42597.666666666599</v>
      </c>
      <c r="B603" s="1">
        <f ca="1">IFERROR(__xludf.DUMMYFUNCTION("""COMPUTED_VALUE"""),39.12)</f>
        <v>39.119999999999997</v>
      </c>
    </row>
    <row r="604" spans="1:2">
      <c r="A604" s="3">
        <f ca="1">IFERROR(__xludf.DUMMYFUNCTION("""COMPUTED_VALUE"""),42598.6666666666)</f>
        <v>42598.666666666599</v>
      </c>
      <c r="B604" s="1">
        <f ca="1">IFERROR(__xludf.DUMMYFUNCTION("""COMPUTED_VALUE"""),38.86)</f>
        <v>38.86</v>
      </c>
    </row>
    <row r="605" spans="1:2">
      <c r="A605" s="3">
        <f ca="1">IFERROR(__xludf.DUMMYFUNCTION("""COMPUTED_VALUE"""),42599.6666666666)</f>
        <v>42599.666666666599</v>
      </c>
      <c r="B605" s="1">
        <f ca="1">IFERROR(__xludf.DUMMYFUNCTION("""COMPUTED_VALUE"""),39)</f>
        <v>39</v>
      </c>
    </row>
    <row r="606" spans="1:2">
      <c r="A606" s="3">
        <f ca="1">IFERROR(__xludf.DUMMYFUNCTION("""COMPUTED_VALUE"""),42600.6666666666)</f>
        <v>42600.666666666599</v>
      </c>
      <c r="B606" s="1">
        <f ca="1">IFERROR(__xludf.DUMMYFUNCTION("""COMPUTED_VALUE"""),38.88)</f>
        <v>38.880000000000003</v>
      </c>
    </row>
    <row r="607" spans="1:2">
      <c r="A607" s="3">
        <f ca="1">IFERROR(__xludf.DUMMYFUNCTION("""COMPUTED_VALUE"""),42601.6666666666)</f>
        <v>42601.666666666599</v>
      </c>
      <c r="B607" s="1">
        <f ca="1">IFERROR(__xludf.DUMMYFUNCTION("""COMPUTED_VALUE"""),38.77)</f>
        <v>38.770000000000003</v>
      </c>
    </row>
    <row r="608" spans="1:2">
      <c r="A608" s="3">
        <f ca="1">IFERROR(__xludf.DUMMYFUNCTION("""COMPUTED_VALUE"""),42604.6666666666)</f>
        <v>42604.666666666599</v>
      </c>
      <c r="B608" s="1">
        <f ca="1">IFERROR(__xludf.DUMMYFUNCTION("""COMPUTED_VALUE"""),38.61)</f>
        <v>38.61</v>
      </c>
    </row>
    <row r="609" spans="1:2">
      <c r="A609" s="3">
        <f ca="1">IFERROR(__xludf.DUMMYFUNCTION("""COMPUTED_VALUE"""),42605.6666666666)</f>
        <v>42605.666666666599</v>
      </c>
      <c r="B609" s="1">
        <f ca="1">IFERROR(__xludf.DUMMYFUNCTION("""COMPUTED_VALUE"""),38.6)</f>
        <v>38.6</v>
      </c>
    </row>
    <row r="610" spans="1:2">
      <c r="A610" s="3">
        <f ca="1">IFERROR(__xludf.DUMMYFUNCTION("""COMPUTED_VALUE"""),42606.6666666666)</f>
        <v>42606.666666666599</v>
      </c>
      <c r="B610" s="1">
        <f ca="1">IFERROR(__xludf.DUMMYFUNCTION("""COMPUTED_VALUE"""),38.48)</f>
        <v>38.479999999999997</v>
      </c>
    </row>
    <row r="611" spans="1:2">
      <c r="A611" s="3">
        <f ca="1">IFERROR(__xludf.DUMMYFUNCTION("""COMPUTED_VALUE"""),42607.6666666666)</f>
        <v>42607.666666666599</v>
      </c>
      <c r="B611" s="1">
        <f ca="1">IFERROR(__xludf.DUMMYFUNCTION("""COMPUTED_VALUE"""),38.47)</f>
        <v>38.47</v>
      </c>
    </row>
    <row r="612" spans="1:2">
      <c r="A612" s="3">
        <f ca="1">IFERROR(__xludf.DUMMYFUNCTION("""COMPUTED_VALUE"""),42608.6666666666)</f>
        <v>42608.666666666599</v>
      </c>
      <c r="B612" s="1">
        <f ca="1">IFERROR(__xludf.DUMMYFUNCTION("""COMPUTED_VALUE"""),38.48)</f>
        <v>38.479999999999997</v>
      </c>
    </row>
    <row r="613" spans="1:2">
      <c r="A613" s="3">
        <f ca="1">IFERROR(__xludf.DUMMYFUNCTION("""COMPUTED_VALUE"""),42611.6666666666)</f>
        <v>42611.666666666599</v>
      </c>
      <c r="B613" s="1">
        <f ca="1">IFERROR(__xludf.DUMMYFUNCTION("""COMPUTED_VALUE"""),38.61)</f>
        <v>38.61</v>
      </c>
    </row>
    <row r="614" spans="1:2">
      <c r="A614" s="3">
        <f ca="1">IFERROR(__xludf.DUMMYFUNCTION("""COMPUTED_VALUE"""),42612.6666666666)</f>
        <v>42612.666666666599</v>
      </c>
      <c r="B614" s="1">
        <f ca="1">IFERROR(__xludf.DUMMYFUNCTION("""COMPUTED_VALUE"""),38.45)</f>
        <v>38.450000000000003</v>
      </c>
    </row>
    <row r="615" spans="1:2">
      <c r="A615" s="3">
        <f ca="1">IFERROR(__xludf.DUMMYFUNCTION("""COMPUTED_VALUE"""),42613.6666666666)</f>
        <v>42613.666666666599</v>
      </c>
      <c r="B615" s="1">
        <f ca="1">IFERROR(__xludf.DUMMYFUNCTION("""COMPUTED_VALUE"""),38.35)</f>
        <v>38.35</v>
      </c>
    </row>
    <row r="616" spans="1:2">
      <c r="A616" s="3">
        <f ca="1">IFERROR(__xludf.DUMMYFUNCTION("""COMPUTED_VALUE"""),42614.6666666666)</f>
        <v>42614.666666666599</v>
      </c>
      <c r="B616" s="1">
        <f ca="1">IFERROR(__xludf.DUMMYFUNCTION("""COMPUTED_VALUE"""),38.44)</f>
        <v>38.44</v>
      </c>
    </row>
    <row r="617" spans="1:2">
      <c r="A617" s="3">
        <f ca="1">IFERROR(__xludf.DUMMYFUNCTION("""COMPUTED_VALUE"""),42615.6666666666)</f>
        <v>42615.666666666599</v>
      </c>
      <c r="B617" s="1">
        <f ca="1">IFERROR(__xludf.DUMMYFUNCTION("""COMPUTED_VALUE"""),38.57)</f>
        <v>38.57</v>
      </c>
    </row>
    <row r="618" spans="1:2">
      <c r="A618" s="3">
        <f ca="1">IFERROR(__xludf.DUMMYFUNCTION("""COMPUTED_VALUE"""),42619.6666666666)</f>
        <v>42619.666666666599</v>
      </c>
      <c r="B618" s="1">
        <f ca="1">IFERROR(__xludf.DUMMYFUNCTION("""COMPUTED_VALUE"""),39)</f>
        <v>39</v>
      </c>
    </row>
    <row r="619" spans="1:2">
      <c r="A619" s="3">
        <f ca="1">IFERROR(__xludf.DUMMYFUNCTION("""COMPUTED_VALUE"""),42620.6666666666)</f>
        <v>42620.666666666599</v>
      </c>
      <c r="B619" s="1">
        <f ca="1">IFERROR(__xludf.DUMMYFUNCTION("""COMPUTED_VALUE"""),39.02)</f>
        <v>39.020000000000003</v>
      </c>
    </row>
    <row r="620" spans="1:2">
      <c r="A620" s="3">
        <f ca="1">IFERROR(__xludf.DUMMYFUNCTION("""COMPUTED_VALUE"""),42621.6666666666)</f>
        <v>42621.666666666599</v>
      </c>
      <c r="B620" s="1">
        <f ca="1">IFERROR(__xludf.DUMMYFUNCTION("""COMPUTED_VALUE"""),38.77)</f>
        <v>38.770000000000003</v>
      </c>
    </row>
    <row r="621" spans="1:2">
      <c r="A621" s="3">
        <f ca="1">IFERROR(__xludf.DUMMYFUNCTION("""COMPUTED_VALUE"""),42622.6666666666)</f>
        <v>42622.666666666599</v>
      </c>
      <c r="B621" s="1">
        <f ca="1">IFERROR(__xludf.DUMMYFUNCTION("""COMPUTED_VALUE"""),37.98)</f>
        <v>37.979999999999997</v>
      </c>
    </row>
    <row r="622" spans="1:2">
      <c r="A622" s="3">
        <f ca="1">IFERROR(__xludf.DUMMYFUNCTION("""COMPUTED_VALUE"""),42625.6666666666)</f>
        <v>42625.666666666599</v>
      </c>
      <c r="B622" s="1">
        <f ca="1">IFERROR(__xludf.DUMMYFUNCTION("""COMPUTED_VALUE"""),38.45)</f>
        <v>38.450000000000003</v>
      </c>
    </row>
    <row r="623" spans="1:2">
      <c r="A623" s="3">
        <f ca="1">IFERROR(__xludf.DUMMYFUNCTION("""COMPUTED_VALUE"""),42626.6666666666)</f>
        <v>42626.666666666599</v>
      </c>
      <c r="B623" s="1">
        <f ca="1">IFERROR(__xludf.DUMMYFUNCTION("""COMPUTED_VALUE"""),37.98)</f>
        <v>37.979999999999997</v>
      </c>
    </row>
    <row r="624" spans="1:2">
      <c r="A624" s="3">
        <f ca="1">IFERROR(__xludf.DUMMYFUNCTION("""COMPUTED_VALUE"""),42627.6666666666)</f>
        <v>42627.666666666599</v>
      </c>
      <c r="B624" s="1">
        <f ca="1">IFERROR(__xludf.DUMMYFUNCTION("""COMPUTED_VALUE"""),38.12)</f>
        <v>38.119999999999997</v>
      </c>
    </row>
    <row r="625" spans="1:2">
      <c r="A625" s="3">
        <f ca="1">IFERROR(__xludf.DUMMYFUNCTION("""COMPUTED_VALUE"""),42628.6666666666)</f>
        <v>42628.666666666599</v>
      </c>
      <c r="B625" s="1">
        <f ca="1">IFERROR(__xludf.DUMMYFUNCTION("""COMPUTED_VALUE"""),38.59)</f>
        <v>38.590000000000003</v>
      </c>
    </row>
    <row r="626" spans="1:2">
      <c r="A626" s="3">
        <f ca="1">IFERROR(__xludf.DUMMYFUNCTION("""COMPUTED_VALUE"""),42629.6666666666)</f>
        <v>42629.666666666599</v>
      </c>
      <c r="B626" s="1">
        <f ca="1">IFERROR(__xludf.DUMMYFUNCTION("""COMPUTED_VALUE"""),38.44)</f>
        <v>38.44</v>
      </c>
    </row>
    <row r="627" spans="1:2">
      <c r="A627" s="3">
        <f ca="1">IFERROR(__xludf.DUMMYFUNCTION("""COMPUTED_VALUE"""),42632.6666666666)</f>
        <v>42632.666666666599</v>
      </c>
      <c r="B627" s="1">
        <f ca="1">IFERROR(__xludf.DUMMYFUNCTION("""COMPUTED_VALUE"""),38.28)</f>
        <v>38.28</v>
      </c>
    </row>
    <row r="628" spans="1:2">
      <c r="A628" s="3">
        <f ca="1">IFERROR(__xludf.DUMMYFUNCTION("""COMPUTED_VALUE"""),42633.6666666666)</f>
        <v>42633.666666666599</v>
      </c>
      <c r="B628" s="1">
        <f ca="1">IFERROR(__xludf.DUMMYFUNCTION("""COMPUTED_VALUE"""),38.57)</f>
        <v>38.57</v>
      </c>
    </row>
    <row r="629" spans="1:2">
      <c r="A629" s="3">
        <f ca="1">IFERROR(__xludf.DUMMYFUNCTION("""COMPUTED_VALUE"""),42634.6666666666)</f>
        <v>42634.666666666599</v>
      </c>
      <c r="B629" s="1">
        <f ca="1">IFERROR(__xludf.DUMMYFUNCTION("""COMPUTED_VALUE"""),38.81)</f>
        <v>38.81</v>
      </c>
    </row>
    <row r="630" spans="1:2">
      <c r="A630" s="3">
        <f ca="1">IFERROR(__xludf.DUMMYFUNCTION("""COMPUTED_VALUE"""),42635.6666666666)</f>
        <v>42635.666666666599</v>
      </c>
      <c r="B630" s="1">
        <f ca="1">IFERROR(__xludf.DUMMYFUNCTION("""COMPUTED_VALUE"""),39.36)</f>
        <v>39.36</v>
      </c>
    </row>
    <row r="631" spans="1:2">
      <c r="A631" s="3">
        <f ca="1">IFERROR(__xludf.DUMMYFUNCTION("""COMPUTED_VALUE"""),42636.6666666666)</f>
        <v>42636.666666666599</v>
      </c>
      <c r="B631" s="1">
        <f ca="1">IFERROR(__xludf.DUMMYFUNCTION("""COMPUTED_VALUE"""),39.35)</f>
        <v>39.35</v>
      </c>
    </row>
    <row r="632" spans="1:2">
      <c r="A632" s="3">
        <f ca="1">IFERROR(__xludf.DUMMYFUNCTION("""COMPUTED_VALUE"""),42639.6666666666)</f>
        <v>42639.666666666599</v>
      </c>
      <c r="B632" s="1">
        <f ca="1">IFERROR(__xludf.DUMMYFUNCTION("""COMPUTED_VALUE"""),38.71)</f>
        <v>38.71</v>
      </c>
    </row>
    <row r="633" spans="1:2">
      <c r="A633" s="3">
        <f ca="1">IFERROR(__xludf.DUMMYFUNCTION("""COMPUTED_VALUE"""),42640.6666666666)</f>
        <v>42640.666666666599</v>
      </c>
      <c r="B633" s="1">
        <f ca="1">IFERROR(__xludf.DUMMYFUNCTION("""COMPUTED_VALUE"""),39.15)</f>
        <v>39.15</v>
      </c>
    </row>
    <row r="634" spans="1:2">
      <c r="A634" s="3">
        <f ca="1">IFERROR(__xludf.DUMMYFUNCTION("""COMPUTED_VALUE"""),42641.6666666666)</f>
        <v>42641.666666666599</v>
      </c>
      <c r="B634" s="1">
        <f ca="1">IFERROR(__xludf.DUMMYFUNCTION("""COMPUTED_VALUE"""),39.08)</f>
        <v>39.08</v>
      </c>
    </row>
    <row r="635" spans="1:2">
      <c r="A635" s="3">
        <f ca="1">IFERROR(__xludf.DUMMYFUNCTION("""COMPUTED_VALUE"""),42642.6666666666)</f>
        <v>42642.666666666599</v>
      </c>
      <c r="B635" s="1">
        <f ca="1">IFERROR(__xludf.DUMMYFUNCTION("""COMPUTED_VALUE"""),38.75)</f>
        <v>38.75</v>
      </c>
    </row>
    <row r="636" spans="1:2">
      <c r="A636" s="3">
        <f ca="1">IFERROR(__xludf.DUMMYFUNCTION("""COMPUTED_VALUE"""),42643.6666666666)</f>
        <v>42643.666666666599</v>
      </c>
      <c r="B636" s="1">
        <f ca="1">IFERROR(__xludf.DUMMYFUNCTION("""COMPUTED_VALUE"""),38.86)</f>
        <v>38.86</v>
      </c>
    </row>
    <row r="637" spans="1:2">
      <c r="A637" s="3">
        <f ca="1">IFERROR(__xludf.DUMMYFUNCTION("""COMPUTED_VALUE"""),42646.6666666666)</f>
        <v>42646.666666666599</v>
      </c>
      <c r="B637" s="1">
        <f ca="1">IFERROR(__xludf.DUMMYFUNCTION("""COMPUTED_VALUE"""),38.63)</f>
        <v>38.630000000000003</v>
      </c>
    </row>
    <row r="638" spans="1:2">
      <c r="A638" s="3">
        <f ca="1">IFERROR(__xludf.DUMMYFUNCTION("""COMPUTED_VALUE"""),42647.6666666666)</f>
        <v>42647.666666666599</v>
      </c>
      <c r="B638" s="1">
        <f ca="1">IFERROR(__xludf.DUMMYFUNCTION("""COMPUTED_VALUE"""),38.82)</f>
        <v>38.82</v>
      </c>
    </row>
    <row r="639" spans="1:2">
      <c r="A639" s="3">
        <f ca="1">IFERROR(__xludf.DUMMYFUNCTION("""COMPUTED_VALUE"""),42648.6666666666)</f>
        <v>42648.666666666599</v>
      </c>
      <c r="B639" s="1">
        <f ca="1">IFERROR(__xludf.DUMMYFUNCTION("""COMPUTED_VALUE"""),38.82)</f>
        <v>38.82</v>
      </c>
    </row>
    <row r="640" spans="1:2">
      <c r="A640" s="3">
        <f ca="1">IFERROR(__xludf.DUMMYFUNCTION("""COMPUTED_VALUE"""),42649.6666666666)</f>
        <v>42649.666666666599</v>
      </c>
      <c r="B640" s="1">
        <f ca="1">IFERROR(__xludf.DUMMYFUNCTION("""COMPUTED_VALUE"""),38.84)</f>
        <v>38.840000000000003</v>
      </c>
    </row>
    <row r="641" spans="1:2">
      <c r="A641" s="3">
        <f ca="1">IFERROR(__xludf.DUMMYFUNCTION("""COMPUTED_VALUE"""),42650.6666666666)</f>
        <v>42650.666666666599</v>
      </c>
      <c r="B641" s="1">
        <f ca="1">IFERROR(__xludf.DUMMYFUNCTION("""COMPUTED_VALUE"""),38.75)</f>
        <v>38.75</v>
      </c>
    </row>
    <row r="642" spans="1:2">
      <c r="A642" s="3">
        <f ca="1">IFERROR(__xludf.DUMMYFUNCTION("""COMPUTED_VALUE"""),42653.6666666666)</f>
        <v>42653.666666666599</v>
      </c>
      <c r="B642" s="1">
        <f ca="1">IFERROR(__xludf.DUMMYFUNCTION("""COMPUTED_VALUE"""),39.3)</f>
        <v>39.299999999999997</v>
      </c>
    </row>
    <row r="643" spans="1:2">
      <c r="A643" s="3">
        <f ca="1">IFERROR(__xludf.DUMMYFUNCTION("""COMPUTED_VALUE"""),42654.6666666666)</f>
        <v>42654.666666666599</v>
      </c>
      <c r="B643" s="1">
        <f ca="1">IFERROR(__xludf.DUMMYFUNCTION("""COMPUTED_VALUE"""),39.15)</f>
        <v>39.15</v>
      </c>
    </row>
    <row r="644" spans="1:2">
      <c r="A644" s="3">
        <f ca="1">IFERROR(__xludf.DUMMYFUNCTION("""COMPUTED_VALUE"""),42655.6666666666)</f>
        <v>42655.666666666599</v>
      </c>
      <c r="B644" s="1">
        <f ca="1">IFERROR(__xludf.DUMMYFUNCTION("""COMPUTED_VALUE"""),39.31)</f>
        <v>39.31</v>
      </c>
    </row>
    <row r="645" spans="1:2">
      <c r="A645" s="3">
        <f ca="1">IFERROR(__xludf.DUMMYFUNCTION("""COMPUTED_VALUE"""),42656.6666666666)</f>
        <v>42656.666666666599</v>
      </c>
      <c r="B645" s="1">
        <f ca="1">IFERROR(__xludf.DUMMYFUNCTION("""COMPUTED_VALUE"""),38.91)</f>
        <v>38.909999999999997</v>
      </c>
    </row>
    <row r="646" spans="1:2">
      <c r="A646" s="3">
        <f ca="1">IFERROR(__xludf.DUMMYFUNCTION("""COMPUTED_VALUE"""),42657.6666666666)</f>
        <v>42657.666666666599</v>
      </c>
      <c r="B646" s="1">
        <f ca="1">IFERROR(__xludf.DUMMYFUNCTION("""COMPUTED_VALUE"""),38.93)</f>
        <v>38.93</v>
      </c>
    </row>
    <row r="647" spans="1:2">
      <c r="A647" s="3">
        <f ca="1">IFERROR(__xludf.DUMMYFUNCTION("""COMPUTED_VALUE"""),42660.6666666666)</f>
        <v>42660.666666666599</v>
      </c>
      <c r="B647" s="1">
        <f ca="1">IFERROR(__xludf.DUMMYFUNCTION("""COMPUTED_VALUE"""),39)</f>
        <v>39</v>
      </c>
    </row>
    <row r="648" spans="1:2">
      <c r="A648" s="3">
        <f ca="1">IFERROR(__xludf.DUMMYFUNCTION("""COMPUTED_VALUE"""),42661.6666666666)</f>
        <v>42661.666666666599</v>
      </c>
      <c r="B648" s="1">
        <f ca="1">IFERROR(__xludf.DUMMYFUNCTION("""COMPUTED_VALUE"""),39.76)</f>
        <v>39.76</v>
      </c>
    </row>
    <row r="649" spans="1:2">
      <c r="A649" s="3">
        <f ca="1">IFERROR(__xludf.DUMMYFUNCTION("""COMPUTED_VALUE"""),42662.6666666666)</f>
        <v>42662.666666666599</v>
      </c>
      <c r="B649" s="1">
        <f ca="1">IFERROR(__xludf.DUMMYFUNCTION("""COMPUTED_VALUE"""),40.08)</f>
        <v>40.08</v>
      </c>
    </row>
    <row r="650" spans="1:2">
      <c r="A650" s="3">
        <f ca="1">IFERROR(__xludf.DUMMYFUNCTION("""COMPUTED_VALUE"""),42663.6666666666)</f>
        <v>42663.666666666599</v>
      </c>
      <c r="B650" s="1">
        <f ca="1">IFERROR(__xludf.DUMMYFUNCTION("""COMPUTED_VALUE"""),39.85)</f>
        <v>39.85</v>
      </c>
    </row>
    <row r="651" spans="1:2">
      <c r="A651" s="3">
        <f ca="1">IFERROR(__xludf.DUMMYFUNCTION("""COMPUTED_VALUE"""),42664.6666666666)</f>
        <v>42664.666666666599</v>
      </c>
      <c r="B651" s="1">
        <f ca="1">IFERROR(__xludf.DUMMYFUNCTION("""COMPUTED_VALUE"""),39.97)</f>
        <v>39.97</v>
      </c>
    </row>
    <row r="652" spans="1:2">
      <c r="A652" s="3">
        <f ca="1">IFERROR(__xludf.DUMMYFUNCTION("""COMPUTED_VALUE"""),42667.6666666666)</f>
        <v>42667.666666666599</v>
      </c>
      <c r="B652" s="1">
        <f ca="1">IFERROR(__xludf.DUMMYFUNCTION("""COMPUTED_VALUE"""),40.66)</f>
        <v>40.659999999999997</v>
      </c>
    </row>
    <row r="653" spans="1:2">
      <c r="A653" s="3">
        <f ca="1">IFERROR(__xludf.DUMMYFUNCTION("""COMPUTED_VALUE"""),42668.6666666666)</f>
        <v>42668.666666666599</v>
      </c>
      <c r="B653" s="1">
        <f ca="1">IFERROR(__xludf.DUMMYFUNCTION("""COMPUTED_VALUE"""),40.38)</f>
        <v>40.380000000000003</v>
      </c>
    </row>
    <row r="654" spans="1:2">
      <c r="A654" s="3">
        <f ca="1">IFERROR(__xludf.DUMMYFUNCTION("""COMPUTED_VALUE"""),42669.6666666666)</f>
        <v>42669.666666666599</v>
      </c>
      <c r="B654" s="1">
        <f ca="1">IFERROR(__xludf.DUMMYFUNCTION("""COMPUTED_VALUE"""),39.95)</f>
        <v>39.950000000000003</v>
      </c>
    </row>
    <row r="655" spans="1:2">
      <c r="A655" s="3">
        <f ca="1">IFERROR(__xludf.DUMMYFUNCTION("""COMPUTED_VALUE"""),42670.6666666666)</f>
        <v>42670.666666666599</v>
      </c>
      <c r="B655" s="1">
        <f ca="1">IFERROR(__xludf.DUMMYFUNCTION("""COMPUTED_VALUE"""),39.77)</f>
        <v>39.770000000000003</v>
      </c>
    </row>
    <row r="656" spans="1:2">
      <c r="A656" s="3">
        <f ca="1">IFERROR(__xludf.DUMMYFUNCTION("""COMPUTED_VALUE"""),42671.6666666666)</f>
        <v>42671.666666666599</v>
      </c>
      <c r="B656" s="1">
        <f ca="1">IFERROR(__xludf.DUMMYFUNCTION("""COMPUTED_VALUE"""),39.77)</f>
        <v>39.770000000000003</v>
      </c>
    </row>
    <row r="657" spans="1:2">
      <c r="A657" s="3">
        <f ca="1">IFERROR(__xludf.DUMMYFUNCTION("""COMPUTED_VALUE"""),42674.6666666666)</f>
        <v>42674.666666666599</v>
      </c>
      <c r="B657" s="1">
        <f ca="1">IFERROR(__xludf.DUMMYFUNCTION("""COMPUTED_VALUE"""),39.23)</f>
        <v>39.229999999999997</v>
      </c>
    </row>
    <row r="658" spans="1:2">
      <c r="A658" s="3">
        <f ca="1">IFERROR(__xludf.DUMMYFUNCTION("""COMPUTED_VALUE"""),42675.6666666666)</f>
        <v>42675.666666666599</v>
      </c>
      <c r="B658" s="1">
        <f ca="1">IFERROR(__xludf.DUMMYFUNCTION("""COMPUTED_VALUE"""),39.18)</f>
        <v>39.18</v>
      </c>
    </row>
    <row r="659" spans="1:2">
      <c r="A659" s="3">
        <f ca="1">IFERROR(__xludf.DUMMYFUNCTION("""COMPUTED_VALUE"""),42676.6666666666)</f>
        <v>42676.666666666599</v>
      </c>
      <c r="B659" s="1">
        <f ca="1">IFERROR(__xludf.DUMMYFUNCTION("""COMPUTED_VALUE"""),38.44)</f>
        <v>38.44</v>
      </c>
    </row>
    <row r="660" spans="1:2">
      <c r="A660" s="3">
        <f ca="1">IFERROR(__xludf.DUMMYFUNCTION("""COMPUTED_VALUE"""),42677.6666666666)</f>
        <v>42677.666666666599</v>
      </c>
      <c r="B660" s="1">
        <f ca="1">IFERROR(__xludf.DUMMYFUNCTION("""COMPUTED_VALUE"""),38.11)</f>
        <v>38.11</v>
      </c>
    </row>
    <row r="661" spans="1:2">
      <c r="A661" s="3">
        <f ca="1">IFERROR(__xludf.DUMMYFUNCTION("""COMPUTED_VALUE"""),42678.6666666666)</f>
        <v>42678.666666666599</v>
      </c>
      <c r="B661" s="1">
        <f ca="1">IFERROR(__xludf.DUMMYFUNCTION("""COMPUTED_VALUE"""),38.1)</f>
        <v>38.1</v>
      </c>
    </row>
    <row r="662" spans="1:2">
      <c r="A662" s="3">
        <f ca="1">IFERROR(__xludf.DUMMYFUNCTION("""COMPUTED_VALUE"""),42681.6666666666)</f>
        <v>42681.666666666599</v>
      </c>
      <c r="B662" s="1">
        <f ca="1">IFERROR(__xludf.DUMMYFUNCTION("""COMPUTED_VALUE"""),39.13)</f>
        <v>39.130000000000003</v>
      </c>
    </row>
    <row r="663" spans="1:2">
      <c r="A663" s="3">
        <f ca="1">IFERROR(__xludf.DUMMYFUNCTION("""COMPUTED_VALUE"""),42682.6666666666)</f>
        <v>42682.666666666599</v>
      </c>
      <c r="B663" s="1">
        <f ca="1">IFERROR(__xludf.DUMMYFUNCTION("""COMPUTED_VALUE"""),39.53)</f>
        <v>39.53</v>
      </c>
    </row>
    <row r="664" spans="1:2">
      <c r="A664" s="3">
        <f ca="1">IFERROR(__xludf.DUMMYFUNCTION("""COMPUTED_VALUE"""),42683.6666666666)</f>
        <v>42683.666666666599</v>
      </c>
      <c r="B664" s="1">
        <f ca="1">IFERROR(__xludf.DUMMYFUNCTION("""COMPUTED_VALUE"""),39.27)</f>
        <v>39.270000000000003</v>
      </c>
    </row>
    <row r="665" spans="1:2">
      <c r="A665" s="3">
        <f ca="1">IFERROR(__xludf.DUMMYFUNCTION("""COMPUTED_VALUE"""),42684.6666666666)</f>
        <v>42684.666666666599</v>
      </c>
      <c r="B665" s="1">
        <f ca="1">IFERROR(__xludf.DUMMYFUNCTION("""COMPUTED_VALUE"""),38.13)</f>
        <v>38.130000000000003</v>
      </c>
    </row>
    <row r="666" spans="1:2">
      <c r="A666" s="3">
        <f ca="1">IFERROR(__xludf.DUMMYFUNCTION("""COMPUTED_VALUE"""),42685.6666666666)</f>
        <v>42685.666666666599</v>
      </c>
      <c r="B666" s="1">
        <f ca="1">IFERROR(__xludf.DUMMYFUNCTION("""COMPUTED_VALUE"""),37.7)</f>
        <v>37.700000000000003</v>
      </c>
    </row>
    <row r="667" spans="1:2">
      <c r="A667" s="3">
        <f ca="1">IFERROR(__xludf.DUMMYFUNCTION("""COMPUTED_VALUE"""),42688.6666666666)</f>
        <v>42688.666666666599</v>
      </c>
      <c r="B667" s="1">
        <f ca="1">IFERROR(__xludf.DUMMYFUNCTION("""COMPUTED_VALUE"""),36.8)</f>
        <v>36.799999999999997</v>
      </c>
    </row>
    <row r="668" spans="1:2">
      <c r="A668" s="3">
        <f ca="1">IFERROR(__xludf.DUMMYFUNCTION("""COMPUTED_VALUE"""),42689.6666666666)</f>
        <v>42689.666666666599</v>
      </c>
      <c r="B668" s="1">
        <f ca="1">IFERROR(__xludf.DUMMYFUNCTION("""COMPUTED_VALUE"""),37.92)</f>
        <v>37.92</v>
      </c>
    </row>
    <row r="669" spans="1:2">
      <c r="A669" s="3">
        <f ca="1">IFERROR(__xludf.DUMMYFUNCTION("""COMPUTED_VALUE"""),42690.6666666666)</f>
        <v>42690.666666666599</v>
      </c>
      <c r="B669" s="1">
        <f ca="1">IFERROR(__xludf.DUMMYFUNCTION("""COMPUTED_VALUE"""),38.22)</f>
        <v>38.22</v>
      </c>
    </row>
    <row r="670" spans="1:2">
      <c r="A670" s="3">
        <f ca="1">IFERROR(__xludf.DUMMYFUNCTION("""COMPUTED_VALUE"""),42691.6666666666)</f>
        <v>42691.666666666599</v>
      </c>
      <c r="B670" s="1">
        <f ca="1">IFERROR(__xludf.DUMMYFUNCTION("""COMPUTED_VALUE"""),38.56)</f>
        <v>38.56</v>
      </c>
    </row>
    <row r="671" spans="1:2">
      <c r="A671" s="3">
        <f ca="1">IFERROR(__xludf.DUMMYFUNCTION("""COMPUTED_VALUE"""),42692.6666666666)</f>
        <v>42692.666666666599</v>
      </c>
      <c r="B671" s="1">
        <f ca="1">IFERROR(__xludf.DUMMYFUNCTION("""COMPUTED_VALUE"""),38.03)</f>
        <v>38.03</v>
      </c>
    </row>
    <row r="672" spans="1:2">
      <c r="A672" s="3">
        <f ca="1">IFERROR(__xludf.DUMMYFUNCTION("""COMPUTED_VALUE"""),42695.6666666666)</f>
        <v>42695.666666666599</v>
      </c>
      <c r="B672" s="1">
        <f ca="1">IFERROR(__xludf.DUMMYFUNCTION("""COMPUTED_VALUE"""),38.46)</f>
        <v>38.46</v>
      </c>
    </row>
    <row r="673" spans="1:2">
      <c r="A673" s="3">
        <f ca="1">IFERROR(__xludf.DUMMYFUNCTION("""COMPUTED_VALUE"""),42696.6666666666)</f>
        <v>42696.666666666599</v>
      </c>
      <c r="B673" s="1">
        <f ca="1">IFERROR(__xludf.DUMMYFUNCTION("""COMPUTED_VALUE"""),38.41)</f>
        <v>38.409999999999997</v>
      </c>
    </row>
    <row r="674" spans="1:2">
      <c r="A674" s="3">
        <f ca="1">IFERROR(__xludf.DUMMYFUNCTION("""COMPUTED_VALUE"""),42697.6666666666)</f>
        <v>42697.666666666599</v>
      </c>
      <c r="B674" s="1">
        <f ca="1">IFERROR(__xludf.DUMMYFUNCTION("""COMPUTED_VALUE"""),38.05)</f>
        <v>38.049999999999997</v>
      </c>
    </row>
    <row r="675" spans="1:2">
      <c r="A675" s="3">
        <f ca="1">IFERROR(__xludf.DUMMYFUNCTION("""COMPUTED_VALUE"""),42699.6666666666)</f>
        <v>42699.666666666599</v>
      </c>
      <c r="B675" s="1">
        <f ca="1">IFERROR(__xludf.DUMMYFUNCTION("""COMPUTED_VALUE"""),38.08)</f>
        <v>38.08</v>
      </c>
    </row>
    <row r="676" spans="1:2">
      <c r="A676" s="3">
        <f ca="1">IFERROR(__xludf.DUMMYFUNCTION("""COMPUTED_VALUE"""),42702.6666666666)</f>
        <v>42702.666666666599</v>
      </c>
      <c r="B676" s="1">
        <f ca="1">IFERROR(__xludf.DUMMYFUNCTION("""COMPUTED_VALUE"""),38.41)</f>
        <v>38.409999999999997</v>
      </c>
    </row>
    <row r="677" spans="1:2">
      <c r="A677" s="3">
        <f ca="1">IFERROR(__xludf.DUMMYFUNCTION("""COMPUTED_VALUE"""),42703.6666666666)</f>
        <v>42703.666666666599</v>
      </c>
      <c r="B677" s="1">
        <f ca="1">IFERROR(__xludf.DUMMYFUNCTION("""COMPUTED_VALUE"""),38.54)</f>
        <v>38.54</v>
      </c>
    </row>
    <row r="678" spans="1:2">
      <c r="A678" s="3">
        <f ca="1">IFERROR(__xludf.DUMMYFUNCTION("""COMPUTED_VALUE"""),42704.6666666666)</f>
        <v>42704.666666666599</v>
      </c>
      <c r="B678" s="1">
        <f ca="1">IFERROR(__xludf.DUMMYFUNCTION("""COMPUTED_VALUE"""),37.9)</f>
        <v>37.9</v>
      </c>
    </row>
    <row r="679" spans="1:2">
      <c r="A679" s="3">
        <f ca="1">IFERROR(__xludf.DUMMYFUNCTION("""COMPUTED_VALUE"""),42705.6666666666)</f>
        <v>42705.666666666599</v>
      </c>
      <c r="B679" s="1">
        <f ca="1">IFERROR(__xludf.DUMMYFUNCTION("""COMPUTED_VALUE"""),37.4)</f>
        <v>37.4</v>
      </c>
    </row>
    <row r="680" spans="1:2">
      <c r="A680" s="3">
        <f ca="1">IFERROR(__xludf.DUMMYFUNCTION("""COMPUTED_VALUE"""),42706.6666666666)</f>
        <v>42706.666666666599</v>
      </c>
      <c r="B680" s="1">
        <f ca="1">IFERROR(__xludf.DUMMYFUNCTION("""COMPUTED_VALUE"""),37.53)</f>
        <v>37.53</v>
      </c>
    </row>
    <row r="681" spans="1:2">
      <c r="A681" s="3">
        <f ca="1">IFERROR(__xludf.DUMMYFUNCTION("""COMPUTED_VALUE"""),42709.6666666666)</f>
        <v>42709.666666666599</v>
      </c>
      <c r="B681" s="1">
        <f ca="1">IFERROR(__xludf.DUMMYFUNCTION("""COMPUTED_VALUE"""),38.13)</f>
        <v>38.130000000000003</v>
      </c>
    </row>
    <row r="682" spans="1:2">
      <c r="A682" s="3">
        <f ca="1">IFERROR(__xludf.DUMMYFUNCTION("""COMPUTED_VALUE"""),42710.6666666666)</f>
        <v>42710.666666666599</v>
      </c>
      <c r="B682" s="1">
        <f ca="1">IFERROR(__xludf.DUMMYFUNCTION("""COMPUTED_VALUE"""),37.96)</f>
        <v>37.96</v>
      </c>
    </row>
    <row r="683" spans="1:2">
      <c r="A683" s="3">
        <f ca="1">IFERROR(__xludf.DUMMYFUNCTION("""COMPUTED_VALUE"""),42711.6666666666)</f>
        <v>42711.666666666599</v>
      </c>
      <c r="B683" s="1">
        <f ca="1">IFERROR(__xludf.DUMMYFUNCTION("""COMPUTED_VALUE"""),38.56)</f>
        <v>38.56</v>
      </c>
    </row>
    <row r="684" spans="1:2">
      <c r="A684" s="3">
        <f ca="1">IFERROR(__xludf.DUMMYFUNCTION("""COMPUTED_VALUE"""),42712.6666666666)</f>
        <v>42712.666666666599</v>
      </c>
      <c r="B684" s="1">
        <f ca="1">IFERROR(__xludf.DUMMYFUNCTION("""COMPUTED_VALUE"""),38.82)</f>
        <v>38.82</v>
      </c>
    </row>
    <row r="685" spans="1:2">
      <c r="A685" s="3">
        <f ca="1">IFERROR(__xludf.DUMMYFUNCTION("""COMPUTED_VALUE"""),42713.6666666666)</f>
        <v>42713.666666666599</v>
      </c>
      <c r="B685" s="1">
        <f ca="1">IFERROR(__xludf.DUMMYFUNCTION("""COMPUTED_VALUE"""),39.46)</f>
        <v>39.46</v>
      </c>
    </row>
    <row r="686" spans="1:2">
      <c r="A686" s="3">
        <f ca="1">IFERROR(__xludf.DUMMYFUNCTION("""COMPUTED_VALUE"""),42716.6666666666)</f>
        <v>42716.666666666599</v>
      </c>
      <c r="B686" s="1">
        <f ca="1">IFERROR(__xludf.DUMMYFUNCTION("""COMPUTED_VALUE"""),39.46)</f>
        <v>39.46</v>
      </c>
    </row>
    <row r="687" spans="1:2">
      <c r="A687" s="3">
        <f ca="1">IFERROR(__xludf.DUMMYFUNCTION("""COMPUTED_VALUE"""),42717.6666666666)</f>
        <v>42717.666666666599</v>
      </c>
      <c r="B687" s="1">
        <f ca="1">IFERROR(__xludf.DUMMYFUNCTION("""COMPUTED_VALUE"""),39.81)</f>
        <v>39.81</v>
      </c>
    </row>
    <row r="688" spans="1:2">
      <c r="A688" s="3">
        <f ca="1">IFERROR(__xludf.DUMMYFUNCTION("""COMPUTED_VALUE"""),42718.6666666666)</f>
        <v>42718.666666666599</v>
      </c>
      <c r="B688" s="1">
        <f ca="1">IFERROR(__xludf.DUMMYFUNCTION("""COMPUTED_VALUE"""),39.85)</f>
        <v>39.85</v>
      </c>
    </row>
    <row r="689" spans="1:2">
      <c r="A689" s="3">
        <f ca="1">IFERROR(__xludf.DUMMYFUNCTION("""COMPUTED_VALUE"""),42719.6666666666)</f>
        <v>42719.666666666599</v>
      </c>
      <c r="B689" s="1">
        <f ca="1">IFERROR(__xludf.DUMMYFUNCTION("""COMPUTED_VALUE"""),39.89)</f>
        <v>39.89</v>
      </c>
    </row>
    <row r="690" spans="1:2">
      <c r="A690" s="3">
        <f ca="1">IFERROR(__xludf.DUMMYFUNCTION("""COMPUTED_VALUE"""),42720.6666666666)</f>
        <v>42720.666666666599</v>
      </c>
      <c r="B690" s="1">
        <f ca="1">IFERROR(__xludf.DUMMYFUNCTION("""COMPUTED_VALUE"""),39.54)</f>
        <v>39.54</v>
      </c>
    </row>
    <row r="691" spans="1:2">
      <c r="A691" s="3">
        <f ca="1">IFERROR(__xludf.DUMMYFUNCTION("""COMPUTED_VALUE"""),42723.6666666666)</f>
        <v>42723.666666666599</v>
      </c>
      <c r="B691" s="1">
        <f ca="1">IFERROR(__xludf.DUMMYFUNCTION("""COMPUTED_VALUE"""),39.71)</f>
        <v>39.71</v>
      </c>
    </row>
    <row r="692" spans="1:2">
      <c r="A692" s="3">
        <f ca="1">IFERROR(__xludf.DUMMYFUNCTION("""COMPUTED_VALUE"""),42724.6666666666)</f>
        <v>42724.666666666599</v>
      </c>
      <c r="B692" s="1">
        <f ca="1">IFERROR(__xludf.DUMMYFUNCTION("""COMPUTED_VALUE"""),39.82)</f>
        <v>39.82</v>
      </c>
    </row>
    <row r="693" spans="1:2">
      <c r="A693" s="3">
        <f ca="1">IFERROR(__xludf.DUMMYFUNCTION("""COMPUTED_VALUE"""),42725.6666666666)</f>
        <v>42725.666666666599</v>
      </c>
      <c r="B693" s="1">
        <f ca="1">IFERROR(__xludf.DUMMYFUNCTION("""COMPUTED_VALUE"""),39.73)</f>
        <v>39.729999999999997</v>
      </c>
    </row>
    <row r="694" spans="1:2">
      <c r="A694" s="3">
        <f ca="1">IFERROR(__xludf.DUMMYFUNCTION("""COMPUTED_VALUE"""),42726.6666666666)</f>
        <v>42726.666666666599</v>
      </c>
      <c r="B694" s="1">
        <f ca="1">IFERROR(__xludf.DUMMYFUNCTION("""COMPUTED_VALUE"""),39.56)</f>
        <v>39.56</v>
      </c>
    </row>
    <row r="695" spans="1:2">
      <c r="A695" s="3">
        <f ca="1">IFERROR(__xludf.DUMMYFUNCTION("""COMPUTED_VALUE"""),42727.6666666666)</f>
        <v>42727.666666666599</v>
      </c>
      <c r="B695" s="1">
        <f ca="1">IFERROR(__xludf.DUMMYFUNCTION("""COMPUTED_VALUE"""),39.5)</f>
        <v>39.5</v>
      </c>
    </row>
    <row r="696" spans="1:2">
      <c r="A696" s="3">
        <f ca="1">IFERROR(__xludf.DUMMYFUNCTION("""COMPUTED_VALUE"""),42731.6666666666)</f>
        <v>42731.666666666599</v>
      </c>
      <c r="B696" s="1">
        <f ca="1">IFERROR(__xludf.DUMMYFUNCTION("""COMPUTED_VALUE"""),39.58)</f>
        <v>39.58</v>
      </c>
    </row>
    <row r="697" spans="1:2">
      <c r="A697" s="3">
        <f ca="1">IFERROR(__xludf.DUMMYFUNCTION("""COMPUTED_VALUE"""),42732.6666666666)</f>
        <v>42732.666666666599</v>
      </c>
      <c r="B697" s="1">
        <f ca="1">IFERROR(__xludf.DUMMYFUNCTION("""COMPUTED_VALUE"""),39.25)</f>
        <v>39.25</v>
      </c>
    </row>
    <row r="698" spans="1:2">
      <c r="A698" s="3">
        <f ca="1">IFERROR(__xludf.DUMMYFUNCTION("""COMPUTED_VALUE"""),42733.6666666666)</f>
        <v>42733.666666666599</v>
      </c>
      <c r="B698" s="1">
        <f ca="1">IFERROR(__xludf.DUMMYFUNCTION("""COMPUTED_VALUE"""),39.14)</f>
        <v>39.14</v>
      </c>
    </row>
    <row r="699" spans="1:2">
      <c r="A699" s="3">
        <f ca="1">IFERROR(__xludf.DUMMYFUNCTION("""COMPUTED_VALUE"""),42734.6666666666)</f>
        <v>42734.666666666599</v>
      </c>
      <c r="B699" s="1">
        <f ca="1">IFERROR(__xludf.DUMMYFUNCTION("""COMPUTED_VALUE"""),38.59)</f>
        <v>38.590000000000003</v>
      </c>
    </row>
    <row r="700" spans="1:2">
      <c r="A700" s="3">
        <f ca="1">IFERROR(__xludf.DUMMYFUNCTION("""COMPUTED_VALUE"""),42738.6666666666)</f>
        <v>42738.666666666599</v>
      </c>
      <c r="B700" s="1">
        <f ca="1">IFERROR(__xludf.DUMMYFUNCTION("""COMPUTED_VALUE"""),39.31)</f>
        <v>39.31</v>
      </c>
    </row>
    <row r="701" spans="1:2">
      <c r="A701" s="3">
        <f ca="1">IFERROR(__xludf.DUMMYFUNCTION("""COMPUTED_VALUE"""),42739.6666666666)</f>
        <v>42739.666666666599</v>
      </c>
      <c r="B701" s="1">
        <f ca="1">IFERROR(__xludf.DUMMYFUNCTION("""COMPUTED_VALUE"""),39.35)</f>
        <v>39.35</v>
      </c>
    </row>
    <row r="702" spans="1:2">
      <c r="A702" s="3">
        <f ca="1">IFERROR(__xludf.DUMMYFUNCTION("""COMPUTED_VALUE"""),42740.6666666666)</f>
        <v>42740.666666666599</v>
      </c>
      <c r="B702" s="1">
        <f ca="1">IFERROR(__xludf.DUMMYFUNCTION("""COMPUTED_VALUE"""),39.7)</f>
        <v>39.700000000000003</v>
      </c>
    </row>
    <row r="703" spans="1:2">
      <c r="A703" s="3">
        <f ca="1">IFERROR(__xludf.DUMMYFUNCTION("""COMPUTED_VALUE"""),42741.6666666666)</f>
        <v>42741.666666666599</v>
      </c>
      <c r="B703" s="1">
        <f ca="1">IFERROR(__xludf.DUMMYFUNCTION("""COMPUTED_VALUE"""),40.31)</f>
        <v>40.31</v>
      </c>
    </row>
    <row r="704" spans="1:2">
      <c r="A704" s="3">
        <f ca="1">IFERROR(__xludf.DUMMYFUNCTION("""COMPUTED_VALUE"""),42744.6666666666)</f>
        <v>42744.666666666599</v>
      </c>
      <c r="B704" s="1">
        <f ca="1">IFERROR(__xludf.DUMMYFUNCTION("""COMPUTED_VALUE"""),40.33)</f>
        <v>40.33</v>
      </c>
    </row>
    <row r="705" spans="1:2">
      <c r="A705" s="3">
        <f ca="1">IFERROR(__xludf.DUMMYFUNCTION("""COMPUTED_VALUE"""),42745.6666666666)</f>
        <v>42745.666666666599</v>
      </c>
      <c r="B705" s="1">
        <f ca="1">IFERROR(__xludf.DUMMYFUNCTION("""COMPUTED_VALUE"""),40.24)</f>
        <v>40.24</v>
      </c>
    </row>
    <row r="706" spans="1:2">
      <c r="A706" s="3">
        <f ca="1">IFERROR(__xludf.DUMMYFUNCTION("""COMPUTED_VALUE"""),42746.6666666666)</f>
        <v>42746.666666666599</v>
      </c>
      <c r="B706" s="1">
        <f ca="1">IFERROR(__xludf.DUMMYFUNCTION("""COMPUTED_VALUE"""),40.4)</f>
        <v>40.4</v>
      </c>
    </row>
    <row r="707" spans="1:2">
      <c r="A707" s="3">
        <f ca="1">IFERROR(__xludf.DUMMYFUNCTION("""COMPUTED_VALUE"""),42747.6666666666)</f>
        <v>42747.666666666599</v>
      </c>
      <c r="B707" s="1">
        <f ca="1">IFERROR(__xludf.DUMMYFUNCTION("""COMPUTED_VALUE"""),40.32)</f>
        <v>40.32</v>
      </c>
    </row>
    <row r="708" spans="1:2">
      <c r="A708" s="3">
        <f ca="1">IFERROR(__xludf.DUMMYFUNCTION("""COMPUTED_VALUE"""),42748.6666666666)</f>
        <v>42748.666666666599</v>
      </c>
      <c r="B708" s="1">
        <f ca="1">IFERROR(__xludf.DUMMYFUNCTION("""COMPUTED_VALUE"""),40.39)</f>
        <v>40.39</v>
      </c>
    </row>
    <row r="709" spans="1:2">
      <c r="A709" s="3">
        <f ca="1">IFERROR(__xludf.DUMMYFUNCTION("""COMPUTED_VALUE"""),42752.6666666666)</f>
        <v>42752.666666666599</v>
      </c>
      <c r="B709" s="1">
        <f ca="1">IFERROR(__xludf.DUMMYFUNCTION("""COMPUTED_VALUE"""),40.23)</f>
        <v>40.229999999999997</v>
      </c>
    </row>
    <row r="710" spans="1:2">
      <c r="A710" s="3">
        <f ca="1">IFERROR(__xludf.DUMMYFUNCTION("""COMPUTED_VALUE"""),42753.6666666666)</f>
        <v>42753.666666666599</v>
      </c>
      <c r="B710" s="1">
        <f ca="1">IFERROR(__xludf.DUMMYFUNCTION("""COMPUTED_VALUE"""),40.3)</f>
        <v>40.299999999999997</v>
      </c>
    </row>
    <row r="711" spans="1:2">
      <c r="A711" s="3">
        <f ca="1">IFERROR(__xludf.DUMMYFUNCTION("""COMPUTED_VALUE"""),42754.6666666666)</f>
        <v>42754.666666666599</v>
      </c>
      <c r="B711" s="1">
        <f ca="1">IFERROR(__xludf.DUMMYFUNCTION("""COMPUTED_VALUE"""),40.11)</f>
        <v>40.11</v>
      </c>
    </row>
    <row r="712" spans="1:2">
      <c r="A712" s="3">
        <f ca="1">IFERROR(__xludf.DUMMYFUNCTION("""COMPUTED_VALUE"""),42755.6666666666)</f>
        <v>42755.666666666599</v>
      </c>
      <c r="B712" s="1">
        <f ca="1">IFERROR(__xludf.DUMMYFUNCTION("""COMPUTED_VALUE"""),40.25)</f>
        <v>40.25</v>
      </c>
    </row>
    <row r="713" spans="1:2">
      <c r="A713" s="3">
        <f ca="1">IFERROR(__xludf.DUMMYFUNCTION("""COMPUTED_VALUE"""),42758.6666666666)</f>
        <v>42758.666666666599</v>
      </c>
      <c r="B713" s="1">
        <f ca="1">IFERROR(__xludf.DUMMYFUNCTION("""COMPUTED_VALUE"""),40.97)</f>
        <v>40.97</v>
      </c>
    </row>
    <row r="714" spans="1:2">
      <c r="A714" s="3">
        <f ca="1">IFERROR(__xludf.DUMMYFUNCTION("""COMPUTED_VALUE"""),42759.6666666666)</f>
        <v>42759.666666666599</v>
      </c>
      <c r="B714" s="1">
        <f ca="1">IFERROR(__xludf.DUMMYFUNCTION("""COMPUTED_VALUE"""),41.19)</f>
        <v>41.19</v>
      </c>
    </row>
    <row r="715" spans="1:2">
      <c r="A715" s="3">
        <f ca="1">IFERROR(__xludf.DUMMYFUNCTION("""COMPUTED_VALUE"""),42760.6666666666)</f>
        <v>42760.666666666599</v>
      </c>
      <c r="B715" s="1">
        <f ca="1">IFERROR(__xludf.DUMMYFUNCTION("""COMPUTED_VALUE"""),41.78)</f>
        <v>41.78</v>
      </c>
    </row>
    <row r="716" spans="1:2">
      <c r="A716" s="3">
        <f ca="1">IFERROR(__xludf.DUMMYFUNCTION("""COMPUTED_VALUE"""),42761.6666666666)</f>
        <v>42761.666666666599</v>
      </c>
      <c r="B716" s="1">
        <f ca="1">IFERROR(__xludf.DUMMYFUNCTION("""COMPUTED_VALUE"""),41.61)</f>
        <v>41.61</v>
      </c>
    </row>
    <row r="717" spans="1:2">
      <c r="A717" s="3">
        <f ca="1">IFERROR(__xludf.DUMMYFUNCTION("""COMPUTED_VALUE"""),42762.6666666666)</f>
        <v>42762.666666666599</v>
      </c>
      <c r="B717" s="1">
        <f ca="1">IFERROR(__xludf.DUMMYFUNCTION("""COMPUTED_VALUE"""),41.17)</f>
        <v>41.17</v>
      </c>
    </row>
    <row r="718" spans="1:2">
      <c r="A718" s="3">
        <f ca="1">IFERROR(__xludf.DUMMYFUNCTION("""COMPUTED_VALUE"""),42765.6666666666)</f>
        <v>42765.666666666599</v>
      </c>
      <c r="B718" s="1">
        <f ca="1">IFERROR(__xludf.DUMMYFUNCTION("""COMPUTED_VALUE"""),40.12)</f>
        <v>40.119999999999997</v>
      </c>
    </row>
    <row r="719" spans="1:2">
      <c r="A719" s="3">
        <f ca="1">IFERROR(__xludf.DUMMYFUNCTION("""COMPUTED_VALUE"""),42766.6666666666)</f>
        <v>42766.666666666599</v>
      </c>
      <c r="B719" s="1">
        <f ca="1">IFERROR(__xludf.DUMMYFUNCTION("""COMPUTED_VALUE"""),39.84)</f>
        <v>39.840000000000003</v>
      </c>
    </row>
    <row r="720" spans="1:2">
      <c r="A720" s="3">
        <f ca="1">IFERROR(__xludf.DUMMYFUNCTION("""COMPUTED_VALUE"""),42767.6666666666)</f>
        <v>42767.666666666599</v>
      </c>
      <c r="B720" s="1">
        <f ca="1">IFERROR(__xludf.DUMMYFUNCTION("""COMPUTED_VALUE"""),39.78)</f>
        <v>39.78</v>
      </c>
    </row>
    <row r="721" spans="1:2">
      <c r="A721" s="3">
        <f ca="1">IFERROR(__xludf.DUMMYFUNCTION("""COMPUTED_VALUE"""),42768.6666666666)</f>
        <v>42768.666666666599</v>
      </c>
      <c r="B721" s="1">
        <f ca="1">IFERROR(__xludf.DUMMYFUNCTION("""COMPUTED_VALUE"""),39.93)</f>
        <v>39.93</v>
      </c>
    </row>
    <row r="722" spans="1:2">
      <c r="A722" s="3">
        <f ca="1">IFERROR(__xludf.DUMMYFUNCTION("""COMPUTED_VALUE"""),42769.6666666666)</f>
        <v>42769.666666666599</v>
      </c>
      <c r="B722" s="1">
        <f ca="1">IFERROR(__xludf.DUMMYFUNCTION("""COMPUTED_VALUE"""),40.07)</f>
        <v>40.07</v>
      </c>
    </row>
    <row r="723" spans="1:2">
      <c r="A723" s="3">
        <f ca="1">IFERROR(__xludf.DUMMYFUNCTION("""COMPUTED_VALUE"""),42772.6666666666)</f>
        <v>42772.666666666599</v>
      </c>
      <c r="B723" s="1">
        <f ca="1">IFERROR(__xludf.DUMMYFUNCTION("""COMPUTED_VALUE"""),40.07)</f>
        <v>40.07</v>
      </c>
    </row>
    <row r="724" spans="1:2">
      <c r="A724" s="3">
        <f ca="1">IFERROR(__xludf.DUMMYFUNCTION("""COMPUTED_VALUE"""),42773.6666666666)</f>
        <v>42773.666666666599</v>
      </c>
      <c r="B724" s="1">
        <f ca="1">IFERROR(__xludf.DUMMYFUNCTION("""COMPUTED_VALUE"""),40.35)</f>
        <v>40.35</v>
      </c>
    </row>
    <row r="725" spans="1:2">
      <c r="A725" s="3">
        <f ca="1">IFERROR(__xludf.DUMMYFUNCTION("""COMPUTED_VALUE"""),42774.6666666666)</f>
        <v>42774.666666666599</v>
      </c>
      <c r="B725" s="1">
        <f ca="1">IFERROR(__xludf.DUMMYFUNCTION("""COMPUTED_VALUE"""),40.42)</f>
        <v>40.42</v>
      </c>
    </row>
    <row r="726" spans="1:2">
      <c r="A726" s="3">
        <f ca="1">IFERROR(__xludf.DUMMYFUNCTION("""COMPUTED_VALUE"""),42775.6666666666)</f>
        <v>42775.666666666599</v>
      </c>
      <c r="B726" s="1">
        <f ca="1">IFERROR(__xludf.DUMMYFUNCTION("""COMPUTED_VALUE"""),40.48)</f>
        <v>40.479999999999997</v>
      </c>
    </row>
    <row r="727" spans="1:2">
      <c r="A727" s="3">
        <f ca="1">IFERROR(__xludf.DUMMYFUNCTION("""COMPUTED_VALUE"""),42776.6666666666)</f>
        <v>42776.666666666599</v>
      </c>
      <c r="B727" s="1">
        <f ca="1">IFERROR(__xludf.DUMMYFUNCTION("""COMPUTED_VALUE"""),40.68)</f>
        <v>40.68</v>
      </c>
    </row>
    <row r="728" spans="1:2">
      <c r="A728" s="3">
        <f ca="1">IFERROR(__xludf.DUMMYFUNCTION("""COMPUTED_VALUE"""),42779.6666666666)</f>
        <v>42779.666666666599</v>
      </c>
      <c r="B728" s="1">
        <f ca="1">IFERROR(__xludf.DUMMYFUNCTION("""COMPUTED_VALUE"""),40.96)</f>
        <v>40.96</v>
      </c>
    </row>
    <row r="729" spans="1:2">
      <c r="A729" s="3">
        <f ca="1">IFERROR(__xludf.DUMMYFUNCTION("""COMPUTED_VALUE"""),42780.6666666666)</f>
        <v>42780.666666666599</v>
      </c>
      <c r="B729" s="1">
        <f ca="1">IFERROR(__xludf.DUMMYFUNCTION("""COMPUTED_VALUE"""),41.02)</f>
        <v>41.02</v>
      </c>
    </row>
    <row r="730" spans="1:2">
      <c r="A730" s="3">
        <f ca="1">IFERROR(__xludf.DUMMYFUNCTION("""COMPUTED_VALUE"""),42781.6666666666)</f>
        <v>42781.666666666599</v>
      </c>
      <c r="B730" s="1">
        <f ca="1">IFERROR(__xludf.DUMMYFUNCTION("""COMPUTED_VALUE"""),40.95)</f>
        <v>40.950000000000003</v>
      </c>
    </row>
    <row r="731" spans="1:2">
      <c r="A731" s="3">
        <f ca="1">IFERROR(__xludf.DUMMYFUNCTION("""COMPUTED_VALUE"""),42782.6666666666)</f>
        <v>42782.666666666599</v>
      </c>
      <c r="B731" s="1">
        <f ca="1">IFERROR(__xludf.DUMMYFUNCTION("""COMPUTED_VALUE"""),41.21)</f>
        <v>41.21</v>
      </c>
    </row>
    <row r="732" spans="1:2">
      <c r="A732" s="3">
        <f ca="1">IFERROR(__xludf.DUMMYFUNCTION("""COMPUTED_VALUE"""),42783.6666666666)</f>
        <v>42783.666666666599</v>
      </c>
      <c r="B732" s="1">
        <f ca="1">IFERROR(__xludf.DUMMYFUNCTION("""COMPUTED_VALUE"""),41.4)</f>
        <v>41.4</v>
      </c>
    </row>
    <row r="733" spans="1:2">
      <c r="A733" s="3">
        <f ca="1">IFERROR(__xludf.DUMMYFUNCTION("""COMPUTED_VALUE"""),42787.6666666666)</f>
        <v>42787.666666666599</v>
      </c>
      <c r="B733" s="1">
        <f ca="1">IFERROR(__xludf.DUMMYFUNCTION("""COMPUTED_VALUE"""),41.58)</f>
        <v>41.58</v>
      </c>
    </row>
    <row r="734" spans="1:2">
      <c r="A734" s="3">
        <f ca="1">IFERROR(__xludf.DUMMYFUNCTION("""COMPUTED_VALUE"""),42788.6666666666)</f>
        <v>42788.666666666599</v>
      </c>
      <c r="B734" s="1">
        <f ca="1">IFERROR(__xludf.DUMMYFUNCTION("""COMPUTED_VALUE"""),41.54)</f>
        <v>41.54</v>
      </c>
    </row>
    <row r="735" spans="1:2">
      <c r="A735" s="3">
        <f ca="1">IFERROR(__xludf.DUMMYFUNCTION("""COMPUTED_VALUE"""),42789.6666666666)</f>
        <v>42789.666666666599</v>
      </c>
      <c r="B735" s="1">
        <f ca="1">IFERROR(__xludf.DUMMYFUNCTION("""COMPUTED_VALUE"""),41.57)</f>
        <v>41.57</v>
      </c>
    </row>
    <row r="736" spans="1:2">
      <c r="A736" s="3">
        <f ca="1">IFERROR(__xludf.DUMMYFUNCTION("""COMPUTED_VALUE"""),42790.6666666666)</f>
        <v>42790.666666666599</v>
      </c>
      <c r="B736" s="1">
        <f ca="1">IFERROR(__xludf.DUMMYFUNCTION("""COMPUTED_VALUE"""),41.43)</f>
        <v>41.43</v>
      </c>
    </row>
    <row r="737" spans="1:2">
      <c r="A737" s="3">
        <f ca="1">IFERROR(__xludf.DUMMYFUNCTION("""COMPUTED_VALUE"""),42793.6666666666)</f>
        <v>42793.666666666599</v>
      </c>
      <c r="B737" s="1">
        <f ca="1">IFERROR(__xludf.DUMMYFUNCTION("""COMPUTED_VALUE"""),41.46)</f>
        <v>41.46</v>
      </c>
    </row>
    <row r="738" spans="1:2">
      <c r="A738" s="3">
        <f ca="1">IFERROR(__xludf.DUMMYFUNCTION("""COMPUTED_VALUE"""),42794.6666666666)</f>
        <v>42794.666666666599</v>
      </c>
      <c r="B738" s="1">
        <f ca="1">IFERROR(__xludf.DUMMYFUNCTION("""COMPUTED_VALUE"""),41.16)</f>
        <v>41.16</v>
      </c>
    </row>
    <row r="739" spans="1:2">
      <c r="A739" s="3">
        <f ca="1">IFERROR(__xludf.DUMMYFUNCTION("""COMPUTED_VALUE"""),42795.6666666666)</f>
        <v>42795.666666666599</v>
      </c>
      <c r="B739" s="1">
        <f ca="1">IFERROR(__xludf.DUMMYFUNCTION("""COMPUTED_VALUE"""),41.76)</f>
        <v>41.76</v>
      </c>
    </row>
    <row r="740" spans="1:2">
      <c r="A740" s="3">
        <f ca="1">IFERROR(__xludf.DUMMYFUNCTION("""COMPUTED_VALUE"""),42796.6666666666)</f>
        <v>42796.666666666599</v>
      </c>
      <c r="B740" s="1">
        <f ca="1">IFERROR(__xludf.DUMMYFUNCTION("""COMPUTED_VALUE"""),41.53)</f>
        <v>41.53</v>
      </c>
    </row>
    <row r="741" spans="1:2">
      <c r="A741" s="3">
        <f ca="1">IFERROR(__xludf.DUMMYFUNCTION("""COMPUTED_VALUE"""),42797.6666666666)</f>
        <v>42797.666666666599</v>
      </c>
      <c r="B741" s="1">
        <f ca="1">IFERROR(__xludf.DUMMYFUNCTION("""COMPUTED_VALUE"""),41.45)</f>
        <v>41.45</v>
      </c>
    </row>
    <row r="742" spans="1:2">
      <c r="A742" s="3">
        <f ca="1">IFERROR(__xludf.DUMMYFUNCTION("""COMPUTED_VALUE"""),42800.6666666666)</f>
        <v>42800.666666666599</v>
      </c>
      <c r="B742" s="1">
        <f ca="1">IFERROR(__xludf.DUMMYFUNCTION("""COMPUTED_VALUE"""),41.39)</f>
        <v>41.39</v>
      </c>
    </row>
    <row r="743" spans="1:2">
      <c r="A743" s="3">
        <f ca="1">IFERROR(__xludf.DUMMYFUNCTION("""COMPUTED_VALUE"""),42801.6666666666)</f>
        <v>42801.666666666599</v>
      </c>
      <c r="B743" s="1">
        <f ca="1">IFERROR(__xludf.DUMMYFUNCTION("""COMPUTED_VALUE"""),41.6)</f>
        <v>41.6</v>
      </c>
    </row>
    <row r="744" spans="1:2">
      <c r="A744" s="3">
        <f ca="1">IFERROR(__xludf.DUMMYFUNCTION("""COMPUTED_VALUE"""),42802.6666666666)</f>
        <v>42802.666666666599</v>
      </c>
      <c r="B744" s="1">
        <f ca="1">IFERROR(__xludf.DUMMYFUNCTION("""COMPUTED_VALUE"""),41.77)</f>
        <v>41.77</v>
      </c>
    </row>
    <row r="745" spans="1:2">
      <c r="A745" s="3">
        <f ca="1">IFERROR(__xludf.DUMMYFUNCTION("""COMPUTED_VALUE"""),42803.6666666666)</f>
        <v>42803.666666666599</v>
      </c>
      <c r="B745" s="1">
        <f ca="1">IFERROR(__xludf.DUMMYFUNCTION("""COMPUTED_VALUE"""),41.93)</f>
        <v>41.93</v>
      </c>
    </row>
    <row r="746" spans="1:2">
      <c r="A746" s="3">
        <f ca="1">IFERROR(__xludf.DUMMYFUNCTION("""COMPUTED_VALUE"""),42804.6666666666)</f>
        <v>42804.666666666599</v>
      </c>
      <c r="B746" s="1">
        <f ca="1">IFERROR(__xludf.DUMMYFUNCTION("""COMPUTED_VALUE"""),42.16)</f>
        <v>42.16</v>
      </c>
    </row>
    <row r="747" spans="1:2">
      <c r="A747" s="3">
        <f ca="1">IFERROR(__xludf.DUMMYFUNCTION("""COMPUTED_VALUE"""),42807.6666666666)</f>
        <v>42807.666666666599</v>
      </c>
      <c r="B747" s="1">
        <f ca="1">IFERROR(__xludf.DUMMYFUNCTION("""COMPUTED_VALUE"""),42.28)</f>
        <v>42.28</v>
      </c>
    </row>
    <row r="748" spans="1:2">
      <c r="A748" s="3">
        <f ca="1">IFERROR(__xludf.DUMMYFUNCTION("""COMPUTED_VALUE"""),42808.6666666666)</f>
        <v>42808.666666666599</v>
      </c>
      <c r="B748" s="1">
        <f ca="1">IFERROR(__xludf.DUMMYFUNCTION("""COMPUTED_VALUE"""),42.28)</f>
        <v>42.28</v>
      </c>
    </row>
    <row r="749" spans="1:2">
      <c r="A749" s="3">
        <f ca="1">IFERROR(__xludf.DUMMYFUNCTION("""COMPUTED_VALUE"""),42809.6666666666)</f>
        <v>42809.666666666599</v>
      </c>
      <c r="B749" s="1">
        <f ca="1">IFERROR(__xludf.DUMMYFUNCTION("""COMPUTED_VALUE"""),42.36)</f>
        <v>42.36</v>
      </c>
    </row>
    <row r="750" spans="1:2">
      <c r="A750" s="3">
        <f ca="1">IFERROR(__xludf.DUMMYFUNCTION("""COMPUTED_VALUE"""),42810.6666666666)</f>
        <v>42810.666666666599</v>
      </c>
      <c r="B750" s="1">
        <f ca="1">IFERROR(__xludf.DUMMYFUNCTION("""COMPUTED_VALUE"""),42.44)</f>
        <v>42.44</v>
      </c>
    </row>
    <row r="751" spans="1:2">
      <c r="A751" s="3">
        <f ca="1">IFERROR(__xludf.DUMMYFUNCTION("""COMPUTED_VALUE"""),42811.6666666666)</f>
        <v>42811.666666666599</v>
      </c>
      <c r="B751" s="1">
        <f ca="1">IFERROR(__xludf.DUMMYFUNCTION("""COMPUTED_VALUE"""),42.61)</f>
        <v>42.61</v>
      </c>
    </row>
    <row r="752" spans="1:2">
      <c r="A752" s="3">
        <f ca="1">IFERROR(__xludf.DUMMYFUNCTION("""COMPUTED_VALUE"""),42814.6666666666)</f>
        <v>42814.666666666599</v>
      </c>
      <c r="B752" s="1">
        <f ca="1">IFERROR(__xludf.DUMMYFUNCTION("""COMPUTED_VALUE"""),42.42)</f>
        <v>42.42</v>
      </c>
    </row>
    <row r="753" spans="1:2">
      <c r="A753" s="3">
        <f ca="1">IFERROR(__xludf.DUMMYFUNCTION("""COMPUTED_VALUE"""),42815.6666666666)</f>
        <v>42815.666666666599</v>
      </c>
      <c r="B753" s="1">
        <f ca="1">IFERROR(__xludf.DUMMYFUNCTION("""COMPUTED_VALUE"""),41.52)</f>
        <v>41.52</v>
      </c>
    </row>
    <row r="754" spans="1:2">
      <c r="A754" s="3">
        <f ca="1">IFERROR(__xludf.DUMMYFUNCTION("""COMPUTED_VALUE"""),42816.6666666666)</f>
        <v>42816.666666666599</v>
      </c>
      <c r="B754" s="1">
        <f ca="1">IFERROR(__xludf.DUMMYFUNCTION("""COMPUTED_VALUE"""),41.48)</f>
        <v>41.48</v>
      </c>
    </row>
    <row r="755" spans="1:2">
      <c r="A755" s="3">
        <f ca="1">IFERROR(__xludf.DUMMYFUNCTION("""COMPUTED_VALUE"""),42817.6666666666)</f>
        <v>42817.666666666599</v>
      </c>
      <c r="B755" s="1">
        <f ca="1">IFERROR(__xludf.DUMMYFUNCTION("""COMPUTED_VALUE"""),40.88)</f>
        <v>40.880000000000003</v>
      </c>
    </row>
    <row r="756" spans="1:2">
      <c r="A756" s="3">
        <f ca="1">IFERROR(__xludf.DUMMYFUNCTION("""COMPUTED_VALUE"""),42818.6666666666)</f>
        <v>42818.666666666599</v>
      </c>
      <c r="B756" s="1">
        <f ca="1">IFERROR(__xludf.DUMMYFUNCTION("""COMPUTED_VALUE"""),40.72)</f>
        <v>40.72</v>
      </c>
    </row>
    <row r="757" spans="1:2">
      <c r="A757" s="3">
        <f ca="1">IFERROR(__xludf.DUMMYFUNCTION("""COMPUTED_VALUE"""),42821.6666666666)</f>
        <v>42821.666666666599</v>
      </c>
      <c r="B757" s="1">
        <f ca="1">IFERROR(__xludf.DUMMYFUNCTION("""COMPUTED_VALUE"""),40.98)</f>
        <v>40.98</v>
      </c>
    </row>
    <row r="758" spans="1:2">
      <c r="A758" s="3">
        <f ca="1">IFERROR(__xludf.DUMMYFUNCTION("""COMPUTED_VALUE"""),42822.6666666666)</f>
        <v>42822.666666666599</v>
      </c>
      <c r="B758" s="1">
        <f ca="1">IFERROR(__xludf.DUMMYFUNCTION("""COMPUTED_VALUE"""),41.05)</f>
        <v>41.05</v>
      </c>
    </row>
    <row r="759" spans="1:2">
      <c r="A759" s="3">
        <f ca="1">IFERROR(__xludf.DUMMYFUNCTION("""COMPUTED_VALUE"""),42823.6666666666)</f>
        <v>42823.666666666599</v>
      </c>
      <c r="B759" s="1">
        <f ca="1">IFERROR(__xludf.DUMMYFUNCTION("""COMPUTED_VALUE"""),41.57)</f>
        <v>41.57</v>
      </c>
    </row>
    <row r="760" spans="1:2">
      <c r="A760" s="3">
        <f ca="1">IFERROR(__xludf.DUMMYFUNCTION("""COMPUTED_VALUE"""),42824.6666666666)</f>
        <v>42824.666666666599</v>
      </c>
      <c r="B760" s="1">
        <f ca="1">IFERROR(__xludf.DUMMYFUNCTION("""COMPUTED_VALUE"""),41.58)</f>
        <v>41.58</v>
      </c>
    </row>
    <row r="761" spans="1:2">
      <c r="A761" s="3">
        <f ca="1">IFERROR(__xludf.DUMMYFUNCTION("""COMPUTED_VALUE"""),42825.6666666666)</f>
        <v>42825.666666666599</v>
      </c>
      <c r="B761" s="1">
        <f ca="1">IFERROR(__xludf.DUMMYFUNCTION("""COMPUTED_VALUE"""),41.48)</f>
        <v>41.48</v>
      </c>
    </row>
    <row r="762" spans="1:2">
      <c r="A762" s="3">
        <f ca="1">IFERROR(__xludf.DUMMYFUNCTION("""COMPUTED_VALUE"""),42828.6666666666)</f>
        <v>42828.666666666599</v>
      </c>
      <c r="B762" s="1">
        <f ca="1">IFERROR(__xludf.DUMMYFUNCTION("""COMPUTED_VALUE"""),41.93)</f>
        <v>41.93</v>
      </c>
    </row>
    <row r="763" spans="1:2">
      <c r="A763" s="3">
        <f ca="1">IFERROR(__xludf.DUMMYFUNCTION("""COMPUTED_VALUE"""),42829.6666666666)</f>
        <v>42829.666666666599</v>
      </c>
      <c r="B763" s="1">
        <f ca="1">IFERROR(__xludf.DUMMYFUNCTION("""COMPUTED_VALUE"""),41.73)</f>
        <v>41.73</v>
      </c>
    </row>
    <row r="764" spans="1:2">
      <c r="A764" s="3">
        <f ca="1">IFERROR(__xludf.DUMMYFUNCTION("""COMPUTED_VALUE"""),42830.6666666666)</f>
        <v>42830.666666666599</v>
      </c>
      <c r="B764" s="1">
        <f ca="1">IFERROR(__xludf.DUMMYFUNCTION("""COMPUTED_VALUE"""),41.57)</f>
        <v>41.57</v>
      </c>
    </row>
    <row r="765" spans="1:2">
      <c r="A765" s="3">
        <f ca="1">IFERROR(__xludf.DUMMYFUNCTION("""COMPUTED_VALUE"""),42831.6666666666)</f>
        <v>42831.666666666599</v>
      </c>
      <c r="B765" s="1">
        <f ca="1">IFERROR(__xludf.DUMMYFUNCTION("""COMPUTED_VALUE"""),41.39)</f>
        <v>41.39</v>
      </c>
    </row>
    <row r="766" spans="1:2">
      <c r="A766" s="3">
        <f ca="1">IFERROR(__xludf.DUMMYFUNCTION("""COMPUTED_VALUE"""),42832.6666666666)</f>
        <v>42832.666666666599</v>
      </c>
      <c r="B766" s="1">
        <f ca="1">IFERROR(__xludf.DUMMYFUNCTION("""COMPUTED_VALUE"""),41.23)</f>
        <v>41.23</v>
      </c>
    </row>
    <row r="767" spans="1:2">
      <c r="A767" s="3">
        <f ca="1">IFERROR(__xludf.DUMMYFUNCTION("""COMPUTED_VALUE"""),42835.6666666666)</f>
        <v>42835.666666666599</v>
      </c>
      <c r="B767" s="1">
        <f ca="1">IFERROR(__xludf.DUMMYFUNCTION("""COMPUTED_VALUE"""),41.24)</f>
        <v>41.24</v>
      </c>
    </row>
    <row r="768" spans="1:2">
      <c r="A768" s="3">
        <f ca="1">IFERROR(__xludf.DUMMYFUNCTION("""COMPUTED_VALUE"""),42836.6666666666)</f>
        <v>42836.666666666599</v>
      </c>
      <c r="B768" s="1">
        <f ca="1">IFERROR(__xludf.DUMMYFUNCTION("""COMPUTED_VALUE"""),41.17)</f>
        <v>41.17</v>
      </c>
    </row>
    <row r="769" spans="1:2">
      <c r="A769" s="3">
        <f ca="1">IFERROR(__xludf.DUMMYFUNCTION("""COMPUTED_VALUE"""),42837.6666666666)</f>
        <v>42837.666666666599</v>
      </c>
      <c r="B769" s="1">
        <f ca="1">IFERROR(__xludf.DUMMYFUNCTION("""COMPUTED_VALUE"""),41.22)</f>
        <v>41.22</v>
      </c>
    </row>
    <row r="770" spans="1:2">
      <c r="A770" s="3">
        <f ca="1">IFERROR(__xludf.DUMMYFUNCTION("""COMPUTED_VALUE"""),42838.6666666666)</f>
        <v>42838.666666666599</v>
      </c>
      <c r="B770" s="1">
        <f ca="1">IFERROR(__xludf.DUMMYFUNCTION("""COMPUTED_VALUE"""),41.18)</f>
        <v>41.18</v>
      </c>
    </row>
    <row r="771" spans="1:2">
      <c r="A771" s="3">
        <f ca="1">IFERROR(__xludf.DUMMYFUNCTION("""COMPUTED_VALUE"""),42842.6666666666)</f>
        <v>42842.666666666599</v>
      </c>
      <c r="B771" s="1">
        <f ca="1">IFERROR(__xludf.DUMMYFUNCTION("""COMPUTED_VALUE"""),41.86)</f>
        <v>41.86</v>
      </c>
    </row>
    <row r="772" spans="1:2">
      <c r="A772" s="3">
        <f ca="1">IFERROR(__xludf.DUMMYFUNCTION("""COMPUTED_VALUE"""),42843.6666666666)</f>
        <v>42843.666666666599</v>
      </c>
      <c r="B772" s="1">
        <f ca="1">IFERROR(__xludf.DUMMYFUNCTION("""COMPUTED_VALUE"""),41.84)</f>
        <v>41.84</v>
      </c>
    </row>
    <row r="773" spans="1:2">
      <c r="A773" s="3">
        <f ca="1">IFERROR(__xludf.DUMMYFUNCTION("""COMPUTED_VALUE"""),42844.6666666666)</f>
        <v>42844.666666666599</v>
      </c>
      <c r="B773" s="1">
        <f ca="1">IFERROR(__xludf.DUMMYFUNCTION("""COMPUTED_VALUE"""),41.91)</f>
        <v>41.91</v>
      </c>
    </row>
    <row r="774" spans="1:2">
      <c r="A774" s="3">
        <f ca="1">IFERROR(__xludf.DUMMYFUNCTION("""COMPUTED_VALUE"""),42845.6666666666)</f>
        <v>42845.666666666599</v>
      </c>
      <c r="B774" s="1">
        <f ca="1">IFERROR(__xludf.DUMMYFUNCTION("""COMPUTED_VALUE"""),42.08)</f>
        <v>42.08</v>
      </c>
    </row>
    <row r="775" spans="1:2">
      <c r="A775" s="3">
        <f ca="1">IFERROR(__xludf.DUMMYFUNCTION("""COMPUTED_VALUE"""),42846.6666666666)</f>
        <v>42846.666666666599</v>
      </c>
      <c r="B775" s="1">
        <f ca="1">IFERROR(__xludf.DUMMYFUNCTION("""COMPUTED_VALUE"""),42.16)</f>
        <v>42.16</v>
      </c>
    </row>
    <row r="776" spans="1:2">
      <c r="A776" s="3">
        <f ca="1">IFERROR(__xludf.DUMMYFUNCTION("""COMPUTED_VALUE"""),42849.6666666666)</f>
        <v>42849.666666666599</v>
      </c>
      <c r="B776" s="1">
        <f ca="1">IFERROR(__xludf.DUMMYFUNCTION("""COMPUTED_VALUE"""),43.14)</f>
        <v>43.14</v>
      </c>
    </row>
    <row r="777" spans="1:2">
      <c r="A777" s="3">
        <f ca="1">IFERROR(__xludf.DUMMYFUNCTION("""COMPUTED_VALUE"""),42850.6666666666)</f>
        <v>42850.666666666599</v>
      </c>
      <c r="B777" s="1">
        <f ca="1">IFERROR(__xludf.DUMMYFUNCTION("""COMPUTED_VALUE"""),43.62)</f>
        <v>43.62</v>
      </c>
    </row>
    <row r="778" spans="1:2">
      <c r="A778" s="3">
        <f ca="1">IFERROR(__xludf.DUMMYFUNCTION("""COMPUTED_VALUE"""),42851.6666666666)</f>
        <v>42851.666666666599</v>
      </c>
      <c r="B778" s="1">
        <f ca="1">IFERROR(__xludf.DUMMYFUNCTION("""COMPUTED_VALUE"""),43.59)</f>
        <v>43.59</v>
      </c>
    </row>
    <row r="779" spans="1:2">
      <c r="A779" s="3">
        <f ca="1">IFERROR(__xludf.DUMMYFUNCTION("""COMPUTED_VALUE"""),42852.6666666666)</f>
        <v>42852.666666666599</v>
      </c>
      <c r="B779" s="1">
        <f ca="1">IFERROR(__xludf.DUMMYFUNCTION("""COMPUTED_VALUE"""),43.71)</f>
        <v>43.71</v>
      </c>
    </row>
    <row r="780" spans="1:2">
      <c r="A780" s="3">
        <f ca="1">IFERROR(__xludf.DUMMYFUNCTION("""COMPUTED_VALUE"""),42853.6666666666)</f>
        <v>42853.666666666599</v>
      </c>
      <c r="B780" s="1">
        <f ca="1">IFERROR(__xludf.DUMMYFUNCTION("""COMPUTED_VALUE"""),45.3)</f>
        <v>45.3</v>
      </c>
    </row>
    <row r="781" spans="1:2">
      <c r="A781" s="3">
        <f ca="1">IFERROR(__xludf.DUMMYFUNCTION("""COMPUTED_VALUE"""),42856.6666666666)</f>
        <v>42856.666666666599</v>
      </c>
      <c r="B781" s="1">
        <f ca="1">IFERROR(__xludf.DUMMYFUNCTION("""COMPUTED_VALUE"""),45.63)</f>
        <v>45.63</v>
      </c>
    </row>
    <row r="782" spans="1:2">
      <c r="A782" s="3">
        <f ca="1">IFERROR(__xludf.DUMMYFUNCTION("""COMPUTED_VALUE"""),42857.6666666666)</f>
        <v>42857.666666666599</v>
      </c>
      <c r="B782" s="1">
        <f ca="1">IFERROR(__xludf.DUMMYFUNCTION("""COMPUTED_VALUE"""),45.82)</f>
        <v>45.82</v>
      </c>
    </row>
    <row r="783" spans="1:2">
      <c r="A783" s="3">
        <f ca="1">IFERROR(__xludf.DUMMYFUNCTION("""COMPUTED_VALUE"""),42858.6666666666)</f>
        <v>42858.666666666599</v>
      </c>
      <c r="B783" s="1">
        <f ca="1">IFERROR(__xludf.DUMMYFUNCTION("""COMPUTED_VALUE"""),46.35)</f>
        <v>46.35</v>
      </c>
    </row>
    <row r="784" spans="1:2">
      <c r="A784" s="3">
        <f ca="1">IFERROR(__xludf.DUMMYFUNCTION("""COMPUTED_VALUE"""),42859.6666666666)</f>
        <v>42859.666666666599</v>
      </c>
      <c r="B784" s="1">
        <f ca="1">IFERROR(__xludf.DUMMYFUNCTION("""COMPUTED_VALUE"""),46.58)</f>
        <v>46.58</v>
      </c>
    </row>
    <row r="785" spans="1:2">
      <c r="A785" s="3">
        <f ca="1">IFERROR(__xludf.DUMMYFUNCTION("""COMPUTED_VALUE"""),42860.6666666666)</f>
        <v>42860.666666666599</v>
      </c>
      <c r="B785" s="1">
        <f ca="1">IFERROR(__xludf.DUMMYFUNCTION("""COMPUTED_VALUE"""),46.36)</f>
        <v>46.36</v>
      </c>
    </row>
    <row r="786" spans="1:2">
      <c r="A786" s="3">
        <f ca="1">IFERROR(__xludf.DUMMYFUNCTION("""COMPUTED_VALUE"""),42863.6666666666)</f>
        <v>42863.666666666599</v>
      </c>
      <c r="B786" s="1">
        <f ca="1">IFERROR(__xludf.DUMMYFUNCTION("""COMPUTED_VALUE"""),46.72)</f>
        <v>46.72</v>
      </c>
    </row>
    <row r="787" spans="1:2">
      <c r="A787" s="3">
        <f ca="1">IFERROR(__xludf.DUMMYFUNCTION("""COMPUTED_VALUE"""),42864.6666666666)</f>
        <v>42864.666666666599</v>
      </c>
      <c r="B787" s="1">
        <f ca="1">IFERROR(__xludf.DUMMYFUNCTION("""COMPUTED_VALUE"""),46.61)</f>
        <v>46.61</v>
      </c>
    </row>
    <row r="788" spans="1:2">
      <c r="A788" s="3">
        <f ca="1">IFERROR(__xludf.DUMMYFUNCTION("""COMPUTED_VALUE"""),42865.6666666666)</f>
        <v>42865.666666666599</v>
      </c>
      <c r="B788" s="1">
        <f ca="1">IFERROR(__xludf.DUMMYFUNCTION("""COMPUTED_VALUE"""),46.44)</f>
        <v>46.44</v>
      </c>
    </row>
    <row r="789" spans="1:2">
      <c r="A789" s="3">
        <f ca="1">IFERROR(__xludf.DUMMYFUNCTION("""COMPUTED_VALUE"""),42866.6666666666)</f>
        <v>42866.666666666599</v>
      </c>
      <c r="B789" s="1">
        <f ca="1">IFERROR(__xludf.DUMMYFUNCTION("""COMPUTED_VALUE"""),46.53)</f>
        <v>46.53</v>
      </c>
    </row>
    <row r="790" spans="1:2">
      <c r="A790" s="3">
        <f ca="1">IFERROR(__xludf.DUMMYFUNCTION("""COMPUTED_VALUE"""),42867.6666666666)</f>
        <v>42867.666666666599</v>
      </c>
      <c r="B790" s="1">
        <f ca="1">IFERROR(__xludf.DUMMYFUNCTION("""COMPUTED_VALUE"""),46.61)</f>
        <v>46.61</v>
      </c>
    </row>
    <row r="791" spans="1:2">
      <c r="A791" s="3">
        <f ca="1">IFERROR(__xludf.DUMMYFUNCTION("""COMPUTED_VALUE"""),42870.6666666666)</f>
        <v>42870.666666666599</v>
      </c>
      <c r="B791" s="1">
        <f ca="1">IFERROR(__xludf.DUMMYFUNCTION("""COMPUTED_VALUE"""),46.85)</f>
        <v>46.85</v>
      </c>
    </row>
    <row r="792" spans="1:2">
      <c r="A792" s="3">
        <f ca="1">IFERROR(__xludf.DUMMYFUNCTION("""COMPUTED_VALUE"""),42871.6666666666)</f>
        <v>42871.666666666599</v>
      </c>
      <c r="B792" s="1">
        <f ca="1">IFERROR(__xludf.DUMMYFUNCTION("""COMPUTED_VALUE"""),47.15)</f>
        <v>47.15</v>
      </c>
    </row>
    <row r="793" spans="1:2">
      <c r="A793" s="3">
        <f ca="1">IFERROR(__xludf.DUMMYFUNCTION("""COMPUTED_VALUE"""),42872.6666666666)</f>
        <v>42872.666666666599</v>
      </c>
      <c r="B793" s="1">
        <f ca="1">IFERROR(__xludf.DUMMYFUNCTION("""COMPUTED_VALUE"""),45.98)</f>
        <v>45.98</v>
      </c>
    </row>
    <row r="794" spans="1:2">
      <c r="A794" s="3">
        <f ca="1">IFERROR(__xludf.DUMMYFUNCTION("""COMPUTED_VALUE"""),42873.6666666666)</f>
        <v>42873.666666666599</v>
      </c>
      <c r="B794" s="1">
        <f ca="1">IFERROR(__xludf.DUMMYFUNCTION("""COMPUTED_VALUE"""),46.51)</f>
        <v>46.51</v>
      </c>
    </row>
    <row r="795" spans="1:2">
      <c r="A795" s="3">
        <f ca="1">IFERROR(__xludf.DUMMYFUNCTION("""COMPUTED_VALUE"""),42874.6666666666)</f>
        <v>42874.666666666599</v>
      </c>
      <c r="B795" s="1">
        <f ca="1">IFERROR(__xludf.DUMMYFUNCTION("""COMPUTED_VALUE"""),46.7)</f>
        <v>46.7</v>
      </c>
    </row>
    <row r="796" spans="1:2">
      <c r="A796" s="3">
        <f ca="1">IFERROR(__xludf.DUMMYFUNCTION("""COMPUTED_VALUE"""),42877.6666666666)</f>
        <v>42877.666666666599</v>
      </c>
      <c r="B796" s="1">
        <f ca="1">IFERROR(__xludf.DUMMYFUNCTION("""COMPUTED_VALUE"""),47.09)</f>
        <v>47.09</v>
      </c>
    </row>
    <row r="797" spans="1:2">
      <c r="A797" s="3">
        <f ca="1">IFERROR(__xludf.DUMMYFUNCTION("""COMPUTED_VALUE"""),42878.6666666666)</f>
        <v>42878.666666666599</v>
      </c>
      <c r="B797" s="1">
        <f ca="1">IFERROR(__xludf.DUMMYFUNCTION("""COMPUTED_VALUE"""),47.44)</f>
        <v>47.44</v>
      </c>
    </row>
    <row r="798" spans="1:2">
      <c r="A798" s="3">
        <f ca="1">IFERROR(__xludf.DUMMYFUNCTION("""COMPUTED_VALUE"""),42879.6666666666)</f>
        <v>42879.666666666599</v>
      </c>
      <c r="B798" s="1">
        <f ca="1">IFERROR(__xludf.DUMMYFUNCTION("""COMPUTED_VALUE"""),47.75)</f>
        <v>47.75</v>
      </c>
    </row>
    <row r="799" spans="1:2">
      <c r="A799" s="3">
        <f ca="1">IFERROR(__xludf.DUMMYFUNCTION("""COMPUTED_VALUE"""),42880.6666666666)</f>
        <v>42880.666666666599</v>
      </c>
      <c r="B799" s="1">
        <f ca="1">IFERROR(__xludf.DUMMYFUNCTION("""COMPUTED_VALUE"""),48.48)</f>
        <v>48.48</v>
      </c>
    </row>
    <row r="800" spans="1:2">
      <c r="A800" s="3">
        <f ca="1">IFERROR(__xludf.DUMMYFUNCTION("""COMPUTED_VALUE"""),42881.6666666666)</f>
        <v>42881.666666666599</v>
      </c>
      <c r="B800" s="1">
        <f ca="1">IFERROR(__xludf.DUMMYFUNCTION("""COMPUTED_VALUE"""),48.57)</f>
        <v>48.57</v>
      </c>
    </row>
    <row r="801" spans="1:2">
      <c r="A801" s="3">
        <f ca="1">IFERROR(__xludf.DUMMYFUNCTION("""COMPUTED_VALUE"""),42885.6666666666)</f>
        <v>42885.666666666599</v>
      </c>
      <c r="B801" s="1">
        <f ca="1">IFERROR(__xludf.DUMMYFUNCTION("""COMPUTED_VALUE"""),48.79)</f>
        <v>48.79</v>
      </c>
    </row>
    <row r="802" spans="1:2">
      <c r="A802" s="3">
        <f ca="1">IFERROR(__xludf.DUMMYFUNCTION("""COMPUTED_VALUE"""),42886.6666666666)</f>
        <v>42886.666666666599</v>
      </c>
      <c r="B802" s="1">
        <f ca="1">IFERROR(__xludf.DUMMYFUNCTION("""COMPUTED_VALUE"""),48.24)</f>
        <v>48.24</v>
      </c>
    </row>
    <row r="803" spans="1:2">
      <c r="A803" s="3">
        <f ca="1">IFERROR(__xludf.DUMMYFUNCTION("""COMPUTED_VALUE"""),42887.6666666666)</f>
        <v>42887.666666666599</v>
      </c>
      <c r="B803" s="1">
        <f ca="1">IFERROR(__xludf.DUMMYFUNCTION("""COMPUTED_VALUE"""),48.35)</f>
        <v>48.35</v>
      </c>
    </row>
    <row r="804" spans="1:2">
      <c r="A804" s="3">
        <f ca="1">IFERROR(__xludf.DUMMYFUNCTION("""COMPUTED_VALUE"""),42888.6666666666)</f>
        <v>42888.666666666599</v>
      </c>
      <c r="B804" s="1">
        <f ca="1">IFERROR(__xludf.DUMMYFUNCTION("""COMPUTED_VALUE"""),48.78)</f>
        <v>48.78</v>
      </c>
    </row>
    <row r="805" spans="1:2">
      <c r="A805" s="3">
        <f ca="1">IFERROR(__xludf.DUMMYFUNCTION("""COMPUTED_VALUE"""),42891.6666666666)</f>
        <v>42891.666666666599</v>
      </c>
      <c r="B805" s="1">
        <f ca="1">IFERROR(__xludf.DUMMYFUNCTION("""COMPUTED_VALUE"""),49.18)</f>
        <v>49.18</v>
      </c>
    </row>
    <row r="806" spans="1:2">
      <c r="A806" s="3">
        <f ca="1">IFERROR(__xludf.DUMMYFUNCTION("""COMPUTED_VALUE"""),42892.6666666666)</f>
        <v>42892.666666666599</v>
      </c>
      <c r="B806" s="1">
        <f ca="1">IFERROR(__xludf.DUMMYFUNCTION("""COMPUTED_VALUE"""),48.83)</f>
        <v>48.83</v>
      </c>
    </row>
    <row r="807" spans="1:2">
      <c r="A807" s="3">
        <f ca="1">IFERROR(__xludf.DUMMYFUNCTION("""COMPUTED_VALUE"""),42893.6666666666)</f>
        <v>42893.666666666599</v>
      </c>
      <c r="B807" s="1">
        <f ca="1">IFERROR(__xludf.DUMMYFUNCTION("""COMPUTED_VALUE"""),49.05)</f>
        <v>49.05</v>
      </c>
    </row>
    <row r="808" spans="1:2">
      <c r="A808" s="3">
        <f ca="1">IFERROR(__xludf.DUMMYFUNCTION("""COMPUTED_VALUE"""),42894.6666666666)</f>
        <v>42894.666666666599</v>
      </c>
      <c r="B808" s="1">
        <f ca="1">IFERROR(__xludf.DUMMYFUNCTION("""COMPUTED_VALUE"""),49.17)</f>
        <v>49.17</v>
      </c>
    </row>
    <row r="809" spans="1:2">
      <c r="A809" s="3">
        <f ca="1">IFERROR(__xludf.DUMMYFUNCTION("""COMPUTED_VALUE"""),42895.6666666666)</f>
        <v>42895.666666666599</v>
      </c>
      <c r="B809" s="1">
        <f ca="1">IFERROR(__xludf.DUMMYFUNCTION("""COMPUTED_VALUE"""),47.49)</f>
        <v>47.49</v>
      </c>
    </row>
    <row r="810" spans="1:2">
      <c r="A810" s="3">
        <f ca="1">IFERROR(__xludf.DUMMYFUNCTION("""COMPUTED_VALUE"""),42898.6666666666)</f>
        <v>42898.666666666599</v>
      </c>
      <c r="B810" s="1">
        <f ca="1">IFERROR(__xludf.DUMMYFUNCTION("""COMPUTED_VALUE"""),47.15)</f>
        <v>47.15</v>
      </c>
    </row>
    <row r="811" spans="1:2">
      <c r="A811" s="3">
        <f ca="1">IFERROR(__xludf.DUMMYFUNCTION("""COMPUTED_VALUE"""),42899.6666666666)</f>
        <v>42899.666666666599</v>
      </c>
      <c r="B811" s="1">
        <f ca="1">IFERROR(__xludf.DUMMYFUNCTION("""COMPUTED_VALUE"""),47.67)</f>
        <v>47.67</v>
      </c>
    </row>
    <row r="812" spans="1:2">
      <c r="A812" s="3">
        <f ca="1">IFERROR(__xludf.DUMMYFUNCTION("""COMPUTED_VALUE"""),42900.6666666666)</f>
        <v>42900.666666666599</v>
      </c>
      <c r="B812" s="1">
        <f ca="1">IFERROR(__xludf.DUMMYFUNCTION("""COMPUTED_VALUE"""),47.54)</f>
        <v>47.54</v>
      </c>
    </row>
    <row r="813" spans="1:2">
      <c r="A813" s="3">
        <f ca="1">IFERROR(__xludf.DUMMYFUNCTION("""COMPUTED_VALUE"""),42901.6666666666)</f>
        <v>42901.666666666599</v>
      </c>
      <c r="B813" s="1">
        <f ca="1">IFERROR(__xludf.DUMMYFUNCTION("""COMPUTED_VALUE"""),47.12)</f>
        <v>47.12</v>
      </c>
    </row>
    <row r="814" spans="1:2">
      <c r="A814" s="3">
        <f ca="1">IFERROR(__xludf.DUMMYFUNCTION("""COMPUTED_VALUE"""),42902.6666666666)</f>
        <v>42902.666666666599</v>
      </c>
      <c r="B814" s="1">
        <f ca="1">IFERROR(__xludf.DUMMYFUNCTION("""COMPUTED_VALUE"""),46.99)</f>
        <v>46.99</v>
      </c>
    </row>
    <row r="815" spans="1:2">
      <c r="A815" s="3">
        <f ca="1">IFERROR(__xludf.DUMMYFUNCTION("""COMPUTED_VALUE"""),42905.6666666666)</f>
        <v>42905.666666666599</v>
      </c>
      <c r="B815" s="1">
        <f ca="1">IFERROR(__xludf.DUMMYFUNCTION("""COMPUTED_VALUE"""),47.87)</f>
        <v>47.87</v>
      </c>
    </row>
    <row r="816" spans="1:2">
      <c r="A816" s="3">
        <f ca="1">IFERROR(__xludf.DUMMYFUNCTION("""COMPUTED_VALUE"""),42906.6666666666)</f>
        <v>42906.666666666599</v>
      </c>
      <c r="B816" s="1">
        <f ca="1">IFERROR(__xludf.DUMMYFUNCTION("""COMPUTED_VALUE"""),47.53)</f>
        <v>47.53</v>
      </c>
    </row>
    <row r="817" spans="1:2">
      <c r="A817" s="3">
        <f ca="1">IFERROR(__xludf.DUMMYFUNCTION("""COMPUTED_VALUE"""),42907.6666666666)</f>
        <v>42907.666666666599</v>
      </c>
      <c r="B817" s="1">
        <f ca="1">IFERROR(__xludf.DUMMYFUNCTION("""COMPUTED_VALUE"""),47.97)</f>
        <v>47.97</v>
      </c>
    </row>
    <row r="818" spans="1:2">
      <c r="A818" s="3">
        <f ca="1">IFERROR(__xludf.DUMMYFUNCTION("""COMPUTED_VALUE"""),42908.6666666666)</f>
        <v>42908.666666666599</v>
      </c>
      <c r="B818" s="1">
        <f ca="1">IFERROR(__xludf.DUMMYFUNCTION("""COMPUTED_VALUE"""),47.85)</f>
        <v>47.85</v>
      </c>
    </row>
    <row r="819" spans="1:2">
      <c r="A819" s="3">
        <f ca="1">IFERROR(__xludf.DUMMYFUNCTION("""COMPUTED_VALUE"""),42909.6666666666)</f>
        <v>42909.666666666599</v>
      </c>
      <c r="B819" s="1">
        <f ca="1">IFERROR(__xludf.DUMMYFUNCTION("""COMPUTED_VALUE"""),48.28)</f>
        <v>48.28</v>
      </c>
    </row>
    <row r="820" spans="1:2">
      <c r="A820" s="3">
        <f ca="1">IFERROR(__xludf.DUMMYFUNCTION("""COMPUTED_VALUE"""),42912.6666666666)</f>
        <v>42912.666666666599</v>
      </c>
      <c r="B820" s="1">
        <f ca="1">IFERROR(__xludf.DUMMYFUNCTION("""COMPUTED_VALUE"""),47.61)</f>
        <v>47.61</v>
      </c>
    </row>
    <row r="821" spans="1:2">
      <c r="A821" s="3">
        <f ca="1">IFERROR(__xludf.DUMMYFUNCTION("""COMPUTED_VALUE"""),42913.6666666666)</f>
        <v>42913.666666666599</v>
      </c>
      <c r="B821" s="1">
        <f ca="1">IFERROR(__xludf.DUMMYFUNCTION("""COMPUTED_VALUE"""),46.37)</f>
        <v>46.37</v>
      </c>
    </row>
    <row r="822" spans="1:2">
      <c r="A822" s="3">
        <f ca="1">IFERROR(__xludf.DUMMYFUNCTION("""COMPUTED_VALUE"""),42914.6666666666)</f>
        <v>42914.666666666599</v>
      </c>
      <c r="B822" s="1">
        <f ca="1">IFERROR(__xludf.DUMMYFUNCTION("""COMPUTED_VALUE"""),47.02)</f>
        <v>47.02</v>
      </c>
    </row>
    <row r="823" spans="1:2">
      <c r="A823" s="3">
        <f ca="1">IFERROR(__xludf.DUMMYFUNCTION("""COMPUTED_VALUE"""),42915.6666666666)</f>
        <v>42915.666666666599</v>
      </c>
      <c r="B823" s="1">
        <f ca="1">IFERROR(__xludf.DUMMYFUNCTION("""COMPUTED_VALUE"""),45.89)</f>
        <v>45.89</v>
      </c>
    </row>
    <row r="824" spans="1:2">
      <c r="A824" s="3">
        <f ca="1">IFERROR(__xludf.DUMMYFUNCTION("""COMPUTED_VALUE"""),42916.6666666666)</f>
        <v>42916.666666666599</v>
      </c>
      <c r="B824" s="1">
        <f ca="1">IFERROR(__xludf.DUMMYFUNCTION("""COMPUTED_VALUE"""),45.44)</f>
        <v>45.44</v>
      </c>
    </row>
    <row r="825" spans="1:2">
      <c r="A825" s="3">
        <f ca="1">IFERROR(__xludf.DUMMYFUNCTION("""COMPUTED_VALUE"""),42919.6666666666)</f>
        <v>42919.666666666599</v>
      </c>
      <c r="B825" s="1">
        <f ca="1">IFERROR(__xludf.DUMMYFUNCTION("""COMPUTED_VALUE"""),44.94)</f>
        <v>44.94</v>
      </c>
    </row>
    <row r="826" spans="1:2">
      <c r="A826" s="3">
        <f ca="1">IFERROR(__xludf.DUMMYFUNCTION("""COMPUTED_VALUE"""),42921.6666666666)</f>
        <v>42921.666666666599</v>
      </c>
      <c r="B826" s="1">
        <f ca="1">IFERROR(__xludf.DUMMYFUNCTION("""COMPUTED_VALUE"""),45.59)</f>
        <v>45.59</v>
      </c>
    </row>
    <row r="827" spans="1:2">
      <c r="A827" s="3">
        <f ca="1">IFERROR(__xludf.DUMMYFUNCTION("""COMPUTED_VALUE"""),42922.6666666666)</f>
        <v>42922.666666666599</v>
      </c>
      <c r="B827" s="1">
        <f ca="1">IFERROR(__xludf.DUMMYFUNCTION("""COMPUTED_VALUE"""),45.33)</f>
        <v>45.33</v>
      </c>
    </row>
    <row r="828" spans="1:2">
      <c r="A828" s="3">
        <f ca="1">IFERROR(__xludf.DUMMYFUNCTION("""COMPUTED_VALUE"""),42923.6666666666)</f>
        <v>42923.666666666599</v>
      </c>
      <c r="B828" s="1">
        <f ca="1">IFERROR(__xludf.DUMMYFUNCTION("""COMPUTED_VALUE"""),45.93)</f>
        <v>45.93</v>
      </c>
    </row>
    <row r="829" spans="1:2">
      <c r="A829" s="3">
        <f ca="1">IFERROR(__xludf.DUMMYFUNCTION("""COMPUTED_VALUE"""),42926.6666666666)</f>
        <v>42926.666666666599</v>
      </c>
      <c r="B829" s="1">
        <f ca="1">IFERROR(__xludf.DUMMYFUNCTION("""COMPUTED_VALUE"""),46.44)</f>
        <v>46.44</v>
      </c>
    </row>
    <row r="830" spans="1:2">
      <c r="A830" s="3">
        <f ca="1">IFERROR(__xludf.DUMMYFUNCTION("""COMPUTED_VALUE"""),42927.6666666666)</f>
        <v>42927.666666666599</v>
      </c>
      <c r="B830" s="1">
        <f ca="1">IFERROR(__xludf.DUMMYFUNCTION("""COMPUTED_VALUE"""),46.5)</f>
        <v>46.5</v>
      </c>
    </row>
    <row r="831" spans="1:2">
      <c r="A831" s="3">
        <f ca="1">IFERROR(__xludf.DUMMYFUNCTION("""COMPUTED_VALUE"""),42928.6666666666)</f>
        <v>42928.666666666599</v>
      </c>
      <c r="B831" s="1">
        <f ca="1">IFERROR(__xludf.DUMMYFUNCTION("""COMPUTED_VALUE"""),47.19)</f>
        <v>47.19</v>
      </c>
    </row>
    <row r="832" spans="1:2">
      <c r="A832" s="3">
        <f ca="1">IFERROR(__xludf.DUMMYFUNCTION("""COMPUTED_VALUE"""),42929.6666666666)</f>
        <v>42929.666666666599</v>
      </c>
      <c r="B832" s="1">
        <f ca="1">IFERROR(__xludf.DUMMYFUNCTION("""COMPUTED_VALUE"""),47.36)</f>
        <v>47.36</v>
      </c>
    </row>
    <row r="833" spans="1:2">
      <c r="A833" s="3">
        <f ca="1">IFERROR(__xludf.DUMMYFUNCTION("""COMPUTED_VALUE"""),42930.6666666666)</f>
        <v>42930.666666666599</v>
      </c>
      <c r="B833" s="1">
        <f ca="1">IFERROR(__xludf.DUMMYFUNCTION("""COMPUTED_VALUE"""),47.8)</f>
        <v>47.8</v>
      </c>
    </row>
    <row r="834" spans="1:2">
      <c r="A834" s="3">
        <f ca="1">IFERROR(__xludf.DUMMYFUNCTION("""COMPUTED_VALUE"""),42933.6666666666)</f>
        <v>42933.666666666599</v>
      </c>
      <c r="B834" s="1">
        <f ca="1">IFERROR(__xludf.DUMMYFUNCTION("""COMPUTED_VALUE"""),47.67)</f>
        <v>47.67</v>
      </c>
    </row>
    <row r="835" spans="1:2">
      <c r="A835" s="3">
        <f ca="1">IFERROR(__xludf.DUMMYFUNCTION("""COMPUTED_VALUE"""),42934.6666666666)</f>
        <v>42934.666666666599</v>
      </c>
      <c r="B835" s="1">
        <f ca="1">IFERROR(__xludf.DUMMYFUNCTION("""COMPUTED_VALUE"""),48.27)</f>
        <v>48.27</v>
      </c>
    </row>
    <row r="836" spans="1:2">
      <c r="A836" s="3">
        <f ca="1">IFERROR(__xludf.DUMMYFUNCTION("""COMPUTED_VALUE"""),42935.6666666666)</f>
        <v>42935.666666666599</v>
      </c>
      <c r="B836" s="1">
        <f ca="1">IFERROR(__xludf.DUMMYFUNCTION("""COMPUTED_VALUE"""),48.54)</f>
        <v>48.54</v>
      </c>
    </row>
    <row r="837" spans="1:2">
      <c r="A837" s="3">
        <f ca="1">IFERROR(__xludf.DUMMYFUNCTION("""COMPUTED_VALUE"""),42936.6666666666)</f>
        <v>42936.666666666599</v>
      </c>
      <c r="B837" s="1">
        <f ca="1">IFERROR(__xludf.DUMMYFUNCTION("""COMPUTED_VALUE"""),48.41)</f>
        <v>48.41</v>
      </c>
    </row>
    <row r="838" spans="1:2">
      <c r="A838" s="3">
        <f ca="1">IFERROR(__xludf.DUMMYFUNCTION("""COMPUTED_VALUE"""),42937.6666666666)</f>
        <v>42937.666666666599</v>
      </c>
      <c r="B838" s="1">
        <f ca="1">IFERROR(__xludf.DUMMYFUNCTION("""COMPUTED_VALUE"""),48.65)</f>
        <v>48.65</v>
      </c>
    </row>
    <row r="839" spans="1:2">
      <c r="A839" s="3">
        <f ca="1">IFERROR(__xludf.DUMMYFUNCTION("""COMPUTED_VALUE"""),42940.6666666666)</f>
        <v>42940.666666666599</v>
      </c>
      <c r="B839" s="1">
        <f ca="1">IFERROR(__xludf.DUMMYFUNCTION("""COMPUTED_VALUE"""),49.02)</f>
        <v>49.02</v>
      </c>
    </row>
    <row r="840" spans="1:2">
      <c r="A840" s="3">
        <f ca="1">IFERROR(__xludf.DUMMYFUNCTION("""COMPUTED_VALUE"""),42941.6666666666)</f>
        <v>42941.666666666599</v>
      </c>
      <c r="B840" s="1">
        <f ca="1">IFERROR(__xludf.DUMMYFUNCTION("""COMPUTED_VALUE"""),47.54)</f>
        <v>47.54</v>
      </c>
    </row>
    <row r="841" spans="1:2">
      <c r="A841" s="3">
        <f ca="1">IFERROR(__xludf.DUMMYFUNCTION("""COMPUTED_VALUE"""),42942.6666666666)</f>
        <v>42942.666666666599</v>
      </c>
      <c r="B841" s="1">
        <f ca="1">IFERROR(__xludf.DUMMYFUNCTION("""COMPUTED_VALUE"""),47.39)</f>
        <v>47.39</v>
      </c>
    </row>
    <row r="842" spans="1:2">
      <c r="A842" s="3">
        <f ca="1">IFERROR(__xludf.DUMMYFUNCTION("""COMPUTED_VALUE"""),42943.6666666666)</f>
        <v>42943.666666666599</v>
      </c>
      <c r="B842" s="1">
        <f ca="1">IFERROR(__xludf.DUMMYFUNCTION("""COMPUTED_VALUE"""),46.7)</f>
        <v>46.7</v>
      </c>
    </row>
    <row r="843" spans="1:2">
      <c r="A843" s="3">
        <f ca="1">IFERROR(__xludf.DUMMYFUNCTION("""COMPUTED_VALUE"""),42944.6666666666)</f>
        <v>42944.666666666599</v>
      </c>
      <c r="B843" s="1">
        <f ca="1">IFERROR(__xludf.DUMMYFUNCTION("""COMPUTED_VALUE"""),47.08)</f>
        <v>47.08</v>
      </c>
    </row>
    <row r="844" spans="1:2">
      <c r="A844" s="3">
        <f ca="1">IFERROR(__xludf.DUMMYFUNCTION("""COMPUTED_VALUE"""),42947.6666666666)</f>
        <v>42947.666666666599</v>
      </c>
      <c r="B844" s="1">
        <f ca="1">IFERROR(__xludf.DUMMYFUNCTION("""COMPUTED_VALUE"""),46.53)</f>
        <v>46.53</v>
      </c>
    </row>
    <row r="845" spans="1:2">
      <c r="A845" s="3">
        <f ca="1">IFERROR(__xludf.DUMMYFUNCTION("""COMPUTED_VALUE"""),42948.6666666666)</f>
        <v>42948.666666666599</v>
      </c>
      <c r="B845" s="1">
        <f ca="1">IFERROR(__xludf.DUMMYFUNCTION("""COMPUTED_VALUE"""),46.54)</f>
        <v>46.54</v>
      </c>
    </row>
    <row r="846" spans="1:2">
      <c r="A846" s="3">
        <f ca="1">IFERROR(__xludf.DUMMYFUNCTION("""COMPUTED_VALUE"""),42949.6666666666)</f>
        <v>42949.666666666599</v>
      </c>
      <c r="B846" s="1">
        <f ca="1">IFERROR(__xludf.DUMMYFUNCTION("""COMPUTED_VALUE"""),46.52)</f>
        <v>46.52</v>
      </c>
    </row>
    <row r="847" spans="1:2">
      <c r="A847" s="3">
        <f ca="1">IFERROR(__xludf.DUMMYFUNCTION("""COMPUTED_VALUE"""),42950.6666666666)</f>
        <v>42950.666666666599</v>
      </c>
      <c r="B847" s="1">
        <f ca="1">IFERROR(__xludf.DUMMYFUNCTION("""COMPUTED_VALUE"""),46.18)</f>
        <v>46.18</v>
      </c>
    </row>
    <row r="848" spans="1:2">
      <c r="A848" s="3">
        <f ca="1">IFERROR(__xludf.DUMMYFUNCTION("""COMPUTED_VALUE"""),42951.6666666666)</f>
        <v>42951.666666666599</v>
      </c>
      <c r="B848" s="1">
        <f ca="1">IFERROR(__xludf.DUMMYFUNCTION("""COMPUTED_VALUE"""),46.4)</f>
        <v>46.4</v>
      </c>
    </row>
    <row r="849" spans="1:2">
      <c r="A849" s="3">
        <f ca="1">IFERROR(__xludf.DUMMYFUNCTION("""COMPUTED_VALUE"""),42954.6666666666)</f>
        <v>42954.666666666599</v>
      </c>
      <c r="B849" s="1">
        <f ca="1">IFERROR(__xludf.DUMMYFUNCTION("""COMPUTED_VALUE"""),46.47)</f>
        <v>46.47</v>
      </c>
    </row>
    <row r="850" spans="1:2">
      <c r="A850" s="3">
        <f ca="1">IFERROR(__xludf.DUMMYFUNCTION("""COMPUTED_VALUE"""),42955.6666666666)</f>
        <v>42955.666666666599</v>
      </c>
      <c r="B850" s="1">
        <f ca="1">IFERROR(__xludf.DUMMYFUNCTION("""COMPUTED_VALUE"""),46.34)</f>
        <v>46.34</v>
      </c>
    </row>
    <row r="851" spans="1:2">
      <c r="A851" s="3">
        <f ca="1">IFERROR(__xludf.DUMMYFUNCTION("""COMPUTED_VALUE"""),42956.6666666666)</f>
        <v>42956.666666666599</v>
      </c>
      <c r="B851" s="1">
        <f ca="1">IFERROR(__xludf.DUMMYFUNCTION("""COMPUTED_VALUE"""),46.15)</f>
        <v>46.15</v>
      </c>
    </row>
    <row r="852" spans="1:2">
      <c r="A852" s="3">
        <f ca="1">IFERROR(__xludf.DUMMYFUNCTION("""COMPUTED_VALUE"""),42957.6666666666)</f>
        <v>42957.666666666599</v>
      </c>
      <c r="B852" s="1">
        <f ca="1">IFERROR(__xludf.DUMMYFUNCTION("""COMPUTED_VALUE"""),45.36)</f>
        <v>45.36</v>
      </c>
    </row>
    <row r="853" spans="1:2">
      <c r="A853" s="3">
        <f ca="1">IFERROR(__xludf.DUMMYFUNCTION("""COMPUTED_VALUE"""),42958.6666666666)</f>
        <v>42958.666666666599</v>
      </c>
      <c r="B853" s="1">
        <f ca="1">IFERROR(__xludf.DUMMYFUNCTION("""COMPUTED_VALUE"""),45.72)</f>
        <v>45.72</v>
      </c>
    </row>
    <row r="854" spans="1:2">
      <c r="A854" s="3">
        <f ca="1">IFERROR(__xludf.DUMMYFUNCTION("""COMPUTED_VALUE"""),42961.6666666666)</f>
        <v>42961.666666666599</v>
      </c>
      <c r="B854" s="1">
        <f ca="1">IFERROR(__xludf.DUMMYFUNCTION("""COMPUTED_VALUE"""),46.13)</f>
        <v>46.13</v>
      </c>
    </row>
    <row r="855" spans="1:2">
      <c r="A855" s="3">
        <f ca="1">IFERROR(__xludf.DUMMYFUNCTION("""COMPUTED_VALUE"""),42962.6666666666)</f>
        <v>42962.666666666599</v>
      </c>
      <c r="B855" s="1">
        <f ca="1">IFERROR(__xludf.DUMMYFUNCTION("""COMPUTED_VALUE"""),46.11)</f>
        <v>46.11</v>
      </c>
    </row>
    <row r="856" spans="1:2">
      <c r="A856" s="3">
        <f ca="1">IFERROR(__xludf.DUMMYFUNCTION("""COMPUTED_VALUE"""),42963.6666666666)</f>
        <v>42963.666666666599</v>
      </c>
      <c r="B856" s="1">
        <f ca="1">IFERROR(__xludf.DUMMYFUNCTION("""COMPUTED_VALUE"""),46.35)</f>
        <v>46.35</v>
      </c>
    </row>
    <row r="857" spans="1:2">
      <c r="A857" s="3">
        <f ca="1">IFERROR(__xludf.DUMMYFUNCTION("""COMPUTED_VALUE"""),42964.6666666666)</f>
        <v>42964.666666666599</v>
      </c>
      <c r="B857" s="1">
        <f ca="1">IFERROR(__xludf.DUMMYFUNCTION("""COMPUTED_VALUE"""),45.55)</f>
        <v>45.55</v>
      </c>
    </row>
    <row r="858" spans="1:2">
      <c r="A858" s="3">
        <f ca="1">IFERROR(__xludf.DUMMYFUNCTION("""COMPUTED_VALUE"""),42965.6666666666)</f>
        <v>42965.666666666599</v>
      </c>
      <c r="B858" s="1">
        <f ca="1">IFERROR(__xludf.DUMMYFUNCTION("""COMPUTED_VALUE"""),45.53)</f>
        <v>45.53</v>
      </c>
    </row>
    <row r="859" spans="1:2">
      <c r="A859" s="3">
        <f ca="1">IFERROR(__xludf.DUMMYFUNCTION("""COMPUTED_VALUE"""),42968.6666666666)</f>
        <v>42968.666666666599</v>
      </c>
      <c r="B859" s="1">
        <f ca="1">IFERROR(__xludf.DUMMYFUNCTION("""COMPUTED_VALUE"""),45.33)</f>
        <v>45.33</v>
      </c>
    </row>
    <row r="860" spans="1:2">
      <c r="A860" s="3">
        <f ca="1">IFERROR(__xludf.DUMMYFUNCTION("""COMPUTED_VALUE"""),42969.6666666666)</f>
        <v>42969.666666666599</v>
      </c>
      <c r="B860" s="1">
        <f ca="1">IFERROR(__xludf.DUMMYFUNCTION("""COMPUTED_VALUE"""),46.23)</f>
        <v>46.23</v>
      </c>
    </row>
    <row r="861" spans="1:2">
      <c r="A861" s="3">
        <f ca="1">IFERROR(__xludf.DUMMYFUNCTION("""COMPUTED_VALUE"""),42970.6666666666)</f>
        <v>42970.666666666599</v>
      </c>
      <c r="B861" s="1">
        <f ca="1">IFERROR(__xludf.DUMMYFUNCTION("""COMPUTED_VALUE"""),46.35)</f>
        <v>46.35</v>
      </c>
    </row>
    <row r="862" spans="1:2">
      <c r="A862" s="3">
        <f ca="1">IFERROR(__xludf.DUMMYFUNCTION("""COMPUTED_VALUE"""),42971.6666666666)</f>
        <v>42971.666666666599</v>
      </c>
      <c r="B862" s="1">
        <f ca="1">IFERROR(__xludf.DUMMYFUNCTION("""COMPUTED_VALUE"""),46.06)</f>
        <v>46.06</v>
      </c>
    </row>
    <row r="863" spans="1:2">
      <c r="A863" s="3">
        <f ca="1">IFERROR(__xludf.DUMMYFUNCTION("""COMPUTED_VALUE"""),42972.6666666666)</f>
        <v>42972.666666666599</v>
      </c>
      <c r="B863" s="1">
        <f ca="1">IFERROR(__xludf.DUMMYFUNCTION("""COMPUTED_VALUE"""),45.79)</f>
        <v>45.79</v>
      </c>
    </row>
    <row r="864" spans="1:2">
      <c r="A864" s="3">
        <f ca="1">IFERROR(__xludf.DUMMYFUNCTION("""COMPUTED_VALUE"""),42975.6666666666)</f>
        <v>42975.666666666599</v>
      </c>
      <c r="B864" s="1">
        <f ca="1">IFERROR(__xludf.DUMMYFUNCTION("""COMPUTED_VALUE"""),45.69)</f>
        <v>45.69</v>
      </c>
    </row>
    <row r="865" spans="1:2">
      <c r="A865" s="3">
        <f ca="1">IFERROR(__xludf.DUMMYFUNCTION("""COMPUTED_VALUE"""),42976.6666666666)</f>
        <v>42976.666666666599</v>
      </c>
      <c r="B865" s="1">
        <f ca="1">IFERROR(__xludf.DUMMYFUNCTION("""COMPUTED_VALUE"""),46.06)</f>
        <v>46.06</v>
      </c>
    </row>
    <row r="866" spans="1:2">
      <c r="A866" s="3">
        <f ca="1">IFERROR(__xludf.DUMMYFUNCTION("""COMPUTED_VALUE"""),42977.6666666666)</f>
        <v>42977.666666666599</v>
      </c>
      <c r="B866" s="1">
        <f ca="1">IFERROR(__xludf.DUMMYFUNCTION("""COMPUTED_VALUE"""),46.48)</f>
        <v>46.48</v>
      </c>
    </row>
    <row r="867" spans="1:2">
      <c r="A867" s="3">
        <f ca="1">IFERROR(__xludf.DUMMYFUNCTION("""COMPUTED_VALUE"""),42978.6666666666)</f>
        <v>42978.666666666599</v>
      </c>
      <c r="B867" s="1">
        <f ca="1">IFERROR(__xludf.DUMMYFUNCTION("""COMPUTED_VALUE"""),46.97)</f>
        <v>46.97</v>
      </c>
    </row>
    <row r="868" spans="1:2">
      <c r="A868" s="3">
        <f ca="1">IFERROR(__xludf.DUMMYFUNCTION("""COMPUTED_VALUE"""),42979.6666666666)</f>
        <v>42979.666666666599</v>
      </c>
      <c r="B868" s="1">
        <f ca="1">IFERROR(__xludf.DUMMYFUNCTION("""COMPUTED_VALUE"""),46.87)</f>
        <v>46.87</v>
      </c>
    </row>
    <row r="869" spans="1:2">
      <c r="A869" s="3">
        <f ca="1">IFERROR(__xludf.DUMMYFUNCTION("""COMPUTED_VALUE"""),42983.6666666666)</f>
        <v>42983.666666666599</v>
      </c>
      <c r="B869" s="1">
        <f ca="1">IFERROR(__xludf.DUMMYFUNCTION("""COMPUTED_VALUE"""),46.42)</f>
        <v>46.42</v>
      </c>
    </row>
    <row r="870" spans="1:2">
      <c r="A870" s="3">
        <f ca="1">IFERROR(__xludf.DUMMYFUNCTION("""COMPUTED_VALUE"""),42984.6666666666)</f>
        <v>42984.666666666599</v>
      </c>
      <c r="B870" s="1">
        <f ca="1">IFERROR(__xludf.DUMMYFUNCTION("""COMPUTED_VALUE"""),46.39)</f>
        <v>46.39</v>
      </c>
    </row>
    <row r="871" spans="1:2">
      <c r="A871" s="3">
        <f ca="1">IFERROR(__xludf.DUMMYFUNCTION("""COMPUTED_VALUE"""),42985.6666666666)</f>
        <v>42985.666666666599</v>
      </c>
      <c r="B871" s="1">
        <f ca="1">IFERROR(__xludf.DUMMYFUNCTION("""COMPUTED_VALUE"""),46.8)</f>
        <v>46.8</v>
      </c>
    </row>
    <row r="872" spans="1:2">
      <c r="A872" s="3">
        <f ca="1">IFERROR(__xludf.DUMMYFUNCTION("""COMPUTED_VALUE"""),42986.6666666666)</f>
        <v>42986.666666666599</v>
      </c>
      <c r="B872" s="1">
        <f ca="1">IFERROR(__xludf.DUMMYFUNCTION("""COMPUTED_VALUE"""),46.33)</f>
        <v>46.33</v>
      </c>
    </row>
    <row r="873" spans="1:2">
      <c r="A873" s="3">
        <f ca="1">IFERROR(__xludf.DUMMYFUNCTION("""COMPUTED_VALUE"""),42989.6666666666)</f>
        <v>42989.666666666599</v>
      </c>
      <c r="B873" s="1">
        <f ca="1">IFERROR(__xludf.DUMMYFUNCTION("""COMPUTED_VALUE"""),46.45)</f>
        <v>46.45</v>
      </c>
    </row>
    <row r="874" spans="1:2">
      <c r="A874" s="3">
        <f ca="1">IFERROR(__xludf.DUMMYFUNCTION("""COMPUTED_VALUE"""),42990.6666666666)</f>
        <v>42990.666666666599</v>
      </c>
      <c r="B874" s="1">
        <f ca="1">IFERROR(__xludf.DUMMYFUNCTION("""COMPUTED_VALUE"""),46.6)</f>
        <v>46.6</v>
      </c>
    </row>
    <row r="875" spans="1:2">
      <c r="A875" s="3">
        <f ca="1">IFERROR(__xludf.DUMMYFUNCTION("""COMPUTED_VALUE"""),42991.6666666666)</f>
        <v>42991.666666666599</v>
      </c>
      <c r="B875" s="1">
        <f ca="1">IFERROR(__xludf.DUMMYFUNCTION("""COMPUTED_VALUE"""),46.75)</f>
        <v>46.75</v>
      </c>
    </row>
    <row r="876" spans="1:2">
      <c r="A876" s="3">
        <f ca="1">IFERROR(__xludf.DUMMYFUNCTION("""COMPUTED_VALUE"""),42992.6666666666)</f>
        <v>42992.666666666599</v>
      </c>
      <c r="B876" s="1">
        <f ca="1">IFERROR(__xludf.DUMMYFUNCTION("""COMPUTED_VALUE"""),46.26)</f>
        <v>46.26</v>
      </c>
    </row>
    <row r="877" spans="1:2">
      <c r="A877" s="3">
        <f ca="1">IFERROR(__xludf.DUMMYFUNCTION("""COMPUTED_VALUE"""),42993.6666666666)</f>
        <v>42993.666666666599</v>
      </c>
      <c r="B877" s="1">
        <f ca="1">IFERROR(__xludf.DUMMYFUNCTION("""COMPUTED_VALUE"""),46.01)</f>
        <v>46.01</v>
      </c>
    </row>
    <row r="878" spans="1:2">
      <c r="A878" s="3">
        <f ca="1">IFERROR(__xludf.DUMMYFUNCTION("""COMPUTED_VALUE"""),42996.6666666666)</f>
        <v>42996.666666666599</v>
      </c>
      <c r="B878" s="1">
        <f ca="1">IFERROR(__xludf.DUMMYFUNCTION("""COMPUTED_VALUE"""),45.75)</f>
        <v>45.75</v>
      </c>
    </row>
    <row r="879" spans="1:2">
      <c r="A879" s="3">
        <f ca="1">IFERROR(__xludf.DUMMYFUNCTION("""COMPUTED_VALUE"""),42997.6666666666)</f>
        <v>42997.666666666599</v>
      </c>
      <c r="B879" s="1">
        <f ca="1">IFERROR(__xludf.DUMMYFUNCTION("""COMPUTED_VALUE"""),46.09)</f>
        <v>46.09</v>
      </c>
    </row>
    <row r="880" spans="1:2">
      <c r="A880" s="3">
        <f ca="1">IFERROR(__xludf.DUMMYFUNCTION("""COMPUTED_VALUE"""),42998.6666666666)</f>
        <v>42998.666666666599</v>
      </c>
      <c r="B880" s="1">
        <f ca="1">IFERROR(__xludf.DUMMYFUNCTION("""COMPUTED_VALUE"""),46.58)</f>
        <v>46.58</v>
      </c>
    </row>
    <row r="881" spans="1:2">
      <c r="A881" s="3">
        <f ca="1">IFERROR(__xludf.DUMMYFUNCTION("""COMPUTED_VALUE"""),42999.6666666666)</f>
        <v>42999.666666666599</v>
      </c>
      <c r="B881" s="1">
        <f ca="1">IFERROR(__xludf.DUMMYFUNCTION("""COMPUTED_VALUE"""),46.62)</f>
        <v>46.62</v>
      </c>
    </row>
    <row r="882" spans="1:2">
      <c r="A882" s="3">
        <f ca="1">IFERROR(__xludf.DUMMYFUNCTION("""COMPUTED_VALUE"""),43000.6666666666)</f>
        <v>43000.666666666599</v>
      </c>
      <c r="B882" s="1">
        <f ca="1">IFERROR(__xludf.DUMMYFUNCTION("""COMPUTED_VALUE"""),46.43)</f>
        <v>46.43</v>
      </c>
    </row>
    <row r="883" spans="1:2">
      <c r="A883" s="3">
        <f ca="1">IFERROR(__xludf.DUMMYFUNCTION("""COMPUTED_VALUE"""),43003.6666666666)</f>
        <v>43003.666666666599</v>
      </c>
      <c r="B883" s="1">
        <f ca="1">IFERROR(__xludf.DUMMYFUNCTION("""COMPUTED_VALUE"""),46.05)</f>
        <v>46.05</v>
      </c>
    </row>
    <row r="884" spans="1:2">
      <c r="A884" s="3">
        <f ca="1">IFERROR(__xludf.DUMMYFUNCTION("""COMPUTED_VALUE"""),43004.6666666666)</f>
        <v>43004.666666666599</v>
      </c>
      <c r="B884" s="1">
        <f ca="1">IFERROR(__xludf.DUMMYFUNCTION("""COMPUTED_VALUE"""),46.24)</f>
        <v>46.24</v>
      </c>
    </row>
    <row r="885" spans="1:2">
      <c r="A885" s="3">
        <f ca="1">IFERROR(__xludf.DUMMYFUNCTION("""COMPUTED_VALUE"""),43005.6666666666)</f>
        <v>43005.666666666599</v>
      </c>
      <c r="B885" s="1">
        <f ca="1">IFERROR(__xludf.DUMMYFUNCTION("""COMPUTED_VALUE"""),47.22)</f>
        <v>47.22</v>
      </c>
    </row>
    <row r="886" spans="1:2">
      <c r="A886" s="3">
        <f ca="1">IFERROR(__xludf.DUMMYFUNCTION("""COMPUTED_VALUE"""),43006.6666666666)</f>
        <v>43006.666666666599</v>
      </c>
      <c r="B886" s="1">
        <f ca="1">IFERROR(__xludf.DUMMYFUNCTION("""COMPUTED_VALUE"""),47.48)</f>
        <v>47.48</v>
      </c>
    </row>
    <row r="887" spans="1:2">
      <c r="A887" s="3">
        <f ca="1">IFERROR(__xludf.DUMMYFUNCTION("""COMPUTED_VALUE"""),43007.6666666666)</f>
        <v>43007.666666666599</v>
      </c>
      <c r="B887" s="1">
        <f ca="1">IFERROR(__xludf.DUMMYFUNCTION("""COMPUTED_VALUE"""),47.96)</f>
        <v>47.96</v>
      </c>
    </row>
    <row r="888" spans="1:2">
      <c r="A888" s="3">
        <f ca="1">IFERROR(__xludf.DUMMYFUNCTION("""COMPUTED_VALUE"""),43010.6666666666)</f>
        <v>43010.666666666599</v>
      </c>
      <c r="B888" s="1">
        <f ca="1">IFERROR(__xludf.DUMMYFUNCTION("""COMPUTED_VALUE"""),47.66)</f>
        <v>47.66</v>
      </c>
    </row>
    <row r="889" spans="1:2">
      <c r="A889" s="3">
        <f ca="1">IFERROR(__xludf.DUMMYFUNCTION("""COMPUTED_VALUE"""),43011.6666666666)</f>
        <v>43011.666666666599</v>
      </c>
      <c r="B889" s="1">
        <f ca="1">IFERROR(__xludf.DUMMYFUNCTION("""COMPUTED_VALUE"""),47.89)</f>
        <v>47.89</v>
      </c>
    </row>
    <row r="890" spans="1:2">
      <c r="A890" s="3">
        <f ca="1">IFERROR(__xludf.DUMMYFUNCTION("""COMPUTED_VALUE"""),43012.6666666666)</f>
        <v>43012.666666666599</v>
      </c>
      <c r="B890" s="1">
        <f ca="1">IFERROR(__xludf.DUMMYFUNCTION("""COMPUTED_VALUE"""),47.58)</f>
        <v>47.58</v>
      </c>
    </row>
    <row r="891" spans="1:2">
      <c r="A891" s="3">
        <f ca="1">IFERROR(__xludf.DUMMYFUNCTION("""COMPUTED_VALUE"""),43013.6666666666)</f>
        <v>43013.666666666599</v>
      </c>
      <c r="B891" s="1">
        <f ca="1">IFERROR(__xludf.DUMMYFUNCTION("""COMPUTED_VALUE"""),48.5)</f>
        <v>48.5</v>
      </c>
    </row>
    <row r="892" spans="1:2">
      <c r="A892" s="3">
        <f ca="1">IFERROR(__xludf.DUMMYFUNCTION("""COMPUTED_VALUE"""),43014.6666666666)</f>
        <v>43014.666666666599</v>
      </c>
      <c r="B892" s="1">
        <f ca="1">IFERROR(__xludf.DUMMYFUNCTION("""COMPUTED_VALUE"""),48.94)</f>
        <v>48.94</v>
      </c>
    </row>
    <row r="893" spans="1:2">
      <c r="A893" s="3">
        <f ca="1">IFERROR(__xludf.DUMMYFUNCTION("""COMPUTED_VALUE"""),43017.6666666666)</f>
        <v>43017.666666666599</v>
      </c>
      <c r="B893" s="1">
        <f ca="1">IFERROR(__xludf.DUMMYFUNCTION("""COMPUTED_VALUE"""),48.85)</f>
        <v>48.85</v>
      </c>
    </row>
    <row r="894" spans="1:2">
      <c r="A894" s="3">
        <f ca="1">IFERROR(__xludf.DUMMYFUNCTION("""COMPUTED_VALUE"""),43018.6666666666)</f>
        <v>43018.666666666599</v>
      </c>
      <c r="B894" s="1">
        <f ca="1">IFERROR(__xludf.DUMMYFUNCTION("""COMPUTED_VALUE"""),48.63)</f>
        <v>48.63</v>
      </c>
    </row>
    <row r="895" spans="1:2">
      <c r="A895" s="3">
        <f ca="1">IFERROR(__xludf.DUMMYFUNCTION("""COMPUTED_VALUE"""),43019.6666666666)</f>
        <v>43019.666666666599</v>
      </c>
      <c r="B895" s="1">
        <f ca="1">IFERROR(__xludf.DUMMYFUNCTION("""COMPUTED_VALUE"""),49.46)</f>
        <v>49.46</v>
      </c>
    </row>
    <row r="896" spans="1:2">
      <c r="A896" s="3">
        <f ca="1">IFERROR(__xludf.DUMMYFUNCTION("""COMPUTED_VALUE"""),43020.6666666666)</f>
        <v>43020.666666666599</v>
      </c>
      <c r="B896" s="1">
        <f ca="1">IFERROR(__xludf.DUMMYFUNCTION("""COMPUTED_VALUE"""),49.39)</f>
        <v>49.39</v>
      </c>
    </row>
    <row r="897" spans="1:2">
      <c r="A897" s="3">
        <f ca="1">IFERROR(__xludf.DUMMYFUNCTION("""COMPUTED_VALUE"""),43021.6666666666)</f>
        <v>43021.666666666599</v>
      </c>
      <c r="B897" s="1">
        <f ca="1">IFERROR(__xludf.DUMMYFUNCTION("""COMPUTED_VALUE"""),49.48)</f>
        <v>49.48</v>
      </c>
    </row>
    <row r="898" spans="1:2">
      <c r="A898" s="3">
        <f ca="1">IFERROR(__xludf.DUMMYFUNCTION("""COMPUTED_VALUE"""),43024.6666666666)</f>
        <v>43024.666666666599</v>
      </c>
      <c r="B898" s="1">
        <f ca="1">IFERROR(__xludf.DUMMYFUNCTION("""COMPUTED_VALUE"""),49.6)</f>
        <v>49.6</v>
      </c>
    </row>
    <row r="899" spans="1:2">
      <c r="A899" s="3">
        <f ca="1">IFERROR(__xludf.DUMMYFUNCTION("""COMPUTED_VALUE"""),43025.6666666666)</f>
        <v>43025.666666666599</v>
      </c>
      <c r="B899" s="1">
        <f ca="1">IFERROR(__xludf.DUMMYFUNCTION("""COMPUTED_VALUE"""),49.61)</f>
        <v>49.61</v>
      </c>
    </row>
    <row r="900" spans="1:2">
      <c r="A900" s="3">
        <f ca="1">IFERROR(__xludf.DUMMYFUNCTION("""COMPUTED_VALUE"""),43026.6666666666)</f>
        <v>43026.666666666599</v>
      </c>
      <c r="B900" s="1">
        <f ca="1">IFERROR(__xludf.DUMMYFUNCTION("""COMPUTED_VALUE"""),49.64)</f>
        <v>49.64</v>
      </c>
    </row>
    <row r="901" spans="1:2">
      <c r="A901" s="3">
        <f ca="1">IFERROR(__xludf.DUMMYFUNCTION("""COMPUTED_VALUE"""),43027.6666666666)</f>
        <v>43027.666666666599</v>
      </c>
      <c r="B901" s="1">
        <f ca="1">IFERROR(__xludf.DUMMYFUNCTION("""COMPUTED_VALUE"""),49.22)</f>
        <v>49.22</v>
      </c>
    </row>
    <row r="902" spans="1:2">
      <c r="A902" s="3">
        <f ca="1">IFERROR(__xludf.DUMMYFUNCTION("""COMPUTED_VALUE"""),43028.6666666666)</f>
        <v>43028.666666666599</v>
      </c>
      <c r="B902" s="1">
        <f ca="1">IFERROR(__xludf.DUMMYFUNCTION("""COMPUTED_VALUE"""),49.41)</f>
        <v>49.41</v>
      </c>
    </row>
    <row r="903" spans="1:2">
      <c r="A903" s="3">
        <f ca="1">IFERROR(__xludf.DUMMYFUNCTION("""COMPUTED_VALUE"""),43031.6666666666)</f>
        <v>43031.666666666599</v>
      </c>
      <c r="B903" s="1">
        <f ca="1">IFERROR(__xludf.DUMMYFUNCTION("""COMPUTED_VALUE"""),48.42)</f>
        <v>48.42</v>
      </c>
    </row>
    <row r="904" spans="1:2">
      <c r="A904" s="3">
        <f ca="1">IFERROR(__xludf.DUMMYFUNCTION("""COMPUTED_VALUE"""),43032.6666666666)</f>
        <v>43032.666666666599</v>
      </c>
      <c r="B904" s="1">
        <f ca="1">IFERROR(__xludf.DUMMYFUNCTION("""COMPUTED_VALUE"""),48.53)</f>
        <v>48.53</v>
      </c>
    </row>
    <row r="905" spans="1:2">
      <c r="A905" s="3">
        <f ca="1">IFERROR(__xludf.DUMMYFUNCTION("""COMPUTED_VALUE"""),43033.6666666666)</f>
        <v>43033.666666666599</v>
      </c>
      <c r="B905" s="1">
        <f ca="1">IFERROR(__xludf.DUMMYFUNCTION("""COMPUTED_VALUE"""),48.67)</f>
        <v>48.67</v>
      </c>
    </row>
    <row r="906" spans="1:2">
      <c r="A906" s="3">
        <f ca="1">IFERROR(__xludf.DUMMYFUNCTION("""COMPUTED_VALUE"""),43034.6666666666)</f>
        <v>43034.666666666599</v>
      </c>
      <c r="B906" s="1">
        <f ca="1">IFERROR(__xludf.DUMMYFUNCTION("""COMPUTED_VALUE"""),48.63)</f>
        <v>48.63</v>
      </c>
    </row>
    <row r="907" spans="1:2">
      <c r="A907" s="3">
        <f ca="1">IFERROR(__xludf.DUMMYFUNCTION("""COMPUTED_VALUE"""),43035.6666666666)</f>
        <v>43035.666666666599</v>
      </c>
      <c r="B907" s="1">
        <f ca="1">IFERROR(__xludf.DUMMYFUNCTION("""COMPUTED_VALUE"""),50.96)</f>
        <v>50.96</v>
      </c>
    </row>
    <row r="908" spans="1:2">
      <c r="A908" s="3">
        <f ca="1">IFERROR(__xludf.DUMMYFUNCTION("""COMPUTED_VALUE"""),43038.6666666666)</f>
        <v>43038.666666666599</v>
      </c>
      <c r="B908" s="1">
        <f ca="1">IFERROR(__xludf.DUMMYFUNCTION("""COMPUTED_VALUE"""),50.86)</f>
        <v>50.86</v>
      </c>
    </row>
    <row r="909" spans="1:2">
      <c r="A909" s="3">
        <f ca="1">IFERROR(__xludf.DUMMYFUNCTION("""COMPUTED_VALUE"""),43039.6666666666)</f>
        <v>43039.666666666599</v>
      </c>
      <c r="B909" s="1">
        <f ca="1">IFERROR(__xludf.DUMMYFUNCTION("""COMPUTED_VALUE"""),50.83)</f>
        <v>50.83</v>
      </c>
    </row>
    <row r="910" spans="1:2">
      <c r="A910" s="3">
        <f ca="1">IFERROR(__xludf.DUMMYFUNCTION("""COMPUTED_VALUE"""),43040.6666666666)</f>
        <v>43040.666666666599</v>
      </c>
      <c r="B910" s="1">
        <f ca="1">IFERROR(__xludf.DUMMYFUNCTION("""COMPUTED_VALUE"""),51.28)</f>
        <v>51.28</v>
      </c>
    </row>
    <row r="911" spans="1:2">
      <c r="A911" s="3">
        <f ca="1">IFERROR(__xludf.DUMMYFUNCTION("""COMPUTED_VALUE"""),43041.6666666666)</f>
        <v>43041.666666666599</v>
      </c>
      <c r="B911" s="1">
        <f ca="1">IFERROR(__xludf.DUMMYFUNCTION("""COMPUTED_VALUE"""),51.28)</f>
        <v>51.28</v>
      </c>
    </row>
    <row r="912" spans="1:2">
      <c r="A912" s="3">
        <f ca="1">IFERROR(__xludf.DUMMYFUNCTION("""COMPUTED_VALUE"""),43042.6666666666)</f>
        <v>43042.666666666599</v>
      </c>
      <c r="B912" s="1">
        <f ca="1">IFERROR(__xludf.DUMMYFUNCTION("""COMPUTED_VALUE"""),51.62)</f>
        <v>51.62</v>
      </c>
    </row>
    <row r="913" spans="1:2">
      <c r="A913" s="3">
        <f ca="1">IFERROR(__xludf.DUMMYFUNCTION("""COMPUTED_VALUE"""),43045.6666666666)</f>
        <v>43045.666666666599</v>
      </c>
      <c r="B913" s="1">
        <f ca="1">IFERROR(__xludf.DUMMYFUNCTION("""COMPUTED_VALUE"""),51.3)</f>
        <v>51.3</v>
      </c>
    </row>
    <row r="914" spans="1:2">
      <c r="A914" s="3">
        <f ca="1">IFERROR(__xludf.DUMMYFUNCTION("""COMPUTED_VALUE"""),43046.6666666666)</f>
        <v>43046.666666666599</v>
      </c>
      <c r="B914" s="1">
        <f ca="1">IFERROR(__xludf.DUMMYFUNCTION("""COMPUTED_VALUE"""),51.67)</f>
        <v>51.67</v>
      </c>
    </row>
    <row r="915" spans="1:2">
      <c r="A915" s="3">
        <f ca="1">IFERROR(__xludf.DUMMYFUNCTION("""COMPUTED_VALUE"""),43047.6666666666)</f>
        <v>43047.666666666599</v>
      </c>
      <c r="B915" s="1">
        <f ca="1">IFERROR(__xludf.DUMMYFUNCTION("""COMPUTED_VALUE"""),51.99)</f>
        <v>51.99</v>
      </c>
    </row>
    <row r="916" spans="1:2">
      <c r="A916" s="3">
        <f ca="1">IFERROR(__xludf.DUMMYFUNCTION("""COMPUTED_VALUE"""),43048.6666666666)</f>
        <v>43048.666666666599</v>
      </c>
      <c r="B916" s="1">
        <f ca="1">IFERROR(__xludf.DUMMYFUNCTION("""COMPUTED_VALUE"""),51.56)</f>
        <v>51.56</v>
      </c>
    </row>
    <row r="917" spans="1:2">
      <c r="A917" s="3">
        <f ca="1">IFERROR(__xludf.DUMMYFUNCTION("""COMPUTED_VALUE"""),43049.6666666666)</f>
        <v>43049.666666666599</v>
      </c>
      <c r="B917" s="1">
        <f ca="1">IFERROR(__xludf.DUMMYFUNCTION("""COMPUTED_VALUE"""),51.4)</f>
        <v>51.4</v>
      </c>
    </row>
    <row r="918" spans="1:2">
      <c r="A918" s="3">
        <f ca="1">IFERROR(__xludf.DUMMYFUNCTION("""COMPUTED_VALUE"""),43052.6666666666)</f>
        <v>43052.666666666599</v>
      </c>
      <c r="B918" s="1">
        <f ca="1">IFERROR(__xludf.DUMMYFUNCTION("""COMPUTED_VALUE"""),51.29)</f>
        <v>51.29</v>
      </c>
    </row>
    <row r="919" spans="1:2">
      <c r="A919" s="3">
        <f ca="1">IFERROR(__xludf.DUMMYFUNCTION("""COMPUTED_VALUE"""),43053.6666666666)</f>
        <v>43053.666666666599</v>
      </c>
      <c r="B919" s="1">
        <f ca="1">IFERROR(__xludf.DUMMYFUNCTION("""COMPUTED_VALUE"""),51.3)</f>
        <v>51.3</v>
      </c>
    </row>
    <row r="920" spans="1:2">
      <c r="A920" s="3">
        <f ca="1">IFERROR(__xludf.DUMMYFUNCTION("""COMPUTED_VALUE"""),43054.6666666666)</f>
        <v>43054.666666666599</v>
      </c>
      <c r="B920" s="1">
        <f ca="1">IFERROR(__xludf.DUMMYFUNCTION("""COMPUTED_VALUE"""),51.05)</f>
        <v>51.05</v>
      </c>
    </row>
    <row r="921" spans="1:2">
      <c r="A921" s="3">
        <f ca="1">IFERROR(__xludf.DUMMYFUNCTION("""COMPUTED_VALUE"""),43055.6666666666)</f>
        <v>43055.666666666599</v>
      </c>
      <c r="B921" s="1">
        <f ca="1">IFERROR(__xludf.DUMMYFUNCTION("""COMPUTED_VALUE"""),51.63)</f>
        <v>51.63</v>
      </c>
    </row>
    <row r="922" spans="1:2">
      <c r="A922" s="3">
        <f ca="1">IFERROR(__xludf.DUMMYFUNCTION("""COMPUTED_VALUE"""),43056.6666666666)</f>
        <v>43056.666666666599</v>
      </c>
      <c r="B922" s="1">
        <f ca="1">IFERROR(__xludf.DUMMYFUNCTION("""COMPUTED_VALUE"""),50.95)</f>
        <v>50.95</v>
      </c>
    </row>
    <row r="923" spans="1:2">
      <c r="A923" s="3">
        <f ca="1">IFERROR(__xludf.DUMMYFUNCTION("""COMPUTED_VALUE"""),43059.6666666666)</f>
        <v>43059.666666666599</v>
      </c>
      <c r="B923" s="1">
        <f ca="1">IFERROR(__xludf.DUMMYFUNCTION("""COMPUTED_VALUE"""),50.92)</f>
        <v>50.92</v>
      </c>
    </row>
    <row r="924" spans="1:2">
      <c r="A924" s="3">
        <f ca="1">IFERROR(__xludf.DUMMYFUNCTION("""COMPUTED_VALUE"""),43060.6666666666)</f>
        <v>43060.666666666599</v>
      </c>
      <c r="B924" s="1">
        <f ca="1">IFERROR(__xludf.DUMMYFUNCTION("""COMPUTED_VALUE"""),51.72)</f>
        <v>51.72</v>
      </c>
    </row>
    <row r="925" spans="1:2">
      <c r="A925" s="3">
        <f ca="1">IFERROR(__xludf.DUMMYFUNCTION("""COMPUTED_VALUE"""),43061.6666666666)</f>
        <v>43061.666666666599</v>
      </c>
      <c r="B925" s="1">
        <f ca="1">IFERROR(__xludf.DUMMYFUNCTION("""COMPUTED_VALUE"""),51.8)</f>
        <v>51.8</v>
      </c>
    </row>
    <row r="926" spans="1:2">
      <c r="A926" s="3">
        <f ca="1">IFERROR(__xludf.DUMMYFUNCTION("""COMPUTED_VALUE"""),43063.5416666666)</f>
        <v>43063.541666666599</v>
      </c>
      <c r="B926" s="1">
        <f ca="1">IFERROR(__xludf.DUMMYFUNCTION("""COMPUTED_VALUE"""),52.03)</f>
        <v>52.03</v>
      </c>
    </row>
    <row r="927" spans="1:2">
      <c r="A927" s="3">
        <f ca="1">IFERROR(__xludf.DUMMYFUNCTION("""COMPUTED_VALUE"""),43066.6666666666)</f>
        <v>43066.666666666599</v>
      </c>
      <c r="B927" s="1">
        <f ca="1">IFERROR(__xludf.DUMMYFUNCTION("""COMPUTED_VALUE"""),52.71)</f>
        <v>52.71</v>
      </c>
    </row>
    <row r="928" spans="1:2">
      <c r="A928" s="3">
        <f ca="1">IFERROR(__xludf.DUMMYFUNCTION("""COMPUTED_VALUE"""),43067.6666666666)</f>
        <v>43067.666666666599</v>
      </c>
      <c r="B928" s="1">
        <f ca="1">IFERROR(__xludf.DUMMYFUNCTION("""COMPUTED_VALUE"""),52.37)</f>
        <v>52.37</v>
      </c>
    </row>
    <row r="929" spans="1:2">
      <c r="A929" s="3">
        <f ca="1">IFERROR(__xludf.DUMMYFUNCTION("""COMPUTED_VALUE"""),43068.6666666666)</f>
        <v>43068.666666666599</v>
      </c>
      <c r="B929" s="1">
        <f ca="1">IFERROR(__xludf.DUMMYFUNCTION("""COMPUTED_VALUE"""),51.08)</f>
        <v>51.08</v>
      </c>
    </row>
    <row r="930" spans="1:2">
      <c r="A930" s="3">
        <f ca="1">IFERROR(__xludf.DUMMYFUNCTION("""COMPUTED_VALUE"""),43069.6666666666)</f>
        <v>43069.666666666599</v>
      </c>
      <c r="B930" s="1">
        <f ca="1">IFERROR(__xludf.DUMMYFUNCTION("""COMPUTED_VALUE"""),51.07)</f>
        <v>51.07</v>
      </c>
    </row>
    <row r="931" spans="1:2">
      <c r="A931" s="3">
        <f ca="1">IFERROR(__xludf.DUMMYFUNCTION("""COMPUTED_VALUE"""),43070.6666666666)</f>
        <v>43070.666666666599</v>
      </c>
      <c r="B931" s="1">
        <f ca="1">IFERROR(__xludf.DUMMYFUNCTION("""COMPUTED_VALUE"""),50.51)</f>
        <v>50.51</v>
      </c>
    </row>
    <row r="932" spans="1:2">
      <c r="A932" s="3">
        <f ca="1">IFERROR(__xludf.DUMMYFUNCTION("""COMPUTED_VALUE"""),43073.6666666666)</f>
        <v>43073.666666666599</v>
      </c>
      <c r="B932" s="1">
        <f ca="1">IFERROR(__xludf.DUMMYFUNCTION("""COMPUTED_VALUE"""),49.93)</f>
        <v>49.93</v>
      </c>
    </row>
    <row r="933" spans="1:2">
      <c r="A933" s="3">
        <f ca="1">IFERROR(__xludf.DUMMYFUNCTION("""COMPUTED_VALUE"""),43074.6666666666)</f>
        <v>43074.666666666599</v>
      </c>
      <c r="B933" s="1">
        <f ca="1">IFERROR(__xludf.DUMMYFUNCTION("""COMPUTED_VALUE"""),50.26)</f>
        <v>50.26</v>
      </c>
    </row>
    <row r="934" spans="1:2">
      <c r="A934" s="3">
        <f ca="1">IFERROR(__xludf.DUMMYFUNCTION("""COMPUTED_VALUE"""),43075.6666666666)</f>
        <v>43075.666666666599</v>
      </c>
      <c r="B934" s="1">
        <f ca="1">IFERROR(__xludf.DUMMYFUNCTION("""COMPUTED_VALUE"""),50.92)</f>
        <v>50.92</v>
      </c>
    </row>
    <row r="935" spans="1:2">
      <c r="A935" s="3">
        <f ca="1">IFERROR(__xludf.DUMMYFUNCTION("""COMPUTED_VALUE"""),43076.6666666666)</f>
        <v>43076.666666666599</v>
      </c>
      <c r="B935" s="1">
        <f ca="1">IFERROR(__xludf.DUMMYFUNCTION("""COMPUTED_VALUE"""),51.55)</f>
        <v>51.55</v>
      </c>
    </row>
    <row r="936" spans="1:2">
      <c r="A936" s="3">
        <f ca="1">IFERROR(__xludf.DUMMYFUNCTION("""COMPUTED_VALUE"""),43077.6666666666)</f>
        <v>43077.666666666599</v>
      </c>
      <c r="B936" s="1">
        <f ca="1">IFERROR(__xludf.DUMMYFUNCTION("""COMPUTED_VALUE"""),51.85)</f>
        <v>51.85</v>
      </c>
    </row>
    <row r="937" spans="1:2">
      <c r="A937" s="3">
        <f ca="1">IFERROR(__xludf.DUMMYFUNCTION("""COMPUTED_VALUE"""),43080.6666666666)</f>
        <v>43080.666666666599</v>
      </c>
      <c r="B937" s="1">
        <f ca="1">IFERROR(__xludf.DUMMYFUNCTION("""COMPUTED_VALUE"""),52.06)</f>
        <v>52.06</v>
      </c>
    </row>
    <row r="938" spans="1:2">
      <c r="A938" s="3">
        <f ca="1">IFERROR(__xludf.DUMMYFUNCTION("""COMPUTED_VALUE"""),43081.6666666666)</f>
        <v>43081.666666666599</v>
      </c>
      <c r="B938" s="1">
        <f ca="1">IFERROR(__xludf.DUMMYFUNCTION("""COMPUTED_VALUE"""),52.02)</f>
        <v>52.02</v>
      </c>
    </row>
    <row r="939" spans="1:2">
      <c r="A939" s="3">
        <f ca="1">IFERROR(__xludf.DUMMYFUNCTION("""COMPUTED_VALUE"""),43082.6666666666)</f>
        <v>43082.666666666599</v>
      </c>
      <c r="B939" s="1">
        <f ca="1">IFERROR(__xludf.DUMMYFUNCTION("""COMPUTED_VALUE"""),52.03)</f>
        <v>52.03</v>
      </c>
    </row>
    <row r="940" spans="1:2">
      <c r="A940" s="3">
        <f ca="1">IFERROR(__xludf.DUMMYFUNCTION("""COMPUTED_VALUE"""),43083.6666666666)</f>
        <v>43083.666666666599</v>
      </c>
      <c r="B940" s="1">
        <f ca="1">IFERROR(__xludf.DUMMYFUNCTION("""COMPUTED_VALUE"""),52.46)</f>
        <v>52.46</v>
      </c>
    </row>
    <row r="941" spans="1:2">
      <c r="A941" s="3">
        <f ca="1">IFERROR(__xludf.DUMMYFUNCTION("""COMPUTED_VALUE"""),43084.6666666666)</f>
        <v>43084.666666666599</v>
      </c>
      <c r="B941" s="1">
        <f ca="1">IFERROR(__xludf.DUMMYFUNCTION("""COMPUTED_VALUE"""),53.21)</f>
        <v>53.21</v>
      </c>
    </row>
    <row r="942" spans="1:2">
      <c r="A942" s="3">
        <f ca="1">IFERROR(__xludf.DUMMYFUNCTION("""COMPUTED_VALUE"""),43087.6666666666)</f>
        <v>43087.666666666599</v>
      </c>
      <c r="B942" s="1">
        <f ca="1">IFERROR(__xludf.DUMMYFUNCTION("""COMPUTED_VALUE"""),53.86)</f>
        <v>53.86</v>
      </c>
    </row>
    <row r="943" spans="1:2">
      <c r="A943" s="3">
        <f ca="1">IFERROR(__xludf.DUMMYFUNCTION("""COMPUTED_VALUE"""),43088.6666666666)</f>
        <v>43088.666666666599</v>
      </c>
      <c r="B943" s="1">
        <f ca="1">IFERROR(__xludf.DUMMYFUNCTION("""COMPUTED_VALUE"""),53.53)</f>
        <v>53.53</v>
      </c>
    </row>
    <row r="944" spans="1:2">
      <c r="A944" s="3">
        <f ca="1">IFERROR(__xludf.DUMMYFUNCTION("""COMPUTED_VALUE"""),43089.6666666666)</f>
        <v>43089.666666666599</v>
      </c>
      <c r="B944" s="1">
        <f ca="1">IFERROR(__xludf.DUMMYFUNCTION("""COMPUTED_VALUE"""),53.25)</f>
        <v>53.25</v>
      </c>
    </row>
    <row r="945" spans="1:2">
      <c r="A945" s="3">
        <f ca="1">IFERROR(__xludf.DUMMYFUNCTION("""COMPUTED_VALUE"""),43090.6666666666)</f>
        <v>43090.666666666599</v>
      </c>
      <c r="B945" s="1">
        <f ca="1">IFERROR(__xludf.DUMMYFUNCTION("""COMPUTED_VALUE"""),53.18)</f>
        <v>53.18</v>
      </c>
    </row>
    <row r="946" spans="1:2">
      <c r="A946" s="3">
        <f ca="1">IFERROR(__xludf.DUMMYFUNCTION("""COMPUTED_VALUE"""),43091.6666666666)</f>
        <v>43091.666666666599</v>
      </c>
      <c r="B946" s="1">
        <f ca="1">IFERROR(__xludf.DUMMYFUNCTION("""COMPUTED_VALUE"""),53.01)</f>
        <v>53.01</v>
      </c>
    </row>
    <row r="947" spans="1:2">
      <c r="A947" s="3">
        <f ca="1">IFERROR(__xludf.DUMMYFUNCTION("""COMPUTED_VALUE"""),43095.6666666666)</f>
        <v>43095.666666666599</v>
      </c>
      <c r="B947" s="1">
        <f ca="1">IFERROR(__xludf.DUMMYFUNCTION("""COMPUTED_VALUE"""),52.84)</f>
        <v>52.84</v>
      </c>
    </row>
    <row r="948" spans="1:2">
      <c r="A948" s="3">
        <f ca="1">IFERROR(__xludf.DUMMYFUNCTION("""COMPUTED_VALUE"""),43096.6666666666)</f>
        <v>43096.666666666599</v>
      </c>
      <c r="B948" s="1">
        <f ca="1">IFERROR(__xludf.DUMMYFUNCTION("""COMPUTED_VALUE"""),52.47)</f>
        <v>52.47</v>
      </c>
    </row>
    <row r="949" spans="1:2">
      <c r="A949" s="3">
        <f ca="1">IFERROR(__xludf.DUMMYFUNCTION("""COMPUTED_VALUE"""),43097.6666666666)</f>
        <v>43097.666666666599</v>
      </c>
      <c r="B949" s="1">
        <f ca="1">IFERROR(__xludf.DUMMYFUNCTION("""COMPUTED_VALUE"""),52.41)</f>
        <v>52.41</v>
      </c>
    </row>
    <row r="950" spans="1:2">
      <c r="A950" s="3">
        <f ca="1">IFERROR(__xludf.DUMMYFUNCTION("""COMPUTED_VALUE"""),43098.6666666666)</f>
        <v>43098.666666666599</v>
      </c>
      <c r="B950" s="1">
        <f ca="1">IFERROR(__xludf.DUMMYFUNCTION("""COMPUTED_VALUE"""),52.32)</f>
        <v>52.32</v>
      </c>
    </row>
    <row r="951" spans="1:2">
      <c r="A951" s="3">
        <f ca="1">IFERROR(__xludf.DUMMYFUNCTION("""COMPUTED_VALUE"""),43102.6666666666)</f>
        <v>43102.666666666599</v>
      </c>
      <c r="B951" s="1">
        <f ca="1">IFERROR(__xludf.DUMMYFUNCTION("""COMPUTED_VALUE"""),53.25)</f>
        <v>53.25</v>
      </c>
    </row>
    <row r="952" spans="1:2">
      <c r="A952" s="3">
        <f ca="1">IFERROR(__xludf.DUMMYFUNCTION("""COMPUTED_VALUE"""),43103.6666666666)</f>
        <v>43103.666666666599</v>
      </c>
      <c r="B952" s="1">
        <f ca="1">IFERROR(__xludf.DUMMYFUNCTION("""COMPUTED_VALUE"""),54.12)</f>
        <v>54.12</v>
      </c>
    </row>
    <row r="953" spans="1:2">
      <c r="A953" s="3">
        <f ca="1">IFERROR(__xludf.DUMMYFUNCTION("""COMPUTED_VALUE"""),43104.6666666666)</f>
        <v>43104.666666666599</v>
      </c>
      <c r="B953" s="1">
        <f ca="1">IFERROR(__xludf.DUMMYFUNCTION("""COMPUTED_VALUE"""),54.32)</f>
        <v>54.32</v>
      </c>
    </row>
    <row r="954" spans="1:2">
      <c r="A954" s="3">
        <f ca="1">IFERROR(__xludf.DUMMYFUNCTION("""COMPUTED_VALUE"""),43105.6666666666)</f>
        <v>43105.666666666599</v>
      </c>
      <c r="B954" s="1">
        <f ca="1">IFERROR(__xludf.DUMMYFUNCTION("""COMPUTED_VALUE"""),55.11)</f>
        <v>55.11</v>
      </c>
    </row>
    <row r="955" spans="1:2">
      <c r="A955" s="3">
        <f ca="1">IFERROR(__xludf.DUMMYFUNCTION("""COMPUTED_VALUE"""),43108.6666666666)</f>
        <v>43108.666666666599</v>
      </c>
      <c r="B955" s="1">
        <f ca="1">IFERROR(__xludf.DUMMYFUNCTION("""COMPUTED_VALUE"""),55.35)</f>
        <v>55.35</v>
      </c>
    </row>
    <row r="956" spans="1:2">
      <c r="A956" s="3">
        <f ca="1">IFERROR(__xludf.DUMMYFUNCTION("""COMPUTED_VALUE"""),43109.6666666666)</f>
        <v>43109.666666666599</v>
      </c>
      <c r="B956" s="1">
        <f ca="1">IFERROR(__xludf.DUMMYFUNCTION("""COMPUTED_VALUE"""),55.31)</f>
        <v>55.31</v>
      </c>
    </row>
    <row r="957" spans="1:2">
      <c r="A957" s="3">
        <f ca="1">IFERROR(__xludf.DUMMYFUNCTION("""COMPUTED_VALUE"""),43110.6666666666)</f>
        <v>43110.666666666599</v>
      </c>
      <c r="B957" s="1">
        <f ca="1">IFERROR(__xludf.DUMMYFUNCTION("""COMPUTED_VALUE"""),55.13)</f>
        <v>55.13</v>
      </c>
    </row>
    <row r="958" spans="1:2">
      <c r="A958" s="3">
        <f ca="1">IFERROR(__xludf.DUMMYFUNCTION("""COMPUTED_VALUE"""),43111.6666666666)</f>
        <v>43111.666666666599</v>
      </c>
      <c r="B958" s="1">
        <f ca="1">IFERROR(__xludf.DUMMYFUNCTION("""COMPUTED_VALUE"""),55.28)</f>
        <v>55.28</v>
      </c>
    </row>
    <row r="959" spans="1:2">
      <c r="A959" s="3">
        <f ca="1">IFERROR(__xludf.DUMMYFUNCTION("""COMPUTED_VALUE"""),43112.6666666666)</f>
        <v>43112.666666666599</v>
      </c>
      <c r="B959" s="1">
        <f ca="1">IFERROR(__xludf.DUMMYFUNCTION("""COMPUTED_VALUE"""),56.11)</f>
        <v>56.11</v>
      </c>
    </row>
    <row r="960" spans="1:2">
      <c r="A960" s="3">
        <f ca="1">IFERROR(__xludf.DUMMYFUNCTION("""COMPUTED_VALUE"""),43116.6666666666)</f>
        <v>43116.666666666599</v>
      </c>
      <c r="B960" s="1">
        <f ca="1">IFERROR(__xludf.DUMMYFUNCTION("""COMPUTED_VALUE"""),56.09)</f>
        <v>56.09</v>
      </c>
    </row>
    <row r="961" spans="1:2">
      <c r="A961" s="3">
        <f ca="1">IFERROR(__xludf.DUMMYFUNCTION("""COMPUTED_VALUE"""),43117.6666666666)</f>
        <v>43117.666666666599</v>
      </c>
      <c r="B961" s="1">
        <f ca="1">IFERROR(__xludf.DUMMYFUNCTION("""COMPUTED_VALUE"""),56.6)</f>
        <v>56.6</v>
      </c>
    </row>
    <row r="962" spans="1:2">
      <c r="A962" s="3">
        <f ca="1">IFERROR(__xludf.DUMMYFUNCTION("""COMPUTED_VALUE"""),43118.6666666666)</f>
        <v>43118.666666666599</v>
      </c>
      <c r="B962" s="1">
        <f ca="1">IFERROR(__xludf.DUMMYFUNCTION("""COMPUTED_VALUE"""),56.49)</f>
        <v>56.49</v>
      </c>
    </row>
    <row r="963" spans="1:2">
      <c r="A963" s="3">
        <f ca="1">IFERROR(__xludf.DUMMYFUNCTION("""COMPUTED_VALUE"""),43119.6666666666)</f>
        <v>43119.666666666599</v>
      </c>
      <c r="B963" s="1">
        <f ca="1">IFERROR(__xludf.DUMMYFUNCTION("""COMPUTED_VALUE"""),56.88)</f>
        <v>56.88</v>
      </c>
    </row>
    <row r="964" spans="1:2">
      <c r="A964" s="3">
        <f ca="1">IFERROR(__xludf.DUMMYFUNCTION("""COMPUTED_VALUE"""),43122.6666666666)</f>
        <v>43122.666666666599</v>
      </c>
      <c r="B964" s="1">
        <f ca="1">IFERROR(__xludf.DUMMYFUNCTION("""COMPUTED_VALUE"""),57.79)</f>
        <v>57.79</v>
      </c>
    </row>
    <row r="965" spans="1:2">
      <c r="A965" s="3">
        <f ca="1">IFERROR(__xludf.DUMMYFUNCTION("""COMPUTED_VALUE"""),43123.6666666666)</f>
        <v>43123.666666666599</v>
      </c>
      <c r="B965" s="1">
        <f ca="1">IFERROR(__xludf.DUMMYFUNCTION("""COMPUTED_VALUE"""),58.5)</f>
        <v>58.5</v>
      </c>
    </row>
    <row r="966" spans="1:2">
      <c r="A966" s="3">
        <f ca="1">IFERROR(__xludf.DUMMYFUNCTION("""COMPUTED_VALUE"""),43124.6666666666)</f>
        <v>43124.666666666599</v>
      </c>
      <c r="B966" s="1">
        <f ca="1">IFERROR(__xludf.DUMMYFUNCTION("""COMPUTED_VALUE"""),58.21)</f>
        <v>58.21</v>
      </c>
    </row>
    <row r="967" spans="1:2">
      <c r="A967" s="3">
        <f ca="1">IFERROR(__xludf.DUMMYFUNCTION("""COMPUTED_VALUE"""),43125.6666666666)</f>
        <v>43125.666666666599</v>
      </c>
      <c r="B967" s="1">
        <f ca="1">IFERROR(__xludf.DUMMYFUNCTION("""COMPUTED_VALUE"""),58.52)</f>
        <v>58.52</v>
      </c>
    </row>
    <row r="968" spans="1:2">
      <c r="A968" s="3">
        <f ca="1">IFERROR(__xludf.DUMMYFUNCTION("""COMPUTED_VALUE"""),43126.6666666666)</f>
        <v>43126.666666666599</v>
      </c>
      <c r="B968" s="1">
        <f ca="1">IFERROR(__xludf.DUMMYFUNCTION("""COMPUTED_VALUE"""),58.79)</f>
        <v>58.79</v>
      </c>
    </row>
    <row r="969" spans="1:2">
      <c r="A969" s="3">
        <f ca="1">IFERROR(__xludf.DUMMYFUNCTION("""COMPUTED_VALUE"""),43129.6666666666)</f>
        <v>43129.666666666599</v>
      </c>
      <c r="B969" s="1">
        <f ca="1">IFERROR(__xludf.DUMMYFUNCTION("""COMPUTED_VALUE"""),58.78)</f>
        <v>58.78</v>
      </c>
    </row>
    <row r="970" spans="1:2">
      <c r="A970" s="3">
        <f ca="1">IFERROR(__xludf.DUMMYFUNCTION("""COMPUTED_VALUE"""),43130.6666666666)</f>
        <v>43130.666666666599</v>
      </c>
      <c r="B970" s="1">
        <f ca="1">IFERROR(__xludf.DUMMYFUNCTION("""COMPUTED_VALUE"""),58.18)</f>
        <v>58.18</v>
      </c>
    </row>
    <row r="971" spans="1:2">
      <c r="A971" s="3">
        <f ca="1">IFERROR(__xludf.DUMMYFUNCTION("""COMPUTED_VALUE"""),43131.6666666666)</f>
        <v>43131.666666666599</v>
      </c>
      <c r="B971" s="1">
        <f ca="1">IFERROR(__xludf.DUMMYFUNCTION("""COMPUTED_VALUE"""),58.5)</f>
        <v>58.5</v>
      </c>
    </row>
    <row r="972" spans="1:2">
      <c r="A972" s="3">
        <f ca="1">IFERROR(__xludf.DUMMYFUNCTION("""COMPUTED_VALUE"""),43132.6666666666)</f>
        <v>43132.666666666599</v>
      </c>
      <c r="B972" s="1">
        <f ca="1">IFERROR(__xludf.DUMMYFUNCTION("""COMPUTED_VALUE"""),58.39)</f>
        <v>58.39</v>
      </c>
    </row>
    <row r="973" spans="1:2">
      <c r="A973" s="3">
        <f ca="1">IFERROR(__xludf.DUMMYFUNCTION("""COMPUTED_VALUE"""),43133.6666666666)</f>
        <v>43133.666666666599</v>
      </c>
      <c r="B973" s="1">
        <f ca="1">IFERROR(__xludf.DUMMYFUNCTION("""COMPUTED_VALUE"""),55.6)</f>
        <v>55.6</v>
      </c>
    </row>
    <row r="974" spans="1:2">
      <c r="A974" s="3">
        <f ca="1">IFERROR(__xludf.DUMMYFUNCTION("""COMPUTED_VALUE"""),43136.6666666666)</f>
        <v>43136.666666666599</v>
      </c>
      <c r="B974" s="1">
        <f ca="1">IFERROR(__xludf.DUMMYFUNCTION("""COMPUTED_VALUE"""),52.79)</f>
        <v>52.79</v>
      </c>
    </row>
    <row r="975" spans="1:2">
      <c r="A975" s="3">
        <f ca="1">IFERROR(__xludf.DUMMYFUNCTION("""COMPUTED_VALUE"""),43137.6666666666)</f>
        <v>43137.666666666599</v>
      </c>
      <c r="B975" s="1">
        <f ca="1">IFERROR(__xludf.DUMMYFUNCTION("""COMPUTED_VALUE"""),54.03)</f>
        <v>54.03</v>
      </c>
    </row>
    <row r="976" spans="1:2">
      <c r="A976" s="3">
        <f ca="1">IFERROR(__xludf.DUMMYFUNCTION("""COMPUTED_VALUE"""),43138.6666666666)</f>
        <v>43138.666666666599</v>
      </c>
      <c r="B976" s="1">
        <f ca="1">IFERROR(__xludf.DUMMYFUNCTION("""COMPUTED_VALUE"""),52.43)</f>
        <v>52.43</v>
      </c>
    </row>
    <row r="977" spans="1:2">
      <c r="A977" s="3">
        <f ca="1">IFERROR(__xludf.DUMMYFUNCTION("""COMPUTED_VALUE"""),43139.6666666666)</f>
        <v>43139.666666666599</v>
      </c>
      <c r="B977" s="1">
        <f ca="1">IFERROR(__xludf.DUMMYFUNCTION("""COMPUTED_VALUE"""),50.08)</f>
        <v>50.08</v>
      </c>
    </row>
    <row r="978" spans="1:2">
      <c r="A978" s="3">
        <f ca="1">IFERROR(__xludf.DUMMYFUNCTION("""COMPUTED_VALUE"""),43140.6666666666)</f>
        <v>43140.666666666599</v>
      </c>
      <c r="B978" s="1">
        <f ca="1">IFERROR(__xludf.DUMMYFUNCTION("""COMPUTED_VALUE"""),51.89)</f>
        <v>51.89</v>
      </c>
    </row>
    <row r="979" spans="1:2">
      <c r="A979" s="3">
        <f ca="1">IFERROR(__xludf.DUMMYFUNCTION("""COMPUTED_VALUE"""),43143.6666666666)</f>
        <v>43143.666666666599</v>
      </c>
      <c r="B979" s="1">
        <f ca="1">IFERROR(__xludf.DUMMYFUNCTION("""COMPUTED_VALUE"""),52.6)</f>
        <v>52.6</v>
      </c>
    </row>
    <row r="980" spans="1:2">
      <c r="A980" s="3">
        <f ca="1">IFERROR(__xludf.DUMMYFUNCTION("""COMPUTED_VALUE"""),43144.6666666666)</f>
        <v>43144.666666666599</v>
      </c>
      <c r="B980" s="1">
        <f ca="1">IFERROR(__xludf.DUMMYFUNCTION("""COMPUTED_VALUE"""),52.61)</f>
        <v>52.61</v>
      </c>
    </row>
    <row r="981" spans="1:2">
      <c r="A981" s="3">
        <f ca="1">IFERROR(__xludf.DUMMYFUNCTION("""COMPUTED_VALUE"""),43145.6666666666)</f>
        <v>43145.666666666599</v>
      </c>
      <c r="B981" s="1">
        <f ca="1">IFERROR(__xludf.DUMMYFUNCTION("""COMPUTED_VALUE"""),53.49)</f>
        <v>53.49</v>
      </c>
    </row>
    <row r="982" spans="1:2">
      <c r="A982" s="3">
        <f ca="1">IFERROR(__xludf.DUMMYFUNCTION("""COMPUTED_VALUE"""),43146.6666666666)</f>
        <v>43146.666666666599</v>
      </c>
      <c r="B982" s="1">
        <f ca="1">IFERROR(__xludf.DUMMYFUNCTION("""COMPUTED_VALUE"""),54.48)</f>
        <v>54.48</v>
      </c>
    </row>
    <row r="983" spans="1:2">
      <c r="A983" s="3">
        <f ca="1">IFERROR(__xludf.DUMMYFUNCTION("""COMPUTED_VALUE"""),43147.6666666666)</f>
        <v>43147.666666666599</v>
      </c>
      <c r="B983" s="1">
        <f ca="1">IFERROR(__xludf.DUMMYFUNCTION("""COMPUTED_VALUE"""),54.74)</f>
        <v>54.74</v>
      </c>
    </row>
    <row r="984" spans="1:2">
      <c r="A984" s="3">
        <f ca="1">IFERROR(__xludf.DUMMYFUNCTION("""COMPUTED_VALUE"""),43151.6666666666)</f>
        <v>43151.666666666599</v>
      </c>
      <c r="B984" s="1">
        <f ca="1">IFERROR(__xludf.DUMMYFUNCTION("""COMPUTED_VALUE"""),55.12)</f>
        <v>55.12</v>
      </c>
    </row>
    <row r="985" spans="1:2">
      <c r="A985" s="3">
        <f ca="1">IFERROR(__xludf.DUMMYFUNCTION("""COMPUTED_VALUE"""),43152.6666666666)</f>
        <v>43152.666666666599</v>
      </c>
      <c r="B985" s="1">
        <f ca="1">IFERROR(__xludf.DUMMYFUNCTION("""COMPUTED_VALUE"""),55.57)</f>
        <v>55.57</v>
      </c>
    </row>
    <row r="986" spans="1:2">
      <c r="A986" s="3">
        <f ca="1">IFERROR(__xludf.DUMMYFUNCTION("""COMPUTED_VALUE"""),43153.6666666666)</f>
        <v>43153.666666666599</v>
      </c>
      <c r="B986" s="1">
        <f ca="1">IFERROR(__xludf.DUMMYFUNCTION("""COMPUTED_VALUE"""),55.33)</f>
        <v>55.33</v>
      </c>
    </row>
    <row r="987" spans="1:2">
      <c r="A987" s="3">
        <f ca="1">IFERROR(__xludf.DUMMYFUNCTION("""COMPUTED_VALUE"""),43154.6666666666)</f>
        <v>43154.666666666599</v>
      </c>
      <c r="B987" s="1">
        <f ca="1">IFERROR(__xludf.DUMMYFUNCTION("""COMPUTED_VALUE"""),56.34)</f>
        <v>56.34</v>
      </c>
    </row>
    <row r="988" spans="1:2">
      <c r="A988" s="3">
        <f ca="1">IFERROR(__xludf.DUMMYFUNCTION("""COMPUTED_VALUE"""),43157.6666666666)</f>
        <v>43157.666666666599</v>
      </c>
      <c r="B988" s="1">
        <f ca="1">IFERROR(__xludf.DUMMYFUNCTION("""COMPUTED_VALUE"""),57.19)</f>
        <v>57.19</v>
      </c>
    </row>
    <row r="989" spans="1:2">
      <c r="A989" s="3">
        <f ca="1">IFERROR(__xludf.DUMMYFUNCTION("""COMPUTED_VALUE"""),43158.6666666666)</f>
        <v>43158.666666666599</v>
      </c>
      <c r="B989" s="1">
        <f ca="1">IFERROR(__xludf.DUMMYFUNCTION("""COMPUTED_VALUE"""),55.91)</f>
        <v>55.91</v>
      </c>
    </row>
    <row r="990" spans="1:2">
      <c r="A990" s="3">
        <f ca="1">IFERROR(__xludf.DUMMYFUNCTION("""COMPUTED_VALUE"""),43159.6666666666)</f>
        <v>43159.666666666599</v>
      </c>
      <c r="B990" s="1">
        <f ca="1">IFERROR(__xludf.DUMMYFUNCTION("""COMPUTED_VALUE"""),55.24)</f>
        <v>55.24</v>
      </c>
    </row>
    <row r="991" spans="1:2">
      <c r="A991" s="3">
        <f ca="1">IFERROR(__xludf.DUMMYFUNCTION("""COMPUTED_VALUE"""),43160.6666666666)</f>
        <v>43160.666666666599</v>
      </c>
      <c r="B991" s="1">
        <f ca="1">IFERROR(__xludf.DUMMYFUNCTION("""COMPUTED_VALUE"""),53.48)</f>
        <v>53.48</v>
      </c>
    </row>
    <row r="992" spans="1:2">
      <c r="A992" s="3">
        <f ca="1">IFERROR(__xludf.DUMMYFUNCTION("""COMPUTED_VALUE"""),43161.6666666666)</f>
        <v>43161.666666666599</v>
      </c>
      <c r="B992" s="1">
        <f ca="1">IFERROR(__xludf.DUMMYFUNCTION("""COMPUTED_VALUE"""),53.95)</f>
        <v>53.95</v>
      </c>
    </row>
    <row r="993" spans="1:2">
      <c r="A993" s="3">
        <f ca="1">IFERROR(__xludf.DUMMYFUNCTION("""COMPUTED_VALUE"""),43164.6666666666)</f>
        <v>43164.666666666599</v>
      </c>
      <c r="B993" s="1">
        <f ca="1">IFERROR(__xludf.DUMMYFUNCTION("""COMPUTED_VALUE"""),54.55)</f>
        <v>54.55</v>
      </c>
    </row>
    <row r="994" spans="1:2">
      <c r="A994" s="3">
        <f ca="1">IFERROR(__xludf.DUMMYFUNCTION("""COMPUTED_VALUE"""),43165.6666666666)</f>
        <v>43165.666666666599</v>
      </c>
      <c r="B994" s="1">
        <f ca="1">IFERROR(__xludf.DUMMYFUNCTION("""COMPUTED_VALUE"""),54.75)</f>
        <v>54.75</v>
      </c>
    </row>
    <row r="995" spans="1:2">
      <c r="A995" s="3">
        <f ca="1">IFERROR(__xludf.DUMMYFUNCTION("""COMPUTED_VALUE"""),43166.6666666666)</f>
        <v>43166.666666666599</v>
      </c>
      <c r="B995" s="1">
        <f ca="1">IFERROR(__xludf.DUMMYFUNCTION("""COMPUTED_VALUE"""),55.48)</f>
        <v>55.48</v>
      </c>
    </row>
    <row r="996" spans="1:2">
      <c r="A996" s="3">
        <f ca="1">IFERROR(__xludf.DUMMYFUNCTION("""COMPUTED_VALUE"""),43167.6666666666)</f>
        <v>43167.666666666599</v>
      </c>
      <c r="B996" s="1">
        <f ca="1">IFERROR(__xludf.DUMMYFUNCTION("""COMPUTED_VALUE"""),56.3)</f>
        <v>56.3</v>
      </c>
    </row>
    <row r="997" spans="1:2">
      <c r="A997" s="3">
        <f ca="1">IFERROR(__xludf.DUMMYFUNCTION("""COMPUTED_VALUE"""),43168.6666666666)</f>
        <v>43168.666666666599</v>
      </c>
      <c r="B997" s="1">
        <f ca="1">IFERROR(__xludf.DUMMYFUNCTION("""COMPUTED_VALUE"""),58)</f>
        <v>58</v>
      </c>
    </row>
    <row r="998" spans="1:2">
      <c r="A998" s="3">
        <f ca="1">IFERROR(__xludf.DUMMYFUNCTION("""COMPUTED_VALUE"""),43171.6666666666)</f>
        <v>43171.666666666599</v>
      </c>
      <c r="B998" s="1">
        <f ca="1">IFERROR(__xludf.DUMMYFUNCTION("""COMPUTED_VALUE"""),58.23)</f>
        <v>58.23</v>
      </c>
    </row>
    <row r="999" spans="1:2">
      <c r="A999" s="3">
        <f ca="1">IFERROR(__xludf.DUMMYFUNCTION("""COMPUTED_VALUE"""),43172.6666666666)</f>
        <v>43172.666666666599</v>
      </c>
      <c r="B999" s="1">
        <f ca="1">IFERROR(__xludf.DUMMYFUNCTION("""COMPUTED_VALUE"""),56.91)</f>
        <v>56.91</v>
      </c>
    </row>
    <row r="1000" spans="1:2">
      <c r="A1000" s="3">
        <f ca="1">IFERROR(__xludf.DUMMYFUNCTION("""COMPUTED_VALUE"""),43173.6666666666)</f>
        <v>43173.666666666599</v>
      </c>
      <c r="B1000" s="1">
        <f ca="1">IFERROR(__xludf.DUMMYFUNCTION("""COMPUTED_VALUE"""),57.47)</f>
        <v>57.47</v>
      </c>
    </row>
    <row r="1001" spans="1:2">
      <c r="A1001" s="3">
        <f ca="1">IFERROR(__xludf.DUMMYFUNCTION("""COMPUTED_VALUE"""),43174.6666666666)</f>
        <v>43174.666666666599</v>
      </c>
      <c r="B1001" s="1">
        <f ca="1">IFERROR(__xludf.DUMMYFUNCTION("""COMPUTED_VALUE"""),57.48)</f>
        <v>57.48</v>
      </c>
    </row>
    <row r="1002" spans="1:2">
      <c r="A1002" s="3">
        <f ca="1">IFERROR(__xludf.DUMMYFUNCTION("""COMPUTED_VALUE"""),43175.6666666666)</f>
        <v>43175.666666666599</v>
      </c>
      <c r="B1002" s="1">
        <f ca="1">IFERROR(__xludf.DUMMYFUNCTION("""COMPUTED_VALUE"""),56.79)</f>
        <v>56.79</v>
      </c>
    </row>
    <row r="1003" spans="1:2">
      <c r="A1003" s="3">
        <f ca="1">IFERROR(__xludf.DUMMYFUNCTION("""COMPUTED_VALUE"""),43178.6666666666)</f>
        <v>43178.666666666599</v>
      </c>
      <c r="B1003" s="1">
        <f ca="1">IFERROR(__xludf.DUMMYFUNCTION("""COMPUTED_VALUE"""),54.99)</f>
        <v>54.99</v>
      </c>
    </row>
    <row r="1004" spans="1:2">
      <c r="A1004" s="3">
        <f ca="1">IFERROR(__xludf.DUMMYFUNCTION("""COMPUTED_VALUE"""),43179.6666666666)</f>
        <v>43179.666666666599</v>
      </c>
      <c r="B1004" s="1">
        <f ca="1">IFERROR(__xludf.DUMMYFUNCTION("""COMPUTED_VALUE"""),54.89)</f>
        <v>54.89</v>
      </c>
    </row>
    <row r="1005" spans="1:2">
      <c r="A1005" s="3">
        <f ca="1">IFERROR(__xludf.DUMMYFUNCTION("""COMPUTED_VALUE"""),43180.6666666666)</f>
        <v>43180.666666666599</v>
      </c>
      <c r="B1005" s="1">
        <f ca="1">IFERROR(__xludf.DUMMYFUNCTION("""COMPUTED_VALUE"""),54.54)</f>
        <v>54.54</v>
      </c>
    </row>
    <row r="1006" spans="1:2">
      <c r="A1006" s="3">
        <f ca="1">IFERROR(__xludf.DUMMYFUNCTION("""COMPUTED_VALUE"""),43181.6666666666)</f>
        <v>43181.666666666599</v>
      </c>
      <c r="B1006" s="1">
        <f ca="1">IFERROR(__xludf.DUMMYFUNCTION("""COMPUTED_VALUE"""),52.45)</f>
        <v>52.45</v>
      </c>
    </row>
    <row r="1007" spans="1:2">
      <c r="A1007" s="3">
        <f ca="1">IFERROR(__xludf.DUMMYFUNCTION("""COMPUTED_VALUE"""),43182.6666666666)</f>
        <v>43182.666666666599</v>
      </c>
      <c r="B1007" s="1">
        <f ca="1">IFERROR(__xludf.DUMMYFUNCTION("""COMPUTED_VALUE"""),51.08)</f>
        <v>51.08</v>
      </c>
    </row>
    <row r="1008" spans="1:2">
      <c r="A1008" s="3">
        <f ca="1">IFERROR(__xludf.DUMMYFUNCTION("""COMPUTED_VALUE"""),43185.6666666666)</f>
        <v>43185.666666666599</v>
      </c>
      <c r="B1008" s="1">
        <f ca="1">IFERROR(__xludf.DUMMYFUNCTION("""COMPUTED_VALUE"""),52.66)</f>
        <v>52.66</v>
      </c>
    </row>
    <row r="1009" spans="1:2">
      <c r="A1009" s="3">
        <f ca="1">IFERROR(__xludf.DUMMYFUNCTION("""COMPUTED_VALUE"""),43186.6666666666)</f>
        <v>43186.666666666599</v>
      </c>
      <c r="B1009" s="1">
        <f ca="1">IFERROR(__xludf.DUMMYFUNCTION("""COMPUTED_VALUE"""),50.26)</f>
        <v>50.26</v>
      </c>
    </row>
    <row r="1010" spans="1:2">
      <c r="A1010" s="3">
        <f ca="1">IFERROR(__xludf.DUMMYFUNCTION("""COMPUTED_VALUE"""),43187.6666666666)</f>
        <v>43187.666666666599</v>
      </c>
      <c r="B1010" s="1">
        <f ca="1">IFERROR(__xludf.DUMMYFUNCTION("""COMPUTED_VALUE"""),50.23)</f>
        <v>50.23</v>
      </c>
    </row>
    <row r="1011" spans="1:2">
      <c r="A1011" s="3">
        <f ca="1">IFERROR(__xludf.DUMMYFUNCTION("""COMPUTED_VALUE"""),43188.6666666666)</f>
        <v>43188.666666666599</v>
      </c>
      <c r="B1011" s="1">
        <f ca="1">IFERROR(__xludf.DUMMYFUNCTION("""COMPUTED_VALUE"""),51.59)</f>
        <v>51.59</v>
      </c>
    </row>
    <row r="1012" spans="1:2">
      <c r="A1012" s="3">
        <f ca="1">IFERROR(__xludf.DUMMYFUNCTION("""COMPUTED_VALUE"""),43192.6666666666)</f>
        <v>43192.666666666599</v>
      </c>
      <c r="B1012" s="1">
        <f ca="1">IFERROR(__xludf.DUMMYFUNCTION("""COMPUTED_VALUE"""),50.32)</f>
        <v>50.32</v>
      </c>
    </row>
    <row r="1013" spans="1:2">
      <c r="A1013" s="3">
        <f ca="1">IFERROR(__xludf.DUMMYFUNCTION("""COMPUTED_VALUE"""),43193.6666666666)</f>
        <v>43193.666666666599</v>
      </c>
      <c r="B1013" s="1">
        <f ca="1">IFERROR(__xludf.DUMMYFUNCTION("""COMPUTED_VALUE"""),50.67)</f>
        <v>50.67</v>
      </c>
    </row>
    <row r="1014" spans="1:2">
      <c r="A1014" s="3">
        <f ca="1">IFERROR(__xludf.DUMMYFUNCTION("""COMPUTED_VALUE"""),43194.6666666666)</f>
        <v>43194.666666666599</v>
      </c>
      <c r="B1014" s="1">
        <f ca="1">IFERROR(__xludf.DUMMYFUNCTION("""COMPUTED_VALUE"""),51.26)</f>
        <v>51.26</v>
      </c>
    </row>
    <row r="1015" spans="1:2">
      <c r="A1015" s="3">
        <f ca="1">IFERROR(__xludf.DUMMYFUNCTION("""COMPUTED_VALUE"""),43195.6666666666)</f>
        <v>43195.666666666599</v>
      </c>
      <c r="B1015" s="1">
        <f ca="1">IFERROR(__xludf.DUMMYFUNCTION("""COMPUTED_VALUE"""),51.39)</f>
        <v>51.39</v>
      </c>
    </row>
    <row r="1016" spans="1:2">
      <c r="A1016" s="3">
        <f ca="1">IFERROR(__xludf.DUMMYFUNCTION("""COMPUTED_VALUE"""),43196.6666666666)</f>
        <v>43196.666666666599</v>
      </c>
      <c r="B1016" s="1">
        <f ca="1">IFERROR(__xludf.DUMMYFUNCTION("""COMPUTED_VALUE"""),50.35)</f>
        <v>50.35</v>
      </c>
    </row>
    <row r="1017" spans="1:2">
      <c r="A1017" s="3">
        <f ca="1">IFERROR(__xludf.DUMMYFUNCTION("""COMPUTED_VALUE"""),43199.6666666666)</f>
        <v>43199.666666666599</v>
      </c>
      <c r="B1017" s="1">
        <f ca="1">IFERROR(__xludf.DUMMYFUNCTION("""COMPUTED_VALUE"""),50.77)</f>
        <v>50.77</v>
      </c>
    </row>
    <row r="1018" spans="1:2">
      <c r="A1018" s="3">
        <f ca="1">IFERROR(__xludf.DUMMYFUNCTION("""COMPUTED_VALUE"""),43200.6666666666)</f>
        <v>43200.666666666599</v>
      </c>
      <c r="B1018" s="1">
        <f ca="1">IFERROR(__xludf.DUMMYFUNCTION("""COMPUTED_VALUE"""),51.58)</f>
        <v>51.58</v>
      </c>
    </row>
    <row r="1019" spans="1:2">
      <c r="A1019" s="3">
        <f ca="1">IFERROR(__xludf.DUMMYFUNCTION("""COMPUTED_VALUE"""),43201.6666666666)</f>
        <v>43201.666666666599</v>
      </c>
      <c r="B1019" s="1">
        <f ca="1">IFERROR(__xludf.DUMMYFUNCTION("""COMPUTED_VALUE"""),51)</f>
        <v>51</v>
      </c>
    </row>
    <row r="1020" spans="1:2">
      <c r="A1020" s="3">
        <f ca="1">IFERROR(__xludf.DUMMYFUNCTION("""COMPUTED_VALUE"""),43202.6666666666)</f>
        <v>43202.666666666599</v>
      </c>
      <c r="B1020" s="1">
        <f ca="1">IFERROR(__xludf.DUMMYFUNCTION("""COMPUTED_VALUE"""),51.63)</f>
        <v>51.63</v>
      </c>
    </row>
    <row r="1021" spans="1:2">
      <c r="A1021" s="3">
        <f ca="1">IFERROR(__xludf.DUMMYFUNCTION("""COMPUTED_VALUE"""),43203.6666666666)</f>
        <v>43203.666666666599</v>
      </c>
      <c r="B1021" s="1">
        <f ca="1">IFERROR(__xludf.DUMMYFUNCTION("""COMPUTED_VALUE"""),51.46)</f>
        <v>51.46</v>
      </c>
    </row>
    <row r="1022" spans="1:2">
      <c r="A1022" s="3">
        <f ca="1">IFERROR(__xludf.DUMMYFUNCTION("""COMPUTED_VALUE"""),43206.6666666666)</f>
        <v>43206.666666666599</v>
      </c>
      <c r="B1022" s="1">
        <f ca="1">IFERROR(__xludf.DUMMYFUNCTION("""COMPUTED_VALUE"""),51.9)</f>
        <v>51.9</v>
      </c>
    </row>
    <row r="1023" spans="1:2">
      <c r="A1023" s="3">
        <f ca="1">IFERROR(__xludf.DUMMYFUNCTION("""COMPUTED_VALUE"""),43207.6666666666)</f>
        <v>43207.666666666599</v>
      </c>
      <c r="B1023" s="1">
        <f ca="1">IFERROR(__xludf.DUMMYFUNCTION("""COMPUTED_VALUE"""),53.71)</f>
        <v>53.71</v>
      </c>
    </row>
    <row r="1024" spans="1:2">
      <c r="A1024" s="3">
        <f ca="1">IFERROR(__xludf.DUMMYFUNCTION("""COMPUTED_VALUE"""),43208.6666666666)</f>
        <v>43208.666666666599</v>
      </c>
      <c r="B1024" s="1">
        <f ca="1">IFERROR(__xludf.DUMMYFUNCTION("""COMPUTED_VALUE"""),53.6)</f>
        <v>53.6</v>
      </c>
    </row>
    <row r="1025" spans="1:2">
      <c r="A1025" s="3">
        <f ca="1">IFERROR(__xludf.DUMMYFUNCTION("""COMPUTED_VALUE"""),43209.6666666666)</f>
        <v>43209.666666666599</v>
      </c>
      <c r="B1025" s="1">
        <f ca="1">IFERROR(__xludf.DUMMYFUNCTION("""COMPUTED_VALUE"""),54.39)</f>
        <v>54.39</v>
      </c>
    </row>
    <row r="1026" spans="1:2">
      <c r="A1026" s="3">
        <f ca="1">IFERROR(__xludf.DUMMYFUNCTION("""COMPUTED_VALUE"""),43210.6666666666)</f>
        <v>43210.666666666599</v>
      </c>
      <c r="B1026" s="1">
        <f ca="1">IFERROR(__xludf.DUMMYFUNCTION("""COMPUTED_VALUE"""),53.65)</f>
        <v>53.65</v>
      </c>
    </row>
    <row r="1027" spans="1:2">
      <c r="A1027" s="3">
        <f ca="1">IFERROR(__xludf.DUMMYFUNCTION("""COMPUTED_VALUE"""),43213.6666666666)</f>
        <v>43213.666666666599</v>
      </c>
      <c r="B1027" s="1">
        <f ca="1">IFERROR(__xludf.DUMMYFUNCTION("""COMPUTED_VALUE"""),53.37)</f>
        <v>53.37</v>
      </c>
    </row>
    <row r="1028" spans="1:2">
      <c r="A1028" s="3">
        <f ca="1">IFERROR(__xludf.DUMMYFUNCTION("""COMPUTED_VALUE"""),43214.6666666666)</f>
        <v>43214.666666666599</v>
      </c>
      <c r="B1028" s="1">
        <f ca="1">IFERROR(__xludf.DUMMYFUNCTION("""COMPUTED_VALUE"""),51)</f>
        <v>51</v>
      </c>
    </row>
    <row r="1029" spans="1:2">
      <c r="A1029" s="3">
        <f ca="1">IFERROR(__xludf.DUMMYFUNCTION("""COMPUTED_VALUE"""),43215.6666666666)</f>
        <v>43215.666666666599</v>
      </c>
      <c r="B1029" s="1">
        <f ca="1">IFERROR(__xludf.DUMMYFUNCTION("""COMPUTED_VALUE"""),51.06)</f>
        <v>51.06</v>
      </c>
    </row>
    <row r="1030" spans="1:2">
      <c r="A1030" s="3">
        <f ca="1">IFERROR(__xludf.DUMMYFUNCTION("""COMPUTED_VALUE"""),43216.6666666666)</f>
        <v>43216.666666666599</v>
      </c>
      <c r="B1030" s="1">
        <f ca="1">IFERROR(__xludf.DUMMYFUNCTION("""COMPUTED_VALUE"""),52)</f>
        <v>52</v>
      </c>
    </row>
    <row r="1031" spans="1:2">
      <c r="A1031" s="3">
        <f ca="1">IFERROR(__xludf.DUMMYFUNCTION("""COMPUTED_VALUE"""),43217.6666666666)</f>
        <v>43217.666666666599</v>
      </c>
      <c r="B1031" s="1">
        <f ca="1">IFERROR(__xludf.DUMMYFUNCTION("""COMPUTED_VALUE"""),51.5)</f>
        <v>51.5</v>
      </c>
    </row>
    <row r="1032" spans="1:2">
      <c r="A1032" s="3">
        <f ca="1">IFERROR(__xludf.DUMMYFUNCTION("""COMPUTED_VALUE"""),43220.6666666666)</f>
        <v>43220.666666666599</v>
      </c>
      <c r="B1032" s="1">
        <f ca="1">IFERROR(__xludf.DUMMYFUNCTION("""COMPUTED_VALUE"""),50.87)</f>
        <v>50.87</v>
      </c>
    </row>
    <row r="1033" spans="1:2">
      <c r="A1033" s="3">
        <f ca="1">IFERROR(__xludf.DUMMYFUNCTION("""COMPUTED_VALUE"""),43221.6666666666)</f>
        <v>43221.666666666599</v>
      </c>
      <c r="B1033" s="1">
        <f ca="1">IFERROR(__xludf.DUMMYFUNCTION("""COMPUTED_VALUE"""),51.87)</f>
        <v>51.87</v>
      </c>
    </row>
    <row r="1034" spans="1:2">
      <c r="A1034" s="3">
        <f ca="1">IFERROR(__xludf.DUMMYFUNCTION("""COMPUTED_VALUE"""),43222.6666666666)</f>
        <v>43222.666666666599</v>
      </c>
      <c r="B1034" s="1">
        <f ca="1">IFERROR(__xludf.DUMMYFUNCTION("""COMPUTED_VALUE"""),51.22)</f>
        <v>51.22</v>
      </c>
    </row>
    <row r="1035" spans="1:2">
      <c r="A1035" s="3">
        <f ca="1">IFERROR(__xludf.DUMMYFUNCTION("""COMPUTED_VALUE"""),43223.6666666666)</f>
        <v>43223.666666666599</v>
      </c>
      <c r="B1035" s="1">
        <f ca="1">IFERROR(__xludf.DUMMYFUNCTION("""COMPUTED_VALUE"""),51.19)</f>
        <v>51.19</v>
      </c>
    </row>
    <row r="1036" spans="1:2">
      <c r="A1036" s="3">
        <f ca="1">IFERROR(__xludf.DUMMYFUNCTION("""COMPUTED_VALUE"""),43224.6666666666)</f>
        <v>43224.666666666599</v>
      </c>
      <c r="B1036" s="1">
        <f ca="1">IFERROR(__xludf.DUMMYFUNCTION("""COMPUTED_VALUE"""),52.41)</f>
        <v>52.41</v>
      </c>
    </row>
    <row r="1037" spans="1:2">
      <c r="A1037" s="3">
        <f ca="1">IFERROR(__xludf.DUMMYFUNCTION("""COMPUTED_VALUE"""),43227.6666666666)</f>
        <v>43227.666666666599</v>
      </c>
      <c r="B1037" s="1">
        <f ca="1">IFERROR(__xludf.DUMMYFUNCTION("""COMPUTED_VALUE"""),52.74)</f>
        <v>52.74</v>
      </c>
    </row>
    <row r="1038" spans="1:2">
      <c r="A1038" s="3">
        <f ca="1">IFERROR(__xludf.DUMMYFUNCTION("""COMPUTED_VALUE"""),43228.6666666666)</f>
        <v>43228.666666666599</v>
      </c>
      <c r="B1038" s="1">
        <f ca="1">IFERROR(__xludf.DUMMYFUNCTION("""COMPUTED_VALUE"""),52.7)</f>
        <v>52.7</v>
      </c>
    </row>
    <row r="1039" spans="1:2">
      <c r="A1039" s="3">
        <f ca="1">IFERROR(__xludf.DUMMYFUNCTION("""COMPUTED_VALUE"""),43229.6666666666)</f>
        <v>43229.666666666599</v>
      </c>
      <c r="B1039" s="1">
        <f ca="1">IFERROR(__xludf.DUMMYFUNCTION("""COMPUTED_VALUE"""),54.14)</f>
        <v>54.14</v>
      </c>
    </row>
    <row r="1040" spans="1:2">
      <c r="A1040" s="3">
        <f ca="1">IFERROR(__xludf.DUMMYFUNCTION("""COMPUTED_VALUE"""),43230.6666666666)</f>
        <v>43230.666666666599</v>
      </c>
      <c r="B1040" s="1">
        <f ca="1">IFERROR(__xludf.DUMMYFUNCTION("""COMPUTED_VALUE"""),54.88)</f>
        <v>54.88</v>
      </c>
    </row>
    <row r="1041" spans="1:2">
      <c r="A1041" s="3">
        <f ca="1">IFERROR(__xludf.DUMMYFUNCTION("""COMPUTED_VALUE"""),43231.6666666666)</f>
        <v>43231.666666666599</v>
      </c>
      <c r="B1041" s="1">
        <f ca="1">IFERROR(__xludf.DUMMYFUNCTION("""COMPUTED_VALUE"""),54.91)</f>
        <v>54.91</v>
      </c>
    </row>
    <row r="1042" spans="1:2">
      <c r="A1042" s="3">
        <f ca="1">IFERROR(__xludf.DUMMYFUNCTION("""COMPUTED_VALUE"""),43234.6666666666)</f>
        <v>43234.666666666599</v>
      </c>
      <c r="B1042" s="1">
        <f ca="1">IFERROR(__xludf.DUMMYFUNCTION("""COMPUTED_VALUE"""),55.01)</f>
        <v>55.01</v>
      </c>
    </row>
    <row r="1043" spans="1:2">
      <c r="A1043" s="3">
        <f ca="1">IFERROR(__xludf.DUMMYFUNCTION("""COMPUTED_VALUE"""),43235.6666666666)</f>
        <v>43235.666666666599</v>
      </c>
      <c r="B1043" s="1">
        <f ca="1">IFERROR(__xludf.DUMMYFUNCTION("""COMPUTED_VALUE"""),53.96)</f>
        <v>53.96</v>
      </c>
    </row>
    <row r="1044" spans="1:2">
      <c r="A1044" s="3">
        <f ca="1">IFERROR(__xludf.DUMMYFUNCTION("""COMPUTED_VALUE"""),43236.6666666666)</f>
        <v>43236.666666666599</v>
      </c>
      <c r="B1044" s="1">
        <f ca="1">IFERROR(__xludf.DUMMYFUNCTION("""COMPUTED_VALUE"""),54.09)</f>
        <v>54.09</v>
      </c>
    </row>
    <row r="1045" spans="1:2">
      <c r="A1045" s="3">
        <f ca="1">IFERROR(__xludf.DUMMYFUNCTION("""COMPUTED_VALUE"""),43237.6666666666)</f>
        <v>43237.666666666599</v>
      </c>
      <c r="B1045" s="1">
        <f ca="1">IFERROR(__xludf.DUMMYFUNCTION("""COMPUTED_VALUE"""),53.93)</f>
        <v>53.93</v>
      </c>
    </row>
    <row r="1046" spans="1:2">
      <c r="A1046" s="3">
        <f ca="1">IFERROR(__xludf.DUMMYFUNCTION("""COMPUTED_VALUE"""),43238.6666666666)</f>
        <v>43238.666666666599</v>
      </c>
      <c r="B1046" s="1">
        <f ca="1">IFERROR(__xludf.DUMMYFUNCTION("""COMPUTED_VALUE"""),53.32)</f>
        <v>53.32</v>
      </c>
    </row>
    <row r="1047" spans="1:2">
      <c r="A1047" s="3">
        <f ca="1">IFERROR(__xludf.DUMMYFUNCTION("""COMPUTED_VALUE"""),43241.6666666666)</f>
        <v>43241.666666666599</v>
      </c>
      <c r="B1047" s="1">
        <f ca="1">IFERROR(__xludf.DUMMYFUNCTION("""COMPUTED_VALUE"""),53.98)</f>
        <v>53.98</v>
      </c>
    </row>
    <row r="1048" spans="1:2">
      <c r="A1048" s="3">
        <f ca="1">IFERROR(__xludf.DUMMYFUNCTION("""COMPUTED_VALUE"""),43242.6666666666)</f>
        <v>43242.666666666599</v>
      </c>
      <c r="B1048" s="1">
        <f ca="1">IFERROR(__xludf.DUMMYFUNCTION("""COMPUTED_VALUE"""),53.49)</f>
        <v>53.49</v>
      </c>
    </row>
    <row r="1049" spans="1:2">
      <c r="A1049" s="3">
        <f ca="1">IFERROR(__xludf.DUMMYFUNCTION("""COMPUTED_VALUE"""),43243.6666666666)</f>
        <v>43243.666666666599</v>
      </c>
      <c r="B1049" s="1">
        <f ca="1">IFERROR(__xludf.DUMMYFUNCTION("""COMPUTED_VALUE"""),53.98)</f>
        <v>53.98</v>
      </c>
    </row>
    <row r="1050" spans="1:2">
      <c r="A1050" s="3">
        <f ca="1">IFERROR(__xludf.DUMMYFUNCTION("""COMPUTED_VALUE"""),43244.6666666666)</f>
        <v>43244.666666666599</v>
      </c>
      <c r="B1050" s="1">
        <f ca="1">IFERROR(__xludf.DUMMYFUNCTION("""COMPUTED_VALUE"""),53.96)</f>
        <v>53.96</v>
      </c>
    </row>
    <row r="1051" spans="1:2">
      <c r="A1051" s="3">
        <f ca="1">IFERROR(__xludf.DUMMYFUNCTION("""COMPUTED_VALUE"""),43245.6666666666)</f>
        <v>43245.666666666599</v>
      </c>
      <c r="B1051" s="1">
        <f ca="1">IFERROR(__xludf.DUMMYFUNCTION("""COMPUTED_VALUE"""),53.78)</f>
        <v>53.78</v>
      </c>
    </row>
    <row r="1052" spans="1:2">
      <c r="A1052" s="3">
        <f ca="1">IFERROR(__xludf.DUMMYFUNCTION("""COMPUTED_VALUE"""),43249.6666666666)</f>
        <v>43249.666666666599</v>
      </c>
      <c r="B1052" s="1">
        <f ca="1">IFERROR(__xludf.DUMMYFUNCTION("""COMPUTED_VALUE"""),53.02)</f>
        <v>53.02</v>
      </c>
    </row>
    <row r="1053" spans="1:2">
      <c r="A1053" s="3">
        <f ca="1">IFERROR(__xludf.DUMMYFUNCTION("""COMPUTED_VALUE"""),43250.6666666666)</f>
        <v>43250.666666666599</v>
      </c>
      <c r="B1053" s="1">
        <f ca="1">IFERROR(__xludf.DUMMYFUNCTION("""COMPUTED_VALUE"""),53.39)</f>
        <v>53.39</v>
      </c>
    </row>
    <row r="1054" spans="1:2">
      <c r="A1054" s="3">
        <f ca="1">IFERROR(__xludf.DUMMYFUNCTION("""COMPUTED_VALUE"""),43251.6666666666)</f>
        <v>43251.666666666599</v>
      </c>
      <c r="B1054" s="1">
        <f ca="1">IFERROR(__xludf.DUMMYFUNCTION("""COMPUTED_VALUE"""),54.25)</f>
        <v>54.25</v>
      </c>
    </row>
    <row r="1055" spans="1:2">
      <c r="A1055" s="3">
        <f ca="1">IFERROR(__xludf.DUMMYFUNCTION("""COMPUTED_VALUE"""),43252.6666666666)</f>
        <v>43252.666666666599</v>
      </c>
      <c r="B1055" s="1">
        <f ca="1">IFERROR(__xludf.DUMMYFUNCTION("""COMPUTED_VALUE"""),55.98)</f>
        <v>55.98</v>
      </c>
    </row>
    <row r="1056" spans="1:2">
      <c r="A1056" s="3">
        <f ca="1">IFERROR(__xludf.DUMMYFUNCTION("""COMPUTED_VALUE"""),43255.6666666666)</f>
        <v>43255.666666666599</v>
      </c>
      <c r="B1056" s="1">
        <f ca="1">IFERROR(__xludf.DUMMYFUNCTION("""COMPUTED_VALUE"""),56.96)</f>
        <v>56.96</v>
      </c>
    </row>
    <row r="1057" spans="1:2">
      <c r="A1057" s="3">
        <f ca="1">IFERROR(__xludf.DUMMYFUNCTION("""COMPUTED_VALUE"""),43256.6666666666)</f>
        <v>43256.666666666599</v>
      </c>
      <c r="B1057" s="1">
        <f ca="1">IFERROR(__xludf.DUMMYFUNCTION("""COMPUTED_VALUE"""),56.98)</f>
        <v>56.98</v>
      </c>
    </row>
    <row r="1058" spans="1:2">
      <c r="A1058" s="3">
        <f ca="1">IFERROR(__xludf.DUMMYFUNCTION("""COMPUTED_VALUE"""),43257.6666666666)</f>
        <v>43257.666666666599</v>
      </c>
      <c r="B1058" s="1">
        <f ca="1">IFERROR(__xludf.DUMMYFUNCTION("""COMPUTED_VALUE"""),56.84)</f>
        <v>56.84</v>
      </c>
    </row>
    <row r="1059" spans="1:2">
      <c r="A1059" s="3">
        <f ca="1">IFERROR(__xludf.DUMMYFUNCTION("""COMPUTED_VALUE"""),43258.6666666666)</f>
        <v>43258.666666666599</v>
      </c>
      <c r="B1059" s="1">
        <f ca="1">IFERROR(__xludf.DUMMYFUNCTION("""COMPUTED_VALUE"""),56.19)</f>
        <v>56.19</v>
      </c>
    </row>
    <row r="1060" spans="1:2">
      <c r="A1060" s="3">
        <f ca="1">IFERROR(__xludf.DUMMYFUNCTION("""COMPUTED_VALUE"""),43259.6666666666)</f>
        <v>43259.666666666599</v>
      </c>
      <c r="B1060" s="1">
        <f ca="1">IFERROR(__xludf.DUMMYFUNCTION("""COMPUTED_VALUE"""),56.04)</f>
        <v>56.04</v>
      </c>
    </row>
    <row r="1061" spans="1:2">
      <c r="A1061" s="3">
        <f ca="1">IFERROR(__xludf.DUMMYFUNCTION("""COMPUTED_VALUE"""),43262.6666666666)</f>
        <v>43262.666666666599</v>
      </c>
      <c r="B1061" s="1">
        <f ca="1">IFERROR(__xludf.DUMMYFUNCTION("""COMPUTED_VALUE"""),56.5)</f>
        <v>56.5</v>
      </c>
    </row>
    <row r="1062" spans="1:2">
      <c r="A1062" s="3">
        <f ca="1">IFERROR(__xludf.DUMMYFUNCTION("""COMPUTED_VALUE"""),43263.6666666666)</f>
        <v>43263.666666666599</v>
      </c>
      <c r="B1062" s="1">
        <f ca="1">IFERROR(__xludf.DUMMYFUNCTION("""COMPUTED_VALUE"""),56.97)</f>
        <v>56.97</v>
      </c>
    </row>
    <row r="1063" spans="1:2">
      <c r="A1063" s="3">
        <f ca="1">IFERROR(__xludf.DUMMYFUNCTION("""COMPUTED_VALUE"""),43264.6666666666)</f>
        <v>43264.666666666599</v>
      </c>
      <c r="B1063" s="1">
        <f ca="1">IFERROR(__xludf.DUMMYFUNCTION("""COMPUTED_VALUE"""),56.74)</f>
        <v>56.74</v>
      </c>
    </row>
    <row r="1064" spans="1:2">
      <c r="A1064" s="3">
        <f ca="1">IFERROR(__xludf.DUMMYFUNCTION("""COMPUTED_VALUE"""),43265.6666666666)</f>
        <v>43265.666666666599</v>
      </c>
      <c r="B1064" s="1">
        <f ca="1">IFERROR(__xludf.DUMMYFUNCTION("""COMPUTED_VALUE"""),57.61)</f>
        <v>57.61</v>
      </c>
    </row>
    <row r="1065" spans="1:2">
      <c r="A1065" s="3">
        <f ca="1">IFERROR(__xludf.DUMMYFUNCTION("""COMPUTED_VALUE"""),43266.6666666666)</f>
        <v>43266.666666666599</v>
      </c>
      <c r="B1065" s="1">
        <f ca="1">IFERROR(__xludf.DUMMYFUNCTION("""COMPUTED_VALUE"""),57.61)</f>
        <v>57.61</v>
      </c>
    </row>
    <row r="1066" spans="1:2">
      <c r="A1066" s="3">
        <f ca="1">IFERROR(__xludf.DUMMYFUNCTION("""COMPUTED_VALUE"""),43269.6666666666)</f>
        <v>43269.666666666599</v>
      </c>
      <c r="B1066" s="1">
        <f ca="1">IFERROR(__xludf.DUMMYFUNCTION("""COMPUTED_VALUE"""),58.67)</f>
        <v>58.67</v>
      </c>
    </row>
    <row r="1067" spans="1:2">
      <c r="A1067" s="3">
        <f ca="1">IFERROR(__xludf.DUMMYFUNCTION("""COMPUTED_VALUE"""),43270.6666666666)</f>
        <v>43270.666666666599</v>
      </c>
      <c r="B1067" s="1">
        <f ca="1">IFERROR(__xludf.DUMMYFUNCTION("""COMPUTED_VALUE"""),58.4)</f>
        <v>58.4</v>
      </c>
    </row>
    <row r="1068" spans="1:2">
      <c r="A1068" s="3">
        <f ca="1">IFERROR(__xludf.DUMMYFUNCTION("""COMPUTED_VALUE"""),43271.6666666666)</f>
        <v>43271.666666666599</v>
      </c>
      <c r="B1068" s="1">
        <f ca="1">IFERROR(__xludf.DUMMYFUNCTION("""COMPUTED_VALUE"""),58.49)</f>
        <v>58.49</v>
      </c>
    </row>
    <row r="1069" spans="1:2">
      <c r="A1069" s="3">
        <f ca="1">IFERROR(__xludf.DUMMYFUNCTION("""COMPUTED_VALUE"""),43272.6666666666)</f>
        <v>43272.666666666599</v>
      </c>
      <c r="B1069" s="1">
        <f ca="1">IFERROR(__xludf.DUMMYFUNCTION("""COMPUTED_VALUE"""),57.88)</f>
        <v>57.88</v>
      </c>
    </row>
    <row r="1070" spans="1:2">
      <c r="A1070" s="3">
        <f ca="1">IFERROR(__xludf.DUMMYFUNCTION("""COMPUTED_VALUE"""),43273.6666666666)</f>
        <v>43273.666666666599</v>
      </c>
      <c r="B1070" s="1">
        <f ca="1">IFERROR(__xludf.DUMMYFUNCTION("""COMPUTED_VALUE"""),57.77)</f>
        <v>57.77</v>
      </c>
    </row>
    <row r="1071" spans="1:2">
      <c r="A1071" s="3">
        <f ca="1">IFERROR(__xludf.DUMMYFUNCTION("""COMPUTED_VALUE"""),43276.6666666666)</f>
        <v>43276.666666666599</v>
      </c>
      <c r="B1071" s="1">
        <f ca="1">IFERROR(__xludf.DUMMYFUNCTION("""COMPUTED_VALUE"""),56.24)</f>
        <v>56.24</v>
      </c>
    </row>
    <row r="1072" spans="1:2">
      <c r="A1072" s="3">
        <f ca="1">IFERROR(__xludf.DUMMYFUNCTION("""COMPUTED_VALUE"""),43277.6666666666)</f>
        <v>43277.666666666599</v>
      </c>
      <c r="B1072" s="1">
        <f ca="1">IFERROR(__xludf.DUMMYFUNCTION("""COMPUTED_VALUE"""),55.92)</f>
        <v>55.92</v>
      </c>
    </row>
    <row r="1073" spans="1:2">
      <c r="A1073" s="3">
        <f ca="1">IFERROR(__xludf.DUMMYFUNCTION("""COMPUTED_VALUE"""),43278.6666666666)</f>
        <v>43278.666666666599</v>
      </c>
      <c r="B1073" s="1">
        <f ca="1">IFERROR(__xludf.DUMMYFUNCTION("""COMPUTED_VALUE"""),55.2)</f>
        <v>55.2</v>
      </c>
    </row>
    <row r="1074" spans="1:2">
      <c r="A1074" s="3">
        <f ca="1">IFERROR(__xludf.DUMMYFUNCTION("""COMPUTED_VALUE"""),43279.6666666666)</f>
        <v>43279.666666666599</v>
      </c>
      <c r="B1074" s="1">
        <f ca="1">IFERROR(__xludf.DUMMYFUNCTION("""COMPUTED_VALUE"""),55.71)</f>
        <v>55.71</v>
      </c>
    </row>
    <row r="1075" spans="1:2">
      <c r="A1075" s="3">
        <f ca="1">IFERROR(__xludf.DUMMYFUNCTION("""COMPUTED_VALUE"""),43280.6666666666)</f>
        <v>43280.666666666599</v>
      </c>
      <c r="B1075" s="1">
        <f ca="1">IFERROR(__xludf.DUMMYFUNCTION("""COMPUTED_VALUE"""),55.78)</f>
        <v>55.78</v>
      </c>
    </row>
    <row r="1076" spans="1:2">
      <c r="A1076" s="3">
        <f ca="1">IFERROR(__xludf.DUMMYFUNCTION("""COMPUTED_VALUE"""),43283.6666666666)</f>
        <v>43283.666666666599</v>
      </c>
      <c r="B1076" s="1">
        <f ca="1">IFERROR(__xludf.DUMMYFUNCTION("""COMPUTED_VALUE"""),56.37)</f>
        <v>56.37</v>
      </c>
    </row>
    <row r="1077" spans="1:2">
      <c r="A1077" s="3">
        <f ca="1">IFERROR(__xludf.DUMMYFUNCTION("""COMPUTED_VALUE"""),43284.5416666666)</f>
        <v>43284.541666666599</v>
      </c>
      <c r="B1077" s="1">
        <f ca="1">IFERROR(__xludf.DUMMYFUNCTION("""COMPUTED_VALUE"""),55.14)</f>
        <v>55.14</v>
      </c>
    </row>
    <row r="1078" spans="1:2">
      <c r="A1078" s="3">
        <f ca="1">IFERROR(__xludf.DUMMYFUNCTION("""COMPUTED_VALUE"""),43286.6666666666)</f>
        <v>43286.666666666599</v>
      </c>
      <c r="B1078" s="1">
        <f ca="1">IFERROR(__xludf.DUMMYFUNCTION("""COMPUTED_VALUE"""),56.21)</f>
        <v>56.21</v>
      </c>
    </row>
    <row r="1079" spans="1:2">
      <c r="A1079" s="3">
        <f ca="1">IFERROR(__xludf.DUMMYFUNCTION("""COMPUTED_VALUE"""),43287.6666666666)</f>
        <v>43287.666666666599</v>
      </c>
      <c r="B1079" s="1">
        <f ca="1">IFERROR(__xludf.DUMMYFUNCTION("""COMPUTED_VALUE"""),57.01)</f>
        <v>57.01</v>
      </c>
    </row>
    <row r="1080" spans="1:2">
      <c r="A1080" s="3">
        <f ca="1">IFERROR(__xludf.DUMMYFUNCTION("""COMPUTED_VALUE"""),43290.6666666666)</f>
        <v>43290.666666666599</v>
      </c>
      <c r="B1080" s="1">
        <f ca="1">IFERROR(__xludf.DUMMYFUNCTION("""COMPUTED_VALUE"""),57.7)</f>
        <v>57.7</v>
      </c>
    </row>
    <row r="1081" spans="1:2">
      <c r="A1081" s="3">
        <f ca="1">IFERROR(__xludf.DUMMYFUNCTION("""COMPUTED_VALUE"""),43291.6666666666)</f>
        <v>43291.666666666599</v>
      </c>
      <c r="B1081" s="1">
        <f ca="1">IFERROR(__xludf.DUMMYFUNCTION("""COMPUTED_VALUE"""),57.64)</f>
        <v>57.64</v>
      </c>
    </row>
    <row r="1082" spans="1:2">
      <c r="A1082" s="3">
        <f ca="1">IFERROR(__xludf.DUMMYFUNCTION("""COMPUTED_VALUE"""),43292.6666666666)</f>
        <v>43292.666666666599</v>
      </c>
      <c r="B1082" s="1">
        <f ca="1">IFERROR(__xludf.DUMMYFUNCTION("""COMPUTED_VALUE"""),57.7)</f>
        <v>57.7</v>
      </c>
    </row>
    <row r="1083" spans="1:2">
      <c r="A1083" s="3">
        <f ca="1">IFERROR(__xludf.DUMMYFUNCTION("""COMPUTED_VALUE"""),43293.6666666666)</f>
        <v>43293.666666666599</v>
      </c>
      <c r="B1083" s="1">
        <f ca="1">IFERROR(__xludf.DUMMYFUNCTION("""COMPUTED_VALUE"""),59.17)</f>
        <v>59.17</v>
      </c>
    </row>
    <row r="1084" spans="1:2">
      <c r="A1084" s="3">
        <f ca="1">IFERROR(__xludf.DUMMYFUNCTION("""COMPUTED_VALUE"""),43294.6666666666)</f>
        <v>43294.666666666599</v>
      </c>
      <c r="B1084" s="1">
        <f ca="1">IFERROR(__xludf.DUMMYFUNCTION("""COMPUTED_VALUE"""),59.44)</f>
        <v>59.44</v>
      </c>
    </row>
    <row r="1085" spans="1:2">
      <c r="A1085" s="3">
        <f ca="1">IFERROR(__xludf.DUMMYFUNCTION("""COMPUTED_VALUE"""),43297.6666666666)</f>
        <v>43297.666666666599</v>
      </c>
      <c r="B1085" s="1">
        <f ca="1">IFERROR(__xludf.DUMMYFUNCTION("""COMPUTED_VALUE"""),59.19)</f>
        <v>59.19</v>
      </c>
    </row>
    <row r="1086" spans="1:2">
      <c r="A1086" s="3">
        <f ca="1">IFERROR(__xludf.DUMMYFUNCTION("""COMPUTED_VALUE"""),43298.6666666666)</f>
        <v>43298.666666666599</v>
      </c>
      <c r="B1086" s="1">
        <f ca="1">IFERROR(__xludf.DUMMYFUNCTION("""COMPUTED_VALUE"""),59.94)</f>
        <v>59.94</v>
      </c>
    </row>
    <row r="1087" spans="1:2">
      <c r="A1087" s="3">
        <f ca="1">IFERROR(__xludf.DUMMYFUNCTION("""COMPUTED_VALUE"""),43299.6666666666)</f>
        <v>43299.666666666599</v>
      </c>
      <c r="B1087" s="1">
        <f ca="1">IFERROR(__xludf.DUMMYFUNCTION("""COMPUTED_VALUE"""),59.79)</f>
        <v>59.79</v>
      </c>
    </row>
    <row r="1088" spans="1:2">
      <c r="A1088" s="3">
        <f ca="1">IFERROR(__xludf.DUMMYFUNCTION("""COMPUTED_VALUE"""),43300.6666666666)</f>
        <v>43300.666666666599</v>
      </c>
      <c r="B1088" s="1">
        <f ca="1">IFERROR(__xludf.DUMMYFUNCTION("""COMPUTED_VALUE"""),59.35)</f>
        <v>59.35</v>
      </c>
    </row>
    <row r="1089" spans="1:2">
      <c r="A1089" s="3">
        <f ca="1">IFERROR(__xludf.DUMMYFUNCTION("""COMPUTED_VALUE"""),43301.6666666666)</f>
        <v>43301.666666666599</v>
      </c>
      <c r="B1089" s="1">
        <f ca="1">IFERROR(__xludf.DUMMYFUNCTION("""COMPUTED_VALUE"""),59.25)</f>
        <v>59.25</v>
      </c>
    </row>
    <row r="1090" spans="1:2">
      <c r="A1090" s="3">
        <f ca="1">IFERROR(__xludf.DUMMYFUNCTION("""COMPUTED_VALUE"""),43304.6666666666)</f>
        <v>43304.666666666599</v>
      </c>
      <c r="B1090" s="1">
        <f ca="1">IFERROR(__xludf.DUMMYFUNCTION("""COMPUTED_VALUE"""),60.28)</f>
        <v>60.28</v>
      </c>
    </row>
    <row r="1091" spans="1:2">
      <c r="A1091" s="3">
        <f ca="1">IFERROR(__xludf.DUMMYFUNCTION("""COMPUTED_VALUE"""),43305.6666666666)</f>
        <v>43305.666666666599</v>
      </c>
      <c r="B1091" s="1">
        <f ca="1">IFERROR(__xludf.DUMMYFUNCTION("""COMPUTED_VALUE"""),62.4)</f>
        <v>62.4</v>
      </c>
    </row>
    <row r="1092" spans="1:2">
      <c r="A1092" s="3">
        <f ca="1">IFERROR(__xludf.DUMMYFUNCTION("""COMPUTED_VALUE"""),43306.6666666666)</f>
        <v>43306.666666666599</v>
      </c>
      <c r="B1092" s="1">
        <f ca="1">IFERROR(__xludf.DUMMYFUNCTION("""COMPUTED_VALUE"""),63.19)</f>
        <v>63.19</v>
      </c>
    </row>
    <row r="1093" spans="1:2">
      <c r="A1093" s="3">
        <f ca="1">IFERROR(__xludf.DUMMYFUNCTION("""COMPUTED_VALUE"""),43307.6666666666)</f>
        <v>43307.666666666599</v>
      </c>
      <c r="B1093" s="1">
        <f ca="1">IFERROR(__xludf.DUMMYFUNCTION("""COMPUTED_VALUE"""),63.42)</f>
        <v>63.42</v>
      </c>
    </row>
    <row r="1094" spans="1:2">
      <c r="A1094" s="3">
        <f ca="1">IFERROR(__xludf.DUMMYFUNCTION("""COMPUTED_VALUE"""),43308.6666666666)</f>
        <v>43308.666666666599</v>
      </c>
      <c r="B1094" s="1">
        <f ca="1">IFERROR(__xludf.DUMMYFUNCTION("""COMPUTED_VALUE"""),61.93)</f>
        <v>61.93</v>
      </c>
    </row>
    <row r="1095" spans="1:2">
      <c r="A1095" s="3">
        <f ca="1">IFERROR(__xludf.DUMMYFUNCTION("""COMPUTED_VALUE"""),43311.6666666666)</f>
        <v>43311.666666666599</v>
      </c>
      <c r="B1095" s="1">
        <f ca="1">IFERROR(__xludf.DUMMYFUNCTION("""COMPUTED_VALUE"""),60.99)</f>
        <v>60.99</v>
      </c>
    </row>
    <row r="1096" spans="1:2">
      <c r="A1096" s="3">
        <f ca="1">IFERROR(__xludf.DUMMYFUNCTION("""COMPUTED_VALUE"""),43312.6666666666)</f>
        <v>43312.666666666599</v>
      </c>
      <c r="B1096" s="1">
        <f ca="1">IFERROR(__xludf.DUMMYFUNCTION("""COMPUTED_VALUE"""),60.86)</f>
        <v>60.86</v>
      </c>
    </row>
    <row r="1097" spans="1:2">
      <c r="A1097" s="3">
        <f ca="1">IFERROR(__xludf.DUMMYFUNCTION("""COMPUTED_VALUE"""),43313.6666666666)</f>
        <v>43313.666666666599</v>
      </c>
      <c r="B1097" s="1">
        <f ca="1">IFERROR(__xludf.DUMMYFUNCTION("""COMPUTED_VALUE"""),61)</f>
        <v>61</v>
      </c>
    </row>
    <row r="1098" spans="1:2">
      <c r="A1098" s="3">
        <f ca="1">IFERROR(__xludf.DUMMYFUNCTION("""COMPUTED_VALUE"""),43314.6666666666)</f>
        <v>43314.666666666599</v>
      </c>
      <c r="B1098" s="1">
        <f ca="1">IFERROR(__xludf.DUMMYFUNCTION("""COMPUTED_VALUE"""),61.31)</f>
        <v>61.31</v>
      </c>
    </row>
    <row r="1099" spans="1:2">
      <c r="A1099" s="3">
        <f ca="1">IFERROR(__xludf.DUMMYFUNCTION("""COMPUTED_VALUE"""),43315.6666666666)</f>
        <v>43315.666666666599</v>
      </c>
      <c r="B1099" s="1">
        <f ca="1">IFERROR(__xludf.DUMMYFUNCTION("""COMPUTED_VALUE"""),61.19)</f>
        <v>61.19</v>
      </c>
    </row>
    <row r="1100" spans="1:2">
      <c r="A1100" s="3">
        <f ca="1">IFERROR(__xludf.DUMMYFUNCTION("""COMPUTED_VALUE"""),43318.6666666666)</f>
        <v>43318.666666666599</v>
      </c>
      <c r="B1100" s="1">
        <f ca="1">IFERROR(__xludf.DUMMYFUNCTION("""COMPUTED_VALUE"""),61.24)</f>
        <v>61.24</v>
      </c>
    </row>
    <row r="1101" spans="1:2">
      <c r="A1101" s="3">
        <f ca="1">IFERROR(__xludf.DUMMYFUNCTION("""COMPUTED_VALUE"""),43319.6666666666)</f>
        <v>43319.666666666599</v>
      </c>
      <c r="B1101" s="1">
        <f ca="1">IFERROR(__xludf.DUMMYFUNCTION("""COMPUTED_VALUE"""),62.11)</f>
        <v>62.11</v>
      </c>
    </row>
    <row r="1102" spans="1:2">
      <c r="A1102" s="3">
        <f ca="1">IFERROR(__xludf.DUMMYFUNCTION("""COMPUTED_VALUE"""),43320.6666666666)</f>
        <v>43320.666666666599</v>
      </c>
      <c r="B1102" s="1">
        <f ca="1">IFERROR(__xludf.DUMMYFUNCTION("""COMPUTED_VALUE"""),62.28)</f>
        <v>62.28</v>
      </c>
    </row>
    <row r="1103" spans="1:2">
      <c r="A1103" s="3">
        <f ca="1">IFERROR(__xludf.DUMMYFUNCTION("""COMPUTED_VALUE"""),43321.6666666666)</f>
        <v>43321.666666666599</v>
      </c>
      <c r="B1103" s="1">
        <f ca="1">IFERROR(__xludf.DUMMYFUNCTION("""COMPUTED_VALUE"""),62.46)</f>
        <v>62.46</v>
      </c>
    </row>
    <row r="1104" spans="1:2">
      <c r="A1104" s="3">
        <f ca="1">IFERROR(__xludf.DUMMYFUNCTION("""COMPUTED_VALUE"""),43322.6666666666)</f>
        <v>43322.666666666599</v>
      </c>
      <c r="B1104" s="1">
        <f ca="1">IFERROR(__xludf.DUMMYFUNCTION("""COMPUTED_VALUE"""),61.88)</f>
        <v>61.88</v>
      </c>
    </row>
    <row r="1105" spans="1:2">
      <c r="A1105" s="3">
        <f ca="1">IFERROR(__xludf.DUMMYFUNCTION("""COMPUTED_VALUE"""),43325.6666666666)</f>
        <v>43325.666666666599</v>
      </c>
      <c r="B1105" s="1">
        <f ca="1">IFERROR(__xludf.DUMMYFUNCTION("""COMPUTED_VALUE"""),61.75)</f>
        <v>61.75</v>
      </c>
    </row>
    <row r="1106" spans="1:2">
      <c r="A1106" s="3">
        <f ca="1">IFERROR(__xludf.DUMMYFUNCTION("""COMPUTED_VALUE"""),43326.6666666666)</f>
        <v>43326.666666666599</v>
      </c>
      <c r="B1106" s="1">
        <f ca="1">IFERROR(__xludf.DUMMYFUNCTION("""COMPUTED_VALUE"""),62.11)</f>
        <v>62.11</v>
      </c>
    </row>
    <row r="1107" spans="1:2">
      <c r="A1107" s="3">
        <f ca="1">IFERROR(__xludf.DUMMYFUNCTION("""COMPUTED_VALUE"""),43327.6666666666)</f>
        <v>43327.666666666599</v>
      </c>
      <c r="B1107" s="1">
        <f ca="1">IFERROR(__xludf.DUMMYFUNCTION("""COMPUTED_VALUE"""),60.72)</f>
        <v>60.72</v>
      </c>
    </row>
    <row r="1108" spans="1:2">
      <c r="A1108" s="3">
        <f ca="1">IFERROR(__xludf.DUMMYFUNCTION("""COMPUTED_VALUE"""),43328.6666666666)</f>
        <v>43328.666666666599</v>
      </c>
      <c r="B1108" s="1">
        <f ca="1">IFERROR(__xludf.DUMMYFUNCTION("""COMPUTED_VALUE"""),60.32)</f>
        <v>60.32</v>
      </c>
    </row>
    <row r="1109" spans="1:2">
      <c r="A1109" s="3">
        <f ca="1">IFERROR(__xludf.DUMMYFUNCTION("""COMPUTED_VALUE"""),43329.6666666666)</f>
        <v>43329.666666666599</v>
      </c>
      <c r="B1109" s="1">
        <f ca="1">IFERROR(__xludf.DUMMYFUNCTION("""COMPUTED_VALUE"""),60.05)</f>
        <v>60.05</v>
      </c>
    </row>
    <row r="1110" spans="1:2">
      <c r="A1110" s="3">
        <f ca="1">IFERROR(__xludf.DUMMYFUNCTION("""COMPUTED_VALUE"""),43332.6666666666)</f>
        <v>43332.666666666599</v>
      </c>
      <c r="B1110" s="1">
        <f ca="1">IFERROR(__xludf.DUMMYFUNCTION("""COMPUTED_VALUE"""),60.39)</f>
        <v>60.39</v>
      </c>
    </row>
    <row r="1111" spans="1:2">
      <c r="A1111" s="3">
        <f ca="1">IFERROR(__xludf.DUMMYFUNCTION("""COMPUTED_VALUE"""),43333.6666666666)</f>
        <v>43333.666666666599</v>
      </c>
      <c r="B1111" s="1">
        <f ca="1">IFERROR(__xludf.DUMMYFUNCTION("""COMPUTED_VALUE"""),60.08)</f>
        <v>60.08</v>
      </c>
    </row>
    <row r="1112" spans="1:2">
      <c r="A1112" s="3">
        <f ca="1">IFERROR(__xludf.DUMMYFUNCTION("""COMPUTED_VALUE"""),43334.6666666666)</f>
        <v>43334.666666666599</v>
      </c>
      <c r="B1112" s="1">
        <f ca="1">IFERROR(__xludf.DUMMYFUNCTION("""COMPUTED_VALUE"""),60.37)</f>
        <v>60.37</v>
      </c>
    </row>
    <row r="1113" spans="1:2">
      <c r="A1113" s="3">
        <f ca="1">IFERROR(__xludf.DUMMYFUNCTION("""COMPUTED_VALUE"""),43335.6666666666)</f>
        <v>43335.666666666599</v>
      </c>
      <c r="B1113" s="1">
        <f ca="1">IFERROR(__xludf.DUMMYFUNCTION("""COMPUTED_VALUE"""),60.27)</f>
        <v>60.27</v>
      </c>
    </row>
    <row r="1114" spans="1:2">
      <c r="A1114" s="3">
        <f ca="1">IFERROR(__xludf.DUMMYFUNCTION("""COMPUTED_VALUE"""),43336.6666666666)</f>
        <v>43336.666666666599</v>
      </c>
      <c r="B1114" s="1">
        <f ca="1">IFERROR(__xludf.DUMMYFUNCTION("""COMPUTED_VALUE"""),61.03)</f>
        <v>61.03</v>
      </c>
    </row>
    <row r="1115" spans="1:2">
      <c r="A1115" s="3">
        <f ca="1">IFERROR(__xludf.DUMMYFUNCTION("""COMPUTED_VALUE"""),43339.6666666666)</f>
        <v>43339.666666666599</v>
      </c>
      <c r="B1115" s="1">
        <f ca="1">IFERROR(__xludf.DUMMYFUNCTION("""COMPUTED_VALUE"""),62.09)</f>
        <v>62.09</v>
      </c>
    </row>
    <row r="1116" spans="1:2">
      <c r="A1116" s="3">
        <f ca="1">IFERROR(__xludf.DUMMYFUNCTION("""COMPUTED_VALUE"""),43340.6666666666)</f>
        <v>43340.666666666599</v>
      </c>
      <c r="B1116" s="1">
        <f ca="1">IFERROR(__xludf.DUMMYFUNCTION("""COMPUTED_VALUE"""),61.56)</f>
        <v>61.56</v>
      </c>
    </row>
    <row r="1117" spans="1:2">
      <c r="A1117" s="3">
        <f ca="1">IFERROR(__xludf.DUMMYFUNCTION("""COMPUTED_VALUE"""),43341.6666666666)</f>
        <v>43341.666666666599</v>
      </c>
      <c r="B1117" s="1">
        <f ca="1">IFERROR(__xludf.DUMMYFUNCTION("""COMPUTED_VALUE"""),62.47)</f>
        <v>62.47</v>
      </c>
    </row>
    <row r="1118" spans="1:2">
      <c r="A1118" s="3">
        <f ca="1">IFERROR(__xludf.DUMMYFUNCTION("""COMPUTED_VALUE"""),43342.6666666666)</f>
        <v>43342.666666666599</v>
      </c>
      <c r="B1118" s="1">
        <f ca="1">IFERROR(__xludf.DUMMYFUNCTION("""COMPUTED_VALUE"""),61.96)</f>
        <v>61.96</v>
      </c>
    </row>
    <row r="1119" spans="1:2">
      <c r="A1119" s="3">
        <f ca="1">IFERROR(__xludf.DUMMYFUNCTION("""COMPUTED_VALUE"""),43343.6666666666)</f>
        <v>43343.666666666599</v>
      </c>
      <c r="B1119" s="1">
        <f ca="1">IFERROR(__xludf.DUMMYFUNCTION("""COMPUTED_VALUE"""),60.91)</f>
        <v>60.91</v>
      </c>
    </row>
    <row r="1120" spans="1:2">
      <c r="A1120" s="3">
        <f ca="1">IFERROR(__xludf.DUMMYFUNCTION("""COMPUTED_VALUE"""),43347.6666666666)</f>
        <v>43347.666666666599</v>
      </c>
      <c r="B1120" s="1">
        <f ca="1">IFERROR(__xludf.DUMMYFUNCTION("""COMPUTED_VALUE"""),59.85)</f>
        <v>59.85</v>
      </c>
    </row>
    <row r="1121" spans="1:2">
      <c r="A1121" s="3">
        <f ca="1">IFERROR(__xludf.DUMMYFUNCTION("""COMPUTED_VALUE"""),43348.6666666666)</f>
        <v>43348.666666666599</v>
      </c>
      <c r="B1121" s="1">
        <f ca="1">IFERROR(__xludf.DUMMYFUNCTION("""COMPUTED_VALUE"""),59.32)</f>
        <v>59.32</v>
      </c>
    </row>
    <row r="1122" spans="1:2">
      <c r="A1122" s="3">
        <f ca="1">IFERROR(__xludf.DUMMYFUNCTION("""COMPUTED_VALUE"""),43349.6666666666)</f>
        <v>43349.666666666599</v>
      </c>
      <c r="B1122" s="1">
        <f ca="1">IFERROR(__xludf.DUMMYFUNCTION("""COMPUTED_VALUE"""),58.57)</f>
        <v>58.57</v>
      </c>
    </row>
    <row r="1123" spans="1:2">
      <c r="A1123" s="3">
        <f ca="1">IFERROR(__xludf.DUMMYFUNCTION("""COMPUTED_VALUE"""),43350.6666666666)</f>
        <v>43350.666666666599</v>
      </c>
      <c r="B1123" s="1">
        <f ca="1">IFERROR(__xludf.DUMMYFUNCTION("""COMPUTED_VALUE"""),58.24)</f>
        <v>58.24</v>
      </c>
    </row>
    <row r="1124" spans="1:2">
      <c r="A1124" s="3">
        <f ca="1">IFERROR(__xludf.DUMMYFUNCTION("""COMPUTED_VALUE"""),43353.6666666666)</f>
        <v>43353.666666666599</v>
      </c>
      <c r="B1124" s="1">
        <f ca="1">IFERROR(__xludf.DUMMYFUNCTION("""COMPUTED_VALUE"""),58.23)</f>
        <v>58.23</v>
      </c>
    </row>
    <row r="1125" spans="1:2">
      <c r="A1125" s="3">
        <f ca="1">IFERROR(__xludf.DUMMYFUNCTION("""COMPUTED_VALUE"""),43354.6666666666)</f>
        <v>43354.666666666599</v>
      </c>
      <c r="B1125" s="1">
        <f ca="1">IFERROR(__xludf.DUMMYFUNCTION("""COMPUTED_VALUE"""),58.87)</f>
        <v>58.87</v>
      </c>
    </row>
    <row r="1126" spans="1:2">
      <c r="A1126" s="3">
        <f ca="1">IFERROR(__xludf.DUMMYFUNCTION("""COMPUTED_VALUE"""),43355.6666666666)</f>
        <v>43355.666666666599</v>
      </c>
      <c r="B1126" s="1">
        <f ca="1">IFERROR(__xludf.DUMMYFUNCTION("""COMPUTED_VALUE"""),58.14)</f>
        <v>58.14</v>
      </c>
    </row>
    <row r="1127" spans="1:2">
      <c r="A1127" s="3">
        <f ca="1">IFERROR(__xludf.DUMMYFUNCTION("""COMPUTED_VALUE"""),43356.6666666666)</f>
        <v>43356.666666666599</v>
      </c>
      <c r="B1127" s="1">
        <f ca="1">IFERROR(__xludf.DUMMYFUNCTION("""COMPUTED_VALUE"""),58.77)</f>
        <v>58.77</v>
      </c>
    </row>
    <row r="1128" spans="1:2">
      <c r="A1128" s="3">
        <f ca="1">IFERROR(__xludf.DUMMYFUNCTION("""COMPUTED_VALUE"""),43357.6666666666)</f>
        <v>43357.666666666599</v>
      </c>
      <c r="B1128" s="1">
        <f ca="1">IFERROR(__xludf.DUMMYFUNCTION("""COMPUTED_VALUE"""),58.63)</f>
        <v>58.63</v>
      </c>
    </row>
    <row r="1129" spans="1:2">
      <c r="A1129" s="3">
        <f ca="1">IFERROR(__xludf.DUMMYFUNCTION("""COMPUTED_VALUE"""),43360.6666666666)</f>
        <v>43360.666666666599</v>
      </c>
      <c r="B1129" s="1">
        <f ca="1">IFERROR(__xludf.DUMMYFUNCTION("""COMPUTED_VALUE"""),57.8)</f>
        <v>57.8</v>
      </c>
    </row>
    <row r="1130" spans="1:2">
      <c r="A1130" s="3">
        <f ca="1">IFERROR(__xludf.DUMMYFUNCTION("""COMPUTED_VALUE"""),43361.6666666666)</f>
        <v>43361.666666666599</v>
      </c>
      <c r="B1130" s="1">
        <f ca="1">IFERROR(__xludf.DUMMYFUNCTION("""COMPUTED_VALUE"""),58.06)</f>
        <v>58.06</v>
      </c>
    </row>
    <row r="1131" spans="1:2">
      <c r="A1131" s="3">
        <f ca="1">IFERROR(__xludf.DUMMYFUNCTION("""COMPUTED_VALUE"""),43362.6666666666)</f>
        <v>43362.666666666599</v>
      </c>
      <c r="B1131" s="1">
        <f ca="1">IFERROR(__xludf.DUMMYFUNCTION("""COMPUTED_VALUE"""),58.55)</f>
        <v>58.55</v>
      </c>
    </row>
    <row r="1132" spans="1:2">
      <c r="A1132" s="3">
        <f ca="1">IFERROR(__xludf.DUMMYFUNCTION("""COMPUTED_VALUE"""),43363.6666666666)</f>
        <v>43363.666666666599</v>
      </c>
      <c r="B1132" s="1">
        <f ca="1">IFERROR(__xludf.DUMMYFUNCTION("""COMPUTED_VALUE"""),59.34)</f>
        <v>59.34</v>
      </c>
    </row>
    <row r="1133" spans="1:2">
      <c r="A1133" s="3">
        <f ca="1">IFERROR(__xludf.DUMMYFUNCTION("""COMPUTED_VALUE"""),43364.6666666666)</f>
        <v>43364.666666666599</v>
      </c>
      <c r="B1133" s="1">
        <f ca="1">IFERROR(__xludf.DUMMYFUNCTION("""COMPUTED_VALUE"""),58.3)</f>
        <v>58.3</v>
      </c>
    </row>
    <row r="1134" spans="1:2">
      <c r="A1134" s="3">
        <f ca="1">IFERROR(__xludf.DUMMYFUNCTION("""COMPUTED_VALUE"""),43367.6666666666)</f>
        <v>43367.666666666599</v>
      </c>
      <c r="B1134" s="1">
        <f ca="1">IFERROR(__xludf.DUMMYFUNCTION("""COMPUTED_VALUE"""),58.67)</f>
        <v>58.67</v>
      </c>
    </row>
    <row r="1135" spans="1:2">
      <c r="A1135" s="3">
        <f ca="1">IFERROR(__xludf.DUMMYFUNCTION("""COMPUTED_VALUE"""),43368.6666666666)</f>
        <v>43368.666666666599</v>
      </c>
      <c r="B1135" s="1">
        <f ca="1">IFERROR(__xludf.DUMMYFUNCTION("""COMPUTED_VALUE"""),59.23)</f>
        <v>59.23</v>
      </c>
    </row>
    <row r="1136" spans="1:2">
      <c r="A1136" s="3">
        <f ca="1">IFERROR(__xludf.DUMMYFUNCTION("""COMPUTED_VALUE"""),43369.6666666666)</f>
        <v>43369.666666666599</v>
      </c>
      <c r="B1136" s="1">
        <f ca="1">IFERROR(__xludf.DUMMYFUNCTION("""COMPUTED_VALUE"""),59.02)</f>
        <v>59.02</v>
      </c>
    </row>
    <row r="1137" spans="1:2">
      <c r="A1137" s="3">
        <f ca="1">IFERROR(__xludf.DUMMYFUNCTION("""COMPUTED_VALUE"""),43370.6666666666)</f>
        <v>43370.666666666599</v>
      </c>
      <c r="B1137" s="1">
        <f ca="1">IFERROR(__xludf.DUMMYFUNCTION("""COMPUTED_VALUE"""),59.73)</f>
        <v>59.73</v>
      </c>
    </row>
    <row r="1138" spans="1:2">
      <c r="A1138" s="3">
        <f ca="1">IFERROR(__xludf.DUMMYFUNCTION("""COMPUTED_VALUE"""),43371.6666666666)</f>
        <v>43371.666666666599</v>
      </c>
      <c r="B1138" s="1">
        <f ca="1">IFERROR(__xludf.DUMMYFUNCTION("""COMPUTED_VALUE"""),59.67)</f>
        <v>59.67</v>
      </c>
    </row>
    <row r="1139" spans="1:2">
      <c r="A1139" s="3">
        <f ca="1">IFERROR(__xludf.DUMMYFUNCTION("""COMPUTED_VALUE"""),43374.6666666666)</f>
        <v>43374.666666666599</v>
      </c>
      <c r="B1139" s="1">
        <f ca="1">IFERROR(__xludf.DUMMYFUNCTION("""COMPUTED_VALUE"""),59.77)</f>
        <v>59.77</v>
      </c>
    </row>
    <row r="1140" spans="1:2">
      <c r="A1140" s="3">
        <f ca="1">IFERROR(__xludf.DUMMYFUNCTION("""COMPUTED_VALUE"""),43375.6666666666)</f>
        <v>43375.666666666599</v>
      </c>
      <c r="B1140" s="1">
        <f ca="1">IFERROR(__xludf.DUMMYFUNCTION("""COMPUTED_VALUE"""),60.01)</f>
        <v>60.01</v>
      </c>
    </row>
    <row r="1141" spans="1:2">
      <c r="A1141" s="3">
        <f ca="1">IFERROR(__xludf.DUMMYFUNCTION("""COMPUTED_VALUE"""),43376.6666666666)</f>
        <v>43376.666666666599</v>
      </c>
      <c r="B1141" s="1">
        <f ca="1">IFERROR(__xludf.DUMMYFUNCTION("""COMPUTED_VALUE"""),60.15)</f>
        <v>60.15</v>
      </c>
    </row>
    <row r="1142" spans="1:2">
      <c r="A1142" s="3">
        <f ca="1">IFERROR(__xludf.DUMMYFUNCTION("""COMPUTED_VALUE"""),43377.6666666666)</f>
        <v>43377.666666666599</v>
      </c>
      <c r="B1142" s="1">
        <f ca="1">IFERROR(__xludf.DUMMYFUNCTION("""COMPUTED_VALUE"""),58.41)</f>
        <v>58.41</v>
      </c>
    </row>
    <row r="1143" spans="1:2">
      <c r="A1143" s="3">
        <f ca="1">IFERROR(__xludf.DUMMYFUNCTION("""COMPUTED_VALUE"""),43378.6666666666)</f>
        <v>43378.666666666599</v>
      </c>
      <c r="B1143" s="1">
        <f ca="1">IFERROR(__xludf.DUMMYFUNCTION("""COMPUTED_VALUE"""),57.87)</f>
        <v>57.87</v>
      </c>
    </row>
    <row r="1144" spans="1:2">
      <c r="A1144" s="3">
        <f ca="1">IFERROR(__xludf.DUMMYFUNCTION("""COMPUTED_VALUE"""),43381.6666666666)</f>
        <v>43381.666666666599</v>
      </c>
      <c r="B1144" s="1">
        <f ca="1">IFERROR(__xludf.DUMMYFUNCTION("""COMPUTED_VALUE"""),57.45)</f>
        <v>57.45</v>
      </c>
    </row>
    <row r="1145" spans="1:2">
      <c r="A1145" s="3">
        <f ca="1">IFERROR(__xludf.DUMMYFUNCTION("""COMPUTED_VALUE"""),43382.6666666666)</f>
        <v>43382.666666666599</v>
      </c>
      <c r="B1145" s="1">
        <f ca="1">IFERROR(__xludf.DUMMYFUNCTION("""COMPUTED_VALUE"""),56.94)</f>
        <v>56.94</v>
      </c>
    </row>
    <row r="1146" spans="1:2">
      <c r="A1146" s="3">
        <f ca="1">IFERROR(__xludf.DUMMYFUNCTION("""COMPUTED_VALUE"""),43383.6666666666)</f>
        <v>43383.666666666599</v>
      </c>
      <c r="B1146" s="1">
        <f ca="1">IFERROR(__xludf.DUMMYFUNCTION("""COMPUTED_VALUE"""),54.06)</f>
        <v>54.06</v>
      </c>
    </row>
    <row r="1147" spans="1:2">
      <c r="A1147" s="3">
        <f ca="1">IFERROR(__xludf.DUMMYFUNCTION("""COMPUTED_VALUE"""),43384.6666666666)</f>
        <v>43384.666666666599</v>
      </c>
      <c r="B1147" s="1">
        <f ca="1">IFERROR(__xludf.DUMMYFUNCTION("""COMPUTED_VALUE"""),53.97)</f>
        <v>53.97</v>
      </c>
    </row>
    <row r="1148" spans="1:2">
      <c r="A1148" s="3">
        <f ca="1">IFERROR(__xludf.DUMMYFUNCTION("""COMPUTED_VALUE"""),43385.6666666666)</f>
        <v>43385.666666666599</v>
      </c>
      <c r="B1148" s="1">
        <f ca="1">IFERROR(__xludf.DUMMYFUNCTION("""COMPUTED_VALUE"""),55.5)</f>
        <v>55.5</v>
      </c>
    </row>
    <row r="1149" spans="1:2">
      <c r="A1149" s="3">
        <f ca="1">IFERROR(__xludf.DUMMYFUNCTION("""COMPUTED_VALUE"""),43388.6666666666)</f>
        <v>43388.666666666599</v>
      </c>
      <c r="B1149" s="1">
        <f ca="1">IFERROR(__xludf.DUMMYFUNCTION("""COMPUTED_VALUE"""),54.61)</f>
        <v>54.61</v>
      </c>
    </row>
    <row r="1150" spans="1:2">
      <c r="A1150" s="3">
        <f ca="1">IFERROR(__xludf.DUMMYFUNCTION("""COMPUTED_VALUE"""),43389.6666666666)</f>
        <v>43389.666666666599</v>
      </c>
      <c r="B1150" s="1">
        <f ca="1">IFERROR(__xludf.DUMMYFUNCTION("""COMPUTED_VALUE"""),56.06)</f>
        <v>56.06</v>
      </c>
    </row>
    <row r="1151" spans="1:2">
      <c r="A1151" s="3">
        <f ca="1">IFERROR(__xludf.DUMMYFUNCTION("""COMPUTED_VALUE"""),43390.6666666666)</f>
        <v>43390.666666666599</v>
      </c>
      <c r="B1151" s="1">
        <f ca="1">IFERROR(__xludf.DUMMYFUNCTION("""COMPUTED_VALUE"""),55.78)</f>
        <v>55.78</v>
      </c>
    </row>
    <row r="1152" spans="1:2">
      <c r="A1152" s="3">
        <f ca="1">IFERROR(__xludf.DUMMYFUNCTION("""COMPUTED_VALUE"""),43391.6666666666)</f>
        <v>43391.666666666599</v>
      </c>
      <c r="B1152" s="1">
        <f ca="1">IFERROR(__xludf.DUMMYFUNCTION("""COMPUTED_VALUE"""),54.4)</f>
        <v>54.4</v>
      </c>
    </row>
    <row r="1153" spans="1:2">
      <c r="A1153" s="3">
        <f ca="1">IFERROR(__xludf.DUMMYFUNCTION("""COMPUTED_VALUE"""),43392.6666666666)</f>
        <v>43392.666666666599</v>
      </c>
      <c r="B1153" s="1">
        <f ca="1">IFERROR(__xludf.DUMMYFUNCTION("""COMPUTED_VALUE"""),54.82)</f>
        <v>54.82</v>
      </c>
    </row>
    <row r="1154" spans="1:2">
      <c r="A1154" s="3">
        <f ca="1">IFERROR(__xludf.DUMMYFUNCTION("""COMPUTED_VALUE"""),43395.6666666666)</f>
        <v>43395.666666666599</v>
      </c>
      <c r="B1154" s="1">
        <f ca="1">IFERROR(__xludf.DUMMYFUNCTION("""COMPUTED_VALUE"""),55.06)</f>
        <v>55.06</v>
      </c>
    </row>
    <row r="1155" spans="1:2">
      <c r="A1155" s="3">
        <f ca="1">IFERROR(__xludf.DUMMYFUNCTION("""COMPUTED_VALUE"""),43396.6666666666)</f>
        <v>43396.666666666599</v>
      </c>
      <c r="B1155" s="1">
        <f ca="1">IFERROR(__xludf.DUMMYFUNCTION("""COMPUTED_VALUE"""),55.18)</f>
        <v>55.18</v>
      </c>
    </row>
    <row r="1156" spans="1:2">
      <c r="A1156" s="3">
        <f ca="1">IFERROR(__xludf.DUMMYFUNCTION("""COMPUTED_VALUE"""),43397.6666666666)</f>
        <v>43397.666666666599</v>
      </c>
      <c r="B1156" s="1">
        <f ca="1">IFERROR(__xludf.DUMMYFUNCTION("""COMPUTED_VALUE"""),52.54)</f>
        <v>52.54</v>
      </c>
    </row>
    <row r="1157" spans="1:2">
      <c r="A1157" s="3">
        <f ca="1">IFERROR(__xludf.DUMMYFUNCTION("""COMPUTED_VALUE"""),43398.6666666666)</f>
        <v>43398.666666666599</v>
      </c>
      <c r="B1157" s="1">
        <f ca="1">IFERROR(__xludf.DUMMYFUNCTION("""COMPUTED_VALUE"""),54.78)</f>
        <v>54.78</v>
      </c>
    </row>
    <row r="1158" spans="1:2">
      <c r="A1158" s="3">
        <f ca="1">IFERROR(__xludf.DUMMYFUNCTION("""COMPUTED_VALUE"""),43399.6666666666)</f>
        <v>43399.666666666599</v>
      </c>
      <c r="B1158" s="1">
        <f ca="1">IFERROR(__xludf.DUMMYFUNCTION("""COMPUTED_VALUE"""),53.57)</f>
        <v>53.57</v>
      </c>
    </row>
    <row r="1159" spans="1:2">
      <c r="A1159" s="3">
        <f ca="1">IFERROR(__xludf.DUMMYFUNCTION("""COMPUTED_VALUE"""),43402.6666666666)</f>
        <v>43402.666666666599</v>
      </c>
      <c r="B1159" s="1">
        <f ca="1">IFERROR(__xludf.DUMMYFUNCTION("""COMPUTED_VALUE"""),51)</f>
        <v>51</v>
      </c>
    </row>
    <row r="1160" spans="1:2">
      <c r="A1160" s="3">
        <f ca="1">IFERROR(__xludf.DUMMYFUNCTION("""COMPUTED_VALUE"""),43403.6666666666)</f>
        <v>43403.666666666599</v>
      </c>
      <c r="B1160" s="1">
        <f ca="1">IFERROR(__xludf.DUMMYFUNCTION("""COMPUTED_VALUE"""),51.81)</f>
        <v>51.81</v>
      </c>
    </row>
    <row r="1161" spans="1:2">
      <c r="A1161" s="3">
        <f ca="1">IFERROR(__xludf.DUMMYFUNCTION("""COMPUTED_VALUE"""),43404.6666666666)</f>
        <v>43404.666666666599</v>
      </c>
      <c r="B1161" s="1">
        <f ca="1">IFERROR(__xludf.DUMMYFUNCTION("""COMPUTED_VALUE"""),53.84)</f>
        <v>53.84</v>
      </c>
    </row>
    <row r="1162" spans="1:2">
      <c r="A1162" s="3">
        <f ca="1">IFERROR(__xludf.DUMMYFUNCTION("""COMPUTED_VALUE"""),43405.6666666666)</f>
        <v>43405.666666666599</v>
      </c>
      <c r="B1162" s="1">
        <f ca="1">IFERROR(__xludf.DUMMYFUNCTION("""COMPUTED_VALUE"""),53.5)</f>
        <v>53.5</v>
      </c>
    </row>
    <row r="1163" spans="1:2">
      <c r="A1163" s="3">
        <f ca="1">IFERROR(__xludf.DUMMYFUNCTION("""COMPUTED_VALUE"""),43406.6666666666)</f>
        <v>43406.666666666599</v>
      </c>
      <c r="B1163" s="1">
        <f ca="1">IFERROR(__xludf.DUMMYFUNCTION("""COMPUTED_VALUE"""),52.89)</f>
        <v>52.89</v>
      </c>
    </row>
    <row r="1164" spans="1:2">
      <c r="A1164" s="3">
        <f ca="1">IFERROR(__xludf.DUMMYFUNCTION("""COMPUTED_VALUE"""),43409.6666666666)</f>
        <v>43409.666666666599</v>
      </c>
      <c r="B1164" s="1">
        <f ca="1">IFERROR(__xludf.DUMMYFUNCTION("""COMPUTED_VALUE"""),52)</f>
        <v>52</v>
      </c>
    </row>
    <row r="1165" spans="1:2">
      <c r="A1165" s="3">
        <f ca="1">IFERROR(__xludf.DUMMYFUNCTION("""COMPUTED_VALUE"""),43410.6666666666)</f>
        <v>43410.666666666599</v>
      </c>
      <c r="B1165" s="1">
        <f ca="1">IFERROR(__xludf.DUMMYFUNCTION("""COMPUTED_VALUE"""),52.79)</f>
        <v>52.79</v>
      </c>
    </row>
    <row r="1166" spans="1:2">
      <c r="A1166" s="3">
        <f ca="1">IFERROR(__xludf.DUMMYFUNCTION("""COMPUTED_VALUE"""),43411.6666666666)</f>
        <v>43411.666666666599</v>
      </c>
      <c r="B1166" s="1">
        <f ca="1">IFERROR(__xludf.DUMMYFUNCTION("""COMPUTED_VALUE"""),54.67)</f>
        <v>54.67</v>
      </c>
    </row>
    <row r="1167" spans="1:2">
      <c r="A1167" s="3">
        <f ca="1">IFERROR(__xludf.DUMMYFUNCTION("""COMPUTED_VALUE"""),43412.6666666666)</f>
        <v>43412.666666666599</v>
      </c>
      <c r="B1167" s="1">
        <f ca="1">IFERROR(__xludf.DUMMYFUNCTION("""COMPUTED_VALUE"""),54.12)</f>
        <v>54.12</v>
      </c>
    </row>
    <row r="1168" spans="1:2">
      <c r="A1168" s="3">
        <f ca="1">IFERROR(__xludf.DUMMYFUNCTION("""COMPUTED_VALUE"""),43413.6666666666)</f>
        <v>43413.666666666599</v>
      </c>
      <c r="B1168" s="1">
        <f ca="1">IFERROR(__xludf.DUMMYFUNCTION("""COMPUTED_VALUE"""),53.31)</f>
        <v>53.31</v>
      </c>
    </row>
    <row r="1169" spans="1:2">
      <c r="A1169" s="3">
        <f ca="1">IFERROR(__xludf.DUMMYFUNCTION("""COMPUTED_VALUE"""),43416.6666666666)</f>
        <v>43416.666666666599</v>
      </c>
      <c r="B1169" s="1">
        <f ca="1">IFERROR(__xludf.DUMMYFUNCTION("""COMPUTED_VALUE"""),51.93)</f>
        <v>51.93</v>
      </c>
    </row>
    <row r="1170" spans="1:2">
      <c r="A1170" s="3">
        <f ca="1">IFERROR(__xludf.DUMMYFUNCTION("""COMPUTED_VALUE"""),43417.6666666666)</f>
        <v>43417.666666666599</v>
      </c>
      <c r="B1170" s="1">
        <f ca="1">IFERROR(__xludf.DUMMYFUNCTION("""COMPUTED_VALUE"""),51.8)</f>
        <v>51.8</v>
      </c>
    </row>
    <row r="1171" spans="1:2">
      <c r="A1171" s="3">
        <f ca="1">IFERROR(__xludf.DUMMYFUNCTION("""COMPUTED_VALUE"""),43418.6666666666)</f>
        <v>43418.666666666599</v>
      </c>
      <c r="B1171" s="1">
        <f ca="1">IFERROR(__xludf.DUMMYFUNCTION("""COMPUTED_VALUE"""),52.18)</f>
        <v>52.18</v>
      </c>
    </row>
    <row r="1172" spans="1:2">
      <c r="A1172" s="3">
        <f ca="1">IFERROR(__xludf.DUMMYFUNCTION("""COMPUTED_VALUE"""),43419.6666666666)</f>
        <v>43419.666666666599</v>
      </c>
      <c r="B1172" s="1">
        <f ca="1">IFERROR(__xludf.DUMMYFUNCTION("""COMPUTED_VALUE"""),53.24)</f>
        <v>53.24</v>
      </c>
    </row>
    <row r="1173" spans="1:2">
      <c r="A1173" s="3">
        <f ca="1">IFERROR(__xludf.DUMMYFUNCTION("""COMPUTED_VALUE"""),43420.6666666666)</f>
        <v>43420.666666666599</v>
      </c>
      <c r="B1173" s="1">
        <f ca="1">IFERROR(__xludf.DUMMYFUNCTION("""COMPUTED_VALUE"""),53.07)</f>
        <v>53.07</v>
      </c>
    </row>
    <row r="1174" spans="1:2">
      <c r="A1174" s="3">
        <f ca="1">IFERROR(__xludf.DUMMYFUNCTION("""COMPUTED_VALUE"""),43423.6666666666)</f>
        <v>43423.666666666599</v>
      </c>
      <c r="B1174" s="1">
        <f ca="1">IFERROR(__xludf.DUMMYFUNCTION("""COMPUTED_VALUE"""),51)</f>
        <v>51</v>
      </c>
    </row>
    <row r="1175" spans="1:2">
      <c r="A1175" s="3">
        <f ca="1">IFERROR(__xludf.DUMMYFUNCTION("""COMPUTED_VALUE"""),43424.6666666666)</f>
        <v>43424.666666666599</v>
      </c>
      <c r="B1175" s="1">
        <f ca="1">IFERROR(__xludf.DUMMYFUNCTION("""COMPUTED_VALUE"""),51.29)</f>
        <v>51.29</v>
      </c>
    </row>
    <row r="1176" spans="1:2">
      <c r="A1176" s="3">
        <f ca="1">IFERROR(__xludf.DUMMYFUNCTION("""COMPUTED_VALUE"""),43425.6666666666)</f>
        <v>43425.666666666599</v>
      </c>
      <c r="B1176" s="1">
        <f ca="1">IFERROR(__xludf.DUMMYFUNCTION("""COMPUTED_VALUE"""),51.88)</f>
        <v>51.88</v>
      </c>
    </row>
    <row r="1177" spans="1:2">
      <c r="A1177" s="3">
        <f ca="1">IFERROR(__xludf.DUMMYFUNCTION("""COMPUTED_VALUE"""),43427.5416666666)</f>
        <v>43427.541666666599</v>
      </c>
      <c r="B1177" s="1">
        <f ca="1">IFERROR(__xludf.DUMMYFUNCTION("""COMPUTED_VALUE"""),51.19)</f>
        <v>51.19</v>
      </c>
    </row>
    <row r="1178" spans="1:2">
      <c r="A1178" s="3">
        <f ca="1">IFERROR(__xludf.DUMMYFUNCTION("""COMPUTED_VALUE"""),43430.6666666666)</f>
        <v>43430.666666666599</v>
      </c>
      <c r="B1178" s="1">
        <f ca="1">IFERROR(__xludf.DUMMYFUNCTION("""COMPUTED_VALUE"""),52.43)</f>
        <v>52.43</v>
      </c>
    </row>
    <row r="1179" spans="1:2">
      <c r="A1179" s="3">
        <f ca="1">IFERROR(__xludf.DUMMYFUNCTION("""COMPUTED_VALUE"""),43431.6666666666)</f>
        <v>43431.666666666599</v>
      </c>
      <c r="B1179" s="1">
        <f ca="1">IFERROR(__xludf.DUMMYFUNCTION("""COMPUTED_VALUE"""),52.22)</f>
        <v>52.22</v>
      </c>
    </row>
    <row r="1180" spans="1:2">
      <c r="A1180" s="3">
        <f ca="1">IFERROR(__xludf.DUMMYFUNCTION("""COMPUTED_VALUE"""),43432.6666666666)</f>
        <v>43432.666666666599</v>
      </c>
      <c r="B1180" s="1">
        <f ca="1">IFERROR(__xludf.DUMMYFUNCTION("""COMPUTED_VALUE"""),54.31)</f>
        <v>54.31</v>
      </c>
    </row>
    <row r="1181" spans="1:2">
      <c r="A1181" s="3">
        <f ca="1">IFERROR(__xludf.DUMMYFUNCTION("""COMPUTED_VALUE"""),43433.6666666666)</f>
        <v>43433.666666666599</v>
      </c>
      <c r="B1181" s="1">
        <f ca="1">IFERROR(__xludf.DUMMYFUNCTION("""COMPUTED_VALUE"""),54.42)</f>
        <v>54.42</v>
      </c>
    </row>
    <row r="1182" spans="1:2">
      <c r="A1182" s="3">
        <f ca="1">IFERROR(__xludf.DUMMYFUNCTION("""COMPUTED_VALUE"""),43434.6666666666)</f>
        <v>43434.666666666599</v>
      </c>
      <c r="B1182" s="1">
        <f ca="1">IFERROR(__xludf.DUMMYFUNCTION("""COMPUTED_VALUE"""),54.72)</f>
        <v>54.72</v>
      </c>
    </row>
    <row r="1183" spans="1:2">
      <c r="A1183" s="3">
        <f ca="1">IFERROR(__xludf.DUMMYFUNCTION("""COMPUTED_VALUE"""),43437.6666666666)</f>
        <v>43437.666666666599</v>
      </c>
      <c r="B1183" s="1">
        <f ca="1">IFERROR(__xludf.DUMMYFUNCTION("""COMPUTED_VALUE"""),55.32)</f>
        <v>55.32</v>
      </c>
    </row>
    <row r="1184" spans="1:2">
      <c r="A1184" s="3">
        <f ca="1">IFERROR(__xludf.DUMMYFUNCTION("""COMPUTED_VALUE"""),43438.6666666666)</f>
        <v>43438.666666666599</v>
      </c>
      <c r="B1184" s="1">
        <f ca="1">IFERROR(__xludf.DUMMYFUNCTION("""COMPUTED_VALUE"""),52.54)</f>
        <v>52.54</v>
      </c>
    </row>
    <row r="1185" spans="1:2">
      <c r="A1185" s="3">
        <f ca="1">IFERROR(__xludf.DUMMYFUNCTION("""COMPUTED_VALUE"""),43440.6666666666)</f>
        <v>43440.666666666599</v>
      </c>
      <c r="B1185" s="1">
        <f ca="1">IFERROR(__xludf.DUMMYFUNCTION("""COMPUTED_VALUE"""),53.44)</f>
        <v>53.44</v>
      </c>
    </row>
    <row r="1186" spans="1:2">
      <c r="A1186" s="3">
        <f ca="1">IFERROR(__xludf.DUMMYFUNCTION("""COMPUTED_VALUE"""),43441.6666666666)</f>
        <v>43441.666666666599</v>
      </c>
      <c r="B1186" s="1">
        <f ca="1">IFERROR(__xludf.DUMMYFUNCTION("""COMPUTED_VALUE"""),51.83)</f>
        <v>51.83</v>
      </c>
    </row>
    <row r="1187" spans="1:2">
      <c r="A1187" s="3">
        <f ca="1">IFERROR(__xludf.DUMMYFUNCTION("""COMPUTED_VALUE"""),43444.6666666666)</f>
        <v>43444.666666666599</v>
      </c>
      <c r="B1187" s="1">
        <f ca="1">IFERROR(__xludf.DUMMYFUNCTION("""COMPUTED_VALUE"""),51.98)</f>
        <v>51.98</v>
      </c>
    </row>
    <row r="1188" spans="1:2">
      <c r="A1188" s="3">
        <f ca="1">IFERROR(__xludf.DUMMYFUNCTION("""COMPUTED_VALUE"""),43445.6666666666)</f>
        <v>43445.666666666599</v>
      </c>
      <c r="B1188" s="1">
        <f ca="1">IFERROR(__xludf.DUMMYFUNCTION("""COMPUTED_VALUE"""),52.59)</f>
        <v>52.59</v>
      </c>
    </row>
    <row r="1189" spans="1:2">
      <c r="A1189" s="3">
        <f ca="1">IFERROR(__xludf.DUMMYFUNCTION("""COMPUTED_VALUE"""),43446.6666666666)</f>
        <v>43446.666666666599</v>
      </c>
      <c r="B1189" s="1">
        <f ca="1">IFERROR(__xludf.DUMMYFUNCTION("""COMPUTED_VALUE"""),53.18)</f>
        <v>53.18</v>
      </c>
    </row>
    <row r="1190" spans="1:2">
      <c r="A1190" s="3">
        <f ca="1">IFERROR(__xludf.DUMMYFUNCTION("""COMPUTED_VALUE"""),43447.6666666666)</f>
        <v>43447.666666666599</v>
      </c>
      <c r="B1190" s="1">
        <f ca="1">IFERROR(__xludf.DUMMYFUNCTION("""COMPUTED_VALUE"""),53.1)</f>
        <v>53.1</v>
      </c>
    </row>
    <row r="1191" spans="1:2">
      <c r="A1191" s="3">
        <f ca="1">IFERROR(__xludf.DUMMYFUNCTION("""COMPUTED_VALUE"""),43448.6666666666)</f>
        <v>43448.666666666599</v>
      </c>
      <c r="B1191" s="1">
        <f ca="1">IFERROR(__xludf.DUMMYFUNCTION("""COMPUTED_VALUE"""),52.11)</f>
        <v>52.11</v>
      </c>
    </row>
    <row r="1192" spans="1:2">
      <c r="A1192" s="3">
        <f ca="1">IFERROR(__xludf.DUMMYFUNCTION("""COMPUTED_VALUE"""),43451.6666666666)</f>
        <v>43451.666666666599</v>
      </c>
      <c r="B1192" s="1">
        <f ca="1">IFERROR(__xludf.DUMMYFUNCTION("""COMPUTED_VALUE"""),50.83)</f>
        <v>50.83</v>
      </c>
    </row>
    <row r="1193" spans="1:2">
      <c r="A1193" s="3">
        <f ca="1">IFERROR(__xludf.DUMMYFUNCTION("""COMPUTED_VALUE"""),43452.6666666666)</f>
        <v>43452.666666666599</v>
      </c>
      <c r="B1193" s="1">
        <f ca="1">IFERROR(__xludf.DUMMYFUNCTION("""COMPUTED_VALUE"""),51.44)</f>
        <v>51.44</v>
      </c>
    </row>
    <row r="1194" spans="1:2">
      <c r="A1194" s="3">
        <f ca="1">IFERROR(__xludf.DUMMYFUNCTION("""COMPUTED_VALUE"""),43453.6666666666)</f>
        <v>43453.666666666599</v>
      </c>
      <c r="B1194" s="1">
        <f ca="1">IFERROR(__xludf.DUMMYFUNCTION("""COMPUTED_VALUE"""),51.15)</f>
        <v>51.15</v>
      </c>
    </row>
    <row r="1195" spans="1:2">
      <c r="A1195" s="3">
        <f ca="1">IFERROR(__xludf.DUMMYFUNCTION("""COMPUTED_VALUE"""),43454.6666666666)</f>
        <v>43454.666666666599</v>
      </c>
      <c r="B1195" s="1">
        <f ca="1">IFERROR(__xludf.DUMMYFUNCTION("""COMPUTED_VALUE"""),50.47)</f>
        <v>50.47</v>
      </c>
    </row>
    <row r="1196" spans="1:2">
      <c r="A1196" s="3">
        <f ca="1">IFERROR(__xludf.DUMMYFUNCTION("""COMPUTED_VALUE"""),43455.6666666666)</f>
        <v>43455.666666666599</v>
      </c>
      <c r="B1196" s="1">
        <f ca="1">IFERROR(__xludf.DUMMYFUNCTION("""COMPUTED_VALUE"""),48.98)</f>
        <v>48.98</v>
      </c>
    </row>
    <row r="1197" spans="1:2">
      <c r="A1197" s="3">
        <f ca="1">IFERROR(__xludf.DUMMYFUNCTION("""COMPUTED_VALUE"""),43458.5416666666)</f>
        <v>43458.541666666599</v>
      </c>
      <c r="B1197" s="1">
        <f ca="1">IFERROR(__xludf.DUMMYFUNCTION("""COMPUTED_VALUE"""),48.81)</f>
        <v>48.81</v>
      </c>
    </row>
    <row r="1198" spans="1:2">
      <c r="A1198" s="3">
        <f ca="1">IFERROR(__xludf.DUMMYFUNCTION("""COMPUTED_VALUE"""),43460.6666666666)</f>
        <v>43460.666666666599</v>
      </c>
      <c r="B1198" s="1">
        <f ca="1">IFERROR(__xludf.DUMMYFUNCTION("""COMPUTED_VALUE"""),51.97)</f>
        <v>51.97</v>
      </c>
    </row>
    <row r="1199" spans="1:2">
      <c r="A1199" s="3">
        <f ca="1">IFERROR(__xludf.DUMMYFUNCTION("""COMPUTED_VALUE"""),43461.6666666666)</f>
        <v>43461.666666666599</v>
      </c>
      <c r="B1199" s="1">
        <f ca="1">IFERROR(__xludf.DUMMYFUNCTION("""COMPUTED_VALUE"""),52.19)</f>
        <v>52.19</v>
      </c>
    </row>
    <row r="1200" spans="1:2">
      <c r="A1200" s="3">
        <f ca="1">IFERROR(__xludf.DUMMYFUNCTION("""COMPUTED_VALUE"""),43462.6666666666)</f>
        <v>43462.666666666599</v>
      </c>
      <c r="B1200" s="1">
        <f ca="1">IFERROR(__xludf.DUMMYFUNCTION("""COMPUTED_VALUE"""),51.85)</f>
        <v>51.85</v>
      </c>
    </row>
    <row r="1201" spans="1:2">
      <c r="A1201" s="3">
        <f ca="1">IFERROR(__xludf.DUMMYFUNCTION("""COMPUTED_VALUE"""),43465.6666666666)</f>
        <v>43465.666666666599</v>
      </c>
      <c r="B1201" s="1">
        <f ca="1">IFERROR(__xludf.DUMMYFUNCTION("""COMPUTED_VALUE"""),51.78)</f>
        <v>51.78</v>
      </c>
    </row>
    <row r="1202" spans="1:2">
      <c r="A1202" s="3">
        <f ca="1">IFERROR(__xludf.DUMMYFUNCTION("""COMPUTED_VALUE"""),43467.6666666666)</f>
        <v>43467.666666666599</v>
      </c>
      <c r="B1202" s="1">
        <f ca="1">IFERROR(__xludf.DUMMYFUNCTION("""COMPUTED_VALUE"""),52.29)</f>
        <v>52.29</v>
      </c>
    </row>
    <row r="1203" spans="1:2">
      <c r="A1203" s="3">
        <f ca="1">IFERROR(__xludf.DUMMYFUNCTION("""COMPUTED_VALUE"""),43468.6666666666)</f>
        <v>43468.666666666599</v>
      </c>
      <c r="B1203" s="1">
        <f ca="1">IFERROR(__xludf.DUMMYFUNCTION("""COMPUTED_VALUE"""),50.8)</f>
        <v>50.8</v>
      </c>
    </row>
    <row r="1204" spans="1:2">
      <c r="A1204" s="3">
        <f ca="1">IFERROR(__xludf.DUMMYFUNCTION("""COMPUTED_VALUE"""),43469.6666666666)</f>
        <v>43469.666666666599</v>
      </c>
      <c r="B1204" s="1">
        <f ca="1">IFERROR(__xludf.DUMMYFUNCTION("""COMPUTED_VALUE"""),53.54)</f>
        <v>53.54</v>
      </c>
    </row>
    <row r="1205" spans="1:2">
      <c r="A1205" s="3">
        <f ca="1">IFERROR(__xludf.DUMMYFUNCTION("""COMPUTED_VALUE"""),43472.6666666666)</f>
        <v>43472.666666666599</v>
      </c>
      <c r="B1205" s="1">
        <f ca="1">IFERROR(__xludf.DUMMYFUNCTION("""COMPUTED_VALUE"""),53.42)</f>
        <v>53.42</v>
      </c>
    </row>
    <row r="1206" spans="1:2">
      <c r="A1206" s="3">
        <f ca="1">IFERROR(__xludf.DUMMYFUNCTION("""COMPUTED_VALUE"""),43473.6666666666)</f>
        <v>43473.666666666599</v>
      </c>
      <c r="B1206" s="1">
        <f ca="1">IFERROR(__xludf.DUMMYFUNCTION("""COMPUTED_VALUE"""),53.81)</f>
        <v>53.81</v>
      </c>
    </row>
    <row r="1207" spans="1:2">
      <c r="A1207" s="3">
        <f ca="1">IFERROR(__xludf.DUMMYFUNCTION("""COMPUTED_VALUE"""),43474.6666666666)</f>
        <v>43474.666666666599</v>
      </c>
      <c r="B1207" s="1">
        <f ca="1">IFERROR(__xludf.DUMMYFUNCTION("""COMPUTED_VALUE"""),53.73)</f>
        <v>53.73</v>
      </c>
    </row>
    <row r="1208" spans="1:2">
      <c r="A1208" s="3">
        <f ca="1">IFERROR(__xludf.DUMMYFUNCTION("""COMPUTED_VALUE"""),43475.6666666666)</f>
        <v>43475.666666666599</v>
      </c>
      <c r="B1208" s="1">
        <f ca="1">IFERROR(__xludf.DUMMYFUNCTION("""COMPUTED_VALUE"""),53.52)</f>
        <v>53.52</v>
      </c>
    </row>
    <row r="1209" spans="1:2">
      <c r="A1209" s="3">
        <f ca="1">IFERROR(__xludf.DUMMYFUNCTION("""COMPUTED_VALUE"""),43476.6666666666)</f>
        <v>43476.666666666599</v>
      </c>
      <c r="B1209" s="1">
        <f ca="1">IFERROR(__xludf.DUMMYFUNCTION("""COMPUTED_VALUE"""),52.86)</f>
        <v>52.86</v>
      </c>
    </row>
    <row r="1210" spans="1:2">
      <c r="A1210" s="3">
        <f ca="1">IFERROR(__xludf.DUMMYFUNCTION("""COMPUTED_VALUE"""),43479.6666666666)</f>
        <v>43479.666666666599</v>
      </c>
      <c r="B1210" s="1">
        <f ca="1">IFERROR(__xludf.DUMMYFUNCTION("""COMPUTED_VALUE"""),52.23)</f>
        <v>52.23</v>
      </c>
    </row>
    <row r="1211" spans="1:2">
      <c r="A1211" s="3">
        <f ca="1">IFERROR(__xludf.DUMMYFUNCTION("""COMPUTED_VALUE"""),43480.6666666666)</f>
        <v>43480.666666666599</v>
      </c>
      <c r="B1211" s="1">
        <f ca="1">IFERROR(__xludf.DUMMYFUNCTION("""COMPUTED_VALUE"""),53.86)</f>
        <v>53.86</v>
      </c>
    </row>
    <row r="1212" spans="1:2">
      <c r="A1212" s="3">
        <f ca="1">IFERROR(__xludf.DUMMYFUNCTION("""COMPUTED_VALUE"""),43481.6666666666)</f>
        <v>43481.666666666599</v>
      </c>
      <c r="B1212" s="1">
        <f ca="1">IFERROR(__xludf.DUMMYFUNCTION("""COMPUTED_VALUE"""),54.05)</f>
        <v>54.05</v>
      </c>
    </row>
    <row r="1213" spans="1:2">
      <c r="A1213" s="3">
        <f ca="1">IFERROR(__xludf.DUMMYFUNCTION("""COMPUTED_VALUE"""),43482.6666666666)</f>
        <v>43482.666666666599</v>
      </c>
      <c r="B1213" s="1">
        <f ca="1">IFERROR(__xludf.DUMMYFUNCTION("""COMPUTED_VALUE"""),54.5)</f>
        <v>54.5</v>
      </c>
    </row>
    <row r="1214" spans="1:2">
      <c r="A1214" s="3">
        <f ca="1">IFERROR(__xludf.DUMMYFUNCTION("""COMPUTED_VALUE"""),43483.6666666666)</f>
        <v>43483.666666666599</v>
      </c>
      <c r="B1214" s="1">
        <f ca="1">IFERROR(__xludf.DUMMYFUNCTION("""COMPUTED_VALUE"""),54.91)</f>
        <v>54.91</v>
      </c>
    </row>
    <row r="1215" spans="1:2">
      <c r="A1215" s="3">
        <f ca="1">IFERROR(__xludf.DUMMYFUNCTION("""COMPUTED_VALUE"""),43487.6666666666)</f>
        <v>43487.666666666599</v>
      </c>
      <c r="B1215" s="1">
        <f ca="1">IFERROR(__xludf.DUMMYFUNCTION("""COMPUTED_VALUE"""),53.53)</f>
        <v>53.53</v>
      </c>
    </row>
    <row r="1216" spans="1:2">
      <c r="A1216" s="3">
        <f ca="1">IFERROR(__xludf.DUMMYFUNCTION("""COMPUTED_VALUE"""),43488.6666666666)</f>
        <v>43488.666666666599</v>
      </c>
      <c r="B1216" s="1">
        <f ca="1">IFERROR(__xludf.DUMMYFUNCTION("""COMPUTED_VALUE"""),53.78)</f>
        <v>53.78</v>
      </c>
    </row>
    <row r="1217" spans="1:2">
      <c r="A1217" s="3">
        <f ca="1">IFERROR(__xludf.DUMMYFUNCTION("""COMPUTED_VALUE"""),43489.6666666666)</f>
        <v>43489.666666666599</v>
      </c>
      <c r="B1217" s="1">
        <f ca="1">IFERROR(__xludf.DUMMYFUNCTION("""COMPUTED_VALUE"""),53.7)</f>
        <v>53.7</v>
      </c>
    </row>
    <row r="1218" spans="1:2">
      <c r="A1218" s="3">
        <f ca="1">IFERROR(__xludf.DUMMYFUNCTION("""COMPUTED_VALUE"""),43490.6666666666)</f>
        <v>43490.666666666599</v>
      </c>
      <c r="B1218" s="1">
        <f ca="1">IFERROR(__xludf.DUMMYFUNCTION("""COMPUTED_VALUE"""),54.55)</f>
        <v>54.55</v>
      </c>
    </row>
    <row r="1219" spans="1:2">
      <c r="A1219" s="3">
        <f ca="1">IFERROR(__xludf.DUMMYFUNCTION("""COMPUTED_VALUE"""),43493.6666666666)</f>
        <v>43493.666666666599</v>
      </c>
      <c r="B1219" s="1">
        <f ca="1">IFERROR(__xludf.DUMMYFUNCTION("""COMPUTED_VALUE"""),53.5)</f>
        <v>53.5</v>
      </c>
    </row>
    <row r="1220" spans="1:2">
      <c r="A1220" s="3">
        <f ca="1">IFERROR(__xludf.DUMMYFUNCTION("""COMPUTED_VALUE"""),43494.6666666666)</f>
        <v>43494.666666666599</v>
      </c>
      <c r="B1220" s="1">
        <f ca="1">IFERROR(__xludf.DUMMYFUNCTION("""COMPUTED_VALUE"""),53.03)</f>
        <v>53.03</v>
      </c>
    </row>
    <row r="1221" spans="1:2">
      <c r="A1221" s="3">
        <f ca="1">IFERROR(__xludf.DUMMYFUNCTION("""COMPUTED_VALUE"""),43495.6666666666)</f>
        <v>43495.666666666599</v>
      </c>
      <c r="B1221" s="1">
        <f ca="1">IFERROR(__xludf.DUMMYFUNCTION("""COMPUTED_VALUE"""),54.45)</f>
        <v>54.45</v>
      </c>
    </row>
    <row r="1222" spans="1:2">
      <c r="A1222" s="3">
        <f ca="1">IFERROR(__xludf.DUMMYFUNCTION("""COMPUTED_VALUE"""),43496.6666666666)</f>
        <v>43496.666666666599</v>
      </c>
      <c r="B1222" s="1">
        <f ca="1">IFERROR(__xludf.DUMMYFUNCTION("""COMPUTED_VALUE"""),55.82)</f>
        <v>55.82</v>
      </c>
    </row>
    <row r="1223" spans="1:2">
      <c r="A1223" s="3">
        <f ca="1">IFERROR(__xludf.DUMMYFUNCTION("""COMPUTED_VALUE"""),43497.6666666666)</f>
        <v>43497.666666666599</v>
      </c>
      <c r="B1223" s="1">
        <f ca="1">IFERROR(__xludf.DUMMYFUNCTION("""COMPUTED_VALUE"""),55.54)</f>
        <v>55.54</v>
      </c>
    </row>
    <row r="1224" spans="1:2">
      <c r="A1224" s="3">
        <f ca="1">IFERROR(__xludf.DUMMYFUNCTION("""COMPUTED_VALUE"""),43500.6666666666)</f>
        <v>43500.666666666599</v>
      </c>
      <c r="B1224" s="1">
        <f ca="1">IFERROR(__xludf.DUMMYFUNCTION("""COMPUTED_VALUE"""),56.64)</f>
        <v>56.64</v>
      </c>
    </row>
    <row r="1225" spans="1:2">
      <c r="A1225" s="3">
        <f ca="1">IFERROR(__xludf.DUMMYFUNCTION("""COMPUTED_VALUE"""),43501.6666666666)</f>
        <v>43501.666666666599</v>
      </c>
      <c r="B1225" s="1">
        <f ca="1">IFERROR(__xludf.DUMMYFUNCTION("""COMPUTED_VALUE"""),57.3)</f>
        <v>57.3</v>
      </c>
    </row>
    <row r="1226" spans="1:2">
      <c r="A1226" s="3">
        <f ca="1">IFERROR(__xludf.DUMMYFUNCTION("""COMPUTED_VALUE"""),43502.6666666666)</f>
        <v>43502.666666666599</v>
      </c>
      <c r="B1226" s="1">
        <f ca="1">IFERROR(__xludf.DUMMYFUNCTION("""COMPUTED_VALUE"""),55.76)</f>
        <v>55.76</v>
      </c>
    </row>
    <row r="1227" spans="1:2">
      <c r="A1227" s="3">
        <f ca="1">IFERROR(__xludf.DUMMYFUNCTION("""COMPUTED_VALUE"""),43503.6666666666)</f>
        <v>43503.666666666599</v>
      </c>
      <c r="B1227" s="1">
        <f ca="1">IFERROR(__xludf.DUMMYFUNCTION("""COMPUTED_VALUE"""),54.94)</f>
        <v>54.94</v>
      </c>
    </row>
    <row r="1228" spans="1:2">
      <c r="A1228" s="3">
        <f ca="1">IFERROR(__xludf.DUMMYFUNCTION("""COMPUTED_VALUE"""),43504.6666666666)</f>
        <v>43504.666666666599</v>
      </c>
      <c r="B1228" s="1">
        <f ca="1">IFERROR(__xludf.DUMMYFUNCTION("""COMPUTED_VALUE"""),54.75)</f>
        <v>54.75</v>
      </c>
    </row>
    <row r="1229" spans="1:2">
      <c r="A1229" s="3">
        <f ca="1">IFERROR(__xludf.DUMMYFUNCTION("""COMPUTED_VALUE"""),43507.6666666666)</f>
        <v>43507.666666666599</v>
      </c>
      <c r="B1229" s="1">
        <f ca="1">IFERROR(__xludf.DUMMYFUNCTION("""COMPUTED_VALUE"""),54.75)</f>
        <v>54.75</v>
      </c>
    </row>
    <row r="1230" spans="1:2">
      <c r="A1230" s="3">
        <f ca="1">IFERROR(__xludf.DUMMYFUNCTION("""COMPUTED_VALUE"""),43508.6666666666)</f>
        <v>43508.666666666599</v>
      </c>
      <c r="B1230" s="1">
        <f ca="1">IFERROR(__xludf.DUMMYFUNCTION("""COMPUTED_VALUE"""),56.07)</f>
        <v>56.07</v>
      </c>
    </row>
    <row r="1231" spans="1:2">
      <c r="A1231" s="3">
        <f ca="1">IFERROR(__xludf.DUMMYFUNCTION("""COMPUTED_VALUE"""),43509.6666666666)</f>
        <v>43509.666666666599</v>
      </c>
      <c r="B1231" s="1">
        <f ca="1">IFERROR(__xludf.DUMMYFUNCTION("""COMPUTED_VALUE"""),56.01)</f>
        <v>56.01</v>
      </c>
    </row>
    <row r="1232" spans="1:2">
      <c r="A1232" s="3">
        <f ca="1">IFERROR(__xludf.DUMMYFUNCTION("""COMPUTED_VALUE"""),43510.6666666666)</f>
        <v>43510.666666666599</v>
      </c>
      <c r="B1232" s="1">
        <f ca="1">IFERROR(__xludf.DUMMYFUNCTION("""COMPUTED_VALUE"""),56.08)</f>
        <v>56.08</v>
      </c>
    </row>
    <row r="1233" spans="1:2">
      <c r="A1233" s="3">
        <f ca="1">IFERROR(__xludf.DUMMYFUNCTION("""COMPUTED_VALUE"""),43511.6666666666)</f>
        <v>43511.666666666599</v>
      </c>
      <c r="B1233" s="1">
        <f ca="1">IFERROR(__xludf.DUMMYFUNCTION("""COMPUTED_VALUE"""),55.68)</f>
        <v>55.68</v>
      </c>
    </row>
    <row r="1234" spans="1:2">
      <c r="A1234" s="3">
        <f ca="1">IFERROR(__xludf.DUMMYFUNCTION("""COMPUTED_VALUE"""),43515.6666666666)</f>
        <v>43515.666666666599</v>
      </c>
      <c r="B1234" s="1">
        <f ca="1">IFERROR(__xludf.DUMMYFUNCTION("""COMPUTED_VALUE"""),55.93)</f>
        <v>55.93</v>
      </c>
    </row>
    <row r="1235" spans="1:2">
      <c r="A1235" s="3">
        <f ca="1">IFERROR(__xludf.DUMMYFUNCTION("""COMPUTED_VALUE"""),43516.6666666666)</f>
        <v>43516.666666666599</v>
      </c>
      <c r="B1235" s="1">
        <f ca="1">IFERROR(__xludf.DUMMYFUNCTION("""COMPUTED_VALUE"""),55.69)</f>
        <v>55.69</v>
      </c>
    </row>
    <row r="1236" spans="1:2">
      <c r="A1236" s="3">
        <f ca="1">IFERROR(__xludf.DUMMYFUNCTION("""COMPUTED_VALUE"""),43517.6666666666)</f>
        <v>43517.666666666599</v>
      </c>
      <c r="B1236" s="1">
        <f ca="1">IFERROR(__xludf.DUMMYFUNCTION("""COMPUTED_VALUE"""),54.85)</f>
        <v>54.85</v>
      </c>
    </row>
    <row r="1237" spans="1:2">
      <c r="A1237" s="3">
        <f ca="1">IFERROR(__xludf.DUMMYFUNCTION("""COMPUTED_VALUE"""),43518.6666666666)</f>
        <v>43518.666666666599</v>
      </c>
      <c r="B1237" s="1">
        <f ca="1">IFERROR(__xludf.DUMMYFUNCTION("""COMPUTED_VALUE"""),55.52)</f>
        <v>55.52</v>
      </c>
    </row>
    <row r="1238" spans="1:2">
      <c r="A1238" s="3">
        <f ca="1">IFERROR(__xludf.DUMMYFUNCTION("""COMPUTED_VALUE"""),43521.6666666666)</f>
        <v>43521.666666666599</v>
      </c>
      <c r="B1238" s="1">
        <f ca="1">IFERROR(__xludf.DUMMYFUNCTION("""COMPUTED_VALUE"""),55.47)</f>
        <v>55.47</v>
      </c>
    </row>
    <row r="1239" spans="1:2">
      <c r="A1239" s="3">
        <f ca="1">IFERROR(__xludf.DUMMYFUNCTION("""COMPUTED_VALUE"""),43522.6666666666)</f>
        <v>43522.666666666599</v>
      </c>
      <c r="B1239" s="1">
        <f ca="1">IFERROR(__xludf.DUMMYFUNCTION("""COMPUTED_VALUE"""),55.76)</f>
        <v>55.76</v>
      </c>
    </row>
    <row r="1240" spans="1:2">
      <c r="A1240" s="3">
        <f ca="1">IFERROR(__xludf.DUMMYFUNCTION("""COMPUTED_VALUE"""),43523.6666666666)</f>
        <v>43523.666666666599</v>
      </c>
      <c r="B1240" s="1">
        <f ca="1">IFERROR(__xludf.DUMMYFUNCTION("""COMPUTED_VALUE"""),55.8)</f>
        <v>55.8</v>
      </c>
    </row>
    <row r="1241" spans="1:2">
      <c r="A1241" s="3">
        <f ca="1">IFERROR(__xludf.DUMMYFUNCTION("""COMPUTED_VALUE"""),43524.6666666666)</f>
        <v>43524.666666666599</v>
      </c>
      <c r="B1241" s="1">
        <f ca="1">IFERROR(__xludf.DUMMYFUNCTION("""COMPUTED_VALUE"""),56)</f>
        <v>56</v>
      </c>
    </row>
    <row r="1242" spans="1:2">
      <c r="A1242" s="3">
        <f ca="1">IFERROR(__xludf.DUMMYFUNCTION("""COMPUTED_VALUE"""),43525.6666666666)</f>
        <v>43525.666666666599</v>
      </c>
      <c r="B1242" s="1">
        <f ca="1">IFERROR(__xludf.DUMMYFUNCTION("""COMPUTED_VALUE"""),57.05)</f>
        <v>57.05</v>
      </c>
    </row>
    <row r="1243" spans="1:2">
      <c r="A1243" s="3">
        <f ca="1">IFERROR(__xludf.DUMMYFUNCTION("""COMPUTED_VALUE"""),43528.6666666666)</f>
        <v>43528.666666666599</v>
      </c>
      <c r="B1243" s="1">
        <f ca="1">IFERROR(__xludf.DUMMYFUNCTION("""COMPUTED_VALUE"""),57.39)</f>
        <v>57.39</v>
      </c>
    </row>
    <row r="1244" spans="1:2">
      <c r="A1244" s="3">
        <f ca="1">IFERROR(__xludf.DUMMYFUNCTION("""COMPUTED_VALUE"""),43529.6666666666)</f>
        <v>43529.666666666599</v>
      </c>
      <c r="B1244" s="1">
        <f ca="1">IFERROR(__xludf.DUMMYFUNCTION("""COMPUTED_VALUE"""),58.1)</f>
        <v>58.1</v>
      </c>
    </row>
    <row r="1245" spans="1:2">
      <c r="A1245" s="3">
        <f ca="1">IFERROR(__xludf.DUMMYFUNCTION("""COMPUTED_VALUE"""),43530.6666666666)</f>
        <v>43530.666666666599</v>
      </c>
      <c r="B1245" s="1">
        <f ca="1">IFERROR(__xludf.DUMMYFUNCTION("""COMPUTED_VALUE"""),57.89)</f>
        <v>57.89</v>
      </c>
    </row>
    <row r="1246" spans="1:2">
      <c r="A1246" s="3">
        <f ca="1">IFERROR(__xludf.DUMMYFUNCTION("""COMPUTED_VALUE"""),43531.6666666666)</f>
        <v>43531.666666666599</v>
      </c>
      <c r="B1246" s="1">
        <f ca="1">IFERROR(__xludf.DUMMYFUNCTION("""COMPUTED_VALUE"""),57.17)</f>
        <v>57.17</v>
      </c>
    </row>
    <row r="1247" spans="1:2">
      <c r="A1247" s="3">
        <f ca="1">IFERROR(__xludf.DUMMYFUNCTION("""COMPUTED_VALUE"""),43532.6666666666)</f>
        <v>43532.666666666599</v>
      </c>
      <c r="B1247" s="1">
        <f ca="1">IFERROR(__xludf.DUMMYFUNCTION("""COMPUTED_VALUE"""),57.12)</f>
        <v>57.12</v>
      </c>
    </row>
    <row r="1248" spans="1:2">
      <c r="A1248" s="3">
        <f ca="1">IFERROR(__xludf.DUMMYFUNCTION("""COMPUTED_VALUE"""),43535.6666666666)</f>
        <v>43535.666666666599</v>
      </c>
      <c r="B1248" s="1">
        <f ca="1">IFERROR(__xludf.DUMMYFUNCTION("""COMPUTED_VALUE"""),58.79)</f>
        <v>58.79</v>
      </c>
    </row>
    <row r="1249" spans="1:2">
      <c r="A1249" s="3">
        <f ca="1">IFERROR(__xludf.DUMMYFUNCTION("""COMPUTED_VALUE"""),43536.6666666666)</f>
        <v>43536.666666666599</v>
      </c>
      <c r="B1249" s="1">
        <f ca="1">IFERROR(__xludf.DUMMYFUNCTION("""COMPUTED_VALUE"""),59.66)</f>
        <v>59.66</v>
      </c>
    </row>
    <row r="1250" spans="1:2">
      <c r="A1250" s="3">
        <f ca="1">IFERROR(__xludf.DUMMYFUNCTION("""COMPUTED_VALUE"""),43537.6666666666)</f>
        <v>43537.666666666599</v>
      </c>
      <c r="B1250" s="1">
        <f ca="1">IFERROR(__xludf.DUMMYFUNCTION("""COMPUTED_VALUE"""),59.67)</f>
        <v>59.67</v>
      </c>
    </row>
    <row r="1251" spans="1:2">
      <c r="A1251" s="3">
        <f ca="1">IFERROR(__xludf.DUMMYFUNCTION("""COMPUTED_VALUE"""),43538.6666666666)</f>
        <v>43538.666666666599</v>
      </c>
      <c r="B1251" s="1">
        <f ca="1">IFERROR(__xludf.DUMMYFUNCTION("""COMPUTED_VALUE"""),59.28)</f>
        <v>59.28</v>
      </c>
    </row>
    <row r="1252" spans="1:2">
      <c r="A1252" s="3">
        <f ca="1">IFERROR(__xludf.DUMMYFUNCTION("""COMPUTED_VALUE"""),43539.6666666666)</f>
        <v>43539.666666666599</v>
      </c>
      <c r="B1252" s="1">
        <f ca="1">IFERROR(__xludf.DUMMYFUNCTION("""COMPUTED_VALUE"""),59.22)</f>
        <v>59.22</v>
      </c>
    </row>
    <row r="1253" spans="1:2">
      <c r="A1253" s="3">
        <f ca="1">IFERROR(__xludf.DUMMYFUNCTION("""COMPUTED_VALUE"""),43542.6666666666)</f>
        <v>43542.666666666599</v>
      </c>
      <c r="B1253" s="1">
        <f ca="1">IFERROR(__xludf.DUMMYFUNCTION("""COMPUTED_VALUE"""),59.21)</f>
        <v>59.21</v>
      </c>
    </row>
    <row r="1254" spans="1:2">
      <c r="A1254" s="3">
        <f ca="1">IFERROR(__xludf.DUMMYFUNCTION("""COMPUTED_VALUE"""),43543.6666666666)</f>
        <v>43543.666666666599</v>
      </c>
      <c r="B1254" s="1">
        <f ca="1">IFERROR(__xludf.DUMMYFUNCTION("""COMPUTED_VALUE"""),59.94)</f>
        <v>59.94</v>
      </c>
    </row>
    <row r="1255" spans="1:2">
      <c r="A1255" s="3">
        <f ca="1">IFERROR(__xludf.DUMMYFUNCTION("""COMPUTED_VALUE"""),43544.6666666666)</f>
        <v>43544.666666666599</v>
      </c>
      <c r="B1255" s="1">
        <f ca="1">IFERROR(__xludf.DUMMYFUNCTION("""COMPUTED_VALUE"""),61.2)</f>
        <v>61.2</v>
      </c>
    </row>
    <row r="1256" spans="1:2">
      <c r="A1256" s="3">
        <f ca="1">IFERROR(__xludf.DUMMYFUNCTION("""COMPUTED_VALUE"""),43545.6666666666)</f>
        <v>43545.666666666599</v>
      </c>
      <c r="B1256" s="1">
        <f ca="1">IFERROR(__xludf.DUMMYFUNCTION("""COMPUTED_VALUE"""),61.58)</f>
        <v>61.58</v>
      </c>
    </row>
    <row r="1257" spans="1:2">
      <c r="A1257" s="3">
        <f ca="1">IFERROR(__xludf.DUMMYFUNCTION("""COMPUTED_VALUE"""),43546.6666666666)</f>
        <v>43546.666666666599</v>
      </c>
      <c r="B1257" s="1">
        <f ca="1">IFERROR(__xludf.DUMMYFUNCTION("""COMPUTED_VALUE"""),60.28)</f>
        <v>60.28</v>
      </c>
    </row>
    <row r="1258" spans="1:2">
      <c r="A1258" s="3">
        <f ca="1">IFERROR(__xludf.DUMMYFUNCTION("""COMPUTED_VALUE"""),43549.6666666666)</f>
        <v>43549.666666666599</v>
      </c>
      <c r="B1258" s="1">
        <f ca="1">IFERROR(__xludf.DUMMYFUNCTION("""COMPUTED_VALUE"""),59.65)</f>
        <v>59.65</v>
      </c>
    </row>
    <row r="1259" spans="1:2">
      <c r="A1259" s="3">
        <f ca="1">IFERROR(__xludf.DUMMYFUNCTION("""COMPUTED_VALUE"""),43550.6666666666)</f>
        <v>43550.666666666599</v>
      </c>
      <c r="B1259" s="1">
        <f ca="1">IFERROR(__xludf.DUMMYFUNCTION("""COMPUTED_VALUE"""),59.23)</f>
        <v>59.23</v>
      </c>
    </row>
    <row r="1260" spans="1:2">
      <c r="A1260" s="3">
        <f ca="1">IFERROR(__xludf.DUMMYFUNCTION("""COMPUTED_VALUE"""),43551.6666666666)</f>
        <v>43551.666666666599</v>
      </c>
      <c r="B1260" s="1">
        <f ca="1">IFERROR(__xludf.DUMMYFUNCTION("""COMPUTED_VALUE"""),58.65)</f>
        <v>58.65</v>
      </c>
    </row>
    <row r="1261" spans="1:2">
      <c r="A1261" s="3">
        <f ca="1">IFERROR(__xludf.DUMMYFUNCTION("""COMPUTED_VALUE"""),43552.6666666666)</f>
        <v>43552.666666666599</v>
      </c>
      <c r="B1261" s="1">
        <f ca="1">IFERROR(__xludf.DUMMYFUNCTION("""COMPUTED_VALUE"""),58.42)</f>
        <v>58.42</v>
      </c>
    </row>
    <row r="1262" spans="1:2">
      <c r="A1262" s="3">
        <f ca="1">IFERROR(__xludf.DUMMYFUNCTION("""COMPUTED_VALUE"""),43553.6666666666)</f>
        <v>43553.666666666599</v>
      </c>
      <c r="B1262" s="1">
        <f ca="1">IFERROR(__xludf.DUMMYFUNCTION("""COMPUTED_VALUE"""),58.67)</f>
        <v>58.67</v>
      </c>
    </row>
    <row r="1263" spans="1:2">
      <c r="A1263" s="3">
        <f ca="1">IFERROR(__xludf.DUMMYFUNCTION("""COMPUTED_VALUE"""),43556.6666666666)</f>
        <v>43556.666666666599</v>
      </c>
      <c r="B1263" s="1">
        <f ca="1">IFERROR(__xludf.DUMMYFUNCTION("""COMPUTED_VALUE"""),59.72)</f>
        <v>59.72</v>
      </c>
    </row>
    <row r="1264" spans="1:2">
      <c r="A1264" s="3">
        <f ca="1">IFERROR(__xludf.DUMMYFUNCTION("""COMPUTED_VALUE"""),43557.6666666666)</f>
        <v>43557.666666666599</v>
      </c>
      <c r="B1264" s="1">
        <f ca="1">IFERROR(__xludf.DUMMYFUNCTION("""COMPUTED_VALUE"""),60.02)</f>
        <v>60.02</v>
      </c>
    </row>
    <row r="1265" spans="1:2">
      <c r="A1265" s="3">
        <f ca="1">IFERROR(__xludf.DUMMYFUNCTION("""COMPUTED_VALUE"""),43558.6666666666)</f>
        <v>43558.666666666599</v>
      </c>
      <c r="B1265" s="1">
        <f ca="1">IFERROR(__xludf.DUMMYFUNCTION("""COMPUTED_VALUE"""),60.3)</f>
        <v>60.3</v>
      </c>
    </row>
    <row r="1266" spans="1:2">
      <c r="A1266" s="3">
        <f ca="1">IFERROR(__xludf.DUMMYFUNCTION("""COMPUTED_VALUE"""),43559.6666666666)</f>
        <v>43559.666666666599</v>
      </c>
      <c r="B1266" s="1">
        <f ca="1">IFERROR(__xludf.DUMMYFUNCTION("""COMPUTED_VALUE"""),60.75)</f>
        <v>60.75</v>
      </c>
    </row>
    <row r="1267" spans="1:2">
      <c r="A1267" s="3">
        <f ca="1">IFERROR(__xludf.DUMMYFUNCTION("""COMPUTED_VALUE"""),43560.6666666666)</f>
        <v>43560.666666666599</v>
      </c>
      <c r="B1267" s="1">
        <f ca="1">IFERROR(__xludf.DUMMYFUNCTION("""COMPUTED_VALUE"""),60.36)</f>
        <v>60.36</v>
      </c>
    </row>
    <row r="1268" spans="1:2">
      <c r="A1268" s="3">
        <f ca="1">IFERROR(__xludf.DUMMYFUNCTION("""COMPUTED_VALUE"""),43563.6666666666)</f>
        <v>43563.666666666599</v>
      </c>
      <c r="B1268" s="1">
        <f ca="1">IFERROR(__xludf.DUMMYFUNCTION("""COMPUTED_VALUE"""),60.19)</f>
        <v>60.19</v>
      </c>
    </row>
    <row r="1269" spans="1:2">
      <c r="A1269" s="3">
        <f ca="1">IFERROR(__xludf.DUMMYFUNCTION("""COMPUTED_VALUE"""),43564.6666666666)</f>
        <v>43564.666666666599</v>
      </c>
      <c r="B1269" s="1">
        <f ca="1">IFERROR(__xludf.DUMMYFUNCTION("""COMPUTED_VALUE"""),59.86)</f>
        <v>59.86</v>
      </c>
    </row>
    <row r="1270" spans="1:2">
      <c r="A1270" s="3">
        <f ca="1">IFERROR(__xludf.DUMMYFUNCTION("""COMPUTED_VALUE"""),43565.6666666666)</f>
        <v>43565.666666666599</v>
      </c>
      <c r="B1270" s="1">
        <f ca="1">IFERROR(__xludf.DUMMYFUNCTION("""COMPUTED_VALUE"""),60.11)</f>
        <v>60.11</v>
      </c>
    </row>
    <row r="1271" spans="1:2">
      <c r="A1271" s="3">
        <f ca="1">IFERROR(__xludf.DUMMYFUNCTION("""COMPUTED_VALUE"""),43566.6666666666)</f>
        <v>43566.666666666599</v>
      </c>
      <c r="B1271" s="1">
        <f ca="1">IFERROR(__xludf.DUMMYFUNCTION("""COMPUTED_VALUE"""),60.23)</f>
        <v>60.23</v>
      </c>
    </row>
    <row r="1272" spans="1:2">
      <c r="A1272" s="3">
        <f ca="1">IFERROR(__xludf.DUMMYFUNCTION("""COMPUTED_VALUE"""),43567.6666666666)</f>
        <v>43567.666666666599</v>
      </c>
      <c r="B1272" s="1">
        <f ca="1">IFERROR(__xludf.DUMMYFUNCTION("""COMPUTED_VALUE"""),60.89)</f>
        <v>60.89</v>
      </c>
    </row>
    <row r="1273" spans="1:2">
      <c r="A1273" s="3">
        <f ca="1">IFERROR(__xludf.DUMMYFUNCTION("""COMPUTED_VALUE"""),43570.6666666666)</f>
        <v>43570.666666666599</v>
      </c>
      <c r="B1273" s="1">
        <f ca="1">IFERROR(__xludf.DUMMYFUNCTION("""COMPUTED_VALUE"""),61.06)</f>
        <v>61.06</v>
      </c>
    </row>
    <row r="1274" spans="1:2">
      <c r="A1274" s="3">
        <f ca="1">IFERROR(__xludf.DUMMYFUNCTION("""COMPUTED_VALUE"""),43571.6666666666)</f>
        <v>43571.666666666599</v>
      </c>
      <c r="B1274" s="1">
        <f ca="1">IFERROR(__xludf.DUMMYFUNCTION("""COMPUTED_VALUE"""),61.36)</f>
        <v>61.36</v>
      </c>
    </row>
    <row r="1275" spans="1:2">
      <c r="A1275" s="3">
        <f ca="1">IFERROR(__xludf.DUMMYFUNCTION("""COMPUTED_VALUE"""),43572.6666666666)</f>
        <v>43572.666666666599</v>
      </c>
      <c r="B1275" s="1">
        <f ca="1">IFERROR(__xludf.DUMMYFUNCTION("""COMPUTED_VALUE"""),61.82)</f>
        <v>61.82</v>
      </c>
    </row>
    <row r="1276" spans="1:2">
      <c r="A1276" s="3">
        <f ca="1">IFERROR(__xludf.DUMMYFUNCTION("""COMPUTED_VALUE"""),43573.6666666666)</f>
        <v>43573.666666666599</v>
      </c>
      <c r="B1276" s="1">
        <f ca="1">IFERROR(__xludf.DUMMYFUNCTION("""COMPUTED_VALUE"""),61.82)</f>
        <v>61.82</v>
      </c>
    </row>
    <row r="1277" spans="1:2">
      <c r="A1277" s="3">
        <f ca="1">IFERROR(__xludf.DUMMYFUNCTION("""COMPUTED_VALUE"""),43577.6666666666)</f>
        <v>43577.666666666599</v>
      </c>
      <c r="B1277" s="1">
        <f ca="1">IFERROR(__xludf.DUMMYFUNCTION("""COMPUTED_VALUE"""),62.44)</f>
        <v>62.44</v>
      </c>
    </row>
    <row r="1278" spans="1:2">
      <c r="A1278" s="3">
        <f ca="1">IFERROR(__xludf.DUMMYFUNCTION("""COMPUTED_VALUE"""),43578.6666666666)</f>
        <v>43578.666666666599</v>
      </c>
      <c r="B1278" s="1">
        <f ca="1">IFERROR(__xludf.DUMMYFUNCTION("""COMPUTED_VALUE"""),63.23)</f>
        <v>63.23</v>
      </c>
    </row>
    <row r="1279" spans="1:2">
      <c r="A1279" s="3">
        <f ca="1">IFERROR(__xludf.DUMMYFUNCTION("""COMPUTED_VALUE"""),43579.6666666666)</f>
        <v>43579.666666666599</v>
      </c>
      <c r="B1279" s="1">
        <f ca="1">IFERROR(__xludf.DUMMYFUNCTION("""COMPUTED_VALUE"""),62.8)</f>
        <v>62.8</v>
      </c>
    </row>
    <row r="1280" spans="1:2">
      <c r="A1280" s="3">
        <f ca="1">IFERROR(__xludf.DUMMYFUNCTION("""COMPUTED_VALUE"""),43580.6666666666)</f>
        <v>43580.666666666599</v>
      </c>
      <c r="B1280" s="1">
        <f ca="1">IFERROR(__xludf.DUMMYFUNCTION("""COMPUTED_VALUE"""),63.17)</f>
        <v>63.17</v>
      </c>
    </row>
    <row r="1281" spans="1:2">
      <c r="A1281" s="3">
        <f ca="1">IFERROR(__xludf.DUMMYFUNCTION("""COMPUTED_VALUE"""),43581.6666666666)</f>
        <v>43581.666666666599</v>
      </c>
      <c r="B1281" s="1">
        <f ca="1">IFERROR(__xludf.DUMMYFUNCTION("""COMPUTED_VALUE"""),63.61)</f>
        <v>63.61</v>
      </c>
    </row>
    <row r="1282" spans="1:2">
      <c r="A1282" s="3">
        <f ca="1">IFERROR(__xludf.DUMMYFUNCTION("""COMPUTED_VALUE"""),43584.6666666666)</f>
        <v>43584.666666666599</v>
      </c>
      <c r="B1282" s="1">
        <f ca="1">IFERROR(__xludf.DUMMYFUNCTION("""COMPUTED_VALUE"""),64.38)</f>
        <v>64.38</v>
      </c>
    </row>
    <row r="1283" spans="1:2">
      <c r="A1283" s="3">
        <f ca="1">IFERROR(__xludf.DUMMYFUNCTION("""COMPUTED_VALUE"""),43585.6666666666)</f>
        <v>43585.666666666599</v>
      </c>
      <c r="B1283" s="1">
        <f ca="1">IFERROR(__xludf.DUMMYFUNCTION("""COMPUTED_VALUE"""),59.42)</f>
        <v>59.42</v>
      </c>
    </row>
    <row r="1284" spans="1:2">
      <c r="A1284" s="3">
        <f ca="1">IFERROR(__xludf.DUMMYFUNCTION("""COMPUTED_VALUE"""),43586.6666666666)</f>
        <v>43586.666666666599</v>
      </c>
      <c r="B1284" s="1">
        <f ca="1">IFERROR(__xludf.DUMMYFUNCTION("""COMPUTED_VALUE"""),58.4)</f>
        <v>58.4</v>
      </c>
    </row>
    <row r="1285" spans="1:2">
      <c r="A1285" s="3">
        <f ca="1">IFERROR(__xludf.DUMMYFUNCTION("""COMPUTED_VALUE"""),43587.6666666666)</f>
        <v>43587.666666666599</v>
      </c>
      <c r="B1285" s="1">
        <f ca="1">IFERROR(__xludf.DUMMYFUNCTION("""COMPUTED_VALUE"""),58.13)</f>
        <v>58.13</v>
      </c>
    </row>
    <row r="1286" spans="1:2">
      <c r="A1286" s="3">
        <f ca="1">IFERROR(__xludf.DUMMYFUNCTION("""COMPUTED_VALUE"""),43588.6666666666)</f>
        <v>43588.666666666599</v>
      </c>
      <c r="B1286" s="1">
        <f ca="1">IFERROR(__xludf.DUMMYFUNCTION("""COMPUTED_VALUE"""),59.27)</f>
        <v>59.27</v>
      </c>
    </row>
    <row r="1287" spans="1:2">
      <c r="A1287" s="3">
        <f ca="1">IFERROR(__xludf.DUMMYFUNCTION("""COMPUTED_VALUE"""),43591.6666666666)</f>
        <v>43591.666666666599</v>
      </c>
      <c r="B1287" s="1">
        <f ca="1">IFERROR(__xludf.DUMMYFUNCTION("""COMPUTED_VALUE"""),59.47)</f>
        <v>59.47</v>
      </c>
    </row>
    <row r="1288" spans="1:2">
      <c r="A1288" s="3">
        <f ca="1">IFERROR(__xludf.DUMMYFUNCTION("""COMPUTED_VALUE"""),43592.6666666666)</f>
        <v>43592.666666666599</v>
      </c>
      <c r="B1288" s="1">
        <f ca="1">IFERROR(__xludf.DUMMYFUNCTION("""COMPUTED_VALUE"""),58.71)</f>
        <v>58.71</v>
      </c>
    </row>
    <row r="1289" spans="1:2">
      <c r="A1289" s="3">
        <f ca="1">IFERROR(__xludf.DUMMYFUNCTION("""COMPUTED_VALUE"""),43593.6666666666)</f>
        <v>43593.666666666599</v>
      </c>
      <c r="B1289" s="1">
        <f ca="1">IFERROR(__xludf.DUMMYFUNCTION("""COMPUTED_VALUE"""),58.31)</f>
        <v>58.31</v>
      </c>
    </row>
    <row r="1290" spans="1:2">
      <c r="A1290" s="3">
        <f ca="1">IFERROR(__xludf.DUMMYFUNCTION("""COMPUTED_VALUE"""),43594.6666666666)</f>
        <v>43594.666666666599</v>
      </c>
      <c r="B1290" s="1">
        <f ca="1">IFERROR(__xludf.DUMMYFUNCTION("""COMPUTED_VALUE"""),58.12)</f>
        <v>58.12</v>
      </c>
    </row>
    <row r="1291" spans="1:2">
      <c r="A1291" s="3">
        <f ca="1">IFERROR(__xludf.DUMMYFUNCTION("""COMPUTED_VALUE"""),43595.6666666666)</f>
        <v>43595.666666666599</v>
      </c>
      <c r="B1291" s="1">
        <f ca="1">IFERROR(__xludf.DUMMYFUNCTION("""COMPUTED_VALUE"""),58.21)</f>
        <v>58.21</v>
      </c>
    </row>
    <row r="1292" spans="1:2">
      <c r="A1292" s="3">
        <f ca="1">IFERROR(__xludf.DUMMYFUNCTION("""COMPUTED_VALUE"""),43598.6666666666)</f>
        <v>43598.666666666599</v>
      </c>
      <c r="B1292" s="1">
        <f ca="1">IFERROR(__xludf.DUMMYFUNCTION("""COMPUTED_VALUE"""),56.6)</f>
        <v>56.6</v>
      </c>
    </row>
    <row r="1293" spans="1:2">
      <c r="A1293" s="3">
        <f ca="1">IFERROR(__xludf.DUMMYFUNCTION("""COMPUTED_VALUE"""),43599.6666666666)</f>
        <v>43599.666666666599</v>
      </c>
      <c r="B1293" s="1">
        <f ca="1">IFERROR(__xludf.DUMMYFUNCTION("""COMPUTED_VALUE"""),56.02)</f>
        <v>56.02</v>
      </c>
    </row>
    <row r="1294" spans="1:2">
      <c r="A1294" s="3">
        <f ca="1">IFERROR(__xludf.DUMMYFUNCTION("""COMPUTED_VALUE"""),43600.6666666666)</f>
        <v>43600.666666666599</v>
      </c>
      <c r="B1294" s="1">
        <f ca="1">IFERROR(__xludf.DUMMYFUNCTION("""COMPUTED_VALUE"""),58.21)</f>
        <v>58.21</v>
      </c>
    </row>
    <row r="1295" spans="1:2">
      <c r="A1295" s="3">
        <f ca="1">IFERROR(__xludf.DUMMYFUNCTION("""COMPUTED_VALUE"""),43601.6666666666)</f>
        <v>43601.666666666599</v>
      </c>
      <c r="B1295" s="1">
        <f ca="1">IFERROR(__xludf.DUMMYFUNCTION("""COMPUTED_VALUE"""),58.95)</f>
        <v>58.95</v>
      </c>
    </row>
    <row r="1296" spans="1:2">
      <c r="A1296" s="3">
        <f ca="1">IFERROR(__xludf.DUMMYFUNCTION("""COMPUTED_VALUE"""),43602.6666666666)</f>
        <v>43602.666666666599</v>
      </c>
      <c r="B1296" s="1">
        <f ca="1">IFERROR(__xludf.DUMMYFUNCTION("""COMPUTED_VALUE"""),58.12)</f>
        <v>58.12</v>
      </c>
    </row>
    <row r="1297" spans="1:2">
      <c r="A1297" s="3">
        <f ca="1">IFERROR(__xludf.DUMMYFUNCTION("""COMPUTED_VALUE"""),43605.6666666666)</f>
        <v>43605.666666666599</v>
      </c>
      <c r="B1297" s="1">
        <f ca="1">IFERROR(__xludf.DUMMYFUNCTION("""COMPUTED_VALUE"""),56.94)</f>
        <v>56.94</v>
      </c>
    </row>
    <row r="1298" spans="1:2">
      <c r="A1298" s="3">
        <f ca="1">IFERROR(__xludf.DUMMYFUNCTION("""COMPUTED_VALUE"""),43606.6666666666)</f>
        <v>43606.666666666599</v>
      </c>
      <c r="B1298" s="1">
        <f ca="1">IFERROR(__xludf.DUMMYFUNCTION("""COMPUTED_VALUE"""),57.48)</f>
        <v>57.48</v>
      </c>
    </row>
    <row r="1299" spans="1:2">
      <c r="A1299" s="3">
        <f ca="1">IFERROR(__xludf.DUMMYFUNCTION("""COMPUTED_VALUE"""),43607.6666666666)</f>
        <v>43607.666666666599</v>
      </c>
      <c r="B1299" s="1">
        <f ca="1">IFERROR(__xludf.DUMMYFUNCTION("""COMPUTED_VALUE"""),57.57)</f>
        <v>57.57</v>
      </c>
    </row>
    <row r="1300" spans="1:2">
      <c r="A1300" s="3">
        <f ca="1">IFERROR(__xludf.DUMMYFUNCTION("""COMPUTED_VALUE"""),43608.6666666666)</f>
        <v>43608.666666666599</v>
      </c>
      <c r="B1300" s="1">
        <f ca="1">IFERROR(__xludf.DUMMYFUNCTION("""COMPUTED_VALUE"""),57.04)</f>
        <v>57.04</v>
      </c>
    </row>
    <row r="1301" spans="1:2">
      <c r="A1301" s="3">
        <f ca="1">IFERROR(__xludf.DUMMYFUNCTION("""COMPUTED_VALUE"""),43609.6666666666)</f>
        <v>43609.666666666599</v>
      </c>
      <c r="B1301" s="1">
        <f ca="1">IFERROR(__xludf.DUMMYFUNCTION("""COMPUTED_VALUE"""),56.67)</f>
        <v>56.67</v>
      </c>
    </row>
    <row r="1302" spans="1:2">
      <c r="A1302" s="3">
        <f ca="1">IFERROR(__xludf.DUMMYFUNCTION("""COMPUTED_VALUE"""),43613.6666666666)</f>
        <v>43613.666666666599</v>
      </c>
      <c r="B1302" s="1">
        <f ca="1">IFERROR(__xludf.DUMMYFUNCTION("""COMPUTED_VALUE"""),56.71)</f>
        <v>56.71</v>
      </c>
    </row>
    <row r="1303" spans="1:2">
      <c r="A1303" s="3">
        <f ca="1">IFERROR(__xludf.DUMMYFUNCTION("""COMPUTED_VALUE"""),43614.6666666666)</f>
        <v>43614.666666666599</v>
      </c>
      <c r="B1303" s="1">
        <f ca="1">IFERROR(__xludf.DUMMYFUNCTION("""COMPUTED_VALUE"""),55.82)</f>
        <v>55.82</v>
      </c>
    </row>
    <row r="1304" spans="1:2">
      <c r="A1304" s="3">
        <f ca="1">IFERROR(__xludf.DUMMYFUNCTION("""COMPUTED_VALUE"""),43615.6666666666)</f>
        <v>43615.666666666599</v>
      </c>
      <c r="B1304" s="1">
        <f ca="1">IFERROR(__xludf.DUMMYFUNCTION("""COMPUTED_VALUE"""),55.9)</f>
        <v>55.9</v>
      </c>
    </row>
    <row r="1305" spans="1:2">
      <c r="A1305" s="3">
        <f ca="1">IFERROR(__xludf.DUMMYFUNCTION("""COMPUTED_VALUE"""),43616.6666666666)</f>
        <v>43616.666666666599</v>
      </c>
      <c r="B1305" s="1">
        <f ca="1">IFERROR(__xludf.DUMMYFUNCTION("""COMPUTED_VALUE"""),55.18)</f>
        <v>55.18</v>
      </c>
    </row>
    <row r="1306" spans="1:2">
      <c r="A1306" s="3">
        <f ca="1">IFERROR(__xludf.DUMMYFUNCTION("""COMPUTED_VALUE"""),43619.6666666666)</f>
        <v>43619.666666666599</v>
      </c>
      <c r="B1306" s="1">
        <f ca="1">IFERROR(__xludf.DUMMYFUNCTION("""COMPUTED_VALUE"""),51.81)</f>
        <v>51.81</v>
      </c>
    </row>
    <row r="1307" spans="1:2">
      <c r="A1307" s="3">
        <f ca="1">IFERROR(__xludf.DUMMYFUNCTION("""COMPUTED_VALUE"""),43620.6666666666)</f>
        <v>43620.666666666599</v>
      </c>
      <c r="B1307" s="1">
        <f ca="1">IFERROR(__xludf.DUMMYFUNCTION("""COMPUTED_VALUE"""),52.65)</f>
        <v>52.65</v>
      </c>
    </row>
    <row r="1308" spans="1:2">
      <c r="A1308" s="3">
        <f ca="1">IFERROR(__xludf.DUMMYFUNCTION("""COMPUTED_VALUE"""),43621.6666666666)</f>
        <v>43621.666666666599</v>
      </c>
      <c r="B1308" s="1">
        <f ca="1">IFERROR(__xludf.DUMMYFUNCTION("""COMPUTED_VALUE"""),52.11)</f>
        <v>52.11</v>
      </c>
    </row>
    <row r="1309" spans="1:2">
      <c r="A1309" s="3">
        <f ca="1">IFERROR(__xludf.DUMMYFUNCTION("""COMPUTED_VALUE"""),43622.6666666666)</f>
        <v>43622.666666666599</v>
      </c>
      <c r="B1309" s="1">
        <f ca="1">IFERROR(__xludf.DUMMYFUNCTION("""COMPUTED_VALUE"""),52.22)</f>
        <v>52.22</v>
      </c>
    </row>
    <row r="1310" spans="1:2">
      <c r="A1310" s="3">
        <f ca="1">IFERROR(__xludf.DUMMYFUNCTION("""COMPUTED_VALUE"""),43623.6666666666)</f>
        <v>43623.666666666599</v>
      </c>
      <c r="B1310" s="1">
        <f ca="1">IFERROR(__xludf.DUMMYFUNCTION("""COMPUTED_VALUE"""),53.3)</f>
        <v>53.3</v>
      </c>
    </row>
    <row r="1311" spans="1:2">
      <c r="A1311" s="3">
        <f ca="1">IFERROR(__xludf.DUMMYFUNCTION("""COMPUTED_VALUE"""),43626.6666666666)</f>
        <v>43626.666666666599</v>
      </c>
      <c r="B1311" s="1">
        <f ca="1">IFERROR(__xludf.DUMMYFUNCTION("""COMPUTED_VALUE"""),54.02)</f>
        <v>54.02</v>
      </c>
    </row>
    <row r="1312" spans="1:2">
      <c r="A1312" s="3">
        <f ca="1">IFERROR(__xludf.DUMMYFUNCTION("""COMPUTED_VALUE"""),43627.6666666666)</f>
        <v>43627.666666666599</v>
      </c>
      <c r="B1312" s="1">
        <f ca="1">IFERROR(__xludf.DUMMYFUNCTION("""COMPUTED_VALUE"""),53.94)</f>
        <v>53.94</v>
      </c>
    </row>
    <row r="1313" spans="1:2">
      <c r="A1313" s="3">
        <f ca="1">IFERROR(__xludf.DUMMYFUNCTION("""COMPUTED_VALUE"""),43628.6666666666)</f>
        <v>43628.666666666599</v>
      </c>
      <c r="B1313" s="1">
        <f ca="1">IFERROR(__xludf.DUMMYFUNCTION("""COMPUTED_VALUE"""),53.85)</f>
        <v>53.85</v>
      </c>
    </row>
    <row r="1314" spans="1:2">
      <c r="A1314" s="3">
        <f ca="1">IFERROR(__xludf.DUMMYFUNCTION("""COMPUTED_VALUE"""),43629.6666666666)</f>
        <v>43629.666666666599</v>
      </c>
      <c r="B1314" s="1">
        <f ca="1">IFERROR(__xludf.DUMMYFUNCTION("""COMPUTED_VALUE"""),54.44)</f>
        <v>54.44</v>
      </c>
    </row>
    <row r="1315" spans="1:2">
      <c r="A1315" s="3">
        <f ca="1">IFERROR(__xludf.DUMMYFUNCTION("""COMPUTED_VALUE"""),43630.6666666666)</f>
        <v>43630.666666666599</v>
      </c>
      <c r="B1315" s="1">
        <f ca="1">IFERROR(__xludf.DUMMYFUNCTION("""COMPUTED_VALUE"""),54.27)</f>
        <v>54.27</v>
      </c>
    </row>
    <row r="1316" spans="1:2">
      <c r="A1316" s="3">
        <f ca="1">IFERROR(__xludf.DUMMYFUNCTION("""COMPUTED_VALUE"""),43633.6666666666)</f>
        <v>43633.666666666599</v>
      </c>
      <c r="B1316" s="1">
        <f ca="1">IFERROR(__xludf.DUMMYFUNCTION("""COMPUTED_VALUE"""),54.63)</f>
        <v>54.63</v>
      </c>
    </row>
    <row r="1317" spans="1:2">
      <c r="A1317" s="3">
        <f ca="1">IFERROR(__xludf.DUMMYFUNCTION("""COMPUTED_VALUE"""),43634.6666666666)</f>
        <v>43634.666666666599</v>
      </c>
      <c r="B1317" s="1">
        <f ca="1">IFERROR(__xludf.DUMMYFUNCTION("""COMPUTED_VALUE"""),55.18)</f>
        <v>55.18</v>
      </c>
    </row>
    <row r="1318" spans="1:2">
      <c r="A1318" s="3">
        <f ca="1">IFERROR(__xludf.DUMMYFUNCTION("""COMPUTED_VALUE"""),43635.6666666666)</f>
        <v>43635.666666666599</v>
      </c>
      <c r="B1318" s="1">
        <f ca="1">IFERROR(__xludf.DUMMYFUNCTION("""COMPUTED_VALUE"""),55.12)</f>
        <v>55.12</v>
      </c>
    </row>
    <row r="1319" spans="1:2">
      <c r="A1319" s="3">
        <f ca="1">IFERROR(__xludf.DUMMYFUNCTION("""COMPUTED_VALUE"""),43636.6666666666)</f>
        <v>43636.666666666599</v>
      </c>
      <c r="B1319" s="1">
        <f ca="1">IFERROR(__xludf.DUMMYFUNCTION("""COMPUTED_VALUE"""),55.57)</f>
        <v>55.57</v>
      </c>
    </row>
    <row r="1320" spans="1:2">
      <c r="A1320" s="3">
        <f ca="1">IFERROR(__xludf.DUMMYFUNCTION("""COMPUTED_VALUE"""),43637.6666666666)</f>
        <v>43637.666666666599</v>
      </c>
      <c r="B1320" s="1">
        <f ca="1">IFERROR(__xludf.DUMMYFUNCTION("""COMPUTED_VALUE"""),56.09)</f>
        <v>56.09</v>
      </c>
    </row>
    <row r="1321" spans="1:2">
      <c r="A1321" s="3">
        <f ca="1">IFERROR(__xludf.DUMMYFUNCTION("""COMPUTED_VALUE"""),43640.6666666666)</f>
        <v>43640.666666666599</v>
      </c>
      <c r="B1321" s="1">
        <f ca="1">IFERROR(__xludf.DUMMYFUNCTION("""COMPUTED_VALUE"""),55.78)</f>
        <v>55.78</v>
      </c>
    </row>
    <row r="1322" spans="1:2">
      <c r="A1322" s="3">
        <f ca="1">IFERROR(__xludf.DUMMYFUNCTION("""COMPUTED_VALUE"""),43641.6666666666)</f>
        <v>43641.666666666599</v>
      </c>
      <c r="B1322" s="1">
        <f ca="1">IFERROR(__xludf.DUMMYFUNCTION("""COMPUTED_VALUE"""),54.32)</f>
        <v>54.32</v>
      </c>
    </row>
    <row r="1323" spans="1:2">
      <c r="A1323" s="3">
        <f ca="1">IFERROR(__xludf.DUMMYFUNCTION("""COMPUTED_VALUE"""),43642.6666666666)</f>
        <v>43642.666666666599</v>
      </c>
      <c r="B1323" s="1">
        <f ca="1">IFERROR(__xludf.DUMMYFUNCTION("""COMPUTED_VALUE"""),53.99)</f>
        <v>53.99</v>
      </c>
    </row>
    <row r="1324" spans="1:2">
      <c r="A1324" s="3">
        <f ca="1">IFERROR(__xludf.DUMMYFUNCTION("""COMPUTED_VALUE"""),43643.6666666666)</f>
        <v>43643.666666666599</v>
      </c>
      <c r="B1324" s="1">
        <f ca="1">IFERROR(__xludf.DUMMYFUNCTION("""COMPUTED_VALUE"""),53.8)</f>
        <v>53.8</v>
      </c>
    </row>
    <row r="1325" spans="1:2">
      <c r="A1325" s="3">
        <f ca="1">IFERROR(__xludf.DUMMYFUNCTION("""COMPUTED_VALUE"""),43644.6666666666)</f>
        <v>43644.666666666599</v>
      </c>
      <c r="B1325" s="1">
        <f ca="1">IFERROR(__xludf.DUMMYFUNCTION("""COMPUTED_VALUE"""),54.05)</f>
        <v>54.05</v>
      </c>
    </row>
    <row r="1326" spans="1:2">
      <c r="A1326" s="3">
        <f ca="1">IFERROR(__xludf.DUMMYFUNCTION("""COMPUTED_VALUE"""),43647.6666666666)</f>
        <v>43647.666666666599</v>
      </c>
      <c r="B1326" s="1">
        <f ca="1">IFERROR(__xludf.DUMMYFUNCTION("""COMPUTED_VALUE"""),54.9)</f>
        <v>54.9</v>
      </c>
    </row>
    <row r="1327" spans="1:2">
      <c r="A1327" s="3">
        <f ca="1">IFERROR(__xludf.DUMMYFUNCTION("""COMPUTED_VALUE"""),43648.6666666666)</f>
        <v>43648.666666666599</v>
      </c>
      <c r="B1327" s="1">
        <f ca="1">IFERROR(__xludf.DUMMYFUNCTION("""COMPUTED_VALUE"""),55.56)</f>
        <v>55.56</v>
      </c>
    </row>
    <row r="1328" spans="1:2">
      <c r="A1328" s="3">
        <f ca="1">IFERROR(__xludf.DUMMYFUNCTION("""COMPUTED_VALUE"""),43649.5416666666)</f>
        <v>43649.541666666599</v>
      </c>
      <c r="B1328" s="1">
        <f ca="1">IFERROR(__xludf.DUMMYFUNCTION("""COMPUTED_VALUE"""),56.08)</f>
        <v>56.08</v>
      </c>
    </row>
    <row r="1329" spans="1:2">
      <c r="A1329" s="3">
        <f ca="1">IFERROR(__xludf.DUMMYFUNCTION("""COMPUTED_VALUE"""),43651.6666666666)</f>
        <v>43651.666666666599</v>
      </c>
      <c r="B1329" s="1">
        <f ca="1">IFERROR(__xludf.DUMMYFUNCTION("""COMPUTED_VALUE"""),56.58)</f>
        <v>56.58</v>
      </c>
    </row>
    <row r="1330" spans="1:2">
      <c r="A1330" s="3">
        <f ca="1">IFERROR(__xludf.DUMMYFUNCTION("""COMPUTED_VALUE"""),43654.6666666666)</f>
        <v>43654.666666666599</v>
      </c>
      <c r="B1330" s="1">
        <f ca="1">IFERROR(__xludf.DUMMYFUNCTION("""COMPUTED_VALUE"""),55.82)</f>
        <v>55.82</v>
      </c>
    </row>
    <row r="1331" spans="1:2">
      <c r="A1331" s="3">
        <f ca="1">IFERROR(__xludf.DUMMYFUNCTION("""COMPUTED_VALUE"""),43655.6666666666)</f>
        <v>43655.666666666599</v>
      </c>
      <c r="B1331" s="1">
        <f ca="1">IFERROR(__xludf.DUMMYFUNCTION("""COMPUTED_VALUE"""),56.24)</f>
        <v>56.24</v>
      </c>
    </row>
    <row r="1332" spans="1:2">
      <c r="A1332" s="3">
        <f ca="1">IFERROR(__xludf.DUMMYFUNCTION("""COMPUTED_VALUE"""),43656.6666666666)</f>
        <v>43656.666666666599</v>
      </c>
      <c r="B1332" s="1">
        <f ca="1">IFERROR(__xludf.DUMMYFUNCTION("""COMPUTED_VALUE"""),57.02)</f>
        <v>57.02</v>
      </c>
    </row>
    <row r="1333" spans="1:2">
      <c r="A1333" s="3">
        <f ca="1">IFERROR(__xludf.DUMMYFUNCTION("""COMPUTED_VALUE"""),43657.6666666666)</f>
        <v>43657.666666666599</v>
      </c>
      <c r="B1333" s="1">
        <f ca="1">IFERROR(__xludf.DUMMYFUNCTION("""COMPUTED_VALUE"""),57.21)</f>
        <v>57.21</v>
      </c>
    </row>
    <row r="1334" spans="1:2">
      <c r="A1334" s="3">
        <f ca="1">IFERROR(__xludf.DUMMYFUNCTION("""COMPUTED_VALUE"""),43658.6666666666)</f>
        <v>43658.666666666599</v>
      </c>
      <c r="B1334" s="1">
        <f ca="1">IFERROR(__xludf.DUMMYFUNCTION("""COMPUTED_VALUE"""),57.25)</f>
        <v>57.25</v>
      </c>
    </row>
    <row r="1335" spans="1:2">
      <c r="A1335" s="3">
        <f ca="1">IFERROR(__xludf.DUMMYFUNCTION("""COMPUTED_VALUE"""),43661.6666666666)</f>
        <v>43661.666666666599</v>
      </c>
      <c r="B1335" s="1">
        <f ca="1">IFERROR(__xludf.DUMMYFUNCTION("""COMPUTED_VALUE"""),57.52)</f>
        <v>57.52</v>
      </c>
    </row>
    <row r="1336" spans="1:2">
      <c r="A1336" s="3">
        <f ca="1">IFERROR(__xludf.DUMMYFUNCTION("""COMPUTED_VALUE"""),43662.6666666666)</f>
        <v>43662.666666666599</v>
      </c>
      <c r="B1336" s="1">
        <f ca="1">IFERROR(__xludf.DUMMYFUNCTION("""COMPUTED_VALUE"""),57.68)</f>
        <v>57.68</v>
      </c>
    </row>
    <row r="1337" spans="1:2">
      <c r="A1337" s="3">
        <f ca="1">IFERROR(__xludf.DUMMYFUNCTION("""COMPUTED_VALUE"""),43663.6666666666)</f>
        <v>43663.666666666599</v>
      </c>
      <c r="B1337" s="1">
        <f ca="1">IFERROR(__xludf.DUMMYFUNCTION("""COMPUTED_VALUE"""),57.32)</f>
        <v>57.32</v>
      </c>
    </row>
    <row r="1338" spans="1:2">
      <c r="A1338" s="3">
        <f ca="1">IFERROR(__xludf.DUMMYFUNCTION("""COMPUTED_VALUE"""),43664.6666666666)</f>
        <v>43664.666666666599</v>
      </c>
      <c r="B1338" s="1">
        <f ca="1">IFERROR(__xludf.DUMMYFUNCTION("""COMPUTED_VALUE"""),57.32)</f>
        <v>57.32</v>
      </c>
    </row>
    <row r="1339" spans="1:2">
      <c r="A1339" s="3">
        <f ca="1">IFERROR(__xludf.DUMMYFUNCTION("""COMPUTED_VALUE"""),43665.6666666666)</f>
        <v>43665.666666666599</v>
      </c>
      <c r="B1339" s="1">
        <f ca="1">IFERROR(__xludf.DUMMYFUNCTION("""COMPUTED_VALUE"""),56.51)</f>
        <v>56.51</v>
      </c>
    </row>
    <row r="1340" spans="1:2">
      <c r="A1340" s="3">
        <f ca="1">IFERROR(__xludf.DUMMYFUNCTION("""COMPUTED_VALUE"""),43668.6666666666)</f>
        <v>43668.666666666599</v>
      </c>
      <c r="B1340" s="1">
        <f ca="1">IFERROR(__xludf.DUMMYFUNCTION("""COMPUTED_VALUE"""),56.9)</f>
        <v>56.9</v>
      </c>
    </row>
    <row r="1341" spans="1:2">
      <c r="A1341" s="3">
        <f ca="1">IFERROR(__xludf.DUMMYFUNCTION("""COMPUTED_VALUE"""),43669.6666666666)</f>
        <v>43669.666666666599</v>
      </c>
      <c r="B1341" s="1">
        <f ca="1">IFERROR(__xludf.DUMMYFUNCTION("""COMPUTED_VALUE"""),57.31)</f>
        <v>57.31</v>
      </c>
    </row>
    <row r="1342" spans="1:2">
      <c r="A1342" s="3">
        <f ca="1">IFERROR(__xludf.DUMMYFUNCTION("""COMPUTED_VALUE"""),43670.6666666666)</f>
        <v>43670.666666666599</v>
      </c>
      <c r="B1342" s="1">
        <f ca="1">IFERROR(__xludf.DUMMYFUNCTION("""COMPUTED_VALUE"""),56.89)</f>
        <v>56.89</v>
      </c>
    </row>
    <row r="1343" spans="1:2">
      <c r="A1343" s="3">
        <f ca="1">IFERROR(__xludf.DUMMYFUNCTION("""COMPUTED_VALUE"""),43671.6666666666)</f>
        <v>43671.666666666599</v>
      </c>
      <c r="B1343" s="1">
        <f ca="1">IFERROR(__xludf.DUMMYFUNCTION("""COMPUTED_VALUE"""),56.61)</f>
        <v>56.61</v>
      </c>
    </row>
    <row r="1344" spans="1:2">
      <c r="A1344" s="3">
        <f ca="1">IFERROR(__xludf.DUMMYFUNCTION("""COMPUTED_VALUE"""),43672.6666666666)</f>
        <v>43672.666666666599</v>
      </c>
      <c r="B1344" s="1">
        <f ca="1">IFERROR(__xludf.DUMMYFUNCTION("""COMPUTED_VALUE"""),62.52)</f>
        <v>62.52</v>
      </c>
    </row>
    <row r="1345" spans="1:2">
      <c r="A1345" s="3">
        <f ca="1">IFERROR(__xludf.DUMMYFUNCTION("""COMPUTED_VALUE"""),43675.6666666666)</f>
        <v>43675.666666666599</v>
      </c>
      <c r="B1345" s="1">
        <f ca="1">IFERROR(__xludf.DUMMYFUNCTION("""COMPUTED_VALUE"""),61.97)</f>
        <v>61.97</v>
      </c>
    </row>
    <row r="1346" spans="1:2">
      <c r="A1346" s="3">
        <f ca="1">IFERROR(__xludf.DUMMYFUNCTION("""COMPUTED_VALUE"""),43676.6666666666)</f>
        <v>43676.666666666599</v>
      </c>
      <c r="B1346" s="1">
        <f ca="1">IFERROR(__xludf.DUMMYFUNCTION("""COMPUTED_VALUE"""),61.26)</f>
        <v>61.26</v>
      </c>
    </row>
    <row r="1347" spans="1:2">
      <c r="A1347" s="3">
        <f ca="1">IFERROR(__xludf.DUMMYFUNCTION("""COMPUTED_VALUE"""),43677.6666666666)</f>
        <v>43677.666666666599</v>
      </c>
      <c r="B1347" s="1">
        <f ca="1">IFERROR(__xludf.DUMMYFUNCTION("""COMPUTED_VALUE"""),60.83)</f>
        <v>60.83</v>
      </c>
    </row>
    <row r="1348" spans="1:2">
      <c r="A1348" s="3">
        <f ca="1">IFERROR(__xludf.DUMMYFUNCTION("""COMPUTED_VALUE"""),43678.6666666666)</f>
        <v>43678.666666666599</v>
      </c>
      <c r="B1348" s="1">
        <f ca="1">IFERROR(__xludf.DUMMYFUNCTION("""COMPUTED_VALUE"""),60.45)</f>
        <v>60.45</v>
      </c>
    </row>
    <row r="1349" spans="1:2">
      <c r="A1349" s="3">
        <f ca="1">IFERROR(__xludf.DUMMYFUNCTION("""COMPUTED_VALUE"""),43679.6666666666)</f>
        <v>43679.666666666599</v>
      </c>
      <c r="B1349" s="1">
        <f ca="1">IFERROR(__xludf.DUMMYFUNCTION("""COMPUTED_VALUE"""),59.7)</f>
        <v>59.7</v>
      </c>
    </row>
    <row r="1350" spans="1:2">
      <c r="A1350" s="3">
        <f ca="1">IFERROR(__xludf.DUMMYFUNCTION("""COMPUTED_VALUE"""),43682.6666666666)</f>
        <v>43682.666666666599</v>
      </c>
      <c r="B1350" s="1">
        <f ca="1">IFERROR(__xludf.DUMMYFUNCTION("""COMPUTED_VALUE"""),57.62)</f>
        <v>57.62</v>
      </c>
    </row>
    <row r="1351" spans="1:2">
      <c r="A1351" s="3">
        <f ca="1">IFERROR(__xludf.DUMMYFUNCTION("""COMPUTED_VALUE"""),43683.6666666666)</f>
        <v>43683.666666666599</v>
      </c>
      <c r="B1351" s="1">
        <f ca="1">IFERROR(__xludf.DUMMYFUNCTION("""COMPUTED_VALUE"""),58.5)</f>
        <v>58.5</v>
      </c>
    </row>
    <row r="1352" spans="1:2">
      <c r="A1352" s="3">
        <f ca="1">IFERROR(__xludf.DUMMYFUNCTION("""COMPUTED_VALUE"""),43684.6666666666)</f>
        <v>43684.666666666599</v>
      </c>
      <c r="B1352" s="1">
        <f ca="1">IFERROR(__xludf.DUMMYFUNCTION("""COMPUTED_VALUE"""),58.7)</f>
        <v>58.7</v>
      </c>
    </row>
    <row r="1353" spans="1:2">
      <c r="A1353" s="3">
        <f ca="1">IFERROR(__xludf.DUMMYFUNCTION("""COMPUTED_VALUE"""),43685.6666666666)</f>
        <v>43685.666666666599</v>
      </c>
      <c r="B1353" s="1">
        <f ca="1">IFERROR(__xludf.DUMMYFUNCTION("""COMPUTED_VALUE"""),60.24)</f>
        <v>60.24</v>
      </c>
    </row>
    <row r="1354" spans="1:2">
      <c r="A1354" s="3">
        <f ca="1">IFERROR(__xludf.DUMMYFUNCTION("""COMPUTED_VALUE"""),43686.6666666666)</f>
        <v>43686.666666666599</v>
      </c>
      <c r="B1354" s="1">
        <f ca="1">IFERROR(__xludf.DUMMYFUNCTION("""COMPUTED_VALUE"""),59.4)</f>
        <v>59.4</v>
      </c>
    </row>
    <row r="1355" spans="1:2">
      <c r="A1355" s="3">
        <f ca="1">IFERROR(__xludf.DUMMYFUNCTION("""COMPUTED_VALUE"""),43689.6666666666)</f>
        <v>43689.666666666599</v>
      </c>
      <c r="B1355" s="1">
        <f ca="1">IFERROR(__xludf.DUMMYFUNCTION("""COMPUTED_VALUE"""),58.74)</f>
        <v>58.74</v>
      </c>
    </row>
    <row r="1356" spans="1:2">
      <c r="A1356" s="3">
        <f ca="1">IFERROR(__xludf.DUMMYFUNCTION("""COMPUTED_VALUE"""),43690.6666666666)</f>
        <v>43690.666666666599</v>
      </c>
      <c r="B1356" s="1">
        <f ca="1">IFERROR(__xludf.DUMMYFUNCTION("""COMPUTED_VALUE"""),59.86)</f>
        <v>59.86</v>
      </c>
    </row>
    <row r="1357" spans="1:2">
      <c r="A1357" s="3">
        <f ca="1">IFERROR(__xludf.DUMMYFUNCTION("""COMPUTED_VALUE"""),43691.6666666666)</f>
        <v>43691.666666666599</v>
      </c>
      <c r="B1357" s="1">
        <f ca="1">IFERROR(__xludf.DUMMYFUNCTION("""COMPUTED_VALUE"""),58.21)</f>
        <v>58.21</v>
      </c>
    </row>
    <row r="1358" spans="1:2">
      <c r="A1358" s="3">
        <f ca="1">IFERROR(__xludf.DUMMYFUNCTION("""COMPUTED_VALUE"""),43692.6666666666)</f>
        <v>43692.666666666599</v>
      </c>
      <c r="B1358" s="1">
        <f ca="1">IFERROR(__xludf.DUMMYFUNCTION("""COMPUTED_VALUE"""),58.36)</f>
        <v>58.36</v>
      </c>
    </row>
    <row r="1359" spans="1:2">
      <c r="A1359" s="3">
        <f ca="1">IFERROR(__xludf.DUMMYFUNCTION("""COMPUTED_VALUE"""),43693.6666666666)</f>
        <v>43693.666666666599</v>
      </c>
      <c r="B1359" s="1">
        <f ca="1">IFERROR(__xludf.DUMMYFUNCTION("""COMPUTED_VALUE"""),58.88)</f>
        <v>58.88</v>
      </c>
    </row>
    <row r="1360" spans="1:2">
      <c r="A1360" s="3">
        <f ca="1">IFERROR(__xludf.DUMMYFUNCTION("""COMPUTED_VALUE"""),43696.6666666666)</f>
        <v>43696.666666666599</v>
      </c>
      <c r="B1360" s="1">
        <f ca="1">IFERROR(__xludf.DUMMYFUNCTION("""COMPUTED_VALUE"""),59.92)</f>
        <v>59.92</v>
      </c>
    </row>
    <row r="1361" spans="1:2">
      <c r="A1361" s="3">
        <f ca="1">IFERROR(__xludf.DUMMYFUNCTION("""COMPUTED_VALUE"""),43697.6666666666)</f>
        <v>43697.666666666599</v>
      </c>
      <c r="B1361" s="1">
        <f ca="1">IFERROR(__xludf.DUMMYFUNCTION("""COMPUTED_VALUE"""),59.13)</f>
        <v>59.13</v>
      </c>
    </row>
    <row r="1362" spans="1:2">
      <c r="A1362" s="3">
        <f ca="1">IFERROR(__xludf.DUMMYFUNCTION("""COMPUTED_VALUE"""),43698.6666666666)</f>
        <v>43698.666666666599</v>
      </c>
      <c r="B1362" s="1">
        <f ca="1">IFERROR(__xludf.DUMMYFUNCTION("""COMPUTED_VALUE"""),59.56)</f>
        <v>59.56</v>
      </c>
    </row>
    <row r="1363" spans="1:2">
      <c r="A1363" s="3">
        <f ca="1">IFERROR(__xludf.DUMMYFUNCTION("""COMPUTED_VALUE"""),43699.6666666666)</f>
        <v>43699.666666666599</v>
      </c>
      <c r="B1363" s="1">
        <f ca="1">IFERROR(__xludf.DUMMYFUNCTION("""COMPUTED_VALUE"""),59.48)</f>
        <v>59.48</v>
      </c>
    </row>
    <row r="1364" spans="1:2">
      <c r="A1364" s="3">
        <f ca="1">IFERROR(__xludf.DUMMYFUNCTION("""COMPUTED_VALUE"""),43700.6666666666)</f>
        <v>43700.666666666599</v>
      </c>
      <c r="B1364" s="1">
        <f ca="1">IFERROR(__xludf.DUMMYFUNCTION("""COMPUTED_VALUE"""),57.56)</f>
        <v>57.56</v>
      </c>
    </row>
    <row r="1365" spans="1:2">
      <c r="A1365" s="3">
        <f ca="1">IFERROR(__xludf.DUMMYFUNCTION("""COMPUTED_VALUE"""),43703.6666666666)</f>
        <v>43703.666666666599</v>
      </c>
      <c r="B1365" s="1">
        <f ca="1">IFERROR(__xludf.DUMMYFUNCTION("""COMPUTED_VALUE"""),58.44)</f>
        <v>58.44</v>
      </c>
    </row>
    <row r="1366" spans="1:2">
      <c r="A1366" s="3">
        <f ca="1">IFERROR(__xludf.DUMMYFUNCTION("""COMPUTED_VALUE"""),43704.6666666666)</f>
        <v>43704.666666666599</v>
      </c>
      <c r="B1366" s="1">
        <f ca="1">IFERROR(__xludf.DUMMYFUNCTION("""COMPUTED_VALUE"""),58.39)</f>
        <v>58.39</v>
      </c>
    </row>
    <row r="1367" spans="1:2">
      <c r="A1367" s="3">
        <f ca="1">IFERROR(__xludf.DUMMYFUNCTION("""COMPUTED_VALUE"""),43705.6666666666)</f>
        <v>43705.666666666599</v>
      </c>
      <c r="B1367" s="1">
        <f ca="1">IFERROR(__xludf.DUMMYFUNCTION("""COMPUTED_VALUE"""),58.55)</f>
        <v>58.55</v>
      </c>
    </row>
    <row r="1368" spans="1:2">
      <c r="A1368" s="3">
        <f ca="1">IFERROR(__xludf.DUMMYFUNCTION("""COMPUTED_VALUE"""),43706.6666666666)</f>
        <v>43706.666666666599</v>
      </c>
      <c r="B1368" s="1">
        <f ca="1">IFERROR(__xludf.DUMMYFUNCTION("""COMPUTED_VALUE"""),59.64)</f>
        <v>59.64</v>
      </c>
    </row>
    <row r="1369" spans="1:2">
      <c r="A1369" s="3">
        <f ca="1">IFERROR(__xludf.DUMMYFUNCTION("""COMPUTED_VALUE"""),43707.6666666666)</f>
        <v>43707.666666666599</v>
      </c>
      <c r="B1369" s="1">
        <f ca="1">IFERROR(__xludf.DUMMYFUNCTION("""COMPUTED_VALUE"""),59.41)</f>
        <v>59.41</v>
      </c>
    </row>
    <row r="1370" spans="1:2">
      <c r="A1370" s="3">
        <f ca="1">IFERROR(__xludf.DUMMYFUNCTION("""COMPUTED_VALUE"""),43711.6666666666)</f>
        <v>43711.666666666599</v>
      </c>
      <c r="B1370" s="1">
        <f ca="1">IFERROR(__xludf.DUMMYFUNCTION("""COMPUTED_VALUE"""),58.42)</f>
        <v>58.42</v>
      </c>
    </row>
    <row r="1371" spans="1:2">
      <c r="A1371" s="3">
        <f ca="1">IFERROR(__xludf.DUMMYFUNCTION("""COMPUTED_VALUE"""),43712.6666666666)</f>
        <v>43712.666666666599</v>
      </c>
      <c r="B1371" s="1">
        <f ca="1">IFERROR(__xludf.DUMMYFUNCTION("""COMPUTED_VALUE"""),59.07)</f>
        <v>59.07</v>
      </c>
    </row>
    <row r="1372" spans="1:2">
      <c r="A1372" s="3">
        <f ca="1">IFERROR(__xludf.DUMMYFUNCTION("""COMPUTED_VALUE"""),43713.6666666666)</f>
        <v>43713.666666666599</v>
      </c>
      <c r="B1372" s="1">
        <f ca="1">IFERROR(__xludf.DUMMYFUNCTION("""COMPUTED_VALUE"""),60.57)</f>
        <v>60.57</v>
      </c>
    </row>
    <row r="1373" spans="1:2">
      <c r="A1373" s="3">
        <f ca="1">IFERROR(__xludf.DUMMYFUNCTION("""COMPUTED_VALUE"""),43714.6666666666)</f>
        <v>43714.666666666599</v>
      </c>
      <c r="B1373" s="1">
        <f ca="1">IFERROR(__xludf.DUMMYFUNCTION("""COMPUTED_VALUE"""),60.25)</f>
        <v>60.25</v>
      </c>
    </row>
    <row r="1374" spans="1:2">
      <c r="A1374" s="3">
        <f ca="1">IFERROR(__xludf.DUMMYFUNCTION("""COMPUTED_VALUE"""),43717.6666666666)</f>
        <v>43717.666666666599</v>
      </c>
      <c r="B1374" s="1">
        <f ca="1">IFERROR(__xludf.DUMMYFUNCTION("""COMPUTED_VALUE"""),60.22)</f>
        <v>60.22</v>
      </c>
    </row>
    <row r="1375" spans="1:2">
      <c r="A1375" s="3">
        <f ca="1">IFERROR(__xludf.DUMMYFUNCTION("""COMPUTED_VALUE"""),43718.6666666666)</f>
        <v>43718.666666666599</v>
      </c>
      <c r="B1375" s="1">
        <f ca="1">IFERROR(__xludf.DUMMYFUNCTION("""COMPUTED_VALUE"""),60.3)</f>
        <v>60.3</v>
      </c>
    </row>
    <row r="1376" spans="1:2">
      <c r="A1376" s="3">
        <f ca="1">IFERROR(__xludf.DUMMYFUNCTION("""COMPUTED_VALUE"""),43719.6666666666)</f>
        <v>43719.666666666599</v>
      </c>
      <c r="B1376" s="1">
        <f ca="1">IFERROR(__xludf.DUMMYFUNCTION("""COMPUTED_VALUE"""),61.01)</f>
        <v>61.01</v>
      </c>
    </row>
    <row r="1377" spans="1:2">
      <c r="A1377" s="3">
        <f ca="1">IFERROR(__xludf.DUMMYFUNCTION("""COMPUTED_VALUE"""),43720.6666666666)</f>
        <v>43720.666666666599</v>
      </c>
      <c r="B1377" s="1">
        <f ca="1">IFERROR(__xludf.DUMMYFUNCTION("""COMPUTED_VALUE"""),61.71)</f>
        <v>61.71</v>
      </c>
    </row>
    <row r="1378" spans="1:2">
      <c r="A1378" s="3">
        <f ca="1">IFERROR(__xludf.DUMMYFUNCTION("""COMPUTED_VALUE"""),43721.6666666666)</f>
        <v>43721.666666666599</v>
      </c>
      <c r="B1378" s="1">
        <f ca="1">IFERROR(__xludf.DUMMYFUNCTION("""COMPUTED_VALUE"""),61.98)</f>
        <v>61.98</v>
      </c>
    </row>
    <row r="1379" spans="1:2">
      <c r="A1379" s="3">
        <f ca="1">IFERROR(__xludf.DUMMYFUNCTION("""COMPUTED_VALUE"""),43724.6666666666)</f>
        <v>43724.666666666599</v>
      </c>
      <c r="B1379" s="1">
        <f ca="1">IFERROR(__xludf.DUMMYFUNCTION("""COMPUTED_VALUE"""),61.57)</f>
        <v>61.57</v>
      </c>
    </row>
    <row r="1380" spans="1:2">
      <c r="A1380" s="3">
        <f ca="1">IFERROR(__xludf.DUMMYFUNCTION("""COMPUTED_VALUE"""),43725.6666666666)</f>
        <v>43725.666666666599</v>
      </c>
      <c r="B1380" s="1">
        <f ca="1">IFERROR(__xludf.DUMMYFUNCTION("""COMPUTED_VALUE"""),61.46)</f>
        <v>61.46</v>
      </c>
    </row>
    <row r="1381" spans="1:2">
      <c r="A1381" s="3">
        <f ca="1">IFERROR(__xludf.DUMMYFUNCTION("""COMPUTED_VALUE"""),43726.6666666666)</f>
        <v>43726.666666666599</v>
      </c>
      <c r="B1381" s="1">
        <f ca="1">IFERROR(__xludf.DUMMYFUNCTION("""COMPUTED_VALUE"""),61.62)</f>
        <v>61.62</v>
      </c>
    </row>
    <row r="1382" spans="1:2">
      <c r="A1382" s="3">
        <f ca="1">IFERROR(__xludf.DUMMYFUNCTION("""COMPUTED_VALUE"""),43727.6666666666)</f>
        <v>43727.666666666599</v>
      </c>
      <c r="B1382" s="1">
        <f ca="1">IFERROR(__xludf.DUMMYFUNCTION("""COMPUTED_VALUE"""),61.94)</f>
        <v>61.94</v>
      </c>
    </row>
    <row r="1383" spans="1:2">
      <c r="A1383" s="3">
        <f ca="1">IFERROR(__xludf.DUMMYFUNCTION("""COMPUTED_VALUE"""),43728.6666666666)</f>
        <v>43728.666666666599</v>
      </c>
      <c r="B1383" s="1">
        <f ca="1">IFERROR(__xludf.DUMMYFUNCTION("""COMPUTED_VALUE"""),61.5)</f>
        <v>61.5</v>
      </c>
    </row>
    <row r="1384" spans="1:2">
      <c r="A1384" s="3">
        <f ca="1">IFERROR(__xludf.DUMMYFUNCTION("""COMPUTED_VALUE"""),43731.6666666666)</f>
        <v>43731.666666666599</v>
      </c>
      <c r="B1384" s="1">
        <f ca="1">IFERROR(__xludf.DUMMYFUNCTION("""COMPUTED_VALUE"""),61.7)</f>
        <v>61.7</v>
      </c>
    </row>
    <row r="1385" spans="1:2">
      <c r="A1385" s="3">
        <f ca="1">IFERROR(__xludf.DUMMYFUNCTION("""COMPUTED_VALUE"""),43732.6666666666)</f>
        <v>43732.666666666599</v>
      </c>
      <c r="B1385" s="1">
        <f ca="1">IFERROR(__xludf.DUMMYFUNCTION("""COMPUTED_VALUE"""),60.94)</f>
        <v>60.94</v>
      </c>
    </row>
    <row r="1386" spans="1:2">
      <c r="A1386" s="3">
        <f ca="1">IFERROR(__xludf.DUMMYFUNCTION("""COMPUTED_VALUE"""),43733.6666666666)</f>
        <v>43733.666666666599</v>
      </c>
      <c r="B1386" s="1">
        <f ca="1">IFERROR(__xludf.DUMMYFUNCTION("""COMPUTED_VALUE"""),62.33)</f>
        <v>62.33</v>
      </c>
    </row>
    <row r="1387" spans="1:2">
      <c r="A1387" s="3">
        <f ca="1">IFERROR(__xludf.DUMMYFUNCTION("""COMPUTED_VALUE"""),43734.6666666666)</f>
        <v>43734.666666666599</v>
      </c>
      <c r="B1387" s="1">
        <f ca="1">IFERROR(__xludf.DUMMYFUNCTION("""COMPUTED_VALUE"""),62.07)</f>
        <v>62.07</v>
      </c>
    </row>
    <row r="1388" spans="1:2">
      <c r="A1388" s="3">
        <f ca="1">IFERROR(__xludf.DUMMYFUNCTION("""COMPUTED_VALUE"""),43735.6666666666)</f>
        <v>43735.666666666599</v>
      </c>
      <c r="B1388" s="1">
        <f ca="1">IFERROR(__xludf.DUMMYFUNCTION("""COMPUTED_VALUE"""),61.25)</f>
        <v>61.25</v>
      </c>
    </row>
    <row r="1389" spans="1:2">
      <c r="A1389" s="3">
        <f ca="1">IFERROR(__xludf.DUMMYFUNCTION("""COMPUTED_VALUE"""),43738.6666666666)</f>
        <v>43738.666666666599</v>
      </c>
      <c r="B1389" s="1">
        <f ca="1">IFERROR(__xludf.DUMMYFUNCTION("""COMPUTED_VALUE"""),60.95)</f>
        <v>60.95</v>
      </c>
    </row>
    <row r="1390" spans="1:2">
      <c r="A1390" s="3">
        <f ca="1">IFERROR(__xludf.DUMMYFUNCTION("""COMPUTED_VALUE"""),43739.6666666666)</f>
        <v>43739.666666666599</v>
      </c>
      <c r="B1390" s="1">
        <f ca="1">IFERROR(__xludf.DUMMYFUNCTION("""COMPUTED_VALUE"""),60.26)</f>
        <v>60.26</v>
      </c>
    </row>
    <row r="1391" spans="1:2">
      <c r="A1391" s="3">
        <f ca="1">IFERROR(__xludf.DUMMYFUNCTION("""COMPUTED_VALUE"""),43740.6666666666)</f>
        <v>43740.666666666599</v>
      </c>
      <c r="B1391" s="1">
        <f ca="1">IFERROR(__xludf.DUMMYFUNCTION("""COMPUTED_VALUE"""),58.83)</f>
        <v>58.83</v>
      </c>
    </row>
    <row r="1392" spans="1:2">
      <c r="A1392" s="3">
        <f ca="1">IFERROR(__xludf.DUMMYFUNCTION("""COMPUTED_VALUE"""),43741.6666666666)</f>
        <v>43741.666666666599</v>
      </c>
      <c r="B1392" s="1">
        <f ca="1">IFERROR(__xludf.DUMMYFUNCTION("""COMPUTED_VALUE"""),59.39)</f>
        <v>59.39</v>
      </c>
    </row>
    <row r="1393" spans="1:2">
      <c r="A1393" s="3">
        <f ca="1">IFERROR(__xludf.DUMMYFUNCTION("""COMPUTED_VALUE"""),43742.6666666666)</f>
        <v>43742.666666666599</v>
      </c>
      <c r="B1393" s="1">
        <f ca="1">IFERROR(__xludf.DUMMYFUNCTION("""COMPUTED_VALUE"""),60.45)</f>
        <v>60.45</v>
      </c>
    </row>
    <row r="1394" spans="1:2">
      <c r="A1394" s="3">
        <f ca="1">IFERROR(__xludf.DUMMYFUNCTION("""COMPUTED_VALUE"""),43745.6666666666)</f>
        <v>43745.666666666599</v>
      </c>
      <c r="B1394" s="1">
        <f ca="1">IFERROR(__xludf.DUMMYFUNCTION("""COMPUTED_VALUE"""),60.38)</f>
        <v>60.38</v>
      </c>
    </row>
    <row r="1395" spans="1:2">
      <c r="A1395" s="3">
        <f ca="1">IFERROR(__xludf.DUMMYFUNCTION("""COMPUTED_VALUE"""),43746.6666666666)</f>
        <v>43746.666666666599</v>
      </c>
      <c r="B1395" s="1">
        <f ca="1">IFERROR(__xludf.DUMMYFUNCTION("""COMPUTED_VALUE"""),59.46)</f>
        <v>59.46</v>
      </c>
    </row>
    <row r="1396" spans="1:2">
      <c r="A1396" s="3">
        <f ca="1">IFERROR(__xludf.DUMMYFUNCTION("""COMPUTED_VALUE"""),43747.6666666666)</f>
        <v>43747.666666666599</v>
      </c>
      <c r="B1396" s="1">
        <f ca="1">IFERROR(__xludf.DUMMYFUNCTION("""COMPUTED_VALUE"""),60.12)</f>
        <v>60.12</v>
      </c>
    </row>
    <row r="1397" spans="1:2">
      <c r="A1397" s="3">
        <f ca="1">IFERROR(__xludf.DUMMYFUNCTION("""COMPUTED_VALUE"""),43748.6666666666)</f>
        <v>43748.666666666599</v>
      </c>
      <c r="B1397" s="1">
        <f ca="1">IFERROR(__xludf.DUMMYFUNCTION("""COMPUTED_VALUE"""),60.43)</f>
        <v>60.43</v>
      </c>
    </row>
    <row r="1398" spans="1:2">
      <c r="A1398" s="3">
        <f ca="1">IFERROR(__xludf.DUMMYFUNCTION("""COMPUTED_VALUE"""),43749.6666666666)</f>
        <v>43749.666666666599</v>
      </c>
      <c r="B1398" s="1">
        <f ca="1">IFERROR(__xludf.DUMMYFUNCTION("""COMPUTED_VALUE"""),60.77)</f>
        <v>60.77</v>
      </c>
    </row>
    <row r="1399" spans="1:2">
      <c r="A1399" s="3">
        <f ca="1">IFERROR(__xludf.DUMMYFUNCTION("""COMPUTED_VALUE"""),43752.6666666666)</f>
        <v>43752.666666666599</v>
      </c>
      <c r="B1399" s="1">
        <f ca="1">IFERROR(__xludf.DUMMYFUNCTION("""COMPUTED_VALUE"""),60.86)</f>
        <v>60.86</v>
      </c>
    </row>
    <row r="1400" spans="1:2">
      <c r="A1400" s="3">
        <f ca="1">IFERROR(__xludf.DUMMYFUNCTION("""COMPUTED_VALUE"""),43753.6666666666)</f>
        <v>43753.666666666599</v>
      </c>
      <c r="B1400" s="1">
        <f ca="1">IFERROR(__xludf.DUMMYFUNCTION("""COMPUTED_VALUE"""),62.15)</f>
        <v>62.15</v>
      </c>
    </row>
    <row r="1401" spans="1:2">
      <c r="A1401" s="3">
        <f ca="1">IFERROR(__xludf.DUMMYFUNCTION("""COMPUTED_VALUE"""),43754.6666666666)</f>
        <v>43754.666666666599</v>
      </c>
      <c r="B1401" s="1">
        <f ca="1">IFERROR(__xludf.DUMMYFUNCTION("""COMPUTED_VALUE"""),62.18)</f>
        <v>62.18</v>
      </c>
    </row>
    <row r="1402" spans="1:2">
      <c r="A1402" s="3">
        <f ca="1">IFERROR(__xludf.DUMMYFUNCTION("""COMPUTED_VALUE"""),43755.6666666666)</f>
        <v>43755.666666666599</v>
      </c>
      <c r="B1402" s="1">
        <f ca="1">IFERROR(__xludf.DUMMYFUNCTION("""COMPUTED_VALUE"""),62.65)</f>
        <v>62.65</v>
      </c>
    </row>
    <row r="1403" spans="1:2">
      <c r="A1403" s="3">
        <f ca="1">IFERROR(__xludf.DUMMYFUNCTION("""COMPUTED_VALUE"""),43756.6666666666)</f>
        <v>43756.666666666599</v>
      </c>
      <c r="B1403" s="1">
        <f ca="1">IFERROR(__xludf.DUMMYFUNCTION("""COMPUTED_VALUE"""),62.27)</f>
        <v>62.27</v>
      </c>
    </row>
    <row r="1404" spans="1:2">
      <c r="A1404" s="3">
        <f ca="1">IFERROR(__xludf.DUMMYFUNCTION("""COMPUTED_VALUE"""),43759.6666666666)</f>
        <v>43759.666666666599</v>
      </c>
      <c r="B1404" s="1">
        <f ca="1">IFERROR(__xludf.DUMMYFUNCTION("""COMPUTED_VALUE"""),62.31)</f>
        <v>62.31</v>
      </c>
    </row>
    <row r="1405" spans="1:2">
      <c r="A1405" s="3">
        <f ca="1">IFERROR(__xludf.DUMMYFUNCTION("""COMPUTED_VALUE"""),43760.6666666666)</f>
        <v>43760.666666666599</v>
      </c>
      <c r="B1405" s="1">
        <f ca="1">IFERROR(__xludf.DUMMYFUNCTION("""COMPUTED_VALUE"""),62.14)</f>
        <v>62.14</v>
      </c>
    </row>
    <row r="1406" spans="1:2">
      <c r="A1406" s="3">
        <f ca="1">IFERROR(__xludf.DUMMYFUNCTION("""COMPUTED_VALUE"""),43761.6666666666)</f>
        <v>43761.666666666599</v>
      </c>
      <c r="B1406" s="1">
        <f ca="1">IFERROR(__xludf.DUMMYFUNCTION("""COMPUTED_VALUE"""),62.96)</f>
        <v>62.96</v>
      </c>
    </row>
    <row r="1407" spans="1:2">
      <c r="A1407" s="3">
        <f ca="1">IFERROR(__xludf.DUMMYFUNCTION("""COMPUTED_VALUE"""),43762.6666666666)</f>
        <v>43762.666666666599</v>
      </c>
      <c r="B1407" s="1">
        <f ca="1">IFERROR(__xludf.DUMMYFUNCTION("""COMPUTED_VALUE"""),63.05)</f>
        <v>63.05</v>
      </c>
    </row>
    <row r="1408" spans="1:2">
      <c r="A1408" s="3">
        <f ca="1">IFERROR(__xludf.DUMMYFUNCTION("""COMPUTED_VALUE"""),43763.6666666666)</f>
        <v>43763.666666666599</v>
      </c>
      <c r="B1408" s="1">
        <f ca="1">IFERROR(__xludf.DUMMYFUNCTION("""COMPUTED_VALUE"""),63.26)</f>
        <v>63.26</v>
      </c>
    </row>
    <row r="1409" spans="1:2">
      <c r="A1409" s="3">
        <f ca="1">IFERROR(__xludf.DUMMYFUNCTION("""COMPUTED_VALUE"""),43766.6666666666)</f>
        <v>43766.666666666599</v>
      </c>
      <c r="B1409" s="1">
        <f ca="1">IFERROR(__xludf.DUMMYFUNCTION("""COMPUTED_VALUE"""),64.5)</f>
        <v>64.5</v>
      </c>
    </row>
    <row r="1410" spans="1:2">
      <c r="A1410" s="3">
        <f ca="1">IFERROR(__xludf.DUMMYFUNCTION("""COMPUTED_VALUE"""),43767.6666666666)</f>
        <v>43767.666666666599</v>
      </c>
      <c r="B1410" s="1">
        <f ca="1">IFERROR(__xludf.DUMMYFUNCTION("""COMPUTED_VALUE"""),63.13)</f>
        <v>63.13</v>
      </c>
    </row>
    <row r="1411" spans="1:2">
      <c r="A1411" s="3">
        <f ca="1">IFERROR(__xludf.DUMMYFUNCTION("""COMPUTED_VALUE"""),43768.6666666666)</f>
        <v>43768.666666666599</v>
      </c>
      <c r="B1411" s="1">
        <f ca="1">IFERROR(__xludf.DUMMYFUNCTION("""COMPUTED_VALUE"""),63.06)</f>
        <v>63.06</v>
      </c>
    </row>
    <row r="1412" spans="1:2">
      <c r="A1412" s="3">
        <f ca="1">IFERROR(__xludf.DUMMYFUNCTION("""COMPUTED_VALUE"""),43769.6666666666)</f>
        <v>43769.666666666599</v>
      </c>
      <c r="B1412" s="1">
        <f ca="1">IFERROR(__xludf.DUMMYFUNCTION("""COMPUTED_VALUE"""),63.01)</f>
        <v>63.01</v>
      </c>
    </row>
    <row r="1413" spans="1:2">
      <c r="A1413" s="3">
        <f ca="1">IFERROR(__xludf.DUMMYFUNCTION("""COMPUTED_VALUE"""),43770.6666666666)</f>
        <v>43770.666666666599</v>
      </c>
      <c r="B1413" s="1">
        <f ca="1">IFERROR(__xludf.DUMMYFUNCTION("""COMPUTED_VALUE"""),63.69)</f>
        <v>63.69</v>
      </c>
    </row>
    <row r="1414" spans="1:2">
      <c r="A1414" s="3">
        <f ca="1">IFERROR(__xludf.DUMMYFUNCTION("""COMPUTED_VALUE"""),43773.6666666666)</f>
        <v>43773.666666666599</v>
      </c>
      <c r="B1414" s="1">
        <f ca="1">IFERROR(__xludf.DUMMYFUNCTION("""COMPUTED_VALUE"""),64.57)</f>
        <v>64.569999999999993</v>
      </c>
    </row>
    <row r="1415" spans="1:2">
      <c r="A1415" s="3">
        <f ca="1">IFERROR(__xludf.DUMMYFUNCTION("""COMPUTED_VALUE"""),43774.6666666666)</f>
        <v>43774.666666666599</v>
      </c>
      <c r="B1415" s="1">
        <f ca="1">IFERROR(__xludf.DUMMYFUNCTION("""COMPUTED_VALUE"""),64.6)</f>
        <v>64.599999999999994</v>
      </c>
    </row>
    <row r="1416" spans="1:2">
      <c r="A1416" s="3">
        <f ca="1">IFERROR(__xludf.DUMMYFUNCTION("""COMPUTED_VALUE"""),43775.6666666666)</f>
        <v>43775.666666666599</v>
      </c>
      <c r="B1416" s="1">
        <f ca="1">IFERROR(__xludf.DUMMYFUNCTION("""COMPUTED_VALUE"""),64.59)</f>
        <v>64.59</v>
      </c>
    </row>
    <row r="1417" spans="1:2">
      <c r="A1417" s="3">
        <f ca="1">IFERROR(__xludf.DUMMYFUNCTION("""COMPUTED_VALUE"""),43776.6666666666)</f>
        <v>43776.666666666599</v>
      </c>
      <c r="B1417" s="1">
        <f ca="1">IFERROR(__xludf.DUMMYFUNCTION("""COMPUTED_VALUE"""),65.44)</f>
        <v>65.44</v>
      </c>
    </row>
    <row r="1418" spans="1:2">
      <c r="A1418" s="3">
        <f ca="1">IFERROR(__xludf.DUMMYFUNCTION("""COMPUTED_VALUE"""),43777.6666666666)</f>
        <v>43777.666666666599</v>
      </c>
      <c r="B1418" s="1">
        <f ca="1">IFERROR(__xludf.DUMMYFUNCTION("""COMPUTED_VALUE"""),65.57)</f>
        <v>65.569999999999993</v>
      </c>
    </row>
    <row r="1419" spans="1:2">
      <c r="A1419" s="3">
        <f ca="1">IFERROR(__xludf.DUMMYFUNCTION("""COMPUTED_VALUE"""),43780.6666666666)</f>
        <v>43780.666666666599</v>
      </c>
      <c r="B1419" s="1">
        <f ca="1">IFERROR(__xludf.DUMMYFUNCTION("""COMPUTED_VALUE"""),64.96)</f>
        <v>64.959999999999994</v>
      </c>
    </row>
    <row r="1420" spans="1:2">
      <c r="A1420" s="3">
        <f ca="1">IFERROR(__xludf.DUMMYFUNCTION("""COMPUTED_VALUE"""),43781.6666666666)</f>
        <v>43781.666666666599</v>
      </c>
      <c r="B1420" s="1">
        <f ca="1">IFERROR(__xludf.DUMMYFUNCTION("""COMPUTED_VALUE"""),64.94)</f>
        <v>64.94</v>
      </c>
    </row>
    <row r="1421" spans="1:2">
      <c r="A1421" s="3">
        <f ca="1">IFERROR(__xludf.DUMMYFUNCTION("""COMPUTED_VALUE"""),43782.6666666666)</f>
        <v>43782.666666666599</v>
      </c>
      <c r="B1421" s="1">
        <f ca="1">IFERROR(__xludf.DUMMYFUNCTION("""COMPUTED_VALUE"""),64.9)</f>
        <v>64.900000000000006</v>
      </c>
    </row>
    <row r="1422" spans="1:2">
      <c r="A1422" s="3">
        <f ca="1">IFERROR(__xludf.DUMMYFUNCTION("""COMPUTED_VALUE"""),43783.6666666666)</f>
        <v>43783.666666666599</v>
      </c>
      <c r="B1422" s="1">
        <f ca="1">IFERROR(__xludf.DUMMYFUNCTION("""COMPUTED_VALUE"""),65.57)</f>
        <v>65.569999999999993</v>
      </c>
    </row>
    <row r="1423" spans="1:2">
      <c r="A1423" s="3">
        <f ca="1">IFERROR(__xludf.DUMMYFUNCTION("""COMPUTED_VALUE"""),43784.6666666666)</f>
        <v>43784.666666666599</v>
      </c>
      <c r="B1423" s="1">
        <f ca="1">IFERROR(__xludf.DUMMYFUNCTION("""COMPUTED_VALUE"""),66.74)</f>
        <v>66.739999999999995</v>
      </c>
    </row>
    <row r="1424" spans="1:2">
      <c r="A1424" s="3">
        <f ca="1">IFERROR(__xludf.DUMMYFUNCTION("""COMPUTED_VALUE"""),43787.6666666666)</f>
        <v>43787.666666666599</v>
      </c>
      <c r="B1424" s="1">
        <f ca="1">IFERROR(__xludf.DUMMYFUNCTION("""COMPUTED_VALUE"""),66.04)</f>
        <v>66.040000000000006</v>
      </c>
    </row>
    <row r="1425" spans="1:2">
      <c r="A1425" s="3">
        <f ca="1">IFERROR(__xludf.DUMMYFUNCTION("""COMPUTED_VALUE"""),43788.6666666666)</f>
        <v>43788.666666666599</v>
      </c>
      <c r="B1425" s="1">
        <f ca="1">IFERROR(__xludf.DUMMYFUNCTION("""COMPUTED_VALUE"""),65.77)</f>
        <v>65.77</v>
      </c>
    </row>
    <row r="1426" spans="1:2">
      <c r="A1426" s="3">
        <f ca="1">IFERROR(__xludf.DUMMYFUNCTION("""COMPUTED_VALUE"""),43789.6666666666)</f>
        <v>43789.666666666599</v>
      </c>
      <c r="B1426" s="1">
        <f ca="1">IFERROR(__xludf.DUMMYFUNCTION("""COMPUTED_VALUE"""),65.15)</f>
        <v>65.150000000000006</v>
      </c>
    </row>
    <row r="1427" spans="1:2">
      <c r="A1427" s="3">
        <f ca="1">IFERROR(__xludf.DUMMYFUNCTION("""COMPUTED_VALUE"""),43790.6666666666)</f>
        <v>43790.666666666599</v>
      </c>
      <c r="B1427" s="1">
        <f ca="1">IFERROR(__xludf.DUMMYFUNCTION("""COMPUTED_VALUE"""),65.07)</f>
        <v>65.069999999999993</v>
      </c>
    </row>
    <row r="1428" spans="1:2">
      <c r="A1428" s="3">
        <f ca="1">IFERROR(__xludf.DUMMYFUNCTION("""COMPUTED_VALUE"""),43791.6666666666)</f>
        <v>43791.666666666599</v>
      </c>
      <c r="B1428" s="1">
        <f ca="1">IFERROR(__xludf.DUMMYFUNCTION("""COMPUTED_VALUE"""),64.77)</f>
        <v>64.77</v>
      </c>
    </row>
    <row r="1429" spans="1:2">
      <c r="A1429" s="3">
        <f ca="1">IFERROR(__xludf.DUMMYFUNCTION("""COMPUTED_VALUE"""),43794.6666666666)</f>
        <v>43794.666666666599</v>
      </c>
      <c r="B1429" s="1">
        <f ca="1">IFERROR(__xludf.DUMMYFUNCTION("""COMPUTED_VALUE"""),65.33)</f>
        <v>65.33</v>
      </c>
    </row>
    <row r="1430" spans="1:2">
      <c r="A1430" s="3">
        <f ca="1">IFERROR(__xludf.DUMMYFUNCTION("""COMPUTED_VALUE"""),43795.6666666666)</f>
        <v>43795.666666666599</v>
      </c>
      <c r="B1430" s="1">
        <f ca="1">IFERROR(__xludf.DUMMYFUNCTION("""COMPUTED_VALUE"""),65.68)</f>
        <v>65.680000000000007</v>
      </c>
    </row>
    <row r="1431" spans="1:2">
      <c r="A1431" s="3">
        <f ca="1">IFERROR(__xludf.DUMMYFUNCTION("""COMPUTED_VALUE"""),43796.6666666666)</f>
        <v>43796.666666666599</v>
      </c>
      <c r="B1431" s="1">
        <f ca="1">IFERROR(__xludf.DUMMYFUNCTION("""COMPUTED_VALUE"""),65.65)</f>
        <v>65.650000000000006</v>
      </c>
    </row>
    <row r="1432" spans="1:2">
      <c r="A1432" s="3">
        <f ca="1">IFERROR(__xludf.DUMMYFUNCTION("""COMPUTED_VALUE"""),43798.5416666666)</f>
        <v>43798.541666666599</v>
      </c>
      <c r="B1432" s="1">
        <f ca="1">IFERROR(__xludf.DUMMYFUNCTION("""COMPUTED_VALUE"""),65.25)</f>
        <v>65.25</v>
      </c>
    </row>
    <row r="1433" spans="1:2">
      <c r="A1433" s="3">
        <f ca="1">IFERROR(__xludf.DUMMYFUNCTION("""COMPUTED_VALUE"""),43801.6666666666)</f>
        <v>43801.666666666599</v>
      </c>
      <c r="B1433" s="1">
        <f ca="1">IFERROR(__xludf.DUMMYFUNCTION("""COMPUTED_VALUE"""),64.5)</f>
        <v>64.5</v>
      </c>
    </row>
    <row r="1434" spans="1:2">
      <c r="A1434" s="3">
        <f ca="1">IFERROR(__xludf.DUMMYFUNCTION("""COMPUTED_VALUE"""),43802.6666666666)</f>
        <v>43802.666666666599</v>
      </c>
      <c r="B1434" s="1">
        <f ca="1">IFERROR(__xludf.DUMMYFUNCTION("""COMPUTED_VALUE"""),64.76)</f>
        <v>64.760000000000005</v>
      </c>
    </row>
    <row r="1435" spans="1:2">
      <c r="A1435" s="3">
        <f ca="1">IFERROR(__xludf.DUMMYFUNCTION("""COMPUTED_VALUE"""),43803.6666666666)</f>
        <v>43803.666666666599</v>
      </c>
      <c r="B1435" s="1">
        <f ca="1">IFERROR(__xludf.DUMMYFUNCTION("""COMPUTED_VALUE"""),66.03)</f>
        <v>66.03</v>
      </c>
    </row>
    <row r="1436" spans="1:2">
      <c r="A1436" s="3">
        <f ca="1">IFERROR(__xludf.DUMMYFUNCTION("""COMPUTED_VALUE"""),43804.6666666666)</f>
        <v>43804.666666666599</v>
      </c>
      <c r="B1436" s="1">
        <f ca="1">IFERROR(__xludf.DUMMYFUNCTION("""COMPUTED_VALUE"""),66.41)</f>
        <v>66.41</v>
      </c>
    </row>
    <row r="1437" spans="1:2">
      <c r="A1437" s="3">
        <f ca="1">IFERROR(__xludf.DUMMYFUNCTION("""COMPUTED_VALUE"""),43805.6666666666)</f>
        <v>43805.666666666599</v>
      </c>
      <c r="B1437" s="1">
        <f ca="1">IFERROR(__xludf.DUMMYFUNCTION("""COMPUTED_VALUE"""),67.03)</f>
        <v>67.03</v>
      </c>
    </row>
    <row r="1438" spans="1:2">
      <c r="A1438" s="3">
        <f ca="1">IFERROR(__xludf.DUMMYFUNCTION("""COMPUTED_VALUE"""),43808.6666666666)</f>
        <v>43808.666666666599</v>
      </c>
      <c r="B1438" s="1">
        <f ca="1">IFERROR(__xludf.DUMMYFUNCTION("""COMPUTED_VALUE"""),67.18)</f>
        <v>67.180000000000007</v>
      </c>
    </row>
    <row r="1439" spans="1:2">
      <c r="A1439" s="3">
        <f ca="1">IFERROR(__xludf.DUMMYFUNCTION("""COMPUTED_VALUE"""),43809.6666666666)</f>
        <v>43809.666666666599</v>
      </c>
      <c r="B1439" s="1">
        <f ca="1">IFERROR(__xludf.DUMMYFUNCTION("""COMPUTED_VALUE"""),67.23)</f>
        <v>67.23</v>
      </c>
    </row>
    <row r="1440" spans="1:2">
      <c r="A1440" s="3">
        <f ca="1">IFERROR(__xludf.DUMMYFUNCTION("""COMPUTED_VALUE"""),43810.6666666666)</f>
        <v>43810.666666666599</v>
      </c>
      <c r="B1440" s="1">
        <f ca="1">IFERROR(__xludf.DUMMYFUNCTION("""COMPUTED_VALUE"""),67.25)</f>
        <v>67.25</v>
      </c>
    </row>
    <row r="1441" spans="1:2">
      <c r="A1441" s="3">
        <f ca="1">IFERROR(__xludf.DUMMYFUNCTION("""COMPUTED_VALUE"""),43811.6666666666)</f>
        <v>43811.666666666599</v>
      </c>
      <c r="B1441" s="1">
        <f ca="1">IFERROR(__xludf.DUMMYFUNCTION("""COMPUTED_VALUE"""),67.51)</f>
        <v>67.510000000000005</v>
      </c>
    </row>
    <row r="1442" spans="1:2">
      <c r="A1442" s="3">
        <f ca="1">IFERROR(__xludf.DUMMYFUNCTION("""COMPUTED_VALUE"""),43812.6666666666)</f>
        <v>43812.666666666599</v>
      </c>
      <c r="B1442" s="1">
        <f ca="1">IFERROR(__xludf.DUMMYFUNCTION("""COMPUTED_VALUE"""),67.39)</f>
        <v>67.39</v>
      </c>
    </row>
    <row r="1443" spans="1:2">
      <c r="A1443" s="3">
        <f ca="1">IFERROR(__xludf.DUMMYFUNCTION("""COMPUTED_VALUE"""),43815.6666666666)</f>
        <v>43815.666666666599</v>
      </c>
      <c r="B1443" s="1">
        <f ca="1">IFERROR(__xludf.DUMMYFUNCTION("""COMPUTED_VALUE"""),68.06)</f>
        <v>68.06</v>
      </c>
    </row>
    <row r="1444" spans="1:2">
      <c r="A1444" s="3">
        <f ca="1">IFERROR(__xludf.DUMMYFUNCTION("""COMPUTED_VALUE"""),43816.6666666666)</f>
        <v>43816.666666666599</v>
      </c>
      <c r="B1444" s="1">
        <f ca="1">IFERROR(__xludf.DUMMYFUNCTION("""COMPUTED_VALUE"""),67.76)</f>
        <v>67.760000000000005</v>
      </c>
    </row>
    <row r="1445" spans="1:2">
      <c r="A1445" s="3">
        <f ca="1">IFERROR(__xludf.DUMMYFUNCTION("""COMPUTED_VALUE"""),43817.6666666666)</f>
        <v>43817.666666666599</v>
      </c>
      <c r="B1445" s="1">
        <f ca="1">IFERROR(__xludf.DUMMYFUNCTION("""COMPUTED_VALUE"""),67.63)</f>
        <v>67.63</v>
      </c>
    </row>
    <row r="1446" spans="1:2">
      <c r="A1446" s="3">
        <f ca="1">IFERROR(__xludf.DUMMYFUNCTION("""COMPUTED_VALUE"""),43818.6666666666)</f>
        <v>43818.666666666599</v>
      </c>
      <c r="B1446" s="1">
        <f ca="1">IFERROR(__xludf.DUMMYFUNCTION("""COMPUTED_VALUE"""),67.8)</f>
        <v>67.8</v>
      </c>
    </row>
    <row r="1447" spans="1:2">
      <c r="A1447" s="3">
        <f ca="1">IFERROR(__xludf.DUMMYFUNCTION("""COMPUTED_VALUE"""),43819.6666666666)</f>
        <v>43819.666666666599</v>
      </c>
      <c r="B1447" s="1">
        <f ca="1">IFERROR(__xludf.DUMMYFUNCTION("""COMPUTED_VALUE"""),67.48)</f>
        <v>67.48</v>
      </c>
    </row>
    <row r="1448" spans="1:2">
      <c r="A1448" s="3">
        <f ca="1">IFERROR(__xludf.DUMMYFUNCTION("""COMPUTED_VALUE"""),43822.6666666666)</f>
        <v>43822.666666666599</v>
      </c>
      <c r="B1448" s="1">
        <f ca="1">IFERROR(__xludf.DUMMYFUNCTION("""COMPUTED_VALUE"""),67.44)</f>
        <v>67.44</v>
      </c>
    </row>
    <row r="1449" spans="1:2">
      <c r="A1449" s="3">
        <f ca="1">IFERROR(__xludf.DUMMYFUNCTION("""COMPUTED_VALUE"""),43823.5416666666)</f>
        <v>43823.541666666599</v>
      </c>
      <c r="B1449" s="1">
        <f ca="1">IFERROR(__xludf.DUMMYFUNCTION("""COMPUTED_VALUE"""),67.18)</f>
        <v>67.180000000000007</v>
      </c>
    </row>
    <row r="1450" spans="1:2">
      <c r="A1450" s="3">
        <f ca="1">IFERROR(__xludf.DUMMYFUNCTION("""COMPUTED_VALUE"""),43825.6666666666)</f>
        <v>43825.666666666599</v>
      </c>
      <c r="B1450" s="1">
        <f ca="1">IFERROR(__xludf.DUMMYFUNCTION("""COMPUTED_VALUE"""),68.02)</f>
        <v>68.02</v>
      </c>
    </row>
    <row r="1451" spans="1:2">
      <c r="A1451" s="3">
        <f ca="1">IFERROR(__xludf.DUMMYFUNCTION("""COMPUTED_VALUE"""),43826.6666666666)</f>
        <v>43826.666666666599</v>
      </c>
      <c r="B1451" s="1">
        <f ca="1">IFERROR(__xludf.DUMMYFUNCTION("""COMPUTED_VALUE"""),67.59)</f>
        <v>67.59</v>
      </c>
    </row>
    <row r="1452" spans="1:2">
      <c r="A1452" s="3">
        <f ca="1">IFERROR(__xludf.DUMMYFUNCTION("""COMPUTED_VALUE"""),43829.6666666666)</f>
        <v>43829.666666666599</v>
      </c>
      <c r="B1452" s="1">
        <f ca="1">IFERROR(__xludf.DUMMYFUNCTION("""COMPUTED_VALUE"""),66.81)</f>
        <v>66.81</v>
      </c>
    </row>
    <row r="1453" spans="1:2">
      <c r="A1453" s="3">
        <f ca="1">IFERROR(__xludf.DUMMYFUNCTION("""COMPUTED_VALUE"""),43830.6666666666)</f>
        <v>43830.666666666599</v>
      </c>
      <c r="B1453" s="1">
        <f ca="1">IFERROR(__xludf.DUMMYFUNCTION("""COMPUTED_VALUE"""),66.85)</f>
        <v>66.849999999999994</v>
      </c>
    </row>
    <row r="1454" spans="1:2">
      <c r="A1454" s="3">
        <f ca="1">IFERROR(__xludf.DUMMYFUNCTION("""COMPUTED_VALUE"""),43832.6666666666)</f>
        <v>43832.666666666599</v>
      </c>
      <c r="B1454" s="1">
        <f ca="1">IFERROR(__xludf.DUMMYFUNCTION("""COMPUTED_VALUE"""),68.37)</f>
        <v>68.37</v>
      </c>
    </row>
    <row r="1455" spans="1:2">
      <c r="A1455" s="3">
        <f ca="1">IFERROR(__xludf.DUMMYFUNCTION("""COMPUTED_VALUE"""),43833.6666666666)</f>
        <v>43833.666666666599</v>
      </c>
      <c r="B1455" s="1">
        <f ca="1">IFERROR(__xludf.DUMMYFUNCTION("""COMPUTED_VALUE"""),68.03)</f>
        <v>68.03</v>
      </c>
    </row>
    <row r="1456" spans="1:2">
      <c r="A1456" s="3">
        <f ca="1">IFERROR(__xludf.DUMMYFUNCTION("""COMPUTED_VALUE"""),43836.6666666666)</f>
        <v>43836.666666666599</v>
      </c>
      <c r="B1456" s="1">
        <f ca="1">IFERROR(__xludf.DUMMYFUNCTION("""COMPUTED_VALUE"""),69.71)</f>
        <v>69.709999999999994</v>
      </c>
    </row>
    <row r="1457" spans="1:2">
      <c r="A1457" s="3">
        <f ca="1">IFERROR(__xludf.DUMMYFUNCTION("""COMPUTED_VALUE"""),43837.6666666666)</f>
        <v>43837.666666666599</v>
      </c>
      <c r="B1457" s="1">
        <f ca="1">IFERROR(__xludf.DUMMYFUNCTION("""COMPUTED_VALUE"""),69.67)</f>
        <v>69.67</v>
      </c>
    </row>
    <row r="1458" spans="1:2">
      <c r="A1458" s="3">
        <f ca="1">IFERROR(__xludf.DUMMYFUNCTION("""COMPUTED_VALUE"""),43838.6666666666)</f>
        <v>43838.666666666599</v>
      </c>
      <c r="B1458" s="1">
        <f ca="1">IFERROR(__xludf.DUMMYFUNCTION("""COMPUTED_VALUE"""),70.22)</f>
        <v>70.22</v>
      </c>
    </row>
    <row r="1459" spans="1:2">
      <c r="A1459" s="3">
        <f ca="1">IFERROR(__xludf.DUMMYFUNCTION("""COMPUTED_VALUE"""),43839.6666666666)</f>
        <v>43839.666666666599</v>
      </c>
      <c r="B1459" s="1">
        <f ca="1">IFERROR(__xludf.DUMMYFUNCTION("""COMPUTED_VALUE"""),70.99)</f>
        <v>70.989999999999995</v>
      </c>
    </row>
    <row r="1460" spans="1:2">
      <c r="A1460" s="3">
        <f ca="1">IFERROR(__xludf.DUMMYFUNCTION("""COMPUTED_VALUE"""),43840.6666666666)</f>
        <v>43840.666666666599</v>
      </c>
      <c r="B1460" s="1">
        <f ca="1">IFERROR(__xludf.DUMMYFUNCTION("""COMPUTED_VALUE"""),71.49)</f>
        <v>71.489999999999995</v>
      </c>
    </row>
    <row r="1461" spans="1:2">
      <c r="A1461" s="3">
        <f ca="1">IFERROR(__xludf.DUMMYFUNCTION("""COMPUTED_VALUE"""),43843.6666666666)</f>
        <v>43843.666666666599</v>
      </c>
      <c r="B1461" s="1">
        <f ca="1">IFERROR(__xludf.DUMMYFUNCTION("""COMPUTED_VALUE"""),71.96)</f>
        <v>71.959999999999994</v>
      </c>
    </row>
    <row r="1462" spans="1:2">
      <c r="A1462" s="3">
        <f ca="1">IFERROR(__xludf.DUMMYFUNCTION("""COMPUTED_VALUE"""),43844.6666666666)</f>
        <v>43844.666666666599</v>
      </c>
      <c r="B1462" s="1">
        <f ca="1">IFERROR(__xludf.DUMMYFUNCTION("""COMPUTED_VALUE"""),71.54)</f>
        <v>71.540000000000006</v>
      </c>
    </row>
    <row r="1463" spans="1:2">
      <c r="A1463" s="3">
        <f ca="1">IFERROR(__xludf.DUMMYFUNCTION("""COMPUTED_VALUE"""),43845.6666666666)</f>
        <v>43845.666666666599</v>
      </c>
      <c r="B1463" s="1">
        <f ca="1">IFERROR(__xludf.DUMMYFUNCTION("""COMPUTED_VALUE"""),71.96)</f>
        <v>71.959999999999994</v>
      </c>
    </row>
    <row r="1464" spans="1:2">
      <c r="A1464" s="3">
        <f ca="1">IFERROR(__xludf.DUMMYFUNCTION("""COMPUTED_VALUE"""),43846.6666666666)</f>
        <v>43846.666666666599</v>
      </c>
      <c r="B1464" s="1">
        <f ca="1">IFERROR(__xludf.DUMMYFUNCTION("""COMPUTED_VALUE"""),72.58)</f>
        <v>72.58</v>
      </c>
    </row>
    <row r="1465" spans="1:2">
      <c r="A1465" s="3">
        <f ca="1">IFERROR(__xludf.DUMMYFUNCTION("""COMPUTED_VALUE"""),43847.6666666666)</f>
        <v>43847.666666666599</v>
      </c>
      <c r="B1465" s="1">
        <f ca="1">IFERROR(__xludf.DUMMYFUNCTION("""COMPUTED_VALUE"""),74.02)</f>
        <v>74.02</v>
      </c>
    </row>
    <row r="1466" spans="1:2">
      <c r="A1466" s="3">
        <f ca="1">IFERROR(__xludf.DUMMYFUNCTION("""COMPUTED_VALUE"""),43851.6666666666)</f>
        <v>43851.666666666599</v>
      </c>
      <c r="B1466" s="1">
        <f ca="1">IFERROR(__xludf.DUMMYFUNCTION("""COMPUTED_VALUE"""),74.22)</f>
        <v>74.22</v>
      </c>
    </row>
    <row r="1467" spans="1:2">
      <c r="A1467" s="3">
        <f ca="1">IFERROR(__xludf.DUMMYFUNCTION("""COMPUTED_VALUE"""),43852.6666666666)</f>
        <v>43852.666666666599</v>
      </c>
      <c r="B1467" s="1">
        <f ca="1">IFERROR(__xludf.DUMMYFUNCTION("""COMPUTED_VALUE"""),74.3)</f>
        <v>74.3</v>
      </c>
    </row>
    <row r="1468" spans="1:2">
      <c r="A1468" s="3">
        <f ca="1">IFERROR(__xludf.DUMMYFUNCTION("""COMPUTED_VALUE"""),43853.6666666666)</f>
        <v>43853.666666666599</v>
      </c>
      <c r="B1468" s="1">
        <f ca="1">IFERROR(__xludf.DUMMYFUNCTION("""COMPUTED_VALUE"""),74.33)</f>
        <v>74.33</v>
      </c>
    </row>
    <row r="1469" spans="1:2">
      <c r="A1469" s="3">
        <f ca="1">IFERROR(__xludf.DUMMYFUNCTION("""COMPUTED_VALUE"""),43854.6666666666)</f>
        <v>43854.666666666599</v>
      </c>
      <c r="B1469" s="1">
        <f ca="1">IFERROR(__xludf.DUMMYFUNCTION("""COMPUTED_VALUE"""),73.34)</f>
        <v>73.34</v>
      </c>
    </row>
    <row r="1470" spans="1:2">
      <c r="A1470" s="3">
        <f ca="1">IFERROR(__xludf.DUMMYFUNCTION("""COMPUTED_VALUE"""),43857.6666666666)</f>
        <v>43857.666666666599</v>
      </c>
      <c r="B1470" s="1">
        <f ca="1">IFERROR(__xludf.DUMMYFUNCTION("""COMPUTED_VALUE"""),71.69)</f>
        <v>71.69</v>
      </c>
    </row>
    <row r="1471" spans="1:2">
      <c r="A1471" s="3">
        <f ca="1">IFERROR(__xludf.DUMMYFUNCTION("""COMPUTED_VALUE"""),43858.6666666666)</f>
        <v>43858.666666666599</v>
      </c>
      <c r="B1471" s="1">
        <f ca="1">IFERROR(__xludf.DUMMYFUNCTION("""COMPUTED_VALUE"""),72.63)</f>
        <v>72.63</v>
      </c>
    </row>
    <row r="1472" spans="1:2">
      <c r="A1472" s="3">
        <f ca="1">IFERROR(__xludf.DUMMYFUNCTION("""COMPUTED_VALUE"""),43859.6666666666)</f>
        <v>43859.666666666599</v>
      </c>
      <c r="B1472" s="1">
        <f ca="1">IFERROR(__xludf.DUMMYFUNCTION("""COMPUTED_VALUE"""),72.93)</f>
        <v>72.930000000000007</v>
      </c>
    </row>
    <row r="1473" spans="1:2">
      <c r="A1473" s="3">
        <f ca="1">IFERROR(__xludf.DUMMYFUNCTION("""COMPUTED_VALUE"""),43860.6666666666)</f>
        <v>43860.666666666599</v>
      </c>
      <c r="B1473" s="1">
        <f ca="1">IFERROR(__xludf.DUMMYFUNCTION("""COMPUTED_VALUE"""),72.79)</f>
        <v>72.790000000000006</v>
      </c>
    </row>
    <row r="1474" spans="1:2">
      <c r="A1474" s="3">
        <f ca="1">IFERROR(__xludf.DUMMYFUNCTION("""COMPUTED_VALUE"""),43861.6666666666)</f>
        <v>43861.666666666599</v>
      </c>
      <c r="B1474" s="1">
        <f ca="1">IFERROR(__xludf.DUMMYFUNCTION("""COMPUTED_VALUE"""),71.71)</f>
        <v>71.709999999999994</v>
      </c>
    </row>
    <row r="1475" spans="1:2">
      <c r="A1475" s="3">
        <f ca="1">IFERROR(__xludf.DUMMYFUNCTION("""COMPUTED_VALUE"""),43864.6666666666)</f>
        <v>43864.666666666599</v>
      </c>
      <c r="B1475" s="1">
        <f ca="1">IFERROR(__xludf.DUMMYFUNCTION("""COMPUTED_VALUE"""),74.3)</f>
        <v>74.3</v>
      </c>
    </row>
    <row r="1476" spans="1:2">
      <c r="A1476" s="3">
        <f ca="1">IFERROR(__xludf.DUMMYFUNCTION("""COMPUTED_VALUE"""),43865.6666666666)</f>
        <v>43865.666666666599</v>
      </c>
      <c r="B1476" s="1">
        <f ca="1">IFERROR(__xludf.DUMMYFUNCTION("""COMPUTED_VALUE"""),72.35)</f>
        <v>72.349999999999994</v>
      </c>
    </row>
    <row r="1477" spans="1:2">
      <c r="A1477" s="3">
        <f ca="1">IFERROR(__xludf.DUMMYFUNCTION("""COMPUTED_VALUE"""),43866.6666666666)</f>
        <v>43866.666666666599</v>
      </c>
      <c r="B1477" s="1">
        <f ca="1">IFERROR(__xludf.DUMMYFUNCTION("""COMPUTED_VALUE"""),72.41)</f>
        <v>72.41</v>
      </c>
    </row>
    <row r="1478" spans="1:2">
      <c r="A1478" s="3">
        <f ca="1">IFERROR(__xludf.DUMMYFUNCTION("""COMPUTED_VALUE"""),43867.6666666666)</f>
        <v>43867.666666666599</v>
      </c>
      <c r="B1478" s="1">
        <f ca="1">IFERROR(__xludf.DUMMYFUNCTION("""COMPUTED_VALUE"""),73.81)</f>
        <v>73.81</v>
      </c>
    </row>
    <row r="1479" spans="1:2">
      <c r="A1479" s="3">
        <f ca="1">IFERROR(__xludf.DUMMYFUNCTION("""COMPUTED_VALUE"""),43868.6666666666)</f>
        <v>43868.666666666599</v>
      </c>
      <c r="B1479" s="1">
        <f ca="1">IFERROR(__xludf.DUMMYFUNCTION("""COMPUTED_VALUE"""),73.96)</f>
        <v>73.959999999999994</v>
      </c>
    </row>
    <row r="1480" spans="1:2">
      <c r="A1480" s="3">
        <f ca="1">IFERROR(__xludf.DUMMYFUNCTION("""COMPUTED_VALUE"""),43871.6666666666)</f>
        <v>43871.666666666599</v>
      </c>
      <c r="B1480" s="1">
        <f ca="1">IFERROR(__xludf.DUMMYFUNCTION("""COMPUTED_VALUE"""),75.43)</f>
        <v>75.430000000000007</v>
      </c>
    </row>
    <row r="1481" spans="1:2">
      <c r="A1481" s="3">
        <f ca="1">IFERROR(__xludf.DUMMYFUNCTION("""COMPUTED_VALUE"""),43872.6666666666)</f>
        <v>43872.666666666599</v>
      </c>
      <c r="B1481" s="1">
        <f ca="1">IFERROR(__xludf.DUMMYFUNCTION("""COMPUTED_VALUE"""),75.44)</f>
        <v>75.44</v>
      </c>
    </row>
    <row r="1482" spans="1:2">
      <c r="A1482" s="3">
        <f ca="1">IFERROR(__xludf.DUMMYFUNCTION("""COMPUTED_VALUE"""),43873.6666666666)</f>
        <v>43873.666666666599</v>
      </c>
      <c r="B1482" s="1">
        <f ca="1">IFERROR(__xludf.DUMMYFUNCTION("""COMPUTED_VALUE"""),75.91)</f>
        <v>75.91</v>
      </c>
    </row>
    <row r="1483" spans="1:2">
      <c r="A1483" s="3">
        <f ca="1">IFERROR(__xludf.DUMMYFUNCTION("""COMPUTED_VALUE"""),43874.6666666666)</f>
        <v>43874.666666666599</v>
      </c>
      <c r="B1483" s="1">
        <f ca="1">IFERROR(__xludf.DUMMYFUNCTION("""COMPUTED_VALUE"""),75.73)</f>
        <v>75.73</v>
      </c>
    </row>
    <row r="1484" spans="1:2">
      <c r="A1484" s="3">
        <f ca="1">IFERROR(__xludf.DUMMYFUNCTION("""COMPUTED_VALUE"""),43875.6666666666)</f>
        <v>43875.666666666599</v>
      </c>
      <c r="B1484" s="1">
        <f ca="1">IFERROR(__xludf.DUMMYFUNCTION("""COMPUTED_VALUE"""),76.04)</f>
        <v>76.040000000000006</v>
      </c>
    </row>
    <row r="1485" spans="1:2">
      <c r="A1485" s="3">
        <f ca="1">IFERROR(__xludf.DUMMYFUNCTION("""COMPUTED_VALUE"""),43879.6666666666)</f>
        <v>43879.666666666599</v>
      </c>
      <c r="B1485" s="1">
        <f ca="1">IFERROR(__xludf.DUMMYFUNCTION("""COMPUTED_VALUE"""),75.98)</f>
        <v>75.98</v>
      </c>
    </row>
    <row r="1486" spans="1:2">
      <c r="A1486" s="3">
        <f ca="1">IFERROR(__xludf.DUMMYFUNCTION("""COMPUTED_VALUE"""),43880.6666666666)</f>
        <v>43880.666666666599</v>
      </c>
      <c r="B1486" s="1">
        <f ca="1">IFERROR(__xludf.DUMMYFUNCTION("""COMPUTED_VALUE"""),76.33)</f>
        <v>76.33</v>
      </c>
    </row>
    <row r="1487" spans="1:2">
      <c r="A1487" s="3">
        <f ca="1">IFERROR(__xludf.DUMMYFUNCTION("""COMPUTED_VALUE"""),43881.6666666666)</f>
        <v>43881.666666666599</v>
      </c>
      <c r="B1487" s="1">
        <f ca="1">IFERROR(__xludf.DUMMYFUNCTION("""COMPUTED_VALUE"""),75.91)</f>
        <v>75.91</v>
      </c>
    </row>
    <row r="1488" spans="1:2">
      <c r="A1488" s="3">
        <f ca="1">IFERROR(__xludf.DUMMYFUNCTION("""COMPUTED_VALUE"""),43882.6666666666)</f>
        <v>43882.666666666599</v>
      </c>
      <c r="B1488" s="1">
        <f ca="1">IFERROR(__xludf.DUMMYFUNCTION("""COMPUTED_VALUE"""),74.26)</f>
        <v>74.260000000000005</v>
      </c>
    </row>
    <row r="1489" spans="1:2">
      <c r="A1489" s="3">
        <f ca="1">IFERROR(__xludf.DUMMYFUNCTION("""COMPUTED_VALUE"""),43885.6666666666)</f>
        <v>43885.666666666599</v>
      </c>
      <c r="B1489" s="1">
        <f ca="1">IFERROR(__xludf.DUMMYFUNCTION("""COMPUTED_VALUE"""),71.08)</f>
        <v>71.08</v>
      </c>
    </row>
    <row r="1490" spans="1:2">
      <c r="A1490" s="3">
        <f ca="1">IFERROR(__xludf.DUMMYFUNCTION("""COMPUTED_VALUE"""),43886.6666666666)</f>
        <v>43886.666666666599</v>
      </c>
      <c r="B1490" s="1">
        <f ca="1">IFERROR(__xludf.DUMMYFUNCTION("""COMPUTED_VALUE"""),69.42)</f>
        <v>69.42</v>
      </c>
    </row>
    <row r="1491" spans="1:2">
      <c r="A1491" s="3">
        <f ca="1">IFERROR(__xludf.DUMMYFUNCTION("""COMPUTED_VALUE"""),43887.6666666666)</f>
        <v>43887.666666666599</v>
      </c>
      <c r="B1491" s="1">
        <f ca="1">IFERROR(__xludf.DUMMYFUNCTION("""COMPUTED_VALUE"""),69.66)</f>
        <v>69.66</v>
      </c>
    </row>
    <row r="1492" spans="1:2">
      <c r="A1492" s="3">
        <f ca="1">IFERROR(__xludf.DUMMYFUNCTION("""COMPUTED_VALUE"""),43888.6666666666)</f>
        <v>43888.666666666599</v>
      </c>
      <c r="B1492" s="1">
        <f ca="1">IFERROR(__xludf.DUMMYFUNCTION("""COMPUTED_VALUE"""),65.9)</f>
        <v>65.900000000000006</v>
      </c>
    </row>
    <row r="1493" spans="1:2">
      <c r="A1493" s="3">
        <f ca="1">IFERROR(__xludf.DUMMYFUNCTION("""COMPUTED_VALUE"""),43889.6666666666)</f>
        <v>43889.666666666599</v>
      </c>
      <c r="B1493" s="1">
        <f ca="1">IFERROR(__xludf.DUMMYFUNCTION("""COMPUTED_VALUE"""),66.97)</f>
        <v>66.97</v>
      </c>
    </row>
    <row r="1494" spans="1:2">
      <c r="A1494" s="3">
        <f ca="1">IFERROR(__xludf.DUMMYFUNCTION("""COMPUTED_VALUE"""),43892.6666666666)</f>
        <v>43892.666666666599</v>
      </c>
      <c r="B1494" s="1">
        <f ca="1">IFERROR(__xludf.DUMMYFUNCTION("""COMPUTED_VALUE"""),69.46)</f>
        <v>69.459999999999994</v>
      </c>
    </row>
    <row r="1495" spans="1:2">
      <c r="A1495" s="3">
        <f ca="1">IFERROR(__xludf.DUMMYFUNCTION("""COMPUTED_VALUE"""),43893.6666666666)</f>
        <v>43893.666666666599</v>
      </c>
      <c r="B1495" s="1">
        <f ca="1">IFERROR(__xludf.DUMMYFUNCTION("""COMPUTED_VALUE"""),67.07)</f>
        <v>67.069999999999993</v>
      </c>
    </row>
    <row r="1496" spans="1:2">
      <c r="A1496" s="3">
        <f ca="1">IFERROR(__xludf.DUMMYFUNCTION("""COMPUTED_VALUE"""),43894.6666666666)</f>
        <v>43894.666666666599</v>
      </c>
      <c r="B1496" s="1">
        <f ca="1">IFERROR(__xludf.DUMMYFUNCTION("""COMPUTED_VALUE"""),69.33)</f>
        <v>69.33</v>
      </c>
    </row>
    <row r="1497" spans="1:2">
      <c r="A1497" s="3">
        <f ca="1">IFERROR(__xludf.DUMMYFUNCTION("""COMPUTED_VALUE"""),43895.6666666666)</f>
        <v>43895.666666666599</v>
      </c>
      <c r="B1497" s="1">
        <f ca="1">IFERROR(__xludf.DUMMYFUNCTION("""COMPUTED_VALUE"""),65.95)</f>
        <v>65.95</v>
      </c>
    </row>
    <row r="1498" spans="1:2">
      <c r="A1498" s="3">
        <f ca="1">IFERROR(__xludf.DUMMYFUNCTION("""COMPUTED_VALUE"""),43896.6666666666)</f>
        <v>43896.666666666599</v>
      </c>
      <c r="B1498" s="1">
        <f ca="1">IFERROR(__xludf.DUMMYFUNCTION("""COMPUTED_VALUE"""),64.92)</f>
        <v>64.92</v>
      </c>
    </row>
    <row r="1499" spans="1:2">
      <c r="A1499" s="3">
        <f ca="1">IFERROR(__xludf.DUMMYFUNCTION("""COMPUTED_VALUE"""),43899.6666666666)</f>
        <v>43899.666666666599</v>
      </c>
      <c r="B1499" s="1">
        <f ca="1">IFERROR(__xludf.DUMMYFUNCTION("""COMPUTED_VALUE"""),60.78)</f>
        <v>60.78</v>
      </c>
    </row>
    <row r="1500" spans="1:2">
      <c r="A1500" s="3">
        <f ca="1">IFERROR(__xludf.DUMMYFUNCTION("""COMPUTED_VALUE"""),43900.6666666666)</f>
        <v>43900.666666666599</v>
      </c>
      <c r="B1500" s="1">
        <f ca="1">IFERROR(__xludf.DUMMYFUNCTION("""COMPUTED_VALUE"""),64.02)</f>
        <v>64.02</v>
      </c>
    </row>
    <row r="1501" spans="1:2">
      <c r="A1501" s="3">
        <f ca="1">IFERROR(__xludf.DUMMYFUNCTION("""COMPUTED_VALUE"""),43901.6666666666)</f>
        <v>43901.666666666599</v>
      </c>
      <c r="B1501" s="1">
        <f ca="1">IFERROR(__xludf.DUMMYFUNCTION("""COMPUTED_VALUE"""),60.77)</f>
        <v>60.77</v>
      </c>
    </row>
    <row r="1502" spans="1:2">
      <c r="A1502" s="3">
        <f ca="1">IFERROR(__xludf.DUMMYFUNCTION("""COMPUTED_VALUE"""),43902.6666666666)</f>
        <v>43902.666666666599</v>
      </c>
      <c r="B1502" s="1">
        <f ca="1">IFERROR(__xludf.DUMMYFUNCTION("""COMPUTED_VALUE"""),55.75)</f>
        <v>55.75</v>
      </c>
    </row>
    <row r="1503" spans="1:2">
      <c r="A1503" s="3">
        <f ca="1">IFERROR(__xludf.DUMMYFUNCTION("""COMPUTED_VALUE"""),43903.6666666666)</f>
        <v>43903.666666666599</v>
      </c>
      <c r="B1503" s="1">
        <f ca="1">IFERROR(__xludf.DUMMYFUNCTION("""COMPUTED_VALUE"""),60.99)</f>
        <v>60.99</v>
      </c>
    </row>
    <row r="1504" spans="1:2">
      <c r="A1504" s="3">
        <f ca="1">IFERROR(__xludf.DUMMYFUNCTION("""COMPUTED_VALUE"""),43906.6666666666)</f>
        <v>43906.666666666599</v>
      </c>
      <c r="B1504" s="1">
        <f ca="1">IFERROR(__xludf.DUMMYFUNCTION("""COMPUTED_VALUE"""),54.22)</f>
        <v>54.22</v>
      </c>
    </row>
    <row r="1505" spans="1:2">
      <c r="A1505" s="3">
        <f ca="1">IFERROR(__xludf.DUMMYFUNCTION("""COMPUTED_VALUE"""),43907.6666666666)</f>
        <v>43907.666666666599</v>
      </c>
      <c r="B1505" s="1">
        <f ca="1">IFERROR(__xludf.DUMMYFUNCTION("""COMPUTED_VALUE"""),55.99)</f>
        <v>55.99</v>
      </c>
    </row>
    <row r="1506" spans="1:2">
      <c r="A1506" s="3">
        <f ca="1">IFERROR(__xludf.DUMMYFUNCTION("""COMPUTED_VALUE"""),43908.6666666666)</f>
        <v>43908.666666666599</v>
      </c>
      <c r="B1506" s="1">
        <f ca="1">IFERROR(__xludf.DUMMYFUNCTION("""COMPUTED_VALUE"""),54.84)</f>
        <v>54.84</v>
      </c>
    </row>
    <row r="1507" spans="1:2">
      <c r="A1507" s="3">
        <f ca="1">IFERROR(__xludf.DUMMYFUNCTION("""COMPUTED_VALUE"""),43909.6666666666)</f>
        <v>43909.666666666599</v>
      </c>
      <c r="B1507" s="1">
        <f ca="1">IFERROR(__xludf.DUMMYFUNCTION("""COMPUTED_VALUE"""),55.76)</f>
        <v>55.76</v>
      </c>
    </row>
    <row r="1508" spans="1:2">
      <c r="A1508" s="3">
        <f ca="1">IFERROR(__xludf.DUMMYFUNCTION("""COMPUTED_VALUE"""),43910.6666666666)</f>
        <v>43910.666666666599</v>
      </c>
      <c r="B1508" s="1">
        <f ca="1">IFERROR(__xludf.DUMMYFUNCTION("""COMPUTED_VALUE"""),53.62)</f>
        <v>53.62</v>
      </c>
    </row>
    <row r="1509" spans="1:2">
      <c r="A1509" s="3">
        <f ca="1">IFERROR(__xludf.DUMMYFUNCTION("""COMPUTED_VALUE"""),43913.6666666666)</f>
        <v>43913.666666666599</v>
      </c>
      <c r="B1509" s="1">
        <f ca="1">IFERROR(__xludf.DUMMYFUNCTION("""COMPUTED_VALUE"""),52.83)</f>
        <v>52.83</v>
      </c>
    </row>
    <row r="1510" spans="1:2">
      <c r="A1510" s="3">
        <f ca="1">IFERROR(__xludf.DUMMYFUNCTION("""COMPUTED_VALUE"""),43914.6666666666)</f>
        <v>43914.666666666599</v>
      </c>
      <c r="B1510" s="1">
        <f ca="1">IFERROR(__xludf.DUMMYFUNCTION("""COMPUTED_VALUE"""),56.72)</f>
        <v>56.72</v>
      </c>
    </row>
    <row r="1511" spans="1:2">
      <c r="A1511" s="3">
        <f ca="1">IFERROR(__xludf.DUMMYFUNCTION("""COMPUTED_VALUE"""),43915.6666666666)</f>
        <v>43915.666666666599</v>
      </c>
      <c r="B1511" s="1">
        <f ca="1">IFERROR(__xludf.DUMMYFUNCTION("""COMPUTED_VALUE"""),55.12)</f>
        <v>55.12</v>
      </c>
    </row>
    <row r="1512" spans="1:2">
      <c r="A1512" s="3">
        <f ca="1">IFERROR(__xludf.DUMMYFUNCTION("""COMPUTED_VALUE"""),43916.6666666666)</f>
        <v>43916.666666666599</v>
      </c>
      <c r="B1512" s="1">
        <f ca="1">IFERROR(__xludf.DUMMYFUNCTION("""COMPUTED_VALUE"""),58.09)</f>
        <v>58.09</v>
      </c>
    </row>
    <row r="1513" spans="1:2">
      <c r="A1513" s="3">
        <f ca="1">IFERROR(__xludf.DUMMYFUNCTION("""COMPUTED_VALUE"""),43917.6666666666)</f>
        <v>43917.666666666599</v>
      </c>
      <c r="B1513" s="1">
        <f ca="1">IFERROR(__xludf.DUMMYFUNCTION("""COMPUTED_VALUE"""),55.54)</f>
        <v>55.54</v>
      </c>
    </row>
    <row r="1514" spans="1:2">
      <c r="A1514" s="3">
        <f ca="1">IFERROR(__xludf.DUMMYFUNCTION("""COMPUTED_VALUE"""),43920.6666666666)</f>
        <v>43920.666666666599</v>
      </c>
      <c r="B1514" s="1">
        <f ca="1">IFERROR(__xludf.DUMMYFUNCTION("""COMPUTED_VALUE"""),57.34)</f>
        <v>57.34</v>
      </c>
    </row>
    <row r="1515" spans="1:2">
      <c r="A1515" s="3">
        <f ca="1">IFERROR(__xludf.DUMMYFUNCTION("""COMPUTED_VALUE"""),43921.6666666666)</f>
        <v>43921.666666666599</v>
      </c>
      <c r="B1515" s="1">
        <f ca="1">IFERROR(__xludf.DUMMYFUNCTION("""COMPUTED_VALUE"""),58.14)</f>
        <v>58.14</v>
      </c>
    </row>
    <row r="1516" spans="1:2">
      <c r="A1516" s="3">
        <f ca="1">IFERROR(__xludf.DUMMYFUNCTION("""COMPUTED_VALUE"""),43922.6666666666)</f>
        <v>43922.666666666599</v>
      </c>
      <c r="B1516" s="1">
        <f ca="1">IFERROR(__xludf.DUMMYFUNCTION("""COMPUTED_VALUE"""),55.28)</f>
        <v>55.28</v>
      </c>
    </row>
    <row r="1517" spans="1:2">
      <c r="A1517" s="3">
        <f ca="1">IFERROR(__xludf.DUMMYFUNCTION("""COMPUTED_VALUE"""),43923.6666666666)</f>
        <v>43923.666666666599</v>
      </c>
      <c r="B1517" s="1">
        <f ca="1">IFERROR(__xludf.DUMMYFUNCTION("""COMPUTED_VALUE"""),56.04)</f>
        <v>56.04</v>
      </c>
    </row>
    <row r="1518" spans="1:2">
      <c r="A1518" s="3">
        <f ca="1">IFERROR(__xludf.DUMMYFUNCTION("""COMPUTED_VALUE"""),43924.6666666666)</f>
        <v>43924.666666666599</v>
      </c>
      <c r="B1518" s="1">
        <f ca="1">IFERROR(__xludf.DUMMYFUNCTION("""COMPUTED_VALUE"""),54.89)</f>
        <v>54.89</v>
      </c>
    </row>
    <row r="1519" spans="1:2">
      <c r="A1519" s="3">
        <f ca="1">IFERROR(__xludf.DUMMYFUNCTION("""COMPUTED_VALUE"""),43927.6666666666)</f>
        <v>43927.666666666599</v>
      </c>
      <c r="B1519" s="1">
        <f ca="1">IFERROR(__xludf.DUMMYFUNCTION("""COMPUTED_VALUE"""),59.35)</f>
        <v>59.35</v>
      </c>
    </row>
    <row r="1520" spans="1:2">
      <c r="A1520" s="3">
        <f ca="1">IFERROR(__xludf.DUMMYFUNCTION("""COMPUTED_VALUE"""),43928.6666666666)</f>
        <v>43928.666666666599</v>
      </c>
      <c r="B1520" s="1">
        <f ca="1">IFERROR(__xludf.DUMMYFUNCTION("""COMPUTED_VALUE"""),59.33)</f>
        <v>59.33</v>
      </c>
    </row>
    <row r="1521" spans="1:2">
      <c r="A1521" s="3">
        <f ca="1">IFERROR(__xludf.DUMMYFUNCTION("""COMPUTED_VALUE"""),43929.6666666666)</f>
        <v>43929.666666666599</v>
      </c>
      <c r="B1521" s="1">
        <f ca="1">IFERROR(__xludf.DUMMYFUNCTION("""COMPUTED_VALUE"""),60.51)</f>
        <v>60.51</v>
      </c>
    </row>
    <row r="1522" spans="1:2">
      <c r="A1522" s="3">
        <f ca="1">IFERROR(__xludf.DUMMYFUNCTION("""COMPUTED_VALUE"""),43930.6666666666)</f>
        <v>43930.666666666599</v>
      </c>
      <c r="B1522" s="1">
        <f ca="1">IFERROR(__xludf.DUMMYFUNCTION("""COMPUTED_VALUE"""),60.57)</f>
        <v>60.57</v>
      </c>
    </row>
    <row r="1523" spans="1:2">
      <c r="A1523" s="3">
        <f ca="1">IFERROR(__xludf.DUMMYFUNCTION("""COMPUTED_VALUE"""),43934.6666666666)</f>
        <v>43934.666666666599</v>
      </c>
      <c r="B1523" s="1">
        <f ca="1">IFERROR(__xludf.DUMMYFUNCTION("""COMPUTED_VALUE"""),60.88)</f>
        <v>60.88</v>
      </c>
    </row>
    <row r="1524" spans="1:2">
      <c r="A1524" s="3">
        <f ca="1">IFERROR(__xludf.DUMMYFUNCTION("""COMPUTED_VALUE"""),43935.6666666666)</f>
        <v>43935.666666666599</v>
      </c>
      <c r="B1524" s="1">
        <f ca="1">IFERROR(__xludf.DUMMYFUNCTION("""COMPUTED_VALUE"""),63.46)</f>
        <v>63.46</v>
      </c>
    </row>
    <row r="1525" spans="1:2">
      <c r="A1525" s="3">
        <f ca="1">IFERROR(__xludf.DUMMYFUNCTION("""COMPUTED_VALUE"""),43936.6666666666)</f>
        <v>43936.666666666599</v>
      </c>
      <c r="B1525" s="1">
        <f ca="1">IFERROR(__xludf.DUMMYFUNCTION("""COMPUTED_VALUE"""),63.12)</f>
        <v>63.12</v>
      </c>
    </row>
    <row r="1526" spans="1:2">
      <c r="A1526" s="3">
        <f ca="1">IFERROR(__xludf.DUMMYFUNCTION("""COMPUTED_VALUE"""),43937.6666666666)</f>
        <v>43937.666666666599</v>
      </c>
      <c r="B1526" s="1">
        <f ca="1">IFERROR(__xludf.DUMMYFUNCTION("""COMPUTED_VALUE"""),63.17)</f>
        <v>63.17</v>
      </c>
    </row>
    <row r="1527" spans="1:2">
      <c r="A1527" s="3">
        <f ca="1">IFERROR(__xludf.DUMMYFUNCTION("""COMPUTED_VALUE"""),43938.6666666666)</f>
        <v>43938.666666666599</v>
      </c>
      <c r="B1527" s="1">
        <f ca="1">IFERROR(__xludf.DUMMYFUNCTION("""COMPUTED_VALUE"""),64.16)</f>
        <v>64.16</v>
      </c>
    </row>
    <row r="1528" spans="1:2">
      <c r="A1528" s="3">
        <f ca="1">IFERROR(__xludf.DUMMYFUNCTION("""COMPUTED_VALUE"""),43941.6666666666)</f>
        <v>43941.666666666599</v>
      </c>
      <c r="B1528" s="1">
        <f ca="1">IFERROR(__xludf.DUMMYFUNCTION("""COMPUTED_VALUE"""),63.33)</f>
        <v>63.33</v>
      </c>
    </row>
    <row r="1529" spans="1:2">
      <c r="A1529" s="3">
        <f ca="1">IFERROR(__xludf.DUMMYFUNCTION("""COMPUTED_VALUE"""),43942.6666666666)</f>
        <v>43942.666666666599</v>
      </c>
      <c r="B1529" s="1">
        <f ca="1">IFERROR(__xludf.DUMMYFUNCTION("""COMPUTED_VALUE"""),60.82)</f>
        <v>60.82</v>
      </c>
    </row>
    <row r="1530" spans="1:2">
      <c r="A1530" s="3">
        <f ca="1">IFERROR(__xludf.DUMMYFUNCTION("""COMPUTED_VALUE"""),43943.6666666666)</f>
        <v>43943.666666666599</v>
      </c>
      <c r="B1530" s="1">
        <f ca="1">IFERROR(__xludf.DUMMYFUNCTION("""COMPUTED_VALUE"""),63.16)</f>
        <v>63.16</v>
      </c>
    </row>
    <row r="1531" spans="1:2">
      <c r="A1531" s="3">
        <f ca="1">IFERROR(__xludf.DUMMYFUNCTION("""COMPUTED_VALUE"""),43944.6666666666)</f>
        <v>43944.666666666599</v>
      </c>
      <c r="B1531" s="1">
        <f ca="1">IFERROR(__xludf.DUMMYFUNCTION("""COMPUTED_VALUE"""),63.82)</f>
        <v>63.82</v>
      </c>
    </row>
    <row r="1532" spans="1:2">
      <c r="A1532" s="3">
        <f ca="1">IFERROR(__xludf.DUMMYFUNCTION("""COMPUTED_VALUE"""),43945.6666666666)</f>
        <v>43945.666666666599</v>
      </c>
      <c r="B1532" s="1">
        <f ca="1">IFERROR(__xludf.DUMMYFUNCTION("""COMPUTED_VALUE"""),63.97)</f>
        <v>63.97</v>
      </c>
    </row>
    <row r="1533" spans="1:2">
      <c r="A1533" s="3">
        <f ca="1">IFERROR(__xludf.DUMMYFUNCTION("""COMPUTED_VALUE"""),43948.6666666666)</f>
        <v>43948.666666666599</v>
      </c>
      <c r="B1533" s="1">
        <f ca="1">IFERROR(__xludf.DUMMYFUNCTION("""COMPUTED_VALUE"""),63.79)</f>
        <v>63.79</v>
      </c>
    </row>
    <row r="1534" spans="1:2">
      <c r="A1534" s="3">
        <f ca="1">IFERROR(__xludf.DUMMYFUNCTION("""COMPUTED_VALUE"""),43949.6666666666)</f>
        <v>43949.666666666599</v>
      </c>
      <c r="B1534" s="1">
        <f ca="1">IFERROR(__xludf.DUMMYFUNCTION("""COMPUTED_VALUE"""),61.68)</f>
        <v>61.68</v>
      </c>
    </row>
    <row r="1535" spans="1:2">
      <c r="A1535" s="3">
        <f ca="1">IFERROR(__xludf.DUMMYFUNCTION("""COMPUTED_VALUE"""),43950.6666666666)</f>
        <v>43950.666666666599</v>
      </c>
      <c r="B1535" s="1">
        <f ca="1">IFERROR(__xludf.DUMMYFUNCTION("""COMPUTED_VALUE"""),67.07)</f>
        <v>67.069999999999993</v>
      </c>
    </row>
    <row r="1536" spans="1:2">
      <c r="A1536" s="3">
        <f ca="1">IFERROR(__xludf.DUMMYFUNCTION("""COMPUTED_VALUE"""),43951.6666666666)</f>
        <v>43951.666666666599</v>
      </c>
      <c r="B1536" s="1">
        <f ca="1">IFERROR(__xludf.DUMMYFUNCTION("""COMPUTED_VALUE"""),67.43)</f>
        <v>67.430000000000007</v>
      </c>
    </row>
    <row r="1537" spans="1:2">
      <c r="A1537" s="3">
        <f ca="1">IFERROR(__xludf.DUMMYFUNCTION("""COMPUTED_VALUE"""),43952.6666666666)</f>
        <v>43952.666666666599</v>
      </c>
      <c r="B1537" s="1">
        <f ca="1">IFERROR(__xludf.DUMMYFUNCTION("""COMPUTED_VALUE"""),66.03)</f>
        <v>66.03</v>
      </c>
    </row>
    <row r="1538" spans="1:2">
      <c r="A1538" s="3">
        <f ca="1">IFERROR(__xludf.DUMMYFUNCTION("""COMPUTED_VALUE"""),43955.6666666666)</f>
        <v>43955.666666666599</v>
      </c>
      <c r="B1538" s="1">
        <f ca="1">IFERROR(__xludf.DUMMYFUNCTION("""COMPUTED_VALUE"""),66.34)</f>
        <v>66.34</v>
      </c>
    </row>
    <row r="1539" spans="1:2">
      <c r="A1539" s="3">
        <f ca="1">IFERROR(__xludf.DUMMYFUNCTION("""COMPUTED_VALUE"""),43956.6666666666)</f>
        <v>43956.666666666599</v>
      </c>
      <c r="B1539" s="1">
        <f ca="1">IFERROR(__xludf.DUMMYFUNCTION("""COMPUTED_VALUE"""),67.56)</f>
        <v>67.56</v>
      </c>
    </row>
    <row r="1540" spans="1:2">
      <c r="A1540" s="3">
        <f ca="1">IFERROR(__xludf.DUMMYFUNCTION("""COMPUTED_VALUE"""),43957.6666666666)</f>
        <v>43957.666666666599</v>
      </c>
      <c r="B1540" s="1">
        <f ca="1">IFERROR(__xludf.DUMMYFUNCTION("""COMPUTED_VALUE"""),67.36)</f>
        <v>67.36</v>
      </c>
    </row>
    <row r="1541" spans="1:2">
      <c r="A1541" s="3">
        <f ca="1">IFERROR(__xludf.DUMMYFUNCTION("""COMPUTED_VALUE"""),43958.6666666666)</f>
        <v>43958.666666666599</v>
      </c>
      <c r="B1541" s="1">
        <f ca="1">IFERROR(__xludf.DUMMYFUNCTION("""COMPUTED_VALUE"""),68.63)</f>
        <v>68.63</v>
      </c>
    </row>
    <row r="1542" spans="1:2">
      <c r="A1542" s="3">
        <f ca="1">IFERROR(__xludf.DUMMYFUNCTION("""COMPUTED_VALUE"""),43959.6666666666)</f>
        <v>43959.666666666599</v>
      </c>
      <c r="B1542" s="1">
        <f ca="1">IFERROR(__xludf.DUMMYFUNCTION("""COMPUTED_VALUE"""),69.42)</f>
        <v>69.42</v>
      </c>
    </row>
    <row r="1543" spans="1:2">
      <c r="A1543" s="3">
        <f ca="1">IFERROR(__xludf.DUMMYFUNCTION("""COMPUTED_VALUE"""),43962.6666666666)</f>
        <v>43962.666666666599</v>
      </c>
      <c r="B1543" s="1">
        <f ca="1">IFERROR(__xludf.DUMMYFUNCTION("""COMPUTED_VALUE"""),70.16)</f>
        <v>70.16</v>
      </c>
    </row>
    <row r="1544" spans="1:2">
      <c r="A1544" s="3">
        <f ca="1">IFERROR(__xludf.DUMMYFUNCTION("""COMPUTED_VALUE"""),43963.6666666666)</f>
        <v>43963.666666666599</v>
      </c>
      <c r="B1544" s="1">
        <f ca="1">IFERROR(__xludf.DUMMYFUNCTION("""COMPUTED_VALUE"""),68.79)</f>
        <v>68.790000000000006</v>
      </c>
    </row>
    <row r="1545" spans="1:2">
      <c r="A1545" s="3">
        <f ca="1">IFERROR(__xludf.DUMMYFUNCTION("""COMPUTED_VALUE"""),43964.6666666666)</f>
        <v>43964.666666666599</v>
      </c>
      <c r="B1545" s="1">
        <f ca="1">IFERROR(__xludf.DUMMYFUNCTION("""COMPUTED_VALUE"""),67.47)</f>
        <v>67.47</v>
      </c>
    </row>
    <row r="1546" spans="1:2">
      <c r="A1546" s="3">
        <f ca="1">IFERROR(__xludf.DUMMYFUNCTION("""COMPUTED_VALUE"""),43965.6666666666)</f>
        <v>43965.666666666599</v>
      </c>
      <c r="B1546" s="1">
        <f ca="1">IFERROR(__xludf.DUMMYFUNCTION("""COMPUTED_VALUE"""),67.81)</f>
        <v>67.81</v>
      </c>
    </row>
    <row r="1547" spans="1:2">
      <c r="A1547" s="3">
        <f ca="1">IFERROR(__xludf.DUMMYFUNCTION("""COMPUTED_VALUE"""),43966.6666666666)</f>
        <v>43966.666666666599</v>
      </c>
      <c r="B1547" s="1">
        <f ca="1">IFERROR(__xludf.DUMMYFUNCTION("""COMPUTED_VALUE"""),68.66)</f>
        <v>68.66</v>
      </c>
    </row>
    <row r="1548" spans="1:2">
      <c r="A1548" s="3">
        <f ca="1">IFERROR(__xludf.DUMMYFUNCTION("""COMPUTED_VALUE"""),43969.6666666666)</f>
        <v>43969.666666666599</v>
      </c>
      <c r="B1548" s="1">
        <f ca="1">IFERROR(__xludf.DUMMYFUNCTION("""COMPUTED_VALUE"""),69.2)</f>
        <v>69.2</v>
      </c>
    </row>
    <row r="1549" spans="1:2">
      <c r="A1549" s="3">
        <f ca="1">IFERROR(__xludf.DUMMYFUNCTION("""COMPUTED_VALUE"""),43970.6666666666)</f>
        <v>43970.666666666599</v>
      </c>
      <c r="B1549" s="1">
        <f ca="1">IFERROR(__xludf.DUMMYFUNCTION("""COMPUTED_VALUE"""),68.67)</f>
        <v>68.67</v>
      </c>
    </row>
    <row r="1550" spans="1:2">
      <c r="A1550" s="3">
        <f ca="1">IFERROR(__xludf.DUMMYFUNCTION("""COMPUTED_VALUE"""),43971.6666666666)</f>
        <v>43971.666666666599</v>
      </c>
      <c r="B1550" s="1">
        <f ca="1">IFERROR(__xludf.DUMMYFUNCTION("""COMPUTED_VALUE"""),70.34)</f>
        <v>70.34</v>
      </c>
    </row>
    <row r="1551" spans="1:2">
      <c r="A1551" s="3">
        <f ca="1">IFERROR(__xludf.DUMMYFUNCTION("""COMPUTED_VALUE"""),43972.6666666666)</f>
        <v>43972.666666666599</v>
      </c>
      <c r="B1551" s="1">
        <f ca="1">IFERROR(__xludf.DUMMYFUNCTION("""COMPUTED_VALUE"""),70.14)</f>
        <v>70.14</v>
      </c>
    </row>
    <row r="1552" spans="1:2">
      <c r="A1552" s="3">
        <f ca="1">IFERROR(__xludf.DUMMYFUNCTION("""COMPUTED_VALUE"""),43973.6666666666)</f>
        <v>43973.666666666599</v>
      </c>
      <c r="B1552" s="1">
        <f ca="1">IFERROR(__xludf.DUMMYFUNCTION("""COMPUTED_VALUE"""),70.52)</f>
        <v>70.52</v>
      </c>
    </row>
    <row r="1553" spans="1:2">
      <c r="A1553" s="3">
        <f ca="1">IFERROR(__xludf.DUMMYFUNCTION("""COMPUTED_VALUE"""),43977.6666666666)</f>
        <v>43977.666666666599</v>
      </c>
      <c r="B1553" s="1">
        <f ca="1">IFERROR(__xludf.DUMMYFUNCTION("""COMPUTED_VALUE"""),70.85)</f>
        <v>70.849999999999994</v>
      </c>
    </row>
    <row r="1554" spans="1:2">
      <c r="A1554" s="3">
        <f ca="1">IFERROR(__xludf.DUMMYFUNCTION("""COMPUTED_VALUE"""),43978.6666666666)</f>
        <v>43978.666666666599</v>
      </c>
      <c r="B1554" s="1">
        <f ca="1">IFERROR(__xludf.DUMMYFUNCTION("""COMPUTED_VALUE"""),70.89)</f>
        <v>70.89</v>
      </c>
    </row>
    <row r="1555" spans="1:2">
      <c r="A1555" s="3">
        <f ca="1">IFERROR(__xludf.DUMMYFUNCTION("""COMPUTED_VALUE"""),43979.6666666666)</f>
        <v>43979.666666666599</v>
      </c>
      <c r="B1555" s="1">
        <f ca="1">IFERROR(__xludf.DUMMYFUNCTION("""COMPUTED_VALUE"""),70.84)</f>
        <v>70.84</v>
      </c>
    </row>
    <row r="1556" spans="1:2">
      <c r="A1556" s="3">
        <f ca="1">IFERROR(__xludf.DUMMYFUNCTION("""COMPUTED_VALUE"""),43980.6666666666)</f>
        <v>43980.666666666599</v>
      </c>
      <c r="B1556" s="1">
        <f ca="1">IFERROR(__xludf.DUMMYFUNCTION("""COMPUTED_VALUE"""),71.45)</f>
        <v>71.45</v>
      </c>
    </row>
    <row r="1557" spans="1:2">
      <c r="A1557" s="3">
        <f ca="1">IFERROR(__xludf.DUMMYFUNCTION("""COMPUTED_VALUE"""),43983.6666666666)</f>
        <v>43983.666666666599</v>
      </c>
      <c r="B1557" s="1">
        <f ca="1">IFERROR(__xludf.DUMMYFUNCTION("""COMPUTED_VALUE"""),71.59)</f>
        <v>71.59</v>
      </c>
    </row>
    <row r="1558" spans="1:2">
      <c r="A1558" s="3">
        <f ca="1">IFERROR(__xludf.DUMMYFUNCTION("""COMPUTED_VALUE"""),43984.6666666666)</f>
        <v>43984.666666666599</v>
      </c>
      <c r="B1558" s="1">
        <f ca="1">IFERROR(__xludf.DUMMYFUNCTION("""COMPUTED_VALUE"""),71.96)</f>
        <v>71.959999999999994</v>
      </c>
    </row>
    <row r="1559" spans="1:2">
      <c r="A1559" s="3">
        <f ca="1">IFERROR(__xludf.DUMMYFUNCTION("""COMPUTED_VALUE"""),43985.6666666666)</f>
        <v>43985.666666666599</v>
      </c>
      <c r="B1559" s="1">
        <f ca="1">IFERROR(__xludf.DUMMYFUNCTION("""COMPUTED_VALUE"""),71.82)</f>
        <v>71.819999999999993</v>
      </c>
    </row>
    <row r="1560" spans="1:2">
      <c r="A1560" s="3">
        <f ca="1">IFERROR(__xludf.DUMMYFUNCTION("""COMPUTED_VALUE"""),43986.6666666666)</f>
        <v>43986.666666666599</v>
      </c>
      <c r="B1560" s="1">
        <f ca="1">IFERROR(__xludf.DUMMYFUNCTION("""COMPUTED_VALUE"""),70.61)</f>
        <v>70.61</v>
      </c>
    </row>
    <row r="1561" spans="1:2">
      <c r="A1561" s="3">
        <f ca="1">IFERROR(__xludf.DUMMYFUNCTION("""COMPUTED_VALUE"""),43987.6666666666)</f>
        <v>43987.666666666599</v>
      </c>
      <c r="B1561" s="1">
        <f ca="1">IFERROR(__xludf.DUMMYFUNCTION("""COMPUTED_VALUE"""),71.92)</f>
        <v>71.92</v>
      </c>
    </row>
    <row r="1562" spans="1:2">
      <c r="A1562" s="3">
        <f ca="1">IFERROR(__xludf.DUMMYFUNCTION("""COMPUTED_VALUE"""),43990.6666666666)</f>
        <v>43990.666666666599</v>
      </c>
      <c r="B1562" s="1">
        <f ca="1">IFERROR(__xludf.DUMMYFUNCTION("""COMPUTED_VALUE"""),72.33)</f>
        <v>72.33</v>
      </c>
    </row>
    <row r="1563" spans="1:2">
      <c r="A1563" s="3">
        <f ca="1">IFERROR(__xludf.DUMMYFUNCTION("""COMPUTED_VALUE"""),43991.6666666666)</f>
        <v>43991.666666666599</v>
      </c>
      <c r="B1563" s="1">
        <f ca="1">IFERROR(__xludf.DUMMYFUNCTION("""COMPUTED_VALUE"""),72.81)</f>
        <v>72.81</v>
      </c>
    </row>
    <row r="1564" spans="1:2">
      <c r="A1564" s="3">
        <f ca="1">IFERROR(__xludf.DUMMYFUNCTION("""COMPUTED_VALUE"""),43992.6666666666)</f>
        <v>43992.666666666599</v>
      </c>
      <c r="B1564" s="1">
        <f ca="1">IFERROR(__xludf.DUMMYFUNCTION("""COMPUTED_VALUE"""),73.29)</f>
        <v>73.290000000000006</v>
      </c>
    </row>
    <row r="1565" spans="1:2">
      <c r="A1565" s="3">
        <f ca="1">IFERROR(__xludf.DUMMYFUNCTION("""COMPUTED_VALUE"""),43993.6666666666)</f>
        <v>43993.666666666599</v>
      </c>
      <c r="B1565" s="1">
        <f ca="1">IFERROR(__xludf.DUMMYFUNCTION("""COMPUTED_VALUE"""),70.19)</f>
        <v>70.19</v>
      </c>
    </row>
    <row r="1566" spans="1:2">
      <c r="A1566" s="3">
        <f ca="1">IFERROR(__xludf.DUMMYFUNCTION("""COMPUTED_VALUE"""),43994.6666666666)</f>
        <v>43994.666666666599</v>
      </c>
      <c r="B1566" s="1">
        <f ca="1">IFERROR(__xludf.DUMMYFUNCTION("""COMPUTED_VALUE"""),70.66)</f>
        <v>70.66</v>
      </c>
    </row>
    <row r="1567" spans="1:2">
      <c r="A1567" s="3">
        <f ca="1">IFERROR(__xludf.DUMMYFUNCTION("""COMPUTED_VALUE"""),43997.6666666666)</f>
        <v>43997.666666666599</v>
      </c>
      <c r="B1567" s="1">
        <f ca="1">IFERROR(__xludf.DUMMYFUNCTION("""COMPUTED_VALUE"""),70.99)</f>
        <v>70.989999999999995</v>
      </c>
    </row>
    <row r="1568" spans="1:2">
      <c r="A1568" s="3">
        <f ca="1">IFERROR(__xludf.DUMMYFUNCTION("""COMPUTED_VALUE"""),43998.6666666666)</f>
        <v>43998.666666666599</v>
      </c>
      <c r="B1568" s="1">
        <f ca="1">IFERROR(__xludf.DUMMYFUNCTION("""COMPUTED_VALUE"""),72.14)</f>
        <v>72.14</v>
      </c>
    </row>
    <row r="1569" spans="1:2">
      <c r="A1569" s="3">
        <f ca="1">IFERROR(__xludf.DUMMYFUNCTION("""COMPUTED_VALUE"""),43999.6666666666)</f>
        <v>43999.666666666599</v>
      </c>
      <c r="B1569" s="1">
        <f ca="1">IFERROR(__xludf.DUMMYFUNCTION("""COMPUTED_VALUE"""),72.56)</f>
        <v>72.56</v>
      </c>
    </row>
    <row r="1570" spans="1:2">
      <c r="A1570" s="3">
        <f ca="1">IFERROR(__xludf.DUMMYFUNCTION("""COMPUTED_VALUE"""),44000.6666666666)</f>
        <v>44000.666666666599</v>
      </c>
      <c r="B1570" s="1">
        <f ca="1">IFERROR(__xludf.DUMMYFUNCTION("""COMPUTED_VALUE"""),71.8)</f>
        <v>71.8</v>
      </c>
    </row>
    <row r="1571" spans="1:2">
      <c r="A1571" s="3">
        <f ca="1">IFERROR(__xludf.DUMMYFUNCTION("""COMPUTED_VALUE"""),44001.6666666666)</f>
        <v>44001.666666666599</v>
      </c>
      <c r="B1571" s="1">
        <f ca="1">IFERROR(__xludf.DUMMYFUNCTION("""COMPUTED_VALUE"""),71.59)</f>
        <v>71.59</v>
      </c>
    </row>
    <row r="1572" spans="1:2">
      <c r="A1572" s="3">
        <f ca="1">IFERROR(__xludf.DUMMYFUNCTION("""COMPUTED_VALUE"""),44004.6666666666)</f>
        <v>44004.666666666599</v>
      </c>
      <c r="B1572" s="1">
        <f ca="1">IFERROR(__xludf.DUMMYFUNCTION("""COMPUTED_VALUE"""),72.59)</f>
        <v>72.59</v>
      </c>
    </row>
    <row r="1573" spans="1:2">
      <c r="A1573" s="3">
        <f ca="1">IFERROR(__xludf.DUMMYFUNCTION("""COMPUTED_VALUE"""),44005.6666666666)</f>
        <v>44005.666666666599</v>
      </c>
      <c r="B1573" s="1">
        <f ca="1">IFERROR(__xludf.DUMMYFUNCTION("""COMPUTED_VALUE"""),73.22)</f>
        <v>73.22</v>
      </c>
    </row>
    <row r="1574" spans="1:2">
      <c r="A1574" s="3">
        <f ca="1">IFERROR(__xludf.DUMMYFUNCTION("""COMPUTED_VALUE"""),44006.6666666666)</f>
        <v>44006.666666666599</v>
      </c>
      <c r="B1574" s="1">
        <f ca="1">IFERROR(__xludf.DUMMYFUNCTION("""COMPUTED_VALUE"""),71.6)</f>
        <v>71.599999999999994</v>
      </c>
    </row>
    <row r="1575" spans="1:2">
      <c r="A1575" s="3">
        <f ca="1">IFERROR(__xludf.DUMMYFUNCTION("""COMPUTED_VALUE"""),44007.6666666666)</f>
        <v>44007.666666666599</v>
      </c>
      <c r="B1575" s="1">
        <f ca="1">IFERROR(__xludf.DUMMYFUNCTION("""COMPUTED_VALUE"""),72.07)</f>
        <v>72.069999999999993</v>
      </c>
    </row>
    <row r="1576" spans="1:2">
      <c r="A1576" s="3">
        <f ca="1">IFERROR(__xludf.DUMMYFUNCTION("""COMPUTED_VALUE"""),44008.6666666666)</f>
        <v>44008.666666666599</v>
      </c>
      <c r="B1576" s="1">
        <f ca="1">IFERROR(__xludf.DUMMYFUNCTION("""COMPUTED_VALUE"""),68)</f>
        <v>68</v>
      </c>
    </row>
    <row r="1577" spans="1:2">
      <c r="A1577" s="3">
        <f ca="1">IFERROR(__xludf.DUMMYFUNCTION("""COMPUTED_VALUE"""),44011.6666666666)</f>
        <v>44011.666666666599</v>
      </c>
      <c r="B1577" s="1">
        <f ca="1">IFERROR(__xludf.DUMMYFUNCTION("""COMPUTED_VALUE"""),69.75)</f>
        <v>69.75</v>
      </c>
    </row>
    <row r="1578" spans="1:2">
      <c r="A1578" s="3">
        <f ca="1">IFERROR(__xludf.DUMMYFUNCTION("""COMPUTED_VALUE"""),44012.6666666666)</f>
        <v>44012.666666666599</v>
      </c>
      <c r="B1578" s="1">
        <f ca="1">IFERROR(__xludf.DUMMYFUNCTION("""COMPUTED_VALUE"""),70.68)</f>
        <v>70.680000000000007</v>
      </c>
    </row>
    <row r="1579" spans="1:2">
      <c r="A1579" s="3">
        <f ca="1">IFERROR(__xludf.DUMMYFUNCTION("""COMPUTED_VALUE"""),44013.6666666666)</f>
        <v>44013.666666666599</v>
      </c>
      <c r="B1579" s="1">
        <f ca="1">IFERROR(__xludf.DUMMYFUNCTION("""COMPUTED_VALUE"""),71.9)</f>
        <v>71.900000000000006</v>
      </c>
    </row>
    <row r="1580" spans="1:2">
      <c r="A1580" s="3">
        <f ca="1">IFERROR(__xludf.DUMMYFUNCTION("""COMPUTED_VALUE"""),44014.6666666666)</f>
        <v>44014.666666666599</v>
      </c>
      <c r="B1580" s="1">
        <f ca="1">IFERROR(__xludf.DUMMYFUNCTION("""COMPUTED_VALUE"""),73.24)</f>
        <v>73.239999999999995</v>
      </c>
    </row>
    <row r="1581" spans="1:2">
      <c r="A1581" s="3">
        <f ca="1">IFERROR(__xludf.DUMMYFUNCTION("""COMPUTED_VALUE"""),44018.6666666666)</f>
        <v>44018.666666666599</v>
      </c>
      <c r="B1581" s="1">
        <f ca="1">IFERROR(__xludf.DUMMYFUNCTION("""COMPUTED_VALUE"""),74.79)</f>
        <v>74.790000000000006</v>
      </c>
    </row>
    <row r="1582" spans="1:2">
      <c r="A1582" s="3">
        <f ca="1">IFERROR(__xludf.DUMMYFUNCTION("""COMPUTED_VALUE"""),44019.6666666666)</f>
        <v>44019.666666666599</v>
      </c>
      <c r="B1582" s="1">
        <f ca="1">IFERROR(__xludf.DUMMYFUNCTION("""COMPUTED_VALUE"""),74.26)</f>
        <v>74.260000000000005</v>
      </c>
    </row>
    <row r="1583" spans="1:2">
      <c r="A1583" s="3">
        <f ca="1">IFERROR(__xludf.DUMMYFUNCTION("""COMPUTED_VALUE"""),44020.6666666666)</f>
        <v>44020.666666666599</v>
      </c>
      <c r="B1583" s="1">
        <f ca="1">IFERROR(__xludf.DUMMYFUNCTION("""COMPUTED_VALUE"""),74.8)</f>
        <v>74.8</v>
      </c>
    </row>
    <row r="1584" spans="1:2">
      <c r="A1584" s="3">
        <f ca="1">IFERROR(__xludf.DUMMYFUNCTION("""COMPUTED_VALUE"""),44021.6666666666)</f>
        <v>44021.666666666599</v>
      </c>
      <c r="B1584" s="1">
        <f ca="1">IFERROR(__xludf.DUMMYFUNCTION("""COMPUTED_VALUE"""),75.55)</f>
        <v>75.55</v>
      </c>
    </row>
    <row r="1585" spans="1:2">
      <c r="A1585" s="3">
        <f ca="1">IFERROR(__xludf.DUMMYFUNCTION("""COMPUTED_VALUE"""),44022.6666666666)</f>
        <v>44022.666666666599</v>
      </c>
      <c r="B1585" s="1">
        <f ca="1">IFERROR(__xludf.DUMMYFUNCTION("""COMPUTED_VALUE"""),77.09)</f>
        <v>77.09</v>
      </c>
    </row>
    <row r="1586" spans="1:2">
      <c r="A1586" s="3">
        <f ca="1">IFERROR(__xludf.DUMMYFUNCTION("""COMPUTED_VALUE"""),44025.6666666666)</f>
        <v>44025.666666666599</v>
      </c>
      <c r="B1586" s="1">
        <f ca="1">IFERROR(__xludf.DUMMYFUNCTION("""COMPUTED_VALUE"""),75.57)</f>
        <v>75.569999999999993</v>
      </c>
    </row>
    <row r="1587" spans="1:2">
      <c r="A1587" s="3">
        <f ca="1">IFERROR(__xludf.DUMMYFUNCTION("""COMPUTED_VALUE"""),44026.6666666666)</f>
        <v>44026.666666666599</v>
      </c>
      <c r="B1587" s="1">
        <f ca="1">IFERROR(__xludf.DUMMYFUNCTION("""COMPUTED_VALUE"""),76.03)</f>
        <v>76.03</v>
      </c>
    </row>
    <row r="1588" spans="1:2">
      <c r="A1588" s="3">
        <f ca="1">IFERROR(__xludf.DUMMYFUNCTION("""COMPUTED_VALUE"""),44027.6666666666)</f>
        <v>44027.666666666599</v>
      </c>
      <c r="B1588" s="1">
        <f ca="1">IFERROR(__xludf.DUMMYFUNCTION("""COMPUTED_VALUE"""),75.68)</f>
        <v>75.680000000000007</v>
      </c>
    </row>
    <row r="1589" spans="1:2">
      <c r="A1589" s="3">
        <f ca="1">IFERROR(__xludf.DUMMYFUNCTION("""COMPUTED_VALUE"""),44028.6666666666)</f>
        <v>44028.666666666599</v>
      </c>
      <c r="B1589" s="1">
        <f ca="1">IFERROR(__xludf.DUMMYFUNCTION("""COMPUTED_VALUE"""),75.9)</f>
        <v>75.900000000000006</v>
      </c>
    </row>
    <row r="1590" spans="1:2">
      <c r="A1590" s="3">
        <f ca="1">IFERROR(__xludf.DUMMYFUNCTION("""COMPUTED_VALUE"""),44029.6666666666)</f>
        <v>44029.666666666599</v>
      </c>
      <c r="B1590" s="1">
        <f ca="1">IFERROR(__xludf.DUMMYFUNCTION("""COMPUTED_VALUE"""),75.78)</f>
        <v>75.78</v>
      </c>
    </row>
    <row r="1591" spans="1:2">
      <c r="A1591" s="3">
        <f ca="1">IFERROR(__xludf.DUMMYFUNCTION("""COMPUTED_VALUE"""),44032.6666666666)</f>
        <v>44032.666666666599</v>
      </c>
      <c r="B1591" s="1">
        <f ca="1">IFERROR(__xludf.DUMMYFUNCTION("""COMPUTED_VALUE"""),78.29)</f>
        <v>78.290000000000006</v>
      </c>
    </row>
    <row r="1592" spans="1:2">
      <c r="A1592" s="3">
        <f ca="1">IFERROR(__xludf.DUMMYFUNCTION("""COMPUTED_VALUE"""),44033.6666666666)</f>
        <v>44033.666666666599</v>
      </c>
      <c r="B1592" s="1">
        <f ca="1">IFERROR(__xludf.DUMMYFUNCTION("""COMPUTED_VALUE"""),77.92)</f>
        <v>77.92</v>
      </c>
    </row>
    <row r="1593" spans="1:2">
      <c r="A1593" s="3">
        <f ca="1">IFERROR(__xludf.DUMMYFUNCTION("""COMPUTED_VALUE"""),44034.6666666666)</f>
        <v>44034.666666666599</v>
      </c>
      <c r="B1593" s="1">
        <f ca="1">IFERROR(__xludf.DUMMYFUNCTION("""COMPUTED_VALUE"""),78.42)</f>
        <v>78.42</v>
      </c>
    </row>
    <row r="1594" spans="1:2">
      <c r="A1594" s="3">
        <f ca="1">IFERROR(__xludf.DUMMYFUNCTION("""COMPUTED_VALUE"""),44035.6666666666)</f>
        <v>44035.666666666599</v>
      </c>
      <c r="B1594" s="1">
        <f ca="1">IFERROR(__xludf.DUMMYFUNCTION("""COMPUTED_VALUE"""),75.78)</f>
        <v>75.78</v>
      </c>
    </row>
    <row r="1595" spans="1:2">
      <c r="A1595" s="3">
        <f ca="1">IFERROR(__xludf.DUMMYFUNCTION("""COMPUTED_VALUE"""),44036.6666666666)</f>
        <v>44036.666666666599</v>
      </c>
      <c r="B1595" s="1">
        <f ca="1">IFERROR(__xludf.DUMMYFUNCTION("""COMPUTED_VALUE"""),75.59)</f>
        <v>75.59</v>
      </c>
    </row>
    <row r="1596" spans="1:2">
      <c r="A1596" s="3">
        <f ca="1">IFERROR(__xludf.DUMMYFUNCTION("""COMPUTED_VALUE"""),44039.6666666666)</f>
        <v>44039.666666666599</v>
      </c>
      <c r="B1596" s="1">
        <f ca="1">IFERROR(__xludf.DUMMYFUNCTION("""COMPUTED_VALUE"""),76.51)</f>
        <v>76.510000000000005</v>
      </c>
    </row>
    <row r="1597" spans="1:2">
      <c r="A1597" s="3">
        <f ca="1">IFERROR(__xludf.DUMMYFUNCTION("""COMPUTED_VALUE"""),44040.6666666666)</f>
        <v>44040.666666666599</v>
      </c>
      <c r="B1597" s="1">
        <f ca="1">IFERROR(__xludf.DUMMYFUNCTION("""COMPUTED_VALUE"""),75.02)</f>
        <v>75.02</v>
      </c>
    </row>
    <row r="1598" spans="1:2">
      <c r="A1598" s="3">
        <f ca="1">IFERROR(__xludf.DUMMYFUNCTION("""COMPUTED_VALUE"""),44041.6666666666)</f>
        <v>44041.666666666599</v>
      </c>
      <c r="B1598" s="1">
        <f ca="1">IFERROR(__xludf.DUMMYFUNCTION("""COMPUTED_VALUE"""),76.1)</f>
        <v>76.099999999999994</v>
      </c>
    </row>
    <row r="1599" spans="1:2">
      <c r="A1599" s="3">
        <f ca="1">IFERROR(__xludf.DUMMYFUNCTION("""COMPUTED_VALUE"""),44042.6666666666)</f>
        <v>44042.666666666599</v>
      </c>
      <c r="B1599" s="1">
        <f ca="1">IFERROR(__xludf.DUMMYFUNCTION("""COMPUTED_VALUE"""),76.57)</f>
        <v>76.569999999999993</v>
      </c>
    </row>
    <row r="1600" spans="1:2">
      <c r="A1600" s="3">
        <f ca="1">IFERROR(__xludf.DUMMYFUNCTION("""COMPUTED_VALUE"""),44043.6666666666)</f>
        <v>44043.666666666599</v>
      </c>
      <c r="B1600" s="1">
        <f ca="1">IFERROR(__xludf.DUMMYFUNCTION("""COMPUTED_VALUE"""),74.15)</f>
        <v>74.150000000000006</v>
      </c>
    </row>
    <row r="1601" spans="1:2">
      <c r="A1601" s="3">
        <f ca="1">IFERROR(__xludf.DUMMYFUNCTION("""COMPUTED_VALUE"""),44046.6666666666)</f>
        <v>44046.666666666599</v>
      </c>
      <c r="B1601" s="1">
        <f ca="1">IFERROR(__xludf.DUMMYFUNCTION("""COMPUTED_VALUE"""),73.72)</f>
        <v>73.72</v>
      </c>
    </row>
    <row r="1602" spans="1:2">
      <c r="A1602" s="3">
        <f ca="1">IFERROR(__xludf.DUMMYFUNCTION("""COMPUTED_VALUE"""),44047.6666666666)</f>
        <v>44047.666666666599</v>
      </c>
      <c r="B1602" s="1">
        <f ca="1">IFERROR(__xludf.DUMMYFUNCTION("""COMPUTED_VALUE"""),73.25)</f>
        <v>73.25</v>
      </c>
    </row>
    <row r="1603" spans="1:2">
      <c r="A1603" s="3">
        <f ca="1">IFERROR(__xludf.DUMMYFUNCTION("""COMPUTED_VALUE"""),44048.6666666666)</f>
        <v>44048.666666666599</v>
      </c>
      <c r="B1603" s="1">
        <f ca="1">IFERROR(__xludf.DUMMYFUNCTION("""COMPUTED_VALUE"""),73.68)</f>
        <v>73.680000000000007</v>
      </c>
    </row>
    <row r="1604" spans="1:2">
      <c r="A1604" s="3">
        <f ca="1">IFERROR(__xludf.DUMMYFUNCTION("""COMPUTED_VALUE"""),44049.6666666666)</f>
        <v>44049.666666666599</v>
      </c>
      <c r="B1604" s="1">
        <f ca="1">IFERROR(__xludf.DUMMYFUNCTION("""COMPUTED_VALUE"""),75.01)</f>
        <v>75.010000000000005</v>
      </c>
    </row>
    <row r="1605" spans="1:2">
      <c r="A1605" s="3">
        <f ca="1">IFERROR(__xludf.DUMMYFUNCTION("""COMPUTED_VALUE"""),44050.6666666666)</f>
        <v>44050.666666666599</v>
      </c>
      <c r="B1605" s="1">
        <f ca="1">IFERROR(__xludf.DUMMYFUNCTION("""COMPUTED_VALUE"""),74.72)</f>
        <v>74.72</v>
      </c>
    </row>
    <row r="1606" spans="1:2">
      <c r="A1606" s="3">
        <f ca="1">IFERROR(__xludf.DUMMYFUNCTION("""COMPUTED_VALUE"""),44053.6666666666)</f>
        <v>44053.666666666599</v>
      </c>
      <c r="B1606" s="1">
        <f ca="1">IFERROR(__xludf.DUMMYFUNCTION("""COMPUTED_VALUE"""),74.81)</f>
        <v>74.81</v>
      </c>
    </row>
    <row r="1607" spans="1:2">
      <c r="A1607" s="3">
        <f ca="1">IFERROR(__xludf.DUMMYFUNCTION("""COMPUTED_VALUE"""),44054.6666666666)</f>
        <v>44054.666666666599</v>
      </c>
      <c r="B1607" s="1">
        <f ca="1">IFERROR(__xludf.DUMMYFUNCTION("""COMPUTED_VALUE"""),74.02)</f>
        <v>74.02</v>
      </c>
    </row>
    <row r="1608" spans="1:2">
      <c r="A1608" s="3">
        <f ca="1">IFERROR(__xludf.DUMMYFUNCTION("""COMPUTED_VALUE"""),44055.6666666666)</f>
        <v>44055.666666666599</v>
      </c>
      <c r="B1608" s="1">
        <f ca="1">IFERROR(__xludf.DUMMYFUNCTION("""COMPUTED_VALUE"""),75.33)</f>
        <v>75.33</v>
      </c>
    </row>
    <row r="1609" spans="1:2">
      <c r="A1609" s="3">
        <f ca="1">IFERROR(__xludf.DUMMYFUNCTION("""COMPUTED_VALUE"""),44056.6666666666)</f>
        <v>44056.666666666599</v>
      </c>
      <c r="B1609" s="1">
        <f ca="1">IFERROR(__xludf.DUMMYFUNCTION("""COMPUTED_VALUE"""),75.92)</f>
        <v>75.92</v>
      </c>
    </row>
    <row r="1610" spans="1:2">
      <c r="A1610" s="3">
        <f ca="1">IFERROR(__xludf.DUMMYFUNCTION("""COMPUTED_VALUE"""),44057.6666666666)</f>
        <v>44057.666666666599</v>
      </c>
      <c r="B1610" s="1">
        <f ca="1">IFERROR(__xludf.DUMMYFUNCTION("""COMPUTED_VALUE"""),75.39)</f>
        <v>75.39</v>
      </c>
    </row>
    <row r="1611" spans="1:2">
      <c r="A1611" s="3">
        <f ca="1">IFERROR(__xludf.DUMMYFUNCTION("""COMPUTED_VALUE"""),44060.6666666666)</f>
        <v>44060.666666666599</v>
      </c>
      <c r="B1611" s="1">
        <f ca="1">IFERROR(__xludf.DUMMYFUNCTION("""COMPUTED_VALUE"""),75.9)</f>
        <v>75.900000000000006</v>
      </c>
    </row>
    <row r="1612" spans="1:2">
      <c r="A1612" s="3">
        <f ca="1">IFERROR(__xludf.DUMMYFUNCTION("""COMPUTED_VALUE"""),44061.6666666666)</f>
        <v>44061.666666666599</v>
      </c>
      <c r="B1612" s="1">
        <f ca="1">IFERROR(__xludf.DUMMYFUNCTION("""COMPUTED_VALUE"""),77.93)</f>
        <v>77.930000000000007</v>
      </c>
    </row>
    <row r="1613" spans="1:2">
      <c r="A1613" s="3">
        <f ca="1">IFERROR(__xludf.DUMMYFUNCTION("""COMPUTED_VALUE"""),44062.6666666666)</f>
        <v>44062.666666666599</v>
      </c>
      <c r="B1613" s="1">
        <f ca="1">IFERROR(__xludf.DUMMYFUNCTION("""COMPUTED_VALUE"""),77.38)</f>
        <v>77.38</v>
      </c>
    </row>
    <row r="1614" spans="1:2">
      <c r="A1614" s="3">
        <f ca="1">IFERROR(__xludf.DUMMYFUNCTION("""COMPUTED_VALUE"""),44063.6666666666)</f>
        <v>44063.666666666599</v>
      </c>
      <c r="B1614" s="1">
        <f ca="1">IFERROR(__xludf.DUMMYFUNCTION("""COMPUTED_VALUE"""),79.09)</f>
        <v>79.09</v>
      </c>
    </row>
    <row r="1615" spans="1:2">
      <c r="A1615" s="3">
        <f ca="1">IFERROR(__xludf.DUMMYFUNCTION("""COMPUTED_VALUE"""),44064.6666666666)</f>
        <v>44064.666666666599</v>
      </c>
      <c r="B1615" s="1">
        <f ca="1">IFERROR(__xludf.DUMMYFUNCTION("""COMPUTED_VALUE"""),79.02)</f>
        <v>79.02</v>
      </c>
    </row>
    <row r="1616" spans="1:2">
      <c r="A1616" s="3">
        <f ca="1">IFERROR(__xludf.DUMMYFUNCTION("""COMPUTED_VALUE"""),44067.6666666666)</f>
        <v>44067.666666666599</v>
      </c>
      <c r="B1616" s="1">
        <f ca="1">IFERROR(__xludf.DUMMYFUNCTION("""COMPUTED_VALUE"""),79.41)</f>
        <v>79.41</v>
      </c>
    </row>
    <row r="1617" spans="1:2">
      <c r="A1617" s="3">
        <f ca="1">IFERROR(__xludf.DUMMYFUNCTION("""COMPUTED_VALUE"""),44068.6666666666)</f>
        <v>44068.666666666599</v>
      </c>
      <c r="B1617" s="1">
        <f ca="1">IFERROR(__xludf.DUMMYFUNCTION("""COMPUTED_VALUE"""),80.41)</f>
        <v>80.41</v>
      </c>
    </row>
    <row r="1618" spans="1:2">
      <c r="A1618" s="3">
        <f ca="1">IFERROR(__xludf.DUMMYFUNCTION("""COMPUTED_VALUE"""),44069.6666666666)</f>
        <v>44069.666666666599</v>
      </c>
      <c r="B1618" s="1">
        <f ca="1">IFERROR(__xludf.DUMMYFUNCTION("""COMPUTED_VALUE"""),82.62)</f>
        <v>82.62</v>
      </c>
    </row>
    <row r="1619" spans="1:2">
      <c r="A1619" s="3">
        <f ca="1">IFERROR(__xludf.DUMMYFUNCTION("""COMPUTED_VALUE"""),44070.6666666666)</f>
        <v>44070.666666666599</v>
      </c>
      <c r="B1619" s="1">
        <f ca="1">IFERROR(__xludf.DUMMYFUNCTION("""COMPUTED_VALUE"""),81.72)</f>
        <v>81.72</v>
      </c>
    </row>
    <row r="1620" spans="1:2">
      <c r="A1620" s="3">
        <f ca="1">IFERROR(__xludf.DUMMYFUNCTION("""COMPUTED_VALUE"""),44071.6666666666)</f>
        <v>44071.666666666599</v>
      </c>
      <c r="B1620" s="1">
        <f ca="1">IFERROR(__xludf.DUMMYFUNCTION("""COMPUTED_VALUE"""),82.22)</f>
        <v>82.22</v>
      </c>
    </row>
    <row r="1621" spans="1:2">
      <c r="A1621" s="3">
        <f ca="1">IFERROR(__xludf.DUMMYFUNCTION("""COMPUTED_VALUE"""),44074.6666666666)</f>
        <v>44074.666666666599</v>
      </c>
      <c r="B1621" s="1">
        <f ca="1">IFERROR(__xludf.DUMMYFUNCTION("""COMPUTED_VALUE"""),81.71)</f>
        <v>81.709999999999994</v>
      </c>
    </row>
    <row r="1622" spans="1:2">
      <c r="A1622" s="3">
        <f ca="1">IFERROR(__xludf.DUMMYFUNCTION("""COMPUTED_VALUE"""),44075.6666666666)</f>
        <v>44075.666666666599</v>
      </c>
      <c r="B1622" s="1">
        <f ca="1">IFERROR(__xludf.DUMMYFUNCTION("""COMPUTED_VALUE"""),83.04)</f>
        <v>83.04</v>
      </c>
    </row>
    <row r="1623" spans="1:2">
      <c r="A1623" s="3">
        <f ca="1">IFERROR(__xludf.DUMMYFUNCTION("""COMPUTED_VALUE"""),44076.6666666666)</f>
        <v>44076.666666666599</v>
      </c>
      <c r="B1623" s="1">
        <f ca="1">IFERROR(__xludf.DUMMYFUNCTION("""COMPUTED_VALUE"""),86.41)</f>
        <v>86.41</v>
      </c>
    </row>
    <row r="1624" spans="1:2">
      <c r="A1624" s="3">
        <f ca="1">IFERROR(__xludf.DUMMYFUNCTION("""COMPUTED_VALUE"""),44077.6666666666)</f>
        <v>44077.666666666599</v>
      </c>
      <c r="B1624" s="1">
        <f ca="1">IFERROR(__xludf.DUMMYFUNCTION("""COMPUTED_VALUE"""),82.09)</f>
        <v>82.09</v>
      </c>
    </row>
    <row r="1625" spans="1:2">
      <c r="A1625" s="3">
        <f ca="1">IFERROR(__xludf.DUMMYFUNCTION("""COMPUTED_VALUE"""),44078.6666666666)</f>
        <v>44078.666666666599</v>
      </c>
      <c r="B1625" s="1">
        <f ca="1">IFERROR(__xludf.DUMMYFUNCTION("""COMPUTED_VALUE"""),79.55)</f>
        <v>79.55</v>
      </c>
    </row>
    <row r="1626" spans="1:2">
      <c r="A1626" s="3">
        <f ca="1">IFERROR(__xludf.DUMMYFUNCTION("""COMPUTED_VALUE"""),44082.6666666666)</f>
        <v>44082.666666666599</v>
      </c>
      <c r="B1626" s="1">
        <f ca="1">IFERROR(__xludf.DUMMYFUNCTION("""COMPUTED_VALUE"""),76.62)</f>
        <v>76.62</v>
      </c>
    </row>
    <row r="1627" spans="1:2">
      <c r="A1627" s="3">
        <f ca="1">IFERROR(__xludf.DUMMYFUNCTION("""COMPUTED_VALUE"""),44083.6666666666)</f>
        <v>44083.666666666599</v>
      </c>
      <c r="B1627" s="1">
        <f ca="1">IFERROR(__xludf.DUMMYFUNCTION("""COMPUTED_VALUE"""),77.85)</f>
        <v>77.849999999999994</v>
      </c>
    </row>
    <row r="1628" spans="1:2">
      <c r="A1628" s="3">
        <f ca="1">IFERROR(__xludf.DUMMYFUNCTION("""COMPUTED_VALUE"""),44084.6666666666)</f>
        <v>44084.666666666599</v>
      </c>
      <c r="B1628" s="1">
        <f ca="1">IFERROR(__xludf.DUMMYFUNCTION("""COMPUTED_VALUE"""),76.6)</f>
        <v>76.599999999999994</v>
      </c>
    </row>
    <row r="1629" spans="1:2">
      <c r="A1629" s="3">
        <f ca="1">IFERROR(__xludf.DUMMYFUNCTION("""COMPUTED_VALUE"""),44085.6666666666)</f>
        <v>44085.666666666599</v>
      </c>
      <c r="B1629" s="1">
        <f ca="1">IFERROR(__xludf.DUMMYFUNCTION("""COMPUTED_VALUE"""),76.04)</f>
        <v>76.040000000000006</v>
      </c>
    </row>
    <row r="1630" spans="1:2">
      <c r="A1630" s="3">
        <f ca="1">IFERROR(__xludf.DUMMYFUNCTION("""COMPUTED_VALUE"""),44088.6666666666)</f>
        <v>44088.666666666599</v>
      </c>
      <c r="B1630" s="1">
        <f ca="1">IFERROR(__xludf.DUMMYFUNCTION("""COMPUTED_VALUE"""),75.96)</f>
        <v>75.959999999999994</v>
      </c>
    </row>
    <row r="1631" spans="1:2">
      <c r="A1631" s="3">
        <f ca="1">IFERROR(__xludf.DUMMYFUNCTION("""COMPUTED_VALUE"""),44089.6666666666)</f>
        <v>44089.666666666599</v>
      </c>
      <c r="B1631" s="1">
        <f ca="1">IFERROR(__xludf.DUMMYFUNCTION("""COMPUTED_VALUE"""),77.07)</f>
        <v>77.069999999999993</v>
      </c>
    </row>
    <row r="1632" spans="1:2">
      <c r="A1632" s="3">
        <f ca="1">IFERROR(__xludf.DUMMYFUNCTION("""COMPUTED_VALUE"""),44090.6666666666)</f>
        <v>44090.666666666599</v>
      </c>
      <c r="B1632" s="1">
        <f ca="1">IFERROR(__xludf.DUMMYFUNCTION("""COMPUTED_VALUE"""),76.05)</f>
        <v>76.05</v>
      </c>
    </row>
    <row r="1633" spans="1:2">
      <c r="A1633" s="3">
        <f ca="1">IFERROR(__xludf.DUMMYFUNCTION("""COMPUTED_VALUE"""),44091.6666666666)</f>
        <v>44091.666666666599</v>
      </c>
      <c r="B1633" s="1">
        <f ca="1">IFERROR(__xludf.DUMMYFUNCTION("""COMPUTED_VALUE"""),74.78)</f>
        <v>74.78</v>
      </c>
    </row>
    <row r="1634" spans="1:2">
      <c r="A1634" s="3">
        <f ca="1">IFERROR(__xludf.DUMMYFUNCTION("""COMPUTED_VALUE"""),44092.6666666666)</f>
        <v>44092.666666666599</v>
      </c>
      <c r="B1634" s="1">
        <f ca="1">IFERROR(__xludf.DUMMYFUNCTION("""COMPUTED_VALUE"""),73)</f>
        <v>73</v>
      </c>
    </row>
    <row r="1635" spans="1:2">
      <c r="A1635" s="3">
        <f ca="1">IFERROR(__xludf.DUMMYFUNCTION("""COMPUTED_VALUE"""),44095.6666666666)</f>
        <v>44095.666666666599</v>
      </c>
      <c r="B1635" s="1">
        <f ca="1">IFERROR(__xludf.DUMMYFUNCTION("""COMPUTED_VALUE"""),71.56)</f>
        <v>71.56</v>
      </c>
    </row>
    <row r="1636" spans="1:2">
      <c r="A1636" s="3">
        <f ca="1">IFERROR(__xludf.DUMMYFUNCTION("""COMPUTED_VALUE"""),44096.6666666666)</f>
        <v>44096.666666666599</v>
      </c>
      <c r="B1636" s="1">
        <f ca="1">IFERROR(__xludf.DUMMYFUNCTION("""COMPUTED_VALUE"""),73.27)</f>
        <v>73.27</v>
      </c>
    </row>
    <row r="1637" spans="1:2">
      <c r="A1637" s="3">
        <f ca="1">IFERROR(__xludf.DUMMYFUNCTION("""COMPUTED_VALUE"""),44097.6666666666)</f>
        <v>44097.666666666599</v>
      </c>
      <c r="B1637" s="1">
        <f ca="1">IFERROR(__xludf.DUMMYFUNCTION("""COMPUTED_VALUE"""),70.76)</f>
        <v>70.760000000000005</v>
      </c>
    </row>
    <row r="1638" spans="1:2">
      <c r="A1638" s="3">
        <f ca="1">IFERROR(__xludf.DUMMYFUNCTION("""COMPUTED_VALUE"""),44098.6666666666)</f>
        <v>44098.666666666599</v>
      </c>
      <c r="B1638" s="1">
        <f ca="1">IFERROR(__xludf.DUMMYFUNCTION("""COMPUTED_VALUE"""),71.41)</f>
        <v>71.41</v>
      </c>
    </row>
    <row r="1639" spans="1:2">
      <c r="A1639" s="3">
        <f ca="1">IFERROR(__xludf.DUMMYFUNCTION("""COMPUTED_VALUE"""),44099.6666666666)</f>
        <v>44099.666666666599</v>
      </c>
      <c r="B1639" s="1">
        <f ca="1">IFERROR(__xludf.DUMMYFUNCTION("""COMPUTED_VALUE"""),72.25)</f>
        <v>72.25</v>
      </c>
    </row>
    <row r="1640" spans="1:2">
      <c r="A1640" s="3">
        <f ca="1">IFERROR(__xludf.DUMMYFUNCTION("""COMPUTED_VALUE"""),44102.6666666666)</f>
        <v>44102.666666666599</v>
      </c>
      <c r="B1640" s="1">
        <f ca="1">IFERROR(__xludf.DUMMYFUNCTION("""COMPUTED_VALUE"""),73.23)</f>
        <v>73.23</v>
      </c>
    </row>
    <row r="1641" spans="1:2">
      <c r="A1641" s="3">
        <f ca="1">IFERROR(__xludf.DUMMYFUNCTION("""COMPUTED_VALUE"""),44103.6666666666)</f>
        <v>44103.666666666599</v>
      </c>
      <c r="B1641" s="1">
        <f ca="1">IFERROR(__xludf.DUMMYFUNCTION("""COMPUTED_VALUE"""),73.47)</f>
        <v>73.47</v>
      </c>
    </row>
    <row r="1642" spans="1:2">
      <c r="A1642" s="3">
        <f ca="1">IFERROR(__xludf.DUMMYFUNCTION("""COMPUTED_VALUE"""),44104.6666666666)</f>
        <v>44104.666666666599</v>
      </c>
      <c r="B1642" s="1">
        <f ca="1">IFERROR(__xludf.DUMMYFUNCTION("""COMPUTED_VALUE"""),73.48)</f>
        <v>73.48</v>
      </c>
    </row>
    <row r="1643" spans="1:2">
      <c r="A1643" s="3">
        <f ca="1">IFERROR(__xludf.DUMMYFUNCTION("""COMPUTED_VALUE"""),44105.6666666666)</f>
        <v>44105.666666666599</v>
      </c>
      <c r="B1643" s="1">
        <f ca="1">IFERROR(__xludf.DUMMYFUNCTION("""COMPUTED_VALUE"""),74.5)</f>
        <v>74.5</v>
      </c>
    </row>
    <row r="1644" spans="1:2">
      <c r="A1644" s="3">
        <f ca="1">IFERROR(__xludf.DUMMYFUNCTION("""COMPUTED_VALUE"""),44106.6666666666)</f>
        <v>44106.666666666599</v>
      </c>
      <c r="B1644" s="1">
        <f ca="1">IFERROR(__xludf.DUMMYFUNCTION("""COMPUTED_VALUE"""),72.92)</f>
        <v>72.92</v>
      </c>
    </row>
    <row r="1645" spans="1:2">
      <c r="A1645" s="3">
        <f ca="1">IFERROR(__xludf.DUMMYFUNCTION("""COMPUTED_VALUE"""),44109.6666666666)</f>
        <v>44109.666666666599</v>
      </c>
      <c r="B1645" s="1">
        <f ca="1">IFERROR(__xludf.DUMMYFUNCTION("""COMPUTED_VALUE"""),74.3)</f>
        <v>74.3</v>
      </c>
    </row>
    <row r="1646" spans="1:2">
      <c r="A1646" s="3">
        <f ca="1">IFERROR(__xludf.DUMMYFUNCTION("""COMPUTED_VALUE"""),44110.6666666666)</f>
        <v>44110.666666666599</v>
      </c>
      <c r="B1646" s="1">
        <f ca="1">IFERROR(__xludf.DUMMYFUNCTION("""COMPUTED_VALUE"""),72.67)</f>
        <v>72.67</v>
      </c>
    </row>
    <row r="1647" spans="1:2">
      <c r="A1647" s="3">
        <f ca="1">IFERROR(__xludf.DUMMYFUNCTION("""COMPUTED_VALUE"""),44111.6666666666)</f>
        <v>44111.666666666599</v>
      </c>
      <c r="B1647" s="1">
        <f ca="1">IFERROR(__xludf.DUMMYFUNCTION("""COMPUTED_VALUE"""),73.01)</f>
        <v>73.010000000000005</v>
      </c>
    </row>
    <row r="1648" spans="1:2">
      <c r="A1648" s="3">
        <f ca="1">IFERROR(__xludf.DUMMYFUNCTION("""COMPUTED_VALUE"""),44112.6666666666)</f>
        <v>44112.666666666599</v>
      </c>
      <c r="B1648" s="1">
        <f ca="1">IFERROR(__xludf.DUMMYFUNCTION("""COMPUTED_VALUE"""),74.3)</f>
        <v>74.3</v>
      </c>
    </row>
    <row r="1649" spans="1:2">
      <c r="A1649" s="3">
        <f ca="1">IFERROR(__xludf.DUMMYFUNCTION("""COMPUTED_VALUE"""),44113.6666666666)</f>
        <v>44113.666666666599</v>
      </c>
      <c r="B1649" s="1">
        <f ca="1">IFERROR(__xludf.DUMMYFUNCTION("""COMPUTED_VALUE"""),75.76)</f>
        <v>75.760000000000005</v>
      </c>
    </row>
    <row r="1650" spans="1:2">
      <c r="A1650" s="3">
        <f ca="1">IFERROR(__xludf.DUMMYFUNCTION("""COMPUTED_VALUE"""),44116.6666666666)</f>
        <v>44116.666666666599</v>
      </c>
      <c r="B1650" s="1">
        <f ca="1">IFERROR(__xludf.DUMMYFUNCTION("""COMPUTED_VALUE"""),78.46)</f>
        <v>78.459999999999994</v>
      </c>
    </row>
    <row r="1651" spans="1:2">
      <c r="A1651" s="3">
        <f ca="1">IFERROR(__xludf.DUMMYFUNCTION("""COMPUTED_VALUE"""),44117.6666666666)</f>
        <v>44117.666666666599</v>
      </c>
      <c r="B1651" s="1">
        <f ca="1">IFERROR(__xludf.DUMMYFUNCTION("""COMPUTED_VALUE"""),78.58)</f>
        <v>78.58</v>
      </c>
    </row>
    <row r="1652" spans="1:2">
      <c r="A1652" s="3">
        <f ca="1">IFERROR(__xludf.DUMMYFUNCTION("""COMPUTED_VALUE"""),44118.6666666666)</f>
        <v>44118.666666666599</v>
      </c>
      <c r="B1652" s="1">
        <f ca="1">IFERROR(__xludf.DUMMYFUNCTION("""COMPUTED_VALUE"""),78.4)</f>
        <v>78.400000000000006</v>
      </c>
    </row>
    <row r="1653" spans="1:2">
      <c r="A1653" s="3">
        <f ca="1">IFERROR(__xludf.DUMMYFUNCTION("""COMPUTED_VALUE"""),44119.6666666666)</f>
        <v>44119.666666666599</v>
      </c>
      <c r="B1653" s="1">
        <f ca="1">IFERROR(__xludf.DUMMYFUNCTION("""COMPUTED_VALUE"""),77.96)</f>
        <v>77.959999999999994</v>
      </c>
    </row>
    <row r="1654" spans="1:2">
      <c r="A1654" s="3">
        <f ca="1">IFERROR(__xludf.DUMMYFUNCTION("""COMPUTED_VALUE"""),44120.6666666666)</f>
        <v>44120.666666666599</v>
      </c>
      <c r="B1654" s="1">
        <f ca="1">IFERROR(__xludf.DUMMYFUNCTION("""COMPUTED_VALUE"""),78.65)</f>
        <v>78.650000000000006</v>
      </c>
    </row>
    <row r="1655" spans="1:2">
      <c r="A1655" s="3">
        <f ca="1">IFERROR(__xludf.DUMMYFUNCTION("""COMPUTED_VALUE"""),44123.6666666666)</f>
        <v>44123.666666666599</v>
      </c>
      <c r="B1655" s="1">
        <f ca="1">IFERROR(__xludf.DUMMYFUNCTION("""COMPUTED_VALUE"""),76.73)</f>
        <v>76.73</v>
      </c>
    </row>
    <row r="1656" spans="1:2">
      <c r="A1656" s="3">
        <f ca="1">IFERROR(__xludf.DUMMYFUNCTION("""COMPUTED_VALUE"""),44124.6666666666)</f>
        <v>44124.666666666599</v>
      </c>
      <c r="B1656" s="1">
        <f ca="1">IFERROR(__xludf.DUMMYFUNCTION("""COMPUTED_VALUE"""),77.8)</f>
        <v>77.8</v>
      </c>
    </row>
    <row r="1657" spans="1:2">
      <c r="A1657" s="3">
        <f ca="1">IFERROR(__xludf.DUMMYFUNCTION("""COMPUTED_VALUE"""),44125.6666666666)</f>
        <v>44125.666666666599</v>
      </c>
      <c r="B1657" s="1">
        <f ca="1">IFERROR(__xludf.DUMMYFUNCTION("""COMPUTED_VALUE"""),79.67)</f>
        <v>79.67</v>
      </c>
    </row>
    <row r="1658" spans="1:2">
      <c r="A1658" s="3">
        <f ca="1">IFERROR(__xludf.DUMMYFUNCTION("""COMPUTED_VALUE"""),44126.6666666666)</f>
        <v>44126.666666666599</v>
      </c>
      <c r="B1658" s="1">
        <f ca="1">IFERROR(__xludf.DUMMYFUNCTION("""COMPUTED_VALUE"""),80.77)</f>
        <v>80.77</v>
      </c>
    </row>
    <row r="1659" spans="1:2">
      <c r="A1659" s="3">
        <f ca="1">IFERROR(__xludf.DUMMYFUNCTION("""COMPUTED_VALUE"""),44127.6666666666)</f>
        <v>44127.666666666599</v>
      </c>
      <c r="B1659" s="1">
        <f ca="1">IFERROR(__xludf.DUMMYFUNCTION("""COMPUTED_VALUE"""),82.05)</f>
        <v>82.05</v>
      </c>
    </row>
    <row r="1660" spans="1:2">
      <c r="A1660" s="3">
        <f ca="1">IFERROR(__xludf.DUMMYFUNCTION("""COMPUTED_VALUE"""),44130.6666666666)</f>
        <v>44130.666666666599</v>
      </c>
      <c r="B1660" s="1">
        <f ca="1">IFERROR(__xludf.DUMMYFUNCTION("""COMPUTED_VALUE"""),79.52)</f>
        <v>79.52</v>
      </c>
    </row>
    <row r="1661" spans="1:2">
      <c r="A1661" s="3">
        <f ca="1">IFERROR(__xludf.DUMMYFUNCTION("""COMPUTED_VALUE"""),44131.6666666666)</f>
        <v>44131.666666666599</v>
      </c>
      <c r="B1661" s="1">
        <f ca="1">IFERROR(__xludf.DUMMYFUNCTION("""COMPUTED_VALUE"""),80.21)</f>
        <v>80.209999999999994</v>
      </c>
    </row>
    <row r="1662" spans="1:2">
      <c r="A1662" s="3">
        <f ca="1">IFERROR(__xludf.DUMMYFUNCTION("""COMPUTED_VALUE"""),44132.6666666666)</f>
        <v>44132.666666666599</v>
      </c>
      <c r="B1662" s="1">
        <f ca="1">IFERROR(__xludf.DUMMYFUNCTION("""COMPUTED_VALUE"""),75.83)</f>
        <v>75.83</v>
      </c>
    </row>
    <row r="1663" spans="1:2">
      <c r="A1663" s="3">
        <f ca="1">IFERROR(__xludf.DUMMYFUNCTION("""COMPUTED_VALUE"""),44133.6666666666)</f>
        <v>44133.666666666599</v>
      </c>
      <c r="B1663" s="1">
        <f ca="1">IFERROR(__xludf.DUMMYFUNCTION("""COMPUTED_VALUE"""),78.36)</f>
        <v>78.36</v>
      </c>
    </row>
    <row r="1664" spans="1:2">
      <c r="A1664" s="3">
        <f ca="1">IFERROR(__xludf.DUMMYFUNCTION("""COMPUTED_VALUE"""),44134.6666666666)</f>
        <v>44134.666666666599</v>
      </c>
      <c r="B1664" s="1">
        <f ca="1">IFERROR(__xludf.DUMMYFUNCTION("""COMPUTED_VALUE"""),81.05)</f>
        <v>81.05</v>
      </c>
    </row>
    <row r="1665" spans="1:2">
      <c r="A1665" s="3">
        <f ca="1">IFERROR(__xludf.DUMMYFUNCTION("""COMPUTED_VALUE"""),44137.6666666666)</f>
        <v>44137.666666666599</v>
      </c>
      <c r="B1665" s="1">
        <f ca="1">IFERROR(__xludf.DUMMYFUNCTION("""COMPUTED_VALUE"""),81.3)</f>
        <v>81.3</v>
      </c>
    </row>
    <row r="1666" spans="1:2">
      <c r="A1666" s="3">
        <f ca="1">IFERROR(__xludf.DUMMYFUNCTION("""COMPUTED_VALUE"""),44138.6666666666)</f>
        <v>44138.666666666599</v>
      </c>
      <c r="B1666" s="1">
        <f ca="1">IFERROR(__xludf.DUMMYFUNCTION("""COMPUTED_VALUE"""),82.51)</f>
        <v>82.51</v>
      </c>
    </row>
    <row r="1667" spans="1:2">
      <c r="A1667" s="3">
        <f ca="1">IFERROR(__xludf.DUMMYFUNCTION("""COMPUTED_VALUE"""),44139.6666666666)</f>
        <v>44139.666666666599</v>
      </c>
      <c r="B1667" s="1">
        <f ca="1">IFERROR(__xludf.DUMMYFUNCTION("""COMPUTED_VALUE"""),87.46)</f>
        <v>87.46</v>
      </c>
    </row>
    <row r="1668" spans="1:2">
      <c r="A1668" s="3">
        <f ca="1">IFERROR(__xludf.DUMMYFUNCTION("""COMPUTED_VALUE"""),44140.6666666666)</f>
        <v>44140.666666666599</v>
      </c>
      <c r="B1668" s="1">
        <f ca="1">IFERROR(__xludf.DUMMYFUNCTION("""COMPUTED_VALUE"""),88.17)</f>
        <v>88.17</v>
      </c>
    </row>
    <row r="1669" spans="1:2">
      <c r="A1669" s="3">
        <f ca="1">IFERROR(__xludf.DUMMYFUNCTION("""COMPUTED_VALUE"""),44141.6666666666)</f>
        <v>44141.666666666599</v>
      </c>
      <c r="B1669" s="1">
        <f ca="1">IFERROR(__xludf.DUMMYFUNCTION("""COMPUTED_VALUE"""),88.09)</f>
        <v>88.09</v>
      </c>
    </row>
    <row r="1670" spans="1:2">
      <c r="A1670" s="3">
        <f ca="1">IFERROR(__xludf.DUMMYFUNCTION("""COMPUTED_VALUE"""),44144.6666666666)</f>
        <v>44144.666666666599</v>
      </c>
      <c r="B1670" s="1">
        <f ca="1">IFERROR(__xludf.DUMMYFUNCTION("""COMPUTED_VALUE"""),88.15)</f>
        <v>88.15</v>
      </c>
    </row>
    <row r="1671" spans="1:2">
      <c r="A1671" s="3">
        <f ca="1">IFERROR(__xludf.DUMMYFUNCTION("""COMPUTED_VALUE"""),44145.6666666666)</f>
        <v>44145.666666666599</v>
      </c>
      <c r="B1671" s="1">
        <f ca="1">IFERROR(__xludf.DUMMYFUNCTION("""COMPUTED_VALUE"""),87.02)</f>
        <v>87.02</v>
      </c>
    </row>
    <row r="1672" spans="1:2">
      <c r="A1672" s="3">
        <f ca="1">IFERROR(__xludf.DUMMYFUNCTION("""COMPUTED_VALUE"""),44146.6666666666)</f>
        <v>44146.666666666599</v>
      </c>
      <c r="B1672" s="1">
        <f ca="1">IFERROR(__xludf.DUMMYFUNCTION("""COMPUTED_VALUE"""),87.64)</f>
        <v>87.64</v>
      </c>
    </row>
    <row r="1673" spans="1:2">
      <c r="A1673" s="3">
        <f ca="1">IFERROR(__xludf.DUMMYFUNCTION("""COMPUTED_VALUE"""),44147.6666666666)</f>
        <v>44147.666666666599</v>
      </c>
      <c r="B1673" s="1">
        <f ca="1">IFERROR(__xludf.DUMMYFUNCTION("""COMPUTED_VALUE"""),87.49)</f>
        <v>87.49</v>
      </c>
    </row>
    <row r="1674" spans="1:2">
      <c r="A1674" s="3">
        <f ca="1">IFERROR(__xludf.DUMMYFUNCTION("""COMPUTED_VALUE"""),44148.6666666666)</f>
        <v>44148.666666666599</v>
      </c>
      <c r="B1674" s="1">
        <f ca="1">IFERROR(__xludf.DUMMYFUNCTION("""COMPUTED_VALUE"""),88.85)</f>
        <v>88.85</v>
      </c>
    </row>
    <row r="1675" spans="1:2">
      <c r="A1675" s="3">
        <f ca="1">IFERROR(__xludf.DUMMYFUNCTION("""COMPUTED_VALUE"""),44151.6666666666)</f>
        <v>44151.666666666599</v>
      </c>
      <c r="B1675" s="1">
        <f ca="1">IFERROR(__xludf.DUMMYFUNCTION("""COMPUTED_VALUE"""),89.07)</f>
        <v>89.07</v>
      </c>
    </row>
    <row r="1676" spans="1:2">
      <c r="A1676" s="3">
        <f ca="1">IFERROR(__xludf.DUMMYFUNCTION("""COMPUTED_VALUE"""),44152.6666666666)</f>
        <v>44152.666666666599</v>
      </c>
      <c r="B1676" s="1">
        <f ca="1">IFERROR(__xludf.DUMMYFUNCTION("""COMPUTED_VALUE"""),88.51)</f>
        <v>88.51</v>
      </c>
    </row>
    <row r="1677" spans="1:2">
      <c r="A1677" s="3">
        <f ca="1">IFERROR(__xludf.DUMMYFUNCTION("""COMPUTED_VALUE"""),44153.6666666666)</f>
        <v>44153.666666666599</v>
      </c>
      <c r="B1677" s="1">
        <f ca="1">IFERROR(__xludf.DUMMYFUNCTION("""COMPUTED_VALUE"""),87.34)</f>
        <v>87.34</v>
      </c>
    </row>
    <row r="1678" spans="1:2">
      <c r="A1678" s="3">
        <f ca="1">IFERROR(__xludf.DUMMYFUNCTION("""COMPUTED_VALUE"""),44154.6666666666)</f>
        <v>44154.666666666599</v>
      </c>
      <c r="B1678" s="1">
        <f ca="1">IFERROR(__xludf.DUMMYFUNCTION("""COMPUTED_VALUE"""),88.2)</f>
        <v>88.2</v>
      </c>
    </row>
    <row r="1679" spans="1:2">
      <c r="A1679" s="3">
        <f ca="1">IFERROR(__xludf.DUMMYFUNCTION("""COMPUTED_VALUE"""),44155.6666666666)</f>
        <v>44155.666666666599</v>
      </c>
      <c r="B1679" s="1">
        <f ca="1">IFERROR(__xludf.DUMMYFUNCTION("""COMPUTED_VALUE"""),87.11)</f>
        <v>87.11</v>
      </c>
    </row>
    <row r="1680" spans="1:2">
      <c r="A1680" s="3">
        <f ca="1">IFERROR(__xludf.DUMMYFUNCTION("""COMPUTED_VALUE"""),44158.6666666666)</f>
        <v>44158.666666666599</v>
      </c>
      <c r="B1680" s="1">
        <f ca="1">IFERROR(__xludf.DUMMYFUNCTION("""COMPUTED_VALUE"""),86.74)</f>
        <v>86.74</v>
      </c>
    </row>
    <row r="1681" spans="1:2">
      <c r="A1681" s="3">
        <f ca="1">IFERROR(__xludf.DUMMYFUNCTION("""COMPUTED_VALUE"""),44159.6666666666)</f>
        <v>44159.666666666599</v>
      </c>
      <c r="B1681" s="1">
        <f ca="1">IFERROR(__xludf.DUMMYFUNCTION("""COMPUTED_VALUE"""),88.44)</f>
        <v>88.44</v>
      </c>
    </row>
    <row r="1682" spans="1:2">
      <c r="A1682" s="3">
        <f ca="1">IFERROR(__xludf.DUMMYFUNCTION("""COMPUTED_VALUE"""),44160.6666666666)</f>
        <v>44160.666666666599</v>
      </c>
      <c r="B1682" s="1">
        <f ca="1">IFERROR(__xludf.DUMMYFUNCTION("""COMPUTED_VALUE"""),88.57)</f>
        <v>88.57</v>
      </c>
    </row>
    <row r="1683" spans="1:2">
      <c r="A1683" s="3">
        <f ca="1">IFERROR(__xludf.DUMMYFUNCTION("""COMPUTED_VALUE"""),44162.5416666666)</f>
        <v>44162.541666666599</v>
      </c>
      <c r="B1683" s="1">
        <f ca="1">IFERROR(__xludf.DUMMYFUNCTION("""COMPUTED_VALUE"""),89.66)</f>
        <v>89.66</v>
      </c>
    </row>
    <row r="1684" spans="1:2">
      <c r="A1684" s="3">
        <f ca="1">IFERROR(__xludf.DUMMYFUNCTION("""COMPUTED_VALUE"""),44165.6666666666)</f>
        <v>44165.666666666599</v>
      </c>
      <c r="B1684" s="1">
        <f ca="1">IFERROR(__xludf.DUMMYFUNCTION("""COMPUTED_VALUE"""),88.04)</f>
        <v>88.04</v>
      </c>
    </row>
    <row r="1685" spans="1:2">
      <c r="A1685" s="3">
        <f ca="1">IFERROR(__xludf.DUMMYFUNCTION("""COMPUTED_VALUE"""),44166.6666666666)</f>
        <v>44166.666666666599</v>
      </c>
      <c r="B1685" s="1">
        <f ca="1">IFERROR(__xludf.DUMMYFUNCTION("""COMPUTED_VALUE"""),89.91)</f>
        <v>89.91</v>
      </c>
    </row>
    <row r="1686" spans="1:2">
      <c r="A1686" s="3">
        <f ca="1">IFERROR(__xludf.DUMMYFUNCTION("""COMPUTED_VALUE"""),44167.6666666666)</f>
        <v>44167.666666666599</v>
      </c>
      <c r="B1686" s="1">
        <f ca="1">IFERROR(__xludf.DUMMYFUNCTION("""COMPUTED_VALUE"""),91.4)</f>
        <v>91.4</v>
      </c>
    </row>
    <row r="1687" spans="1:2">
      <c r="A1687" s="3">
        <f ca="1">IFERROR(__xludf.DUMMYFUNCTION("""COMPUTED_VALUE"""),44168.6666666666)</f>
        <v>44168.666666666599</v>
      </c>
      <c r="B1687" s="1">
        <f ca="1">IFERROR(__xludf.DUMMYFUNCTION("""COMPUTED_VALUE"""),91.34)</f>
        <v>91.34</v>
      </c>
    </row>
    <row r="1688" spans="1:2">
      <c r="A1688" s="3">
        <f ca="1">IFERROR(__xludf.DUMMYFUNCTION("""COMPUTED_VALUE"""),44169.6666666666)</f>
        <v>44169.666666666599</v>
      </c>
      <c r="B1688" s="1">
        <f ca="1">IFERROR(__xludf.DUMMYFUNCTION("""COMPUTED_VALUE"""),91.4)</f>
        <v>91.4</v>
      </c>
    </row>
    <row r="1689" spans="1:2">
      <c r="A1689" s="3">
        <f ca="1">IFERROR(__xludf.DUMMYFUNCTION("""COMPUTED_VALUE"""),44172.6666666666)</f>
        <v>44172.666666666599</v>
      </c>
      <c r="B1689" s="1">
        <f ca="1">IFERROR(__xludf.DUMMYFUNCTION("""COMPUTED_VALUE"""),90.97)</f>
        <v>90.97</v>
      </c>
    </row>
    <row r="1690" spans="1:2">
      <c r="A1690" s="3">
        <f ca="1">IFERROR(__xludf.DUMMYFUNCTION("""COMPUTED_VALUE"""),44173.6666666666)</f>
        <v>44173.666666666599</v>
      </c>
      <c r="B1690" s="1">
        <f ca="1">IFERROR(__xludf.DUMMYFUNCTION("""COMPUTED_VALUE"""),90.93)</f>
        <v>90.93</v>
      </c>
    </row>
    <row r="1691" spans="1:2">
      <c r="A1691" s="3">
        <f ca="1">IFERROR(__xludf.DUMMYFUNCTION("""COMPUTED_VALUE"""),44174.6666666666)</f>
        <v>44174.666666666599</v>
      </c>
      <c r="B1691" s="1">
        <f ca="1">IFERROR(__xludf.DUMMYFUNCTION("""COMPUTED_VALUE"""),89.21)</f>
        <v>89.21</v>
      </c>
    </row>
    <row r="1692" spans="1:2">
      <c r="A1692" s="3">
        <f ca="1">IFERROR(__xludf.DUMMYFUNCTION("""COMPUTED_VALUE"""),44175.6666666666)</f>
        <v>44175.666666666599</v>
      </c>
      <c r="B1692" s="1">
        <f ca="1">IFERROR(__xludf.DUMMYFUNCTION("""COMPUTED_VALUE"""),88.77)</f>
        <v>88.77</v>
      </c>
    </row>
    <row r="1693" spans="1:2">
      <c r="A1693" s="3">
        <f ca="1">IFERROR(__xludf.DUMMYFUNCTION("""COMPUTED_VALUE"""),44176.6666666666)</f>
        <v>44176.666666666599</v>
      </c>
      <c r="B1693" s="1">
        <f ca="1">IFERROR(__xludf.DUMMYFUNCTION("""COMPUTED_VALUE"""),89.09)</f>
        <v>89.09</v>
      </c>
    </row>
    <row r="1694" spans="1:2">
      <c r="A1694" s="3">
        <f ca="1">IFERROR(__xludf.DUMMYFUNCTION("""COMPUTED_VALUE"""),44179.6666666666)</f>
        <v>44179.666666666599</v>
      </c>
      <c r="B1694" s="1">
        <f ca="1">IFERROR(__xludf.DUMMYFUNCTION("""COMPUTED_VALUE"""),88)</f>
        <v>88</v>
      </c>
    </row>
    <row r="1695" spans="1:2">
      <c r="A1695" s="3">
        <f ca="1">IFERROR(__xludf.DUMMYFUNCTION("""COMPUTED_VALUE"""),44180.6666666666)</f>
        <v>44180.666666666599</v>
      </c>
      <c r="B1695" s="1">
        <f ca="1">IFERROR(__xludf.DUMMYFUNCTION("""COMPUTED_VALUE"""),88.39)</f>
        <v>88.39</v>
      </c>
    </row>
    <row r="1696" spans="1:2">
      <c r="A1696" s="3">
        <f ca="1">IFERROR(__xludf.DUMMYFUNCTION("""COMPUTED_VALUE"""),44181.6666666666)</f>
        <v>44181.666666666599</v>
      </c>
      <c r="B1696" s="1">
        <f ca="1">IFERROR(__xludf.DUMMYFUNCTION("""COMPUTED_VALUE"""),88.15)</f>
        <v>88.15</v>
      </c>
    </row>
    <row r="1697" spans="1:2">
      <c r="A1697" s="3">
        <f ca="1">IFERROR(__xludf.DUMMYFUNCTION("""COMPUTED_VALUE"""),44182.6666666666)</f>
        <v>44182.666666666599</v>
      </c>
      <c r="B1697" s="1">
        <f ca="1">IFERROR(__xludf.DUMMYFUNCTION("""COMPUTED_VALUE"""),87.4)</f>
        <v>87.4</v>
      </c>
    </row>
    <row r="1698" spans="1:2">
      <c r="A1698" s="3">
        <f ca="1">IFERROR(__xludf.DUMMYFUNCTION("""COMPUTED_VALUE"""),44183.6666666666)</f>
        <v>44183.666666666599</v>
      </c>
      <c r="B1698" s="1">
        <f ca="1">IFERROR(__xludf.DUMMYFUNCTION("""COMPUTED_VALUE"""),86.55)</f>
        <v>86.55</v>
      </c>
    </row>
    <row r="1699" spans="1:2">
      <c r="A1699" s="3">
        <f ca="1">IFERROR(__xludf.DUMMYFUNCTION("""COMPUTED_VALUE"""),44186.6666666666)</f>
        <v>44186.666666666599</v>
      </c>
      <c r="B1699" s="1">
        <f ca="1">IFERROR(__xludf.DUMMYFUNCTION("""COMPUTED_VALUE"""),86.97)</f>
        <v>86.97</v>
      </c>
    </row>
    <row r="1700" spans="1:2">
      <c r="A1700" s="3">
        <f ca="1">IFERROR(__xludf.DUMMYFUNCTION("""COMPUTED_VALUE"""),44187.6666666666)</f>
        <v>44187.666666666599</v>
      </c>
      <c r="B1700" s="1">
        <f ca="1">IFERROR(__xludf.DUMMYFUNCTION("""COMPUTED_VALUE"""),86.18)</f>
        <v>86.18</v>
      </c>
    </row>
    <row r="1701" spans="1:2">
      <c r="A1701" s="3">
        <f ca="1">IFERROR(__xludf.DUMMYFUNCTION("""COMPUTED_VALUE"""),44188.6666666666)</f>
        <v>44188.666666666599</v>
      </c>
      <c r="B1701" s="1">
        <f ca="1">IFERROR(__xludf.DUMMYFUNCTION("""COMPUTED_VALUE"""),86.62)</f>
        <v>86.62</v>
      </c>
    </row>
    <row r="1702" spans="1:2">
      <c r="A1702" s="3">
        <f ca="1">IFERROR(__xludf.DUMMYFUNCTION("""COMPUTED_VALUE"""),44189.5416666666)</f>
        <v>44189.541666666599</v>
      </c>
      <c r="B1702" s="1">
        <f ca="1">IFERROR(__xludf.DUMMYFUNCTION("""COMPUTED_VALUE"""),86.94)</f>
        <v>86.94</v>
      </c>
    </row>
    <row r="1703" spans="1:2">
      <c r="A1703" s="3">
        <f ca="1">IFERROR(__xludf.DUMMYFUNCTION("""COMPUTED_VALUE"""),44193.6666666666)</f>
        <v>44193.666666666599</v>
      </c>
      <c r="B1703" s="1">
        <f ca="1">IFERROR(__xludf.DUMMYFUNCTION("""COMPUTED_VALUE"""),88.8)</f>
        <v>88.8</v>
      </c>
    </row>
    <row r="1704" spans="1:2">
      <c r="A1704" s="3">
        <f ca="1">IFERROR(__xludf.DUMMYFUNCTION("""COMPUTED_VALUE"""),44194.6666666666)</f>
        <v>44194.666666666599</v>
      </c>
      <c r="B1704" s="1">
        <f ca="1">IFERROR(__xludf.DUMMYFUNCTION("""COMPUTED_VALUE"""),87.94)</f>
        <v>87.94</v>
      </c>
    </row>
    <row r="1705" spans="1:2">
      <c r="A1705" s="3">
        <f ca="1">IFERROR(__xludf.DUMMYFUNCTION("""COMPUTED_VALUE"""),44195.6666666666)</f>
        <v>44195.666666666599</v>
      </c>
      <c r="B1705" s="1">
        <f ca="1">IFERROR(__xludf.DUMMYFUNCTION("""COMPUTED_VALUE"""),86.98)</f>
        <v>86.98</v>
      </c>
    </row>
    <row r="1706" spans="1:2">
      <c r="A1706" s="3">
        <f ca="1">IFERROR(__xludf.DUMMYFUNCTION("""COMPUTED_VALUE"""),44196.6666666666)</f>
        <v>44196.666666666599</v>
      </c>
      <c r="B1706" s="1">
        <f ca="1">IFERROR(__xludf.DUMMYFUNCTION("""COMPUTED_VALUE"""),87.59)</f>
        <v>87.59</v>
      </c>
    </row>
    <row r="1707" spans="1:2">
      <c r="A1707" s="3">
        <f ca="1">IFERROR(__xludf.DUMMYFUNCTION("""COMPUTED_VALUE"""),44200.6666666666)</f>
        <v>44200.666666666599</v>
      </c>
      <c r="B1707" s="1">
        <f ca="1">IFERROR(__xludf.DUMMYFUNCTION("""COMPUTED_VALUE"""),86.41)</f>
        <v>86.41</v>
      </c>
    </row>
    <row r="1708" spans="1:2">
      <c r="A1708" s="3">
        <f ca="1">IFERROR(__xludf.DUMMYFUNCTION("""COMPUTED_VALUE"""),44201.6666666666)</f>
        <v>44201.666666666599</v>
      </c>
      <c r="B1708" s="1">
        <f ca="1">IFERROR(__xludf.DUMMYFUNCTION("""COMPUTED_VALUE"""),87.05)</f>
        <v>87.05</v>
      </c>
    </row>
    <row r="1709" spans="1:2">
      <c r="A1709" s="3">
        <f ca="1">IFERROR(__xludf.DUMMYFUNCTION("""COMPUTED_VALUE"""),44202.6666666666)</f>
        <v>44202.666666666599</v>
      </c>
      <c r="B1709" s="1">
        <f ca="1">IFERROR(__xludf.DUMMYFUNCTION("""COMPUTED_VALUE"""),86.76)</f>
        <v>86.76</v>
      </c>
    </row>
    <row r="1710" spans="1:2">
      <c r="A1710" s="3">
        <f ca="1">IFERROR(__xludf.DUMMYFUNCTION("""COMPUTED_VALUE"""),44203.6666666666)</f>
        <v>44203.666666666599</v>
      </c>
      <c r="B1710" s="1">
        <f ca="1">IFERROR(__xludf.DUMMYFUNCTION("""COMPUTED_VALUE"""),89.36)</f>
        <v>89.36</v>
      </c>
    </row>
    <row r="1711" spans="1:2">
      <c r="A1711" s="3">
        <f ca="1">IFERROR(__xludf.DUMMYFUNCTION("""COMPUTED_VALUE"""),44204.6666666666)</f>
        <v>44204.666666666599</v>
      </c>
      <c r="B1711" s="1">
        <f ca="1">IFERROR(__xludf.DUMMYFUNCTION("""COMPUTED_VALUE"""),90.36)</f>
        <v>90.36</v>
      </c>
    </row>
    <row r="1712" spans="1:2">
      <c r="A1712" s="3">
        <f ca="1">IFERROR(__xludf.DUMMYFUNCTION("""COMPUTED_VALUE"""),44207.6666666666)</f>
        <v>44207.666666666599</v>
      </c>
      <c r="B1712" s="1">
        <f ca="1">IFERROR(__xludf.DUMMYFUNCTION("""COMPUTED_VALUE"""),88.34)</f>
        <v>88.34</v>
      </c>
    </row>
    <row r="1713" spans="1:2">
      <c r="A1713" s="3">
        <f ca="1">IFERROR(__xludf.DUMMYFUNCTION("""COMPUTED_VALUE"""),44208.6666666666)</f>
        <v>44208.666666666599</v>
      </c>
      <c r="B1713" s="1">
        <f ca="1">IFERROR(__xludf.DUMMYFUNCTION("""COMPUTED_VALUE"""),87.33)</f>
        <v>87.33</v>
      </c>
    </row>
    <row r="1714" spans="1:2">
      <c r="A1714" s="3">
        <f ca="1">IFERROR(__xludf.DUMMYFUNCTION("""COMPUTED_VALUE"""),44209.6666666666)</f>
        <v>44209.666666666599</v>
      </c>
      <c r="B1714" s="1">
        <f ca="1">IFERROR(__xludf.DUMMYFUNCTION("""COMPUTED_VALUE"""),87.72)</f>
        <v>87.72</v>
      </c>
    </row>
    <row r="1715" spans="1:2">
      <c r="A1715" s="3">
        <f ca="1">IFERROR(__xludf.DUMMYFUNCTION("""COMPUTED_VALUE"""),44210.6666666666)</f>
        <v>44210.666666666599</v>
      </c>
      <c r="B1715" s="1">
        <f ca="1">IFERROR(__xludf.DUMMYFUNCTION("""COMPUTED_VALUE"""),87.01)</f>
        <v>87.01</v>
      </c>
    </row>
    <row r="1716" spans="1:2">
      <c r="A1716" s="3">
        <f ca="1">IFERROR(__xludf.DUMMYFUNCTION("""COMPUTED_VALUE"""),44211.6666666666)</f>
        <v>44211.666666666599</v>
      </c>
      <c r="B1716" s="1">
        <f ca="1">IFERROR(__xludf.DUMMYFUNCTION("""COMPUTED_VALUE"""),86.81)</f>
        <v>86.81</v>
      </c>
    </row>
    <row r="1717" spans="1:2">
      <c r="A1717" s="3">
        <f ca="1">IFERROR(__xludf.DUMMYFUNCTION("""COMPUTED_VALUE"""),44215.6666666666)</f>
        <v>44215.666666666599</v>
      </c>
      <c r="B1717" s="1">
        <f ca="1">IFERROR(__xludf.DUMMYFUNCTION("""COMPUTED_VALUE"""),89.54)</f>
        <v>89.54</v>
      </c>
    </row>
    <row r="1718" spans="1:2">
      <c r="A1718" s="3">
        <f ca="1">IFERROR(__xludf.DUMMYFUNCTION("""COMPUTED_VALUE"""),44216.6666666666)</f>
        <v>44216.666666666599</v>
      </c>
      <c r="B1718" s="1">
        <f ca="1">IFERROR(__xludf.DUMMYFUNCTION("""COMPUTED_VALUE"""),94.35)</f>
        <v>94.35</v>
      </c>
    </row>
    <row r="1719" spans="1:2">
      <c r="A1719" s="3">
        <f ca="1">IFERROR(__xludf.DUMMYFUNCTION("""COMPUTED_VALUE"""),44217.6666666666)</f>
        <v>44217.666666666599</v>
      </c>
      <c r="B1719" s="1">
        <f ca="1">IFERROR(__xludf.DUMMYFUNCTION("""COMPUTED_VALUE"""),94.56)</f>
        <v>94.56</v>
      </c>
    </row>
    <row r="1720" spans="1:2">
      <c r="A1720" s="3">
        <f ca="1">IFERROR(__xludf.DUMMYFUNCTION("""COMPUTED_VALUE"""),44218.6666666666)</f>
        <v>44218.666666666599</v>
      </c>
      <c r="B1720" s="1">
        <f ca="1">IFERROR(__xludf.DUMMYFUNCTION("""COMPUTED_VALUE"""),95.05)</f>
        <v>95.05</v>
      </c>
    </row>
    <row r="1721" spans="1:2">
      <c r="A1721" s="3">
        <f ca="1">IFERROR(__xludf.DUMMYFUNCTION("""COMPUTED_VALUE"""),44221.6666666666)</f>
        <v>44221.666666666599</v>
      </c>
      <c r="B1721" s="1">
        <f ca="1">IFERROR(__xludf.DUMMYFUNCTION("""COMPUTED_VALUE"""),94.97)</f>
        <v>94.97</v>
      </c>
    </row>
    <row r="1722" spans="1:2">
      <c r="A1722" s="3">
        <f ca="1">IFERROR(__xludf.DUMMYFUNCTION("""COMPUTED_VALUE"""),44222.6666666666)</f>
        <v>44222.666666666599</v>
      </c>
      <c r="B1722" s="1">
        <f ca="1">IFERROR(__xludf.DUMMYFUNCTION("""COMPUTED_VALUE"""),95.86)</f>
        <v>95.86</v>
      </c>
    </row>
    <row r="1723" spans="1:2">
      <c r="A1723" s="3">
        <f ca="1">IFERROR(__xludf.DUMMYFUNCTION("""COMPUTED_VALUE"""),44223.6666666666)</f>
        <v>44223.666666666599</v>
      </c>
      <c r="B1723" s="1">
        <f ca="1">IFERROR(__xludf.DUMMYFUNCTION("""COMPUTED_VALUE"""),91.54)</f>
        <v>91.54</v>
      </c>
    </row>
    <row r="1724" spans="1:2">
      <c r="A1724" s="3">
        <f ca="1">IFERROR(__xludf.DUMMYFUNCTION("""COMPUTED_VALUE"""),44224.6666666666)</f>
        <v>44224.666666666599</v>
      </c>
      <c r="B1724" s="1">
        <f ca="1">IFERROR(__xludf.DUMMYFUNCTION("""COMPUTED_VALUE"""),93.16)</f>
        <v>93.16</v>
      </c>
    </row>
    <row r="1725" spans="1:2">
      <c r="A1725" s="3">
        <f ca="1">IFERROR(__xludf.DUMMYFUNCTION("""COMPUTED_VALUE"""),44225.6666666666)</f>
        <v>44225.666666666599</v>
      </c>
      <c r="B1725" s="1">
        <f ca="1">IFERROR(__xludf.DUMMYFUNCTION("""COMPUTED_VALUE"""),91.79)</f>
        <v>91.79</v>
      </c>
    </row>
    <row r="1726" spans="1:2">
      <c r="A1726" s="3">
        <f ca="1">IFERROR(__xludf.DUMMYFUNCTION("""COMPUTED_VALUE"""),44228.6666666666)</f>
        <v>44228.666666666599</v>
      </c>
      <c r="B1726" s="1">
        <f ca="1">IFERROR(__xludf.DUMMYFUNCTION("""COMPUTED_VALUE"""),95.07)</f>
        <v>95.07</v>
      </c>
    </row>
    <row r="1727" spans="1:2">
      <c r="A1727" s="3">
        <f ca="1">IFERROR(__xludf.DUMMYFUNCTION("""COMPUTED_VALUE"""),44229.6666666666)</f>
        <v>44229.666666666599</v>
      </c>
      <c r="B1727" s="1">
        <f ca="1">IFERROR(__xludf.DUMMYFUNCTION("""COMPUTED_VALUE"""),96.38)</f>
        <v>96.38</v>
      </c>
    </row>
    <row r="1728" spans="1:2">
      <c r="A1728" s="3">
        <f ca="1">IFERROR(__xludf.DUMMYFUNCTION("""COMPUTED_VALUE"""),44230.6666666666)</f>
        <v>44230.666666666599</v>
      </c>
      <c r="B1728" s="1">
        <f ca="1">IFERROR(__xludf.DUMMYFUNCTION("""COMPUTED_VALUE"""),103.5)</f>
        <v>103.5</v>
      </c>
    </row>
    <row r="1729" spans="1:2">
      <c r="A1729" s="3">
        <f ca="1">IFERROR(__xludf.DUMMYFUNCTION("""COMPUTED_VALUE"""),44231.6666666666)</f>
        <v>44231.666666666599</v>
      </c>
      <c r="B1729" s="1">
        <f ca="1">IFERROR(__xludf.DUMMYFUNCTION("""COMPUTED_VALUE"""),103.12)</f>
        <v>103.12</v>
      </c>
    </row>
    <row r="1730" spans="1:2">
      <c r="A1730" s="3">
        <f ca="1">IFERROR(__xludf.DUMMYFUNCTION("""COMPUTED_VALUE"""),44232.6666666666)</f>
        <v>44232.666666666599</v>
      </c>
      <c r="B1730" s="1">
        <f ca="1">IFERROR(__xludf.DUMMYFUNCTION("""COMPUTED_VALUE"""),104.9)</f>
        <v>104.9</v>
      </c>
    </row>
    <row r="1731" spans="1:2">
      <c r="A1731" s="3">
        <f ca="1">IFERROR(__xludf.DUMMYFUNCTION("""COMPUTED_VALUE"""),44235.6666666666)</f>
        <v>44235.666666666599</v>
      </c>
      <c r="B1731" s="1">
        <f ca="1">IFERROR(__xludf.DUMMYFUNCTION("""COMPUTED_VALUE"""),104.65)</f>
        <v>104.65</v>
      </c>
    </row>
    <row r="1732" spans="1:2">
      <c r="A1732" s="3">
        <f ca="1">IFERROR(__xludf.DUMMYFUNCTION("""COMPUTED_VALUE"""),44236.6666666666)</f>
        <v>44236.666666666599</v>
      </c>
      <c r="B1732" s="1">
        <f ca="1">IFERROR(__xludf.DUMMYFUNCTION("""COMPUTED_VALUE"""),104.18)</f>
        <v>104.18</v>
      </c>
    </row>
    <row r="1733" spans="1:2">
      <c r="A1733" s="3">
        <f ca="1">IFERROR(__xludf.DUMMYFUNCTION("""COMPUTED_VALUE"""),44237.6666666666)</f>
        <v>44237.666666666599</v>
      </c>
      <c r="B1733" s="1">
        <f ca="1">IFERROR(__xludf.DUMMYFUNCTION("""COMPUTED_VALUE"""),104.77)</f>
        <v>104.77</v>
      </c>
    </row>
    <row r="1734" spans="1:2">
      <c r="A1734" s="3">
        <f ca="1">IFERROR(__xludf.DUMMYFUNCTION("""COMPUTED_VALUE"""),44238.6666666666)</f>
        <v>44238.666666666599</v>
      </c>
      <c r="B1734" s="1">
        <f ca="1">IFERROR(__xludf.DUMMYFUNCTION("""COMPUTED_VALUE"""),104.79)</f>
        <v>104.79</v>
      </c>
    </row>
    <row r="1735" spans="1:2">
      <c r="A1735" s="3">
        <f ca="1">IFERROR(__xludf.DUMMYFUNCTION("""COMPUTED_VALUE"""),44239.6666666666)</f>
        <v>44239.666666666599</v>
      </c>
      <c r="B1735" s="1">
        <f ca="1">IFERROR(__xludf.DUMMYFUNCTION("""COMPUTED_VALUE"""),105.21)</f>
        <v>105.21</v>
      </c>
    </row>
    <row r="1736" spans="1:2">
      <c r="A1736" s="3">
        <f ca="1">IFERROR(__xludf.DUMMYFUNCTION("""COMPUTED_VALUE"""),44243.6666666666)</f>
        <v>44243.666666666599</v>
      </c>
      <c r="B1736" s="1">
        <f ca="1">IFERROR(__xludf.DUMMYFUNCTION("""COMPUTED_VALUE"""),106.1)</f>
        <v>106.1</v>
      </c>
    </row>
    <row r="1737" spans="1:2">
      <c r="A1737" s="3">
        <f ca="1">IFERROR(__xludf.DUMMYFUNCTION("""COMPUTED_VALUE"""),44244.6666666666)</f>
        <v>44244.666666666599</v>
      </c>
      <c r="B1737" s="1">
        <f ca="1">IFERROR(__xludf.DUMMYFUNCTION("""COMPUTED_VALUE"""),106.42)</f>
        <v>106.42</v>
      </c>
    </row>
    <row r="1738" spans="1:2">
      <c r="A1738" s="3">
        <f ca="1">IFERROR(__xludf.DUMMYFUNCTION("""COMPUTED_VALUE"""),44245.6666666666)</f>
        <v>44245.666666666599</v>
      </c>
      <c r="B1738" s="1">
        <f ca="1">IFERROR(__xludf.DUMMYFUNCTION("""COMPUTED_VALUE"""),105.86)</f>
        <v>105.86</v>
      </c>
    </row>
    <row r="1739" spans="1:2">
      <c r="A1739" s="3">
        <f ca="1">IFERROR(__xludf.DUMMYFUNCTION("""COMPUTED_VALUE"""),44246.6666666666)</f>
        <v>44246.666666666599</v>
      </c>
      <c r="B1739" s="1">
        <f ca="1">IFERROR(__xludf.DUMMYFUNCTION("""COMPUTED_VALUE"""),105.06)</f>
        <v>105.06</v>
      </c>
    </row>
    <row r="1740" spans="1:2">
      <c r="A1740" s="3">
        <f ca="1">IFERROR(__xludf.DUMMYFUNCTION("""COMPUTED_VALUE"""),44249.6666666666)</f>
        <v>44249.666666666599</v>
      </c>
      <c r="B1740" s="1">
        <f ca="1">IFERROR(__xludf.DUMMYFUNCTION("""COMPUTED_VALUE"""),103.24)</f>
        <v>103.24</v>
      </c>
    </row>
    <row r="1741" spans="1:2">
      <c r="A1741" s="3">
        <f ca="1">IFERROR(__xludf.DUMMYFUNCTION("""COMPUTED_VALUE"""),44250.6666666666)</f>
        <v>44250.666666666599</v>
      </c>
      <c r="B1741" s="1">
        <f ca="1">IFERROR(__xludf.DUMMYFUNCTION("""COMPUTED_VALUE"""),103.54)</f>
        <v>103.54</v>
      </c>
    </row>
    <row r="1742" spans="1:2">
      <c r="A1742" s="3">
        <f ca="1">IFERROR(__xludf.DUMMYFUNCTION("""COMPUTED_VALUE"""),44251.6666666666)</f>
        <v>44251.666666666599</v>
      </c>
      <c r="B1742" s="1">
        <f ca="1">IFERROR(__xludf.DUMMYFUNCTION("""COMPUTED_VALUE"""),104.76)</f>
        <v>104.76</v>
      </c>
    </row>
    <row r="1743" spans="1:2">
      <c r="A1743" s="3">
        <f ca="1">IFERROR(__xludf.DUMMYFUNCTION("""COMPUTED_VALUE"""),44252.6666666666)</f>
        <v>44252.666666666599</v>
      </c>
      <c r="B1743" s="1">
        <f ca="1">IFERROR(__xludf.DUMMYFUNCTION("""COMPUTED_VALUE"""),101.57)</f>
        <v>101.57</v>
      </c>
    </row>
    <row r="1744" spans="1:2">
      <c r="A1744" s="3">
        <f ca="1">IFERROR(__xludf.DUMMYFUNCTION("""COMPUTED_VALUE"""),44253.6666666666)</f>
        <v>44253.666666666599</v>
      </c>
      <c r="B1744" s="1">
        <f ca="1">IFERROR(__xludf.DUMMYFUNCTION("""COMPUTED_VALUE"""),101.84)</f>
        <v>101.84</v>
      </c>
    </row>
    <row r="1745" spans="1:2">
      <c r="A1745" s="3">
        <f ca="1">IFERROR(__xludf.DUMMYFUNCTION("""COMPUTED_VALUE"""),44256.6666666666)</f>
        <v>44256.666666666599</v>
      </c>
      <c r="B1745" s="1">
        <f ca="1">IFERROR(__xludf.DUMMYFUNCTION("""COMPUTED_VALUE"""),104.08)</f>
        <v>104.08</v>
      </c>
    </row>
    <row r="1746" spans="1:2">
      <c r="A1746" s="3">
        <f ca="1">IFERROR(__xludf.DUMMYFUNCTION("""COMPUTED_VALUE"""),44257.6666666666)</f>
        <v>44257.666666666599</v>
      </c>
      <c r="B1746" s="1">
        <f ca="1">IFERROR(__xludf.DUMMYFUNCTION("""COMPUTED_VALUE"""),103.79)</f>
        <v>103.79</v>
      </c>
    </row>
    <row r="1747" spans="1:2">
      <c r="A1747" s="3">
        <f ca="1">IFERROR(__xludf.DUMMYFUNCTION("""COMPUTED_VALUE"""),44258.6666666666)</f>
        <v>44258.666666666599</v>
      </c>
      <c r="B1747" s="1">
        <f ca="1">IFERROR(__xludf.DUMMYFUNCTION("""COMPUTED_VALUE"""),101.34)</f>
        <v>101.34</v>
      </c>
    </row>
    <row r="1748" spans="1:2">
      <c r="A1748" s="3">
        <f ca="1">IFERROR(__xludf.DUMMYFUNCTION("""COMPUTED_VALUE"""),44259.6666666666)</f>
        <v>44259.666666666599</v>
      </c>
      <c r="B1748" s="1">
        <f ca="1">IFERROR(__xludf.DUMMYFUNCTION("""COMPUTED_VALUE"""),102.45)</f>
        <v>102.45</v>
      </c>
    </row>
    <row r="1749" spans="1:2">
      <c r="A1749" s="3">
        <f ca="1">IFERROR(__xludf.DUMMYFUNCTION("""COMPUTED_VALUE"""),44260.6666666666)</f>
        <v>44260.666666666599</v>
      </c>
      <c r="B1749" s="1">
        <f ca="1">IFERROR(__xludf.DUMMYFUNCTION("""COMPUTED_VALUE"""),105.43)</f>
        <v>105.43</v>
      </c>
    </row>
    <row r="1750" spans="1:2">
      <c r="A1750" s="3">
        <f ca="1">IFERROR(__xludf.DUMMYFUNCTION("""COMPUTED_VALUE"""),44263.6666666666)</f>
        <v>44263.666666666599</v>
      </c>
      <c r="B1750" s="1">
        <f ca="1">IFERROR(__xludf.DUMMYFUNCTION("""COMPUTED_VALUE"""),101.21)</f>
        <v>101.21</v>
      </c>
    </row>
    <row r="1751" spans="1:2">
      <c r="A1751" s="3">
        <f ca="1">IFERROR(__xludf.DUMMYFUNCTION("""COMPUTED_VALUE"""),44264.6666666666)</f>
        <v>44264.666666666599</v>
      </c>
      <c r="B1751" s="1">
        <f ca="1">IFERROR(__xludf.DUMMYFUNCTION("""COMPUTED_VALUE"""),102.64)</f>
        <v>102.64</v>
      </c>
    </row>
    <row r="1752" spans="1:2">
      <c r="A1752" s="3">
        <f ca="1">IFERROR(__xludf.DUMMYFUNCTION("""COMPUTED_VALUE"""),44265.6666666666)</f>
        <v>44265.666666666599</v>
      </c>
      <c r="B1752" s="1">
        <f ca="1">IFERROR(__xludf.DUMMYFUNCTION("""COMPUTED_VALUE"""),102.75)</f>
        <v>102.75</v>
      </c>
    </row>
    <row r="1753" spans="1:2">
      <c r="A1753" s="3">
        <f ca="1">IFERROR(__xludf.DUMMYFUNCTION("""COMPUTED_VALUE"""),44266.6666666666)</f>
        <v>44266.666666666599</v>
      </c>
      <c r="B1753" s="1">
        <f ca="1">IFERROR(__xludf.DUMMYFUNCTION("""COMPUTED_VALUE"""),105.74)</f>
        <v>105.74</v>
      </c>
    </row>
    <row r="1754" spans="1:2">
      <c r="A1754" s="3">
        <f ca="1">IFERROR(__xludf.DUMMYFUNCTION("""COMPUTED_VALUE"""),44267.6666666666)</f>
        <v>44267.666666666599</v>
      </c>
      <c r="B1754" s="1">
        <f ca="1">IFERROR(__xludf.DUMMYFUNCTION("""COMPUTED_VALUE"""),103.1)</f>
        <v>103.1</v>
      </c>
    </row>
    <row r="1755" spans="1:2">
      <c r="A1755" s="3">
        <f ca="1">IFERROR(__xludf.DUMMYFUNCTION("""COMPUTED_VALUE"""),44270.6666666666)</f>
        <v>44270.666666666599</v>
      </c>
      <c r="B1755" s="1">
        <f ca="1">IFERROR(__xludf.DUMMYFUNCTION("""COMPUTED_VALUE"""),103.32)</f>
        <v>103.32</v>
      </c>
    </row>
    <row r="1756" spans="1:2">
      <c r="A1756" s="3">
        <f ca="1">IFERROR(__xludf.DUMMYFUNCTION("""COMPUTED_VALUE"""),44271.6666666666)</f>
        <v>44271.666666666599</v>
      </c>
      <c r="B1756" s="1">
        <f ca="1">IFERROR(__xludf.DUMMYFUNCTION("""COMPUTED_VALUE"""),104.63)</f>
        <v>104.63</v>
      </c>
    </row>
    <row r="1757" spans="1:2">
      <c r="A1757" s="3">
        <f ca="1">IFERROR(__xludf.DUMMYFUNCTION("""COMPUTED_VALUE"""),44272.6666666666)</f>
        <v>44272.666666666599</v>
      </c>
      <c r="B1757" s="1">
        <f ca="1">IFERROR(__xludf.DUMMYFUNCTION("""COMPUTED_VALUE"""),104.55)</f>
        <v>104.55</v>
      </c>
    </row>
    <row r="1758" spans="1:2">
      <c r="A1758" s="3">
        <f ca="1">IFERROR(__xludf.DUMMYFUNCTION("""COMPUTED_VALUE"""),44273.6666666666)</f>
        <v>44273.666666666599</v>
      </c>
      <c r="B1758" s="1">
        <f ca="1">IFERROR(__xludf.DUMMYFUNCTION("""COMPUTED_VALUE"""),101.81)</f>
        <v>101.81</v>
      </c>
    </row>
    <row r="1759" spans="1:2">
      <c r="A1759" s="3">
        <f ca="1">IFERROR(__xludf.DUMMYFUNCTION("""COMPUTED_VALUE"""),44274.6666666666)</f>
        <v>44274.666666666599</v>
      </c>
      <c r="B1759" s="1">
        <f ca="1">IFERROR(__xludf.DUMMYFUNCTION("""COMPUTED_VALUE"""),102.16)</f>
        <v>102.16</v>
      </c>
    </row>
    <row r="1760" spans="1:2">
      <c r="A1760" s="3">
        <f ca="1">IFERROR(__xludf.DUMMYFUNCTION("""COMPUTED_VALUE"""),44277.6666666666)</f>
        <v>44277.666666666599</v>
      </c>
      <c r="B1760" s="1">
        <f ca="1">IFERROR(__xludf.DUMMYFUNCTION("""COMPUTED_VALUE"""),101.93)</f>
        <v>101.93</v>
      </c>
    </row>
    <row r="1761" spans="1:2">
      <c r="A1761" s="3">
        <f ca="1">IFERROR(__xludf.DUMMYFUNCTION("""COMPUTED_VALUE"""),44278.6666666666)</f>
        <v>44278.666666666599</v>
      </c>
      <c r="B1761" s="1">
        <f ca="1">IFERROR(__xludf.DUMMYFUNCTION("""COMPUTED_VALUE"""),102.65)</f>
        <v>102.65</v>
      </c>
    </row>
    <row r="1762" spans="1:2">
      <c r="A1762" s="3">
        <f ca="1">IFERROR(__xludf.DUMMYFUNCTION("""COMPUTED_VALUE"""),44279.6666666666)</f>
        <v>44279.666666666599</v>
      </c>
      <c r="B1762" s="1">
        <f ca="1">IFERROR(__xludf.DUMMYFUNCTION("""COMPUTED_VALUE"""),102.25)</f>
        <v>102.25</v>
      </c>
    </row>
    <row r="1763" spans="1:2">
      <c r="A1763" s="3">
        <f ca="1">IFERROR(__xludf.DUMMYFUNCTION("""COMPUTED_VALUE"""),44280.6666666666)</f>
        <v>44280.666666666599</v>
      </c>
      <c r="B1763" s="1">
        <f ca="1">IFERROR(__xludf.DUMMYFUNCTION("""COMPUTED_VALUE"""),102.22)</f>
        <v>102.22</v>
      </c>
    </row>
    <row r="1764" spans="1:2">
      <c r="A1764" s="3">
        <f ca="1">IFERROR(__xludf.DUMMYFUNCTION("""COMPUTED_VALUE"""),44281.6666666666)</f>
        <v>44281.666666666599</v>
      </c>
      <c r="B1764" s="1">
        <f ca="1">IFERROR(__xludf.DUMMYFUNCTION("""COMPUTED_VALUE"""),101.78)</f>
        <v>101.78</v>
      </c>
    </row>
    <row r="1765" spans="1:2">
      <c r="A1765" s="3">
        <f ca="1">IFERROR(__xludf.DUMMYFUNCTION("""COMPUTED_VALUE"""),44284.6666666666)</f>
        <v>44284.666666666599</v>
      </c>
      <c r="B1765" s="1">
        <f ca="1">IFERROR(__xludf.DUMMYFUNCTION("""COMPUTED_VALUE"""),102.8)</f>
        <v>102.8</v>
      </c>
    </row>
    <row r="1766" spans="1:2">
      <c r="A1766" s="3">
        <f ca="1">IFERROR(__xludf.DUMMYFUNCTION("""COMPUTED_VALUE"""),44285.6666666666)</f>
        <v>44285.666666666599</v>
      </c>
      <c r="B1766" s="1">
        <f ca="1">IFERROR(__xludf.DUMMYFUNCTION("""COMPUTED_VALUE"""),102.78)</f>
        <v>102.78</v>
      </c>
    </row>
    <row r="1767" spans="1:2">
      <c r="A1767" s="3">
        <f ca="1">IFERROR(__xludf.DUMMYFUNCTION("""COMPUTED_VALUE"""),44286.6666666666)</f>
        <v>44286.666666666599</v>
      </c>
      <c r="B1767" s="1">
        <f ca="1">IFERROR(__xludf.DUMMYFUNCTION("""COMPUTED_VALUE"""),103.43)</f>
        <v>103.43</v>
      </c>
    </row>
    <row r="1768" spans="1:2">
      <c r="A1768" s="3">
        <f ca="1">IFERROR(__xludf.DUMMYFUNCTION("""COMPUTED_VALUE"""),44287.6666666666)</f>
        <v>44287.666666666599</v>
      </c>
      <c r="B1768" s="1">
        <f ca="1">IFERROR(__xludf.DUMMYFUNCTION("""COMPUTED_VALUE"""),106.89)</f>
        <v>106.89</v>
      </c>
    </row>
    <row r="1769" spans="1:2">
      <c r="A1769" s="3">
        <f ca="1">IFERROR(__xludf.DUMMYFUNCTION("""COMPUTED_VALUE"""),44291.6666666666)</f>
        <v>44291.666666666599</v>
      </c>
      <c r="B1769" s="1">
        <f ca="1">IFERROR(__xludf.DUMMYFUNCTION("""COMPUTED_VALUE"""),111.28)</f>
        <v>111.28</v>
      </c>
    </row>
    <row r="1770" spans="1:2">
      <c r="A1770" s="3">
        <f ca="1">IFERROR(__xludf.DUMMYFUNCTION("""COMPUTED_VALUE"""),44292.6666666666)</f>
        <v>44292.666666666599</v>
      </c>
      <c r="B1770" s="1">
        <f ca="1">IFERROR(__xludf.DUMMYFUNCTION("""COMPUTED_VALUE"""),111.24)</f>
        <v>111.24</v>
      </c>
    </row>
    <row r="1771" spans="1:2">
      <c r="A1771" s="3">
        <f ca="1">IFERROR(__xludf.DUMMYFUNCTION("""COMPUTED_VALUE"""),44293.6666666666)</f>
        <v>44293.666666666599</v>
      </c>
      <c r="B1771" s="1">
        <f ca="1">IFERROR(__xludf.DUMMYFUNCTION("""COMPUTED_VALUE"""),112.48)</f>
        <v>112.48</v>
      </c>
    </row>
    <row r="1772" spans="1:2">
      <c r="A1772" s="3">
        <f ca="1">IFERROR(__xludf.DUMMYFUNCTION("""COMPUTED_VALUE"""),44294.6666666666)</f>
        <v>44294.666666666599</v>
      </c>
      <c r="B1772" s="1">
        <f ca="1">IFERROR(__xludf.DUMMYFUNCTION("""COMPUTED_VALUE"""),113.27)</f>
        <v>113.27</v>
      </c>
    </row>
    <row r="1773" spans="1:2">
      <c r="A1773" s="3">
        <f ca="1">IFERROR(__xludf.DUMMYFUNCTION("""COMPUTED_VALUE"""),44295.6666666666)</f>
        <v>44295.666666666599</v>
      </c>
      <c r="B1773" s="1">
        <f ca="1">IFERROR(__xludf.DUMMYFUNCTION("""COMPUTED_VALUE"""),114.29)</f>
        <v>114.29</v>
      </c>
    </row>
    <row r="1774" spans="1:2">
      <c r="A1774" s="3">
        <f ca="1">IFERROR(__xludf.DUMMYFUNCTION("""COMPUTED_VALUE"""),44298.6666666666)</f>
        <v>44298.666666666599</v>
      </c>
      <c r="B1774" s="1">
        <f ca="1">IFERROR(__xludf.DUMMYFUNCTION("""COMPUTED_VALUE"""),112.74)</f>
        <v>112.74</v>
      </c>
    </row>
    <row r="1775" spans="1:2">
      <c r="A1775" s="3">
        <f ca="1">IFERROR(__xludf.DUMMYFUNCTION("""COMPUTED_VALUE"""),44299.6666666666)</f>
        <v>44299.666666666599</v>
      </c>
      <c r="B1775" s="1">
        <f ca="1">IFERROR(__xludf.DUMMYFUNCTION("""COMPUTED_VALUE"""),113.36)</f>
        <v>113.36</v>
      </c>
    </row>
    <row r="1776" spans="1:2">
      <c r="A1776" s="3">
        <f ca="1">IFERROR(__xludf.DUMMYFUNCTION("""COMPUTED_VALUE"""),44300.6666666666)</f>
        <v>44300.666666666599</v>
      </c>
      <c r="B1776" s="1">
        <f ca="1">IFERROR(__xludf.DUMMYFUNCTION("""COMPUTED_VALUE"""),112.74)</f>
        <v>112.74</v>
      </c>
    </row>
    <row r="1777" spans="1:2">
      <c r="A1777" s="3">
        <f ca="1">IFERROR(__xludf.DUMMYFUNCTION("""COMPUTED_VALUE"""),44301.6666666666)</f>
        <v>44301.666666666599</v>
      </c>
      <c r="B1777" s="1">
        <f ca="1">IFERROR(__xludf.DUMMYFUNCTION("""COMPUTED_VALUE"""),114.83)</f>
        <v>114.83</v>
      </c>
    </row>
    <row r="1778" spans="1:2">
      <c r="A1778" s="3">
        <f ca="1">IFERROR(__xludf.DUMMYFUNCTION("""COMPUTED_VALUE"""),44302.6666666666)</f>
        <v>44302.666666666599</v>
      </c>
      <c r="B1778" s="1">
        <f ca="1">IFERROR(__xludf.DUMMYFUNCTION("""COMPUTED_VALUE"""),114.89)</f>
        <v>114.89</v>
      </c>
    </row>
    <row r="1779" spans="1:2">
      <c r="A1779" s="3">
        <f ca="1">IFERROR(__xludf.DUMMYFUNCTION("""COMPUTED_VALUE"""),44305.6666666666)</f>
        <v>44305.666666666599</v>
      </c>
      <c r="B1779" s="1">
        <f ca="1">IFERROR(__xludf.DUMMYFUNCTION("""COMPUTED_VALUE"""),115.12)</f>
        <v>115.12</v>
      </c>
    </row>
    <row r="1780" spans="1:2">
      <c r="A1780" s="3">
        <f ca="1">IFERROR(__xludf.DUMMYFUNCTION("""COMPUTED_VALUE"""),44306.6666666666)</f>
        <v>44306.666666666599</v>
      </c>
      <c r="B1780" s="1">
        <f ca="1">IFERROR(__xludf.DUMMYFUNCTION("""COMPUTED_VALUE"""),114.68)</f>
        <v>114.68</v>
      </c>
    </row>
    <row r="1781" spans="1:2">
      <c r="A1781" s="3">
        <f ca="1">IFERROR(__xludf.DUMMYFUNCTION("""COMPUTED_VALUE"""),44307.6666666666)</f>
        <v>44307.666666666599</v>
      </c>
      <c r="B1781" s="1">
        <f ca="1">IFERROR(__xludf.DUMMYFUNCTION("""COMPUTED_VALUE"""),114.66)</f>
        <v>114.66</v>
      </c>
    </row>
    <row r="1782" spans="1:2">
      <c r="A1782" s="3">
        <f ca="1">IFERROR(__xludf.DUMMYFUNCTION("""COMPUTED_VALUE"""),44308.6666666666)</f>
        <v>44308.666666666599</v>
      </c>
      <c r="B1782" s="1">
        <f ca="1">IFERROR(__xludf.DUMMYFUNCTION("""COMPUTED_VALUE"""),113.4)</f>
        <v>113.4</v>
      </c>
    </row>
    <row r="1783" spans="1:2">
      <c r="A1783" s="3">
        <f ca="1">IFERROR(__xludf.DUMMYFUNCTION("""COMPUTED_VALUE"""),44309.6666666666)</f>
        <v>44309.666666666599</v>
      </c>
      <c r="B1783" s="1">
        <f ca="1">IFERROR(__xludf.DUMMYFUNCTION("""COMPUTED_VALUE"""),115.77)</f>
        <v>115.77</v>
      </c>
    </row>
    <row r="1784" spans="1:2">
      <c r="A1784" s="3">
        <f ca="1">IFERROR(__xludf.DUMMYFUNCTION("""COMPUTED_VALUE"""),44312.6666666666)</f>
        <v>44312.666666666599</v>
      </c>
      <c r="B1784" s="1">
        <f ca="1">IFERROR(__xludf.DUMMYFUNCTION("""COMPUTED_VALUE"""),116.34)</f>
        <v>116.34</v>
      </c>
    </row>
    <row r="1785" spans="1:2">
      <c r="A1785" s="3">
        <f ca="1">IFERROR(__xludf.DUMMYFUNCTION("""COMPUTED_VALUE"""),44313.6666666666)</f>
        <v>44313.666666666599</v>
      </c>
      <c r="B1785" s="1">
        <f ca="1">IFERROR(__xludf.DUMMYFUNCTION("""COMPUTED_VALUE"""),115.36)</f>
        <v>115.36</v>
      </c>
    </row>
    <row r="1786" spans="1:2">
      <c r="A1786" s="3">
        <f ca="1">IFERROR(__xludf.DUMMYFUNCTION("""COMPUTED_VALUE"""),44314.6666666666)</f>
        <v>44314.666666666599</v>
      </c>
      <c r="B1786" s="1">
        <f ca="1">IFERROR(__xludf.DUMMYFUNCTION("""COMPUTED_VALUE"""),119)</f>
        <v>119</v>
      </c>
    </row>
    <row r="1787" spans="1:2">
      <c r="A1787" s="3">
        <f ca="1">IFERROR(__xludf.DUMMYFUNCTION("""COMPUTED_VALUE"""),44315.6666666666)</f>
        <v>44315.666666666599</v>
      </c>
      <c r="B1787" s="1">
        <f ca="1">IFERROR(__xludf.DUMMYFUNCTION("""COMPUTED_VALUE"""),121.49)</f>
        <v>121.49</v>
      </c>
    </row>
    <row r="1788" spans="1:2">
      <c r="A1788" s="3">
        <f ca="1">IFERROR(__xludf.DUMMYFUNCTION("""COMPUTED_VALUE"""),44316.6666666666)</f>
        <v>44316.666666666599</v>
      </c>
      <c r="B1788" s="1">
        <f ca="1">IFERROR(__xludf.DUMMYFUNCTION("""COMPUTED_VALUE"""),120.51)</f>
        <v>120.51</v>
      </c>
    </row>
    <row r="1789" spans="1:2">
      <c r="A1789" s="3">
        <f ca="1">IFERROR(__xludf.DUMMYFUNCTION("""COMPUTED_VALUE"""),44319.6666666666)</f>
        <v>44319.666666666599</v>
      </c>
      <c r="B1789" s="1">
        <f ca="1">IFERROR(__xludf.DUMMYFUNCTION("""COMPUTED_VALUE"""),119.76)</f>
        <v>119.76</v>
      </c>
    </row>
    <row r="1790" spans="1:2">
      <c r="A1790" s="3">
        <f ca="1">IFERROR(__xludf.DUMMYFUNCTION("""COMPUTED_VALUE"""),44320.6666666666)</f>
        <v>44320.666666666599</v>
      </c>
      <c r="B1790" s="1">
        <f ca="1">IFERROR(__xludf.DUMMYFUNCTION("""COMPUTED_VALUE"""),117.71)</f>
        <v>117.71</v>
      </c>
    </row>
    <row r="1791" spans="1:2">
      <c r="A1791" s="3">
        <f ca="1">IFERROR(__xludf.DUMMYFUNCTION("""COMPUTED_VALUE"""),44321.6666666666)</f>
        <v>44321.666666666599</v>
      </c>
      <c r="B1791" s="1">
        <f ca="1">IFERROR(__xludf.DUMMYFUNCTION("""COMPUTED_VALUE"""),117.84)</f>
        <v>117.84</v>
      </c>
    </row>
    <row r="1792" spans="1:2">
      <c r="A1792" s="3">
        <f ca="1">IFERROR(__xludf.DUMMYFUNCTION("""COMPUTED_VALUE"""),44322.6666666666)</f>
        <v>44322.666666666599</v>
      </c>
      <c r="B1792" s="1">
        <f ca="1">IFERROR(__xludf.DUMMYFUNCTION("""COMPUTED_VALUE"""),119.07)</f>
        <v>119.07</v>
      </c>
    </row>
    <row r="1793" spans="1:2">
      <c r="A1793" s="3">
        <f ca="1">IFERROR(__xludf.DUMMYFUNCTION("""COMPUTED_VALUE"""),44323.6666666666)</f>
        <v>44323.666666666599</v>
      </c>
      <c r="B1793" s="1">
        <f ca="1">IFERROR(__xludf.DUMMYFUNCTION("""COMPUTED_VALUE"""),119.93)</f>
        <v>119.93</v>
      </c>
    </row>
    <row r="1794" spans="1:2">
      <c r="A1794" s="3">
        <f ca="1">IFERROR(__xludf.DUMMYFUNCTION("""COMPUTED_VALUE"""),44326.6666666666)</f>
        <v>44326.666666666599</v>
      </c>
      <c r="B1794" s="1">
        <f ca="1">IFERROR(__xludf.DUMMYFUNCTION("""COMPUTED_VALUE"""),117.08)</f>
        <v>117.08</v>
      </c>
    </row>
    <row r="1795" spans="1:2">
      <c r="A1795" s="3">
        <f ca="1">IFERROR(__xludf.DUMMYFUNCTION("""COMPUTED_VALUE"""),44327.6666666666)</f>
        <v>44327.666666666599</v>
      </c>
      <c r="B1795" s="1">
        <f ca="1">IFERROR(__xludf.DUMMYFUNCTION("""COMPUTED_VALUE"""),115.44)</f>
        <v>115.44</v>
      </c>
    </row>
    <row r="1796" spans="1:2">
      <c r="A1796" s="3">
        <f ca="1">IFERROR(__xludf.DUMMYFUNCTION("""COMPUTED_VALUE"""),44328.6666666666)</f>
        <v>44328.666666666599</v>
      </c>
      <c r="B1796" s="1">
        <f ca="1">IFERROR(__xludf.DUMMYFUNCTION("""COMPUTED_VALUE"""),111.95)</f>
        <v>111.95</v>
      </c>
    </row>
    <row r="1797" spans="1:2">
      <c r="A1797" s="3">
        <f ca="1">IFERROR(__xludf.DUMMYFUNCTION("""COMPUTED_VALUE"""),44329.6666666666)</f>
        <v>44329.666666666599</v>
      </c>
      <c r="B1797" s="1">
        <f ca="1">IFERROR(__xludf.DUMMYFUNCTION("""COMPUTED_VALUE"""),113.1)</f>
        <v>113.1</v>
      </c>
    </row>
    <row r="1798" spans="1:2">
      <c r="A1798" s="3">
        <f ca="1">IFERROR(__xludf.DUMMYFUNCTION("""COMPUTED_VALUE"""),44330.6666666666)</f>
        <v>44330.666666666599</v>
      </c>
      <c r="B1798" s="1">
        <f ca="1">IFERROR(__xludf.DUMMYFUNCTION("""COMPUTED_VALUE"""),115.81)</f>
        <v>115.81</v>
      </c>
    </row>
    <row r="1799" spans="1:2">
      <c r="A1799" s="3">
        <f ca="1">IFERROR(__xludf.DUMMYFUNCTION("""COMPUTED_VALUE"""),44333.6666666666)</f>
        <v>44333.666666666599</v>
      </c>
      <c r="B1799" s="1">
        <f ca="1">IFERROR(__xludf.DUMMYFUNCTION("""COMPUTED_VALUE"""),116.07)</f>
        <v>116.07</v>
      </c>
    </row>
    <row r="1800" spans="1:2">
      <c r="A1800" s="3">
        <f ca="1">IFERROR(__xludf.DUMMYFUNCTION("""COMPUTED_VALUE"""),44334.6666666666)</f>
        <v>44334.666666666599</v>
      </c>
      <c r="B1800" s="1">
        <f ca="1">IFERROR(__xludf.DUMMYFUNCTION("""COMPUTED_VALUE"""),115.17)</f>
        <v>115.17</v>
      </c>
    </row>
    <row r="1801" spans="1:2">
      <c r="A1801" s="3">
        <f ca="1">IFERROR(__xludf.DUMMYFUNCTION("""COMPUTED_VALUE"""),44335.6666666666)</f>
        <v>44335.666666666599</v>
      </c>
      <c r="B1801" s="1">
        <f ca="1">IFERROR(__xludf.DUMMYFUNCTION("""COMPUTED_VALUE"""),115.44)</f>
        <v>115.44</v>
      </c>
    </row>
    <row r="1802" spans="1:2">
      <c r="A1802" s="3">
        <f ca="1">IFERROR(__xludf.DUMMYFUNCTION("""COMPUTED_VALUE"""),44336.6666666666)</f>
        <v>44336.666666666599</v>
      </c>
      <c r="B1802" s="1">
        <f ca="1">IFERROR(__xludf.DUMMYFUNCTION("""COMPUTED_VALUE"""),117.8)</f>
        <v>117.8</v>
      </c>
    </row>
    <row r="1803" spans="1:2">
      <c r="A1803" s="3">
        <f ca="1">IFERROR(__xludf.DUMMYFUNCTION("""COMPUTED_VALUE"""),44337.6666666666)</f>
        <v>44337.666666666599</v>
      </c>
      <c r="B1803" s="1">
        <f ca="1">IFERROR(__xludf.DUMMYFUNCTION("""COMPUTED_VALUE"""),117.26)</f>
        <v>117.26</v>
      </c>
    </row>
    <row r="1804" spans="1:2">
      <c r="A1804" s="3">
        <f ca="1">IFERROR(__xludf.DUMMYFUNCTION("""COMPUTED_VALUE"""),44340.6666666666)</f>
        <v>44340.666666666599</v>
      </c>
      <c r="B1804" s="1">
        <f ca="1">IFERROR(__xludf.DUMMYFUNCTION("""COMPUTED_VALUE"""),120.33)</f>
        <v>120.33</v>
      </c>
    </row>
    <row r="1805" spans="1:2">
      <c r="A1805" s="3">
        <f ca="1">IFERROR(__xludf.DUMMYFUNCTION("""COMPUTED_VALUE"""),44341.6666666666)</f>
        <v>44341.666666666599</v>
      </c>
      <c r="B1805" s="1">
        <f ca="1">IFERROR(__xludf.DUMMYFUNCTION("""COMPUTED_VALUE"""),120.45)</f>
        <v>120.45</v>
      </c>
    </row>
    <row r="1806" spans="1:2">
      <c r="A1806" s="3">
        <f ca="1">IFERROR(__xludf.DUMMYFUNCTION("""COMPUTED_VALUE"""),44342.6666666666)</f>
        <v>44342.666666666599</v>
      </c>
      <c r="B1806" s="1">
        <f ca="1">IFERROR(__xludf.DUMMYFUNCTION("""COMPUTED_VALUE"""),121.68)</f>
        <v>121.68</v>
      </c>
    </row>
    <row r="1807" spans="1:2">
      <c r="A1807" s="3">
        <f ca="1">IFERROR(__xludf.DUMMYFUNCTION("""COMPUTED_VALUE"""),44343.6666666666)</f>
        <v>44343.666666666599</v>
      </c>
      <c r="B1807" s="1">
        <f ca="1">IFERROR(__xludf.DUMMYFUNCTION("""COMPUTED_VALUE"""),120.13)</f>
        <v>120.13</v>
      </c>
    </row>
    <row r="1808" spans="1:2">
      <c r="A1808" s="3">
        <f ca="1">IFERROR(__xludf.DUMMYFUNCTION("""COMPUTED_VALUE"""),44344.6666666666)</f>
        <v>44344.666666666599</v>
      </c>
      <c r="B1808" s="1">
        <f ca="1">IFERROR(__xludf.DUMMYFUNCTION("""COMPUTED_VALUE"""),120.58)</f>
        <v>120.58</v>
      </c>
    </row>
    <row r="1809" spans="1:2">
      <c r="A1809" s="3">
        <f ca="1">IFERROR(__xludf.DUMMYFUNCTION("""COMPUTED_VALUE"""),44348.6666666666)</f>
        <v>44348.666666666599</v>
      </c>
      <c r="B1809" s="1">
        <f ca="1">IFERROR(__xludf.DUMMYFUNCTION("""COMPUTED_VALUE"""),121.49)</f>
        <v>121.49</v>
      </c>
    </row>
    <row r="1810" spans="1:2">
      <c r="A1810" s="3">
        <f ca="1">IFERROR(__xludf.DUMMYFUNCTION("""COMPUTED_VALUE"""),44349.6666666666)</f>
        <v>44349.666666666599</v>
      </c>
      <c r="B1810" s="1">
        <f ca="1">IFERROR(__xludf.DUMMYFUNCTION("""COMPUTED_VALUE"""),121.06)</f>
        <v>121.06</v>
      </c>
    </row>
    <row r="1811" spans="1:2">
      <c r="A1811" s="3">
        <f ca="1">IFERROR(__xludf.DUMMYFUNCTION("""COMPUTED_VALUE"""),44350.6666666666)</f>
        <v>44350.666666666599</v>
      </c>
      <c r="B1811" s="1">
        <f ca="1">IFERROR(__xludf.DUMMYFUNCTION("""COMPUTED_VALUE"""),120.23)</f>
        <v>120.23</v>
      </c>
    </row>
    <row r="1812" spans="1:2">
      <c r="A1812" s="3">
        <f ca="1">IFERROR(__xludf.DUMMYFUNCTION("""COMPUTED_VALUE"""),44351.6666666666)</f>
        <v>44351.666666666599</v>
      </c>
      <c r="B1812" s="1">
        <f ca="1">IFERROR(__xludf.DUMMYFUNCTION("""COMPUTED_VALUE"""),122.59)</f>
        <v>122.59</v>
      </c>
    </row>
    <row r="1813" spans="1:2">
      <c r="A1813" s="3">
        <f ca="1">IFERROR(__xludf.DUMMYFUNCTION("""COMPUTED_VALUE"""),44354.6666666666)</f>
        <v>44354.666666666599</v>
      </c>
      <c r="B1813" s="1">
        <f ca="1">IFERROR(__xludf.DUMMYFUNCTION("""COMPUTED_VALUE"""),123.3)</f>
        <v>123.3</v>
      </c>
    </row>
    <row r="1814" spans="1:2">
      <c r="A1814" s="3">
        <f ca="1">IFERROR(__xludf.DUMMYFUNCTION("""COMPUTED_VALUE"""),44355.6666666666)</f>
        <v>44355.666666666599</v>
      </c>
      <c r="B1814" s="1">
        <f ca="1">IFERROR(__xludf.DUMMYFUNCTION("""COMPUTED_VALUE"""),124.14)</f>
        <v>124.14</v>
      </c>
    </row>
    <row r="1815" spans="1:2">
      <c r="A1815" s="3">
        <f ca="1">IFERROR(__xludf.DUMMYFUNCTION("""COMPUTED_VALUE"""),44356.6666666666)</f>
        <v>44356.666666666599</v>
      </c>
      <c r="B1815" s="1">
        <f ca="1">IFERROR(__xludf.DUMMYFUNCTION("""COMPUTED_VALUE"""),124.57)</f>
        <v>124.57</v>
      </c>
    </row>
    <row r="1816" spans="1:2">
      <c r="A1816" s="3">
        <f ca="1">IFERROR(__xludf.DUMMYFUNCTION("""COMPUTED_VALUE"""),44357.6666666666)</f>
        <v>44357.666666666599</v>
      </c>
      <c r="B1816" s="1">
        <f ca="1">IFERROR(__xludf.DUMMYFUNCTION("""COMPUTED_VALUE"""),126.08)</f>
        <v>126.08</v>
      </c>
    </row>
    <row r="1817" spans="1:2">
      <c r="A1817" s="3">
        <f ca="1">IFERROR(__xludf.DUMMYFUNCTION("""COMPUTED_VALUE"""),44358.6666666666)</f>
        <v>44358.666666666599</v>
      </c>
      <c r="B1817" s="1">
        <f ca="1">IFERROR(__xludf.DUMMYFUNCTION("""COMPUTED_VALUE"""),125.7)</f>
        <v>125.7</v>
      </c>
    </row>
    <row r="1818" spans="1:2">
      <c r="A1818" s="3">
        <f ca="1">IFERROR(__xludf.DUMMYFUNCTION("""COMPUTED_VALUE"""),44361.6666666666)</f>
        <v>44361.666666666599</v>
      </c>
      <c r="B1818" s="1">
        <f ca="1">IFERROR(__xludf.DUMMYFUNCTION("""COMPUTED_VALUE"""),126.35)</f>
        <v>126.35</v>
      </c>
    </row>
    <row r="1819" spans="1:2">
      <c r="A1819" s="3">
        <f ca="1">IFERROR(__xludf.DUMMYFUNCTION("""COMPUTED_VALUE"""),44362.6666666666)</f>
        <v>44362.666666666599</v>
      </c>
      <c r="B1819" s="1">
        <f ca="1">IFERROR(__xludf.DUMMYFUNCTION("""COMPUTED_VALUE"""),126.03)</f>
        <v>126.03</v>
      </c>
    </row>
    <row r="1820" spans="1:2">
      <c r="A1820" s="3">
        <f ca="1">IFERROR(__xludf.DUMMYFUNCTION("""COMPUTED_VALUE"""),44363.6666666666)</f>
        <v>44363.666666666599</v>
      </c>
      <c r="B1820" s="1">
        <f ca="1">IFERROR(__xludf.DUMMYFUNCTION("""COMPUTED_VALUE"""),125.7)</f>
        <v>125.7</v>
      </c>
    </row>
    <row r="1821" spans="1:2">
      <c r="A1821" s="3">
        <f ca="1">IFERROR(__xludf.DUMMYFUNCTION("""COMPUTED_VALUE"""),44364.6666666666)</f>
        <v>44364.666666666599</v>
      </c>
      <c r="B1821" s="1">
        <f ca="1">IFERROR(__xludf.DUMMYFUNCTION("""COMPUTED_VALUE"""),126.37)</f>
        <v>126.37</v>
      </c>
    </row>
    <row r="1822" spans="1:2">
      <c r="A1822" s="3">
        <f ca="1">IFERROR(__xludf.DUMMYFUNCTION("""COMPUTED_VALUE"""),44365.6666666666)</f>
        <v>44365.666666666599</v>
      </c>
      <c r="B1822" s="1">
        <f ca="1">IFERROR(__xludf.DUMMYFUNCTION("""COMPUTED_VALUE"""),125.57)</f>
        <v>125.57</v>
      </c>
    </row>
    <row r="1823" spans="1:2">
      <c r="A1823" s="3">
        <f ca="1">IFERROR(__xludf.DUMMYFUNCTION("""COMPUTED_VALUE"""),44368.6666666666)</f>
        <v>44368.666666666599</v>
      </c>
      <c r="B1823" s="1">
        <f ca="1">IFERROR(__xludf.DUMMYFUNCTION("""COMPUTED_VALUE"""),126.46)</f>
        <v>126.46</v>
      </c>
    </row>
    <row r="1824" spans="1:2">
      <c r="A1824" s="3">
        <f ca="1">IFERROR(__xludf.DUMMYFUNCTION("""COMPUTED_VALUE"""),44369.6666666666)</f>
        <v>44369.666666666599</v>
      </c>
      <c r="B1824" s="1">
        <f ca="1">IFERROR(__xludf.DUMMYFUNCTION("""COMPUTED_VALUE"""),127)</f>
        <v>127</v>
      </c>
    </row>
    <row r="1825" spans="1:2">
      <c r="A1825" s="3">
        <f ca="1">IFERROR(__xludf.DUMMYFUNCTION("""COMPUTED_VALUE"""),44370.6666666666)</f>
        <v>44370.666666666599</v>
      </c>
      <c r="B1825" s="1">
        <f ca="1">IFERROR(__xludf.DUMMYFUNCTION("""COMPUTED_VALUE"""),126.46)</f>
        <v>126.46</v>
      </c>
    </row>
    <row r="1826" spans="1:2">
      <c r="A1826" s="3">
        <f ca="1">IFERROR(__xludf.DUMMYFUNCTION("""COMPUTED_VALUE"""),44371.6666666666)</f>
        <v>44371.666666666599</v>
      </c>
      <c r="B1826" s="1">
        <f ca="1">IFERROR(__xludf.DUMMYFUNCTION("""COMPUTED_VALUE"""),127.28)</f>
        <v>127.28</v>
      </c>
    </row>
    <row r="1827" spans="1:2">
      <c r="A1827" s="3">
        <f ca="1">IFERROR(__xludf.DUMMYFUNCTION("""COMPUTED_VALUE"""),44372.6666666666)</f>
        <v>44372.666666666599</v>
      </c>
      <c r="B1827" s="1">
        <f ca="1">IFERROR(__xludf.DUMMYFUNCTION("""COMPUTED_VALUE"""),127)</f>
        <v>127</v>
      </c>
    </row>
    <row r="1828" spans="1:2">
      <c r="A1828" s="3">
        <f ca="1">IFERROR(__xludf.DUMMYFUNCTION("""COMPUTED_VALUE"""),44375.6666666666)</f>
        <v>44375.666666666599</v>
      </c>
      <c r="B1828" s="1">
        <f ca="1">IFERROR(__xludf.DUMMYFUNCTION("""COMPUTED_VALUE"""),126.82)</f>
        <v>126.82</v>
      </c>
    </row>
    <row r="1829" spans="1:2">
      <c r="A1829" s="3">
        <f ca="1">IFERROR(__xludf.DUMMYFUNCTION("""COMPUTED_VALUE"""),44376.6666666666)</f>
        <v>44376.666666666599</v>
      </c>
      <c r="B1829" s="1">
        <f ca="1">IFERROR(__xludf.DUMMYFUNCTION("""COMPUTED_VALUE"""),126.02)</f>
        <v>126.02</v>
      </c>
    </row>
    <row r="1830" spans="1:2">
      <c r="A1830" s="3">
        <f ca="1">IFERROR(__xludf.DUMMYFUNCTION("""COMPUTED_VALUE"""),44377.6666666666)</f>
        <v>44377.666666666599</v>
      </c>
      <c r="B1830" s="1">
        <f ca="1">IFERROR(__xludf.DUMMYFUNCTION("""COMPUTED_VALUE"""),125.32)</f>
        <v>125.32</v>
      </c>
    </row>
    <row r="1831" spans="1:2">
      <c r="A1831" s="3">
        <f ca="1">IFERROR(__xludf.DUMMYFUNCTION("""COMPUTED_VALUE"""),44378.6666666666)</f>
        <v>44378.666666666599</v>
      </c>
      <c r="B1831" s="1">
        <f ca="1">IFERROR(__xludf.DUMMYFUNCTION("""COMPUTED_VALUE"""),126.37)</f>
        <v>126.37</v>
      </c>
    </row>
    <row r="1832" spans="1:2">
      <c r="A1832" s="3">
        <f ca="1">IFERROR(__xludf.DUMMYFUNCTION("""COMPUTED_VALUE"""),44379.6666666666)</f>
        <v>44379.666666666599</v>
      </c>
      <c r="B1832" s="1">
        <f ca="1">IFERROR(__xludf.DUMMYFUNCTION("""COMPUTED_VALUE"""),128.72)</f>
        <v>128.72</v>
      </c>
    </row>
    <row r="1833" spans="1:2">
      <c r="A1833" s="3">
        <f ca="1">IFERROR(__xludf.DUMMYFUNCTION("""COMPUTED_VALUE"""),44383.6666666666)</f>
        <v>44383.666666666599</v>
      </c>
      <c r="B1833" s="1">
        <f ca="1">IFERROR(__xludf.DUMMYFUNCTION("""COMPUTED_VALUE"""),129.77)</f>
        <v>129.77000000000001</v>
      </c>
    </row>
    <row r="1834" spans="1:2">
      <c r="A1834" s="3">
        <f ca="1">IFERROR(__xludf.DUMMYFUNCTION("""COMPUTED_VALUE"""),44384.6666666666)</f>
        <v>44384.666666666599</v>
      </c>
      <c r="B1834" s="1">
        <f ca="1">IFERROR(__xludf.DUMMYFUNCTION("""COMPUTED_VALUE"""),130.08)</f>
        <v>130.08000000000001</v>
      </c>
    </row>
    <row r="1835" spans="1:2">
      <c r="A1835" s="3">
        <f ca="1">IFERROR(__xludf.DUMMYFUNCTION("""COMPUTED_VALUE"""),44385.6666666666)</f>
        <v>44385.666666666599</v>
      </c>
      <c r="B1835" s="1">
        <f ca="1">IFERROR(__xludf.DUMMYFUNCTION("""COMPUTED_VALUE"""),129.18)</f>
        <v>129.18</v>
      </c>
    </row>
    <row r="1836" spans="1:2">
      <c r="A1836" s="3">
        <f ca="1">IFERROR(__xludf.DUMMYFUNCTION("""COMPUTED_VALUE"""),44386.6666666666)</f>
        <v>44386.666666666599</v>
      </c>
      <c r="B1836" s="1">
        <f ca="1">IFERROR(__xludf.DUMMYFUNCTION("""COMPUTED_VALUE"""),129.57)</f>
        <v>129.57</v>
      </c>
    </row>
    <row r="1837" spans="1:2">
      <c r="A1837" s="3">
        <f ca="1">IFERROR(__xludf.DUMMYFUNCTION("""COMPUTED_VALUE"""),44389.6666666666)</f>
        <v>44389.666666666599</v>
      </c>
      <c r="B1837" s="1">
        <f ca="1">IFERROR(__xludf.DUMMYFUNCTION("""COMPUTED_VALUE"""),130.56)</f>
        <v>130.56</v>
      </c>
    </row>
    <row r="1838" spans="1:2">
      <c r="A1838" s="3">
        <f ca="1">IFERROR(__xludf.DUMMYFUNCTION("""COMPUTED_VALUE"""),44390.6666666666)</f>
        <v>44390.666666666599</v>
      </c>
      <c r="B1838" s="1">
        <f ca="1">IFERROR(__xludf.DUMMYFUNCTION("""COMPUTED_VALUE"""),130.99)</f>
        <v>130.99</v>
      </c>
    </row>
    <row r="1839" spans="1:2">
      <c r="A1839" s="3">
        <f ca="1">IFERROR(__xludf.DUMMYFUNCTION("""COMPUTED_VALUE"""),44391.6666666666)</f>
        <v>44391.666666666599</v>
      </c>
      <c r="B1839" s="1">
        <f ca="1">IFERROR(__xludf.DUMMYFUNCTION("""COMPUTED_VALUE"""),132.08)</f>
        <v>132.08000000000001</v>
      </c>
    </row>
    <row r="1840" spans="1:2">
      <c r="A1840" s="3">
        <f ca="1">IFERROR(__xludf.DUMMYFUNCTION("""COMPUTED_VALUE"""),44392.6666666666)</f>
        <v>44392.666666666599</v>
      </c>
      <c r="B1840" s="1">
        <f ca="1">IFERROR(__xludf.DUMMYFUNCTION("""COMPUTED_VALUE"""),131.27)</f>
        <v>131.27000000000001</v>
      </c>
    </row>
    <row r="1841" spans="1:2">
      <c r="A1841" s="3">
        <f ca="1">IFERROR(__xludf.DUMMYFUNCTION("""COMPUTED_VALUE"""),44393.6666666666)</f>
        <v>44393.666666666599</v>
      </c>
      <c r="B1841" s="1">
        <f ca="1">IFERROR(__xludf.DUMMYFUNCTION("""COMPUTED_VALUE"""),131.85)</f>
        <v>131.85</v>
      </c>
    </row>
    <row r="1842" spans="1:2">
      <c r="A1842" s="3">
        <f ca="1">IFERROR(__xludf.DUMMYFUNCTION("""COMPUTED_VALUE"""),44396.6666666666)</f>
        <v>44396.666666666599</v>
      </c>
      <c r="B1842" s="1">
        <f ca="1">IFERROR(__xludf.DUMMYFUNCTION("""COMPUTED_VALUE"""),129.25)</f>
        <v>129.25</v>
      </c>
    </row>
    <row r="1843" spans="1:2">
      <c r="A1843" s="3">
        <f ca="1">IFERROR(__xludf.DUMMYFUNCTION("""COMPUTED_VALUE"""),44397.6666666666)</f>
        <v>44397.666666666599</v>
      </c>
      <c r="B1843" s="1">
        <f ca="1">IFERROR(__xludf.DUMMYFUNCTION("""COMPUTED_VALUE"""),131.1)</f>
        <v>131.1</v>
      </c>
    </row>
    <row r="1844" spans="1:2">
      <c r="A1844" s="3">
        <f ca="1">IFERROR(__xludf.DUMMYFUNCTION("""COMPUTED_VALUE"""),44398.6666666666)</f>
        <v>44398.666666666599</v>
      </c>
      <c r="B1844" s="1">
        <f ca="1">IFERROR(__xludf.DUMMYFUNCTION("""COMPUTED_VALUE"""),132.6)</f>
        <v>132.6</v>
      </c>
    </row>
    <row r="1845" spans="1:2">
      <c r="A1845" s="3">
        <f ca="1">IFERROR(__xludf.DUMMYFUNCTION("""COMPUTED_VALUE"""),44399.6666666666)</f>
        <v>44399.666666666599</v>
      </c>
      <c r="B1845" s="1">
        <f ca="1">IFERROR(__xludf.DUMMYFUNCTION("""COMPUTED_VALUE"""),133.33)</f>
        <v>133.33000000000001</v>
      </c>
    </row>
    <row r="1846" spans="1:2">
      <c r="A1846" s="3">
        <f ca="1">IFERROR(__xludf.DUMMYFUNCTION("""COMPUTED_VALUE"""),44400.6666666666)</f>
        <v>44400.666666666599</v>
      </c>
      <c r="B1846" s="1">
        <f ca="1">IFERROR(__xludf.DUMMYFUNCTION("""COMPUTED_VALUE"""),137.82)</f>
        <v>137.82</v>
      </c>
    </row>
    <row r="1847" spans="1:2">
      <c r="A1847" s="3">
        <f ca="1">IFERROR(__xludf.DUMMYFUNCTION("""COMPUTED_VALUE"""),44403.6666666666)</f>
        <v>44403.666666666599</v>
      </c>
      <c r="B1847" s="1">
        <f ca="1">IFERROR(__xludf.DUMMYFUNCTION("""COMPUTED_VALUE"""),139.64)</f>
        <v>139.63999999999999</v>
      </c>
    </row>
    <row r="1848" spans="1:2">
      <c r="A1848" s="3">
        <f ca="1">IFERROR(__xludf.DUMMYFUNCTION("""COMPUTED_VALUE"""),44404.6666666666)</f>
        <v>44404.666666666599</v>
      </c>
      <c r="B1848" s="1">
        <f ca="1">IFERROR(__xludf.DUMMYFUNCTION("""COMPUTED_VALUE"""),136.8)</f>
        <v>136.80000000000001</v>
      </c>
    </row>
    <row r="1849" spans="1:2">
      <c r="A1849" s="3">
        <f ca="1">IFERROR(__xludf.DUMMYFUNCTION("""COMPUTED_VALUE"""),44405.6666666666)</f>
        <v>44405.666666666599</v>
      </c>
      <c r="B1849" s="1">
        <f ca="1">IFERROR(__xludf.DUMMYFUNCTION("""COMPUTED_VALUE"""),136.38)</f>
        <v>136.38</v>
      </c>
    </row>
    <row r="1850" spans="1:2">
      <c r="A1850" s="3">
        <f ca="1">IFERROR(__xludf.DUMMYFUNCTION("""COMPUTED_VALUE"""),44406.6666666666)</f>
        <v>44406.666666666599</v>
      </c>
      <c r="B1850" s="1">
        <f ca="1">IFERROR(__xludf.DUMMYFUNCTION("""COMPUTED_VALUE"""),136.54)</f>
        <v>136.54</v>
      </c>
    </row>
    <row r="1851" spans="1:2">
      <c r="A1851" s="3">
        <f ca="1">IFERROR(__xludf.DUMMYFUNCTION("""COMPUTED_VALUE"""),44407.6666666666)</f>
        <v>44407.666666666599</v>
      </c>
      <c r="B1851" s="1">
        <f ca="1">IFERROR(__xludf.DUMMYFUNCTION("""COMPUTED_VALUE"""),135.22)</f>
        <v>135.22</v>
      </c>
    </row>
    <row r="1852" spans="1:2">
      <c r="A1852" s="3">
        <f ca="1">IFERROR(__xludf.DUMMYFUNCTION("""COMPUTED_VALUE"""),44410.6666666666)</f>
        <v>44410.666666666599</v>
      </c>
      <c r="B1852" s="1">
        <f ca="1">IFERROR(__xludf.DUMMYFUNCTION("""COMPUTED_VALUE"""),135.99)</f>
        <v>135.99</v>
      </c>
    </row>
    <row r="1853" spans="1:2">
      <c r="A1853" s="3">
        <f ca="1">IFERROR(__xludf.DUMMYFUNCTION("""COMPUTED_VALUE"""),44411.6666666666)</f>
        <v>44411.666666666599</v>
      </c>
      <c r="B1853" s="1">
        <f ca="1">IFERROR(__xludf.DUMMYFUNCTION("""COMPUTED_VALUE"""),136.28)</f>
        <v>136.28</v>
      </c>
    </row>
    <row r="1854" spans="1:2">
      <c r="A1854" s="3">
        <f ca="1">IFERROR(__xludf.DUMMYFUNCTION("""COMPUTED_VALUE"""),44412.6666666666)</f>
        <v>44412.666666666599</v>
      </c>
      <c r="B1854" s="1">
        <f ca="1">IFERROR(__xludf.DUMMYFUNCTION("""COMPUTED_VALUE"""),136.03)</f>
        <v>136.03</v>
      </c>
    </row>
    <row r="1855" spans="1:2">
      <c r="A1855" s="3">
        <f ca="1">IFERROR(__xludf.DUMMYFUNCTION("""COMPUTED_VALUE"""),44413.6666666666)</f>
        <v>44413.666666666599</v>
      </c>
      <c r="B1855" s="1">
        <f ca="1">IFERROR(__xludf.DUMMYFUNCTION("""COMPUTED_VALUE"""),136.94)</f>
        <v>136.94</v>
      </c>
    </row>
    <row r="1856" spans="1:2">
      <c r="A1856" s="3">
        <f ca="1">IFERROR(__xludf.DUMMYFUNCTION("""COMPUTED_VALUE"""),44414.6666666666)</f>
        <v>44414.666666666599</v>
      </c>
      <c r="B1856" s="1">
        <f ca="1">IFERROR(__xludf.DUMMYFUNCTION("""COMPUTED_VALUE"""),137.04)</f>
        <v>137.04</v>
      </c>
    </row>
    <row r="1857" spans="1:2">
      <c r="A1857" s="3">
        <f ca="1">IFERROR(__xludf.DUMMYFUNCTION("""COMPUTED_VALUE"""),44417.6666666666)</f>
        <v>44417.666666666599</v>
      </c>
      <c r="B1857" s="1">
        <f ca="1">IFERROR(__xludf.DUMMYFUNCTION("""COMPUTED_VALUE"""),138)</f>
        <v>138</v>
      </c>
    </row>
    <row r="1858" spans="1:2">
      <c r="A1858" s="3">
        <f ca="1">IFERROR(__xludf.DUMMYFUNCTION("""COMPUTED_VALUE"""),44418.6666666666)</f>
        <v>44418.666666666599</v>
      </c>
      <c r="B1858" s="1">
        <f ca="1">IFERROR(__xludf.DUMMYFUNCTION("""COMPUTED_VALUE"""),138.1)</f>
        <v>138.1</v>
      </c>
    </row>
    <row r="1859" spans="1:2">
      <c r="A1859" s="3">
        <f ca="1">IFERROR(__xludf.DUMMYFUNCTION("""COMPUTED_VALUE"""),44419.6666666666)</f>
        <v>44419.666666666599</v>
      </c>
      <c r="B1859" s="1">
        <f ca="1">IFERROR(__xludf.DUMMYFUNCTION("""COMPUTED_VALUE"""),137.69)</f>
        <v>137.69</v>
      </c>
    </row>
    <row r="1860" spans="1:2">
      <c r="A1860" s="3">
        <f ca="1">IFERROR(__xludf.DUMMYFUNCTION("""COMPUTED_VALUE"""),44420.6666666666)</f>
        <v>44420.666666666599</v>
      </c>
      <c r="B1860" s="1">
        <f ca="1">IFERROR(__xludf.DUMMYFUNCTION("""COMPUTED_VALUE"""),138.39)</f>
        <v>138.38999999999999</v>
      </c>
    </row>
    <row r="1861" spans="1:2">
      <c r="A1861" s="3">
        <f ca="1">IFERROR(__xludf.DUMMYFUNCTION("""COMPUTED_VALUE"""),44421.6666666666)</f>
        <v>44421.666666666599</v>
      </c>
      <c r="B1861" s="1">
        <f ca="1">IFERROR(__xludf.DUMMYFUNCTION("""COMPUTED_VALUE"""),138.41)</f>
        <v>138.41</v>
      </c>
    </row>
    <row r="1862" spans="1:2">
      <c r="A1862" s="3">
        <f ca="1">IFERROR(__xludf.DUMMYFUNCTION("""COMPUTED_VALUE"""),44424.6666666666)</f>
        <v>44424.666666666599</v>
      </c>
      <c r="B1862" s="1">
        <f ca="1">IFERROR(__xludf.DUMMYFUNCTION("""COMPUTED_VALUE"""),138.92)</f>
        <v>138.91999999999999</v>
      </c>
    </row>
    <row r="1863" spans="1:2">
      <c r="A1863" s="3">
        <f ca="1">IFERROR(__xludf.DUMMYFUNCTION("""COMPUTED_VALUE"""),44425.6666666666)</f>
        <v>44425.666666666599</v>
      </c>
      <c r="B1863" s="1">
        <f ca="1">IFERROR(__xludf.DUMMYFUNCTION("""COMPUTED_VALUE"""),137.3)</f>
        <v>137.30000000000001</v>
      </c>
    </row>
    <row r="1864" spans="1:2">
      <c r="A1864" s="3">
        <f ca="1">IFERROR(__xludf.DUMMYFUNCTION("""COMPUTED_VALUE"""),44426.6666666666)</f>
        <v>44426.666666666599</v>
      </c>
      <c r="B1864" s="1">
        <f ca="1">IFERROR(__xludf.DUMMYFUNCTION("""COMPUTED_VALUE"""),136.57)</f>
        <v>136.57</v>
      </c>
    </row>
    <row r="1865" spans="1:2">
      <c r="A1865" s="3">
        <f ca="1">IFERROR(__xludf.DUMMYFUNCTION("""COMPUTED_VALUE"""),44427.6666666666)</f>
        <v>44427.666666666599</v>
      </c>
      <c r="B1865" s="1">
        <f ca="1">IFERROR(__xludf.DUMMYFUNCTION("""COMPUTED_VALUE"""),136.91)</f>
        <v>136.91</v>
      </c>
    </row>
    <row r="1866" spans="1:2">
      <c r="A1866" s="3">
        <f ca="1">IFERROR(__xludf.DUMMYFUNCTION("""COMPUTED_VALUE"""),44428.6666666666)</f>
        <v>44428.666666666599</v>
      </c>
      <c r="B1866" s="1">
        <f ca="1">IFERROR(__xludf.DUMMYFUNCTION("""COMPUTED_VALUE"""),138.44)</f>
        <v>138.44</v>
      </c>
    </row>
    <row r="1867" spans="1:2">
      <c r="A1867" s="3">
        <f ca="1">IFERROR(__xludf.DUMMYFUNCTION("""COMPUTED_VALUE"""),44431.6666666666)</f>
        <v>44431.666666666599</v>
      </c>
      <c r="B1867" s="1">
        <f ca="1">IFERROR(__xludf.DUMMYFUNCTION("""COMPUTED_VALUE"""),141.1)</f>
        <v>141.1</v>
      </c>
    </row>
    <row r="1868" spans="1:2">
      <c r="A1868" s="3">
        <f ca="1">IFERROR(__xludf.DUMMYFUNCTION("""COMPUTED_VALUE"""),44432.6666666666)</f>
        <v>44432.666666666599</v>
      </c>
      <c r="B1868" s="1">
        <f ca="1">IFERROR(__xludf.DUMMYFUNCTION("""COMPUTED_VALUE"""),142.4)</f>
        <v>142.4</v>
      </c>
    </row>
    <row r="1869" spans="1:2">
      <c r="A1869" s="3">
        <f ca="1">IFERROR(__xludf.DUMMYFUNCTION("""COMPUTED_VALUE"""),44433.6666666666)</f>
        <v>44433.666666666599</v>
      </c>
      <c r="B1869" s="1">
        <f ca="1">IFERROR(__xludf.DUMMYFUNCTION("""COMPUTED_VALUE"""),142.95)</f>
        <v>142.94999999999999</v>
      </c>
    </row>
    <row r="1870" spans="1:2">
      <c r="A1870" s="3">
        <f ca="1">IFERROR(__xludf.DUMMYFUNCTION("""COMPUTED_VALUE"""),44434.6666666666)</f>
        <v>44434.666666666599</v>
      </c>
      <c r="B1870" s="1">
        <f ca="1">IFERROR(__xludf.DUMMYFUNCTION("""COMPUTED_VALUE"""),142.12)</f>
        <v>142.12</v>
      </c>
    </row>
    <row r="1871" spans="1:2">
      <c r="A1871" s="3">
        <f ca="1">IFERROR(__xludf.DUMMYFUNCTION("""COMPUTED_VALUE"""),44435.6666666666)</f>
        <v>44435.666666666599</v>
      </c>
      <c r="B1871" s="1">
        <f ca="1">IFERROR(__xludf.DUMMYFUNCTION("""COMPUTED_VALUE"""),144.55)</f>
        <v>144.55000000000001</v>
      </c>
    </row>
    <row r="1872" spans="1:2">
      <c r="A1872" s="3">
        <f ca="1">IFERROR(__xludf.DUMMYFUNCTION("""COMPUTED_VALUE"""),44438.6666666666)</f>
        <v>44438.666666666599</v>
      </c>
      <c r="B1872" s="1">
        <f ca="1">IFERROR(__xludf.DUMMYFUNCTION("""COMPUTED_VALUE"""),145.47)</f>
        <v>145.47</v>
      </c>
    </row>
    <row r="1873" spans="1:2">
      <c r="A1873" s="3">
        <f ca="1">IFERROR(__xludf.DUMMYFUNCTION("""COMPUTED_VALUE"""),44439.6666666666)</f>
        <v>44439.666666666599</v>
      </c>
      <c r="B1873" s="1">
        <f ca="1">IFERROR(__xludf.DUMMYFUNCTION("""COMPUTED_VALUE"""),145.46)</f>
        <v>145.46</v>
      </c>
    </row>
    <row r="1874" spans="1:2">
      <c r="A1874" s="3">
        <f ca="1">IFERROR(__xludf.DUMMYFUNCTION("""COMPUTED_VALUE"""),44440.6666666666)</f>
        <v>44440.666666666599</v>
      </c>
      <c r="B1874" s="1">
        <f ca="1">IFERROR(__xludf.DUMMYFUNCTION("""COMPUTED_VALUE"""),145.84)</f>
        <v>145.84</v>
      </c>
    </row>
    <row r="1875" spans="1:2">
      <c r="A1875" s="3">
        <f ca="1">IFERROR(__xludf.DUMMYFUNCTION("""COMPUTED_VALUE"""),44441.6666666666)</f>
        <v>44441.666666666599</v>
      </c>
      <c r="B1875" s="1">
        <f ca="1">IFERROR(__xludf.DUMMYFUNCTION("""COMPUTED_VALUE"""),144.22)</f>
        <v>144.22</v>
      </c>
    </row>
    <row r="1876" spans="1:2">
      <c r="A1876" s="3">
        <f ca="1">IFERROR(__xludf.DUMMYFUNCTION("""COMPUTED_VALUE"""),44442.6666666666)</f>
        <v>44442.666666666599</v>
      </c>
      <c r="B1876" s="1">
        <f ca="1">IFERROR(__xludf.DUMMYFUNCTION("""COMPUTED_VALUE"""),144.78)</f>
        <v>144.78</v>
      </c>
    </row>
    <row r="1877" spans="1:2">
      <c r="A1877" s="3">
        <f ca="1">IFERROR(__xludf.DUMMYFUNCTION("""COMPUTED_VALUE"""),44446.6666666666)</f>
        <v>44446.666666666599</v>
      </c>
      <c r="B1877" s="1">
        <f ca="1">IFERROR(__xludf.DUMMYFUNCTION("""COMPUTED_VALUE"""),145.52)</f>
        <v>145.52000000000001</v>
      </c>
    </row>
    <row r="1878" spans="1:2">
      <c r="A1878" s="3">
        <f ca="1">IFERROR(__xludf.DUMMYFUNCTION("""COMPUTED_VALUE"""),44447.6666666666)</f>
        <v>44447.666666666599</v>
      </c>
      <c r="B1878" s="1">
        <f ca="1">IFERROR(__xludf.DUMMYFUNCTION("""COMPUTED_VALUE"""),144.88)</f>
        <v>144.88</v>
      </c>
    </row>
    <row r="1879" spans="1:2">
      <c r="A1879" s="3">
        <f ca="1">IFERROR(__xludf.DUMMYFUNCTION("""COMPUTED_VALUE"""),44448.6666666666)</f>
        <v>44448.666666666599</v>
      </c>
      <c r="B1879" s="1">
        <f ca="1">IFERROR(__xludf.DUMMYFUNCTION("""COMPUTED_VALUE"""),144.91)</f>
        <v>144.91</v>
      </c>
    </row>
    <row r="1880" spans="1:2">
      <c r="A1880" s="3">
        <f ca="1">IFERROR(__xludf.DUMMYFUNCTION("""COMPUTED_VALUE"""),44449.6666666666)</f>
        <v>44449.666666666599</v>
      </c>
      <c r="B1880" s="1">
        <f ca="1">IFERROR(__xludf.DUMMYFUNCTION("""COMPUTED_VALUE"""),141.92)</f>
        <v>141.91999999999999</v>
      </c>
    </row>
    <row r="1881" spans="1:2">
      <c r="A1881" s="3">
        <f ca="1">IFERROR(__xludf.DUMMYFUNCTION("""COMPUTED_VALUE"""),44452.6666666666)</f>
        <v>44452.666666666599</v>
      </c>
      <c r="B1881" s="1">
        <f ca="1">IFERROR(__xludf.DUMMYFUNCTION("""COMPUTED_VALUE"""),143.47)</f>
        <v>143.47</v>
      </c>
    </row>
    <row r="1882" spans="1:2">
      <c r="A1882" s="3">
        <f ca="1">IFERROR(__xludf.DUMMYFUNCTION("""COMPUTED_VALUE"""),44453.6666666666)</f>
        <v>44453.666666666599</v>
      </c>
      <c r="B1882" s="1">
        <f ca="1">IFERROR(__xludf.DUMMYFUNCTION("""COMPUTED_VALUE"""),143.41)</f>
        <v>143.41</v>
      </c>
    </row>
    <row r="1883" spans="1:2">
      <c r="A1883" s="3">
        <f ca="1">IFERROR(__xludf.DUMMYFUNCTION("""COMPUTED_VALUE"""),44454.6666666666)</f>
        <v>44454.666666666599</v>
      </c>
      <c r="B1883" s="1">
        <f ca="1">IFERROR(__xludf.DUMMYFUNCTION("""COMPUTED_VALUE"""),145.21)</f>
        <v>145.21</v>
      </c>
    </row>
    <row r="1884" spans="1:2">
      <c r="A1884" s="3">
        <f ca="1">IFERROR(__xludf.DUMMYFUNCTION("""COMPUTED_VALUE"""),44455.6666666666)</f>
        <v>44455.666666666599</v>
      </c>
      <c r="B1884" s="1">
        <f ca="1">IFERROR(__xludf.DUMMYFUNCTION("""COMPUTED_VALUE"""),144.37)</f>
        <v>144.37</v>
      </c>
    </row>
    <row r="1885" spans="1:2">
      <c r="A1885" s="3">
        <f ca="1">IFERROR(__xludf.DUMMYFUNCTION("""COMPUTED_VALUE"""),44456.6666666666)</f>
        <v>44456.666666666599</v>
      </c>
      <c r="B1885" s="1">
        <f ca="1">IFERROR(__xludf.DUMMYFUNCTION("""COMPUTED_VALUE"""),141.46)</f>
        <v>141.46</v>
      </c>
    </row>
    <row r="1886" spans="1:2">
      <c r="A1886" s="3">
        <f ca="1">IFERROR(__xludf.DUMMYFUNCTION("""COMPUTED_VALUE"""),44459.6666666666)</f>
        <v>44459.666666666599</v>
      </c>
      <c r="B1886" s="1">
        <f ca="1">IFERROR(__xludf.DUMMYFUNCTION("""COMPUTED_VALUE"""),139.02)</f>
        <v>139.02000000000001</v>
      </c>
    </row>
    <row r="1887" spans="1:2">
      <c r="A1887" s="3">
        <f ca="1">IFERROR(__xludf.DUMMYFUNCTION("""COMPUTED_VALUE"""),44460.6666666666)</f>
        <v>44460.666666666599</v>
      </c>
      <c r="B1887" s="1">
        <f ca="1">IFERROR(__xludf.DUMMYFUNCTION("""COMPUTED_VALUE"""),139.65)</f>
        <v>139.65</v>
      </c>
    </row>
    <row r="1888" spans="1:2">
      <c r="A1888" s="3">
        <f ca="1">IFERROR(__xludf.DUMMYFUNCTION("""COMPUTED_VALUE"""),44461.6666666666)</f>
        <v>44461.666666666599</v>
      </c>
      <c r="B1888" s="1">
        <f ca="1">IFERROR(__xludf.DUMMYFUNCTION("""COMPUTED_VALUE"""),140.94)</f>
        <v>140.94</v>
      </c>
    </row>
    <row r="1889" spans="1:2">
      <c r="A1889" s="3">
        <f ca="1">IFERROR(__xludf.DUMMYFUNCTION("""COMPUTED_VALUE"""),44462.6666666666)</f>
        <v>44462.666666666599</v>
      </c>
      <c r="B1889" s="1">
        <f ca="1">IFERROR(__xludf.DUMMYFUNCTION("""COMPUTED_VALUE"""),141.83)</f>
        <v>141.83000000000001</v>
      </c>
    </row>
    <row r="1890" spans="1:2">
      <c r="A1890" s="3">
        <f ca="1">IFERROR(__xludf.DUMMYFUNCTION("""COMPUTED_VALUE"""),44463.6666666666)</f>
        <v>44463.666666666599</v>
      </c>
      <c r="B1890" s="1">
        <f ca="1">IFERROR(__xludf.DUMMYFUNCTION("""COMPUTED_VALUE"""),142.63)</f>
        <v>142.63</v>
      </c>
    </row>
    <row r="1891" spans="1:2">
      <c r="A1891" s="3">
        <f ca="1">IFERROR(__xludf.DUMMYFUNCTION("""COMPUTED_VALUE"""),44466.6666666666)</f>
        <v>44466.666666666599</v>
      </c>
      <c r="B1891" s="1">
        <f ca="1">IFERROR(__xludf.DUMMYFUNCTION("""COMPUTED_VALUE"""),141.5)</f>
        <v>141.5</v>
      </c>
    </row>
    <row r="1892" spans="1:2">
      <c r="A1892" s="3">
        <f ca="1">IFERROR(__xludf.DUMMYFUNCTION("""COMPUTED_VALUE"""),44467.6666666666)</f>
        <v>44467.666666666599</v>
      </c>
      <c r="B1892" s="1">
        <f ca="1">IFERROR(__xludf.DUMMYFUNCTION("""COMPUTED_VALUE"""),136.18)</f>
        <v>136.18</v>
      </c>
    </row>
    <row r="1893" spans="1:2">
      <c r="A1893" s="3">
        <f ca="1">IFERROR(__xludf.DUMMYFUNCTION("""COMPUTED_VALUE"""),44468.6666666666)</f>
        <v>44468.666666666599</v>
      </c>
      <c r="B1893" s="1">
        <f ca="1">IFERROR(__xludf.DUMMYFUNCTION("""COMPUTED_VALUE"""),134.52)</f>
        <v>134.52000000000001</v>
      </c>
    </row>
    <row r="1894" spans="1:2">
      <c r="A1894" s="3">
        <f ca="1">IFERROR(__xludf.DUMMYFUNCTION("""COMPUTED_VALUE"""),44469.6666666666)</f>
        <v>44469.666666666599</v>
      </c>
      <c r="B1894" s="1">
        <f ca="1">IFERROR(__xludf.DUMMYFUNCTION("""COMPUTED_VALUE"""),133.27)</f>
        <v>133.27000000000001</v>
      </c>
    </row>
    <row r="1895" spans="1:2">
      <c r="A1895" s="3">
        <f ca="1">IFERROR(__xludf.DUMMYFUNCTION("""COMPUTED_VALUE"""),44470.6666666666)</f>
        <v>44470.666666666599</v>
      </c>
      <c r="B1895" s="1">
        <f ca="1">IFERROR(__xludf.DUMMYFUNCTION("""COMPUTED_VALUE"""),136.46)</f>
        <v>136.46</v>
      </c>
    </row>
    <row r="1896" spans="1:2">
      <c r="A1896" s="3">
        <f ca="1">IFERROR(__xludf.DUMMYFUNCTION("""COMPUTED_VALUE"""),44473.6666666666)</f>
        <v>44473.666666666599</v>
      </c>
      <c r="B1896" s="1">
        <f ca="1">IFERROR(__xludf.DUMMYFUNCTION("""COMPUTED_VALUE"""),133.76)</f>
        <v>133.76</v>
      </c>
    </row>
    <row r="1897" spans="1:2">
      <c r="A1897" s="3">
        <f ca="1">IFERROR(__xludf.DUMMYFUNCTION("""COMPUTED_VALUE"""),44474.6666666666)</f>
        <v>44474.666666666599</v>
      </c>
      <c r="B1897" s="1">
        <f ca="1">IFERROR(__xludf.DUMMYFUNCTION("""COMPUTED_VALUE"""),136.18)</f>
        <v>136.18</v>
      </c>
    </row>
    <row r="1898" spans="1:2">
      <c r="A1898" s="3">
        <f ca="1">IFERROR(__xludf.DUMMYFUNCTION("""COMPUTED_VALUE"""),44475.6666666666)</f>
        <v>44475.666666666599</v>
      </c>
      <c r="B1898" s="1">
        <f ca="1">IFERROR(__xludf.DUMMYFUNCTION("""COMPUTED_VALUE"""),137.35)</f>
        <v>137.35</v>
      </c>
    </row>
    <row r="1899" spans="1:2">
      <c r="A1899" s="3">
        <f ca="1">IFERROR(__xludf.DUMMYFUNCTION("""COMPUTED_VALUE"""),44476.6666666666)</f>
        <v>44476.666666666599</v>
      </c>
      <c r="B1899" s="1">
        <f ca="1">IFERROR(__xludf.DUMMYFUNCTION("""COMPUTED_VALUE"""),139.19)</f>
        <v>139.19</v>
      </c>
    </row>
    <row r="1900" spans="1:2">
      <c r="A1900" s="3">
        <f ca="1">IFERROR(__xludf.DUMMYFUNCTION("""COMPUTED_VALUE"""),44477.6666666666)</f>
        <v>44477.666666666599</v>
      </c>
      <c r="B1900" s="1">
        <f ca="1">IFERROR(__xludf.DUMMYFUNCTION("""COMPUTED_VALUE"""),140.06)</f>
        <v>140.06</v>
      </c>
    </row>
    <row r="1901" spans="1:2">
      <c r="A1901" s="3">
        <f ca="1">IFERROR(__xludf.DUMMYFUNCTION("""COMPUTED_VALUE"""),44480.6666666666)</f>
        <v>44480.666666666599</v>
      </c>
      <c r="B1901" s="1">
        <f ca="1">IFERROR(__xludf.DUMMYFUNCTION("""COMPUTED_VALUE"""),138.85)</f>
        <v>138.85</v>
      </c>
    </row>
    <row r="1902" spans="1:2">
      <c r="A1902" s="3">
        <f ca="1">IFERROR(__xludf.DUMMYFUNCTION("""COMPUTED_VALUE"""),44481.6666666666)</f>
        <v>44481.666666666599</v>
      </c>
      <c r="B1902" s="1">
        <f ca="1">IFERROR(__xludf.DUMMYFUNCTION("""COMPUTED_VALUE"""),136.71)</f>
        <v>136.71</v>
      </c>
    </row>
    <row r="1903" spans="1:2">
      <c r="A1903" s="3">
        <f ca="1">IFERROR(__xludf.DUMMYFUNCTION("""COMPUTED_VALUE"""),44482.6666666666)</f>
        <v>44482.666666666599</v>
      </c>
      <c r="B1903" s="1">
        <f ca="1">IFERROR(__xludf.DUMMYFUNCTION("""COMPUTED_VALUE"""),137.9)</f>
        <v>137.9</v>
      </c>
    </row>
    <row r="1904" spans="1:2">
      <c r="A1904" s="3">
        <f ca="1">IFERROR(__xludf.DUMMYFUNCTION("""COMPUTED_VALUE"""),44483.6666666666)</f>
        <v>44483.666666666599</v>
      </c>
      <c r="B1904" s="1">
        <f ca="1">IFERROR(__xludf.DUMMYFUNCTION("""COMPUTED_VALUE"""),141.41)</f>
        <v>141.41</v>
      </c>
    </row>
    <row r="1905" spans="1:2">
      <c r="A1905" s="3">
        <f ca="1">IFERROR(__xludf.DUMMYFUNCTION("""COMPUTED_VALUE"""),44484.6666666666)</f>
        <v>44484.666666666599</v>
      </c>
      <c r="B1905" s="1">
        <f ca="1">IFERROR(__xludf.DUMMYFUNCTION("""COMPUTED_VALUE"""),141.68)</f>
        <v>141.68</v>
      </c>
    </row>
    <row r="1906" spans="1:2">
      <c r="A1906" s="3">
        <f ca="1">IFERROR(__xludf.DUMMYFUNCTION("""COMPUTED_VALUE"""),44487.6666666666)</f>
        <v>44487.666666666599</v>
      </c>
      <c r="B1906" s="1">
        <f ca="1">IFERROR(__xludf.DUMMYFUNCTION("""COMPUTED_VALUE"""),142.96)</f>
        <v>142.96</v>
      </c>
    </row>
    <row r="1907" spans="1:2">
      <c r="A1907" s="3">
        <f ca="1">IFERROR(__xludf.DUMMYFUNCTION("""COMPUTED_VALUE"""),44488.6666666666)</f>
        <v>44488.666666666599</v>
      </c>
      <c r="B1907" s="1">
        <f ca="1">IFERROR(__xludf.DUMMYFUNCTION("""COMPUTED_VALUE"""),143.82)</f>
        <v>143.82</v>
      </c>
    </row>
    <row r="1908" spans="1:2">
      <c r="A1908" s="3">
        <f ca="1">IFERROR(__xludf.DUMMYFUNCTION("""COMPUTED_VALUE"""),44489.6666666666)</f>
        <v>44489.666666666599</v>
      </c>
      <c r="B1908" s="1">
        <f ca="1">IFERROR(__xludf.DUMMYFUNCTION("""COMPUTED_VALUE"""),142.42)</f>
        <v>142.41999999999999</v>
      </c>
    </row>
    <row r="1909" spans="1:2">
      <c r="A1909" s="3">
        <f ca="1">IFERROR(__xludf.DUMMYFUNCTION("""COMPUTED_VALUE"""),44490.6666666666)</f>
        <v>44490.666666666599</v>
      </c>
      <c r="B1909" s="1">
        <f ca="1">IFERROR(__xludf.DUMMYFUNCTION("""COMPUTED_VALUE"""),142.78)</f>
        <v>142.78</v>
      </c>
    </row>
    <row r="1910" spans="1:2">
      <c r="A1910" s="3">
        <f ca="1">IFERROR(__xludf.DUMMYFUNCTION("""COMPUTED_VALUE"""),44491.6666666666)</f>
        <v>44491.666666666599</v>
      </c>
      <c r="B1910" s="1">
        <f ca="1">IFERROR(__xludf.DUMMYFUNCTION("""COMPUTED_VALUE"""),138.63)</f>
        <v>138.63</v>
      </c>
    </row>
    <row r="1911" spans="1:2">
      <c r="A1911" s="3">
        <f ca="1">IFERROR(__xludf.DUMMYFUNCTION("""COMPUTED_VALUE"""),44494.6666666666)</f>
        <v>44494.666666666599</v>
      </c>
      <c r="B1911" s="1">
        <f ca="1">IFERROR(__xludf.DUMMYFUNCTION("""COMPUTED_VALUE"""),138.77)</f>
        <v>138.77000000000001</v>
      </c>
    </row>
    <row r="1912" spans="1:2">
      <c r="A1912" s="3">
        <f ca="1">IFERROR(__xludf.DUMMYFUNCTION("""COMPUTED_VALUE"""),44495.6666666666)</f>
        <v>44495.666666666599</v>
      </c>
      <c r="B1912" s="1">
        <f ca="1">IFERROR(__xludf.DUMMYFUNCTION("""COMPUTED_VALUE"""),139.67)</f>
        <v>139.66999999999999</v>
      </c>
    </row>
    <row r="1913" spans="1:2">
      <c r="A1913" s="3">
        <f ca="1">IFERROR(__xludf.DUMMYFUNCTION("""COMPUTED_VALUE"""),44496.6666666666)</f>
        <v>44496.666666666599</v>
      </c>
      <c r="B1913" s="1">
        <f ca="1">IFERROR(__xludf.DUMMYFUNCTION("""COMPUTED_VALUE"""),146.43)</f>
        <v>146.43</v>
      </c>
    </row>
    <row r="1914" spans="1:2">
      <c r="A1914" s="3">
        <f ca="1">IFERROR(__xludf.DUMMYFUNCTION("""COMPUTED_VALUE"""),44497.6666666666)</f>
        <v>44497.666666666599</v>
      </c>
      <c r="B1914" s="1">
        <f ca="1">IFERROR(__xludf.DUMMYFUNCTION("""COMPUTED_VALUE"""),146.13)</f>
        <v>146.13</v>
      </c>
    </row>
    <row r="1915" spans="1:2">
      <c r="A1915" s="3">
        <f ca="1">IFERROR(__xludf.DUMMYFUNCTION("""COMPUTED_VALUE"""),44498.6666666666)</f>
        <v>44498.666666666599</v>
      </c>
      <c r="B1915" s="1">
        <f ca="1">IFERROR(__xludf.DUMMYFUNCTION("""COMPUTED_VALUE"""),148.27)</f>
        <v>148.27000000000001</v>
      </c>
    </row>
    <row r="1916" spans="1:2">
      <c r="A1916" s="3">
        <f ca="1">IFERROR(__xludf.DUMMYFUNCTION("""COMPUTED_VALUE"""),44501.6666666666)</f>
        <v>44501.666666666599</v>
      </c>
      <c r="B1916" s="1">
        <f ca="1">IFERROR(__xludf.DUMMYFUNCTION("""COMPUTED_VALUE"""),143.77)</f>
        <v>143.77000000000001</v>
      </c>
    </row>
    <row r="1917" spans="1:2">
      <c r="A1917" s="3">
        <f ca="1">IFERROR(__xludf.DUMMYFUNCTION("""COMPUTED_VALUE"""),44502.6666666666)</f>
        <v>44502.666666666599</v>
      </c>
      <c r="B1917" s="1">
        <f ca="1">IFERROR(__xludf.DUMMYFUNCTION("""COMPUTED_VALUE"""),145.86)</f>
        <v>145.86000000000001</v>
      </c>
    </row>
    <row r="1918" spans="1:2">
      <c r="A1918" s="3">
        <f ca="1">IFERROR(__xludf.DUMMYFUNCTION("""COMPUTED_VALUE"""),44503.6666666666)</f>
        <v>44503.666666666599</v>
      </c>
      <c r="B1918" s="1">
        <f ca="1">IFERROR(__xludf.DUMMYFUNCTION("""COMPUTED_VALUE"""),146.79)</f>
        <v>146.79</v>
      </c>
    </row>
    <row r="1919" spans="1:2">
      <c r="A1919" s="3">
        <f ca="1">IFERROR(__xludf.DUMMYFUNCTION("""COMPUTED_VALUE"""),44504.6666666666)</f>
        <v>44504.666666666599</v>
      </c>
      <c r="B1919" s="1">
        <f ca="1">IFERROR(__xludf.DUMMYFUNCTION("""COMPUTED_VALUE"""),148.68)</f>
        <v>148.68</v>
      </c>
    </row>
    <row r="1920" spans="1:2">
      <c r="A1920" s="3">
        <f ca="1">IFERROR(__xludf.DUMMYFUNCTION("""COMPUTED_VALUE"""),44505.6666666666)</f>
        <v>44505.666666666599</v>
      </c>
      <c r="B1920" s="1">
        <f ca="1">IFERROR(__xludf.DUMMYFUNCTION("""COMPUTED_VALUE"""),149.24)</f>
        <v>149.24</v>
      </c>
    </row>
    <row r="1921" spans="1:2">
      <c r="A1921" s="3">
        <f ca="1">IFERROR(__xludf.DUMMYFUNCTION("""COMPUTED_VALUE"""),44508.6666666666)</f>
        <v>44508.666666666599</v>
      </c>
      <c r="B1921" s="1">
        <f ca="1">IFERROR(__xludf.DUMMYFUNCTION("""COMPUTED_VALUE"""),149.35)</f>
        <v>149.35</v>
      </c>
    </row>
    <row r="1922" spans="1:2">
      <c r="A1922" s="3">
        <f ca="1">IFERROR(__xludf.DUMMYFUNCTION("""COMPUTED_VALUE"""),44509.6666666666)</f>
        <v>44509.666666666599</v>
      </c>
      <c r="B1922" s="1">
        <f ca="1">IFERROR(__xludf.DUMMYFUNCTION("""COMPUTED_VALUE"""),149.25)</f>
        <v>149.25</v>
      </c>
    </row>
    <row r="1923" spans="1:2">
      <c r="A1923" s="3">
        <f ca="1">IFERROR(__xludf.DUMMYFUNCTION("""COMPUTED_VALUE"""),44510.6666666666)</f>
        <v>44510.666666666599</v>
      </c>
      <c r="B1923" s="1">
        <f ca="1">IFERROR(__xludf.DUMMYFUNCTION("""COMPUTED_VALUE"""),146.63)</f>
        <v>146.63</v>
      </c>
    </row>
    <row r="1924" spans="1:2">
      <c r="A1924" s="3">
        <f ca="1">IFERROR(__xludf.DUMMYFUNCTION("""COMPUTED_VALUE"""),44511.6666666666)</f>
        <v>44511.666666666599</v>
      </c>
      <c r="B1924" s="1">
        <f ca="1">IFERROR(__xludf.DUMMYFUNCTION("""COMPUTED_VALUE"""),146.75)</f>
        <v>146.75</v>
      </c>
    </row>
    <row r="1925" spans="1:2">
      <c r="A1925" s="3">
        <f ca="1">IFERROR(__xludf.DUMMYFUNCTION("""COMPUTED_VALUE"""),44512.6666666666)</f>
        <v>44512.666666666599</v>
      </c>
      <c r="B1925" s="1">
        <f ca="1">IFERROR(__xludf.DUMMYFUNCTION("""COMPUTED_VALUE"""),149.65)</f>
        <v>149.65</v>
      </c>
    </row>
    <row r="1926" spans="1:2">
      <c r="A1926" s="3">
        <f ca="1">IFERROR(__xludf.DUMMYFUNCTION("""COMPUTED_VALUE"""),44515.6666666666)</f>
        <v>44515.666666666599</v>
      </c>
      <c r="B1926" s="1">
        <f ca="1">IFERROR(__xludf.DUMMYFUNCTION("""COMPUTED_VALUE"""),149.39)</f>
        <v>149.38999999999999</v>
      </c>
    </row>
    <row r="1927" spans="1:2">
      <c r="A1927" s="3">
        <f ca="1">IFERROR(__xludf.DUMMYFUNCTION("""COMPUTED_VALUE"""),44516.6666666666)</f>
        <v>44516.666666666599</v>
      </c>
      <c r="B1927" s="1">
        <f ca="1">IFERROR(__xludf.DUMMYFUNCTION("""COMPUTED_VALUE"""),149.08)</f>
        <v>149.08000000000001</v>
      </c>
    </row>
    <row r="1928" spans="1:2">
      <c r="A1928" s="3">
        <f ca="1">IFERROR(__xludf.DUMMYFUNCTION("""COMPUTED_VALUE"""),44517.6666666666)</f>
        <v>44517.666666666599</v>
      </c>
      <c r="B1928" s="1">
        <f ca="1">IFERROR(__xludf.DUMMYFUNCTION("""COMPUTED_VALUE"""),149.06)</f>
        <v>149.06</v>
      </c>
    </row>
    <row r="1929" spans="1:2">
      <c r="A1929" s="3">
        <f ca="1">IFERROR(__xludf.DUMMYFUNCTION("""COMPUTED_VALUE"""),44518.6666666666)</f>
        <v>44518.666666666599</v>
      </c>
      <c r="B1929" s="1">
        <f ca="1">IFERROR(__xludf.DUMMYFUNCTION("""COMPUTED_VALUE"""),150.71)</f>
        <v>150.71</v>
      </c>
    </row>
    <row r="1930" spans="1:2">
      <c r="A1930" s="3">
        <f ca="1">IFERROR(__xludf.DUMMYFUNCTION("""COMPUTED_VALUE"""),44519.6666666666)</f>
        <v>44519.666666666599</v>
      </c>
      <c r="B1930" s="1">
        <f ca="1">IFERROR(__xludf.DUMMYFUNCTION("""COMPUTED_VALUE"""),149.95)</f>
        <v>149.94999999999999</v>
      </c>
    </row>
    <row r="1931" spans="1:2">
      <c r="A1931" s="3">
        <f ca="1">IFERROR(__xludf.DUMMYFUNCTION("""COMPUTED_VALUE"""),44522.6666666666)</f>
        <v>44522.666666666599</v>
      </c>
      <c r="B1931" s="1">
        <f ca="1">IFERROR(__xludf.DUMMYFUNCTION("""COMPUTED_VALUE"""),147.08)</f>
        <v>147.08000000000001</v>
      </c>
    </row>
    <row r="1932" spans="1:2">
      <c r="A1932" s="3">
        <f ca="1">IFERROR(__xludf.DUMMYFUNCTION("""COMPUTED_VALUE"""),44523.6666666666)</f>
        <v>44523.666666666599</v>
      </c>
      <c r="B1932" s="1">
        <f ca="1">IFERROR(__xludf.DUMMYFUNCTION("""COMPUTED_VALUE"""),146.76)</f>
        <v>146.76</v>
      </c>
    </row>
    <row r="1933" spans="1:2">
      <c r="A1933" s="3">
        <f ca="1">IFERROR(__xludf.DUMMYFUNCTION("""COMPUTED_VALUE"""),44524.6666666666)</f>
        <v>44524.666666666599</v>
      </c>
      <c r="B1933" s="1">
        <f ca="1">IFERROR(__xludf.DUMMYFUNCTION("""COMPUTED_VALUE"""),146.72)</f>
        <v>146.72</v>
      </c>
    </row>
    <row r="1934" spans="1:2">
      <c r="A1934" s="3">
        <f ca="1">IFERROR(__xludf.DUMMYFUNCTION("""COMPUTED_VALUE"""),44526.5416666666)</f>
        <v>44526.541666666599</v>
      </c>
      <c r="B1934" s="1">
        <f ca="1">IFERROR(__xludf.DUMMYFUNCTION("""COMPUTED_VALUE"""),142.81)</f>
        <v>142.81</v>
      </c>
    </row>
    <row r="1935" spans="1:2">
      <c r="A1935" s="3">
        <f ca="1">IFERROR(__xludf.DUMMYFUNCTION("""COMPUTED_VALUE"""),44529.6666666666)</f>
        <v>44529.666666666599</v>
      </c>
      <c r="B1935" s="1">
        <f ca="1">IFERROR(__xludf.DUMMYFUNCTION("""COMPUTED_VALUE"""),146.11)</f>
        <v>146.11000000000001</v>
      </c>
    </row>
    <row r="1936" spans="1:2">
      <c r="A1936" s="3">
        <f ca="1">IFERROR(__xludf.DUMMYFUNCTION("""COMPUTED_VALUE"""),44530.6666666666)</f>
        <v>44530.666666666599</v>
      </c>
      <c r="B1936" s="1">
        <f ca="1">IFERROR(__xludf.DUMMYFUNCTION("""COMPUTED_VALUE"""),142.45)</f>
        <v>142.44999999999999</v>
      </c>
    </row>
    <row r="1937" spans="1:2">
      <c r="A1937" s="3">
        <f ca="1">IFERROR(__xludf.DUMMYFUNCTION("""COMPUTED_VALUE"""),44531.6666666666)</f>
        <v>44531.666666666599</v>
      </c>
      <c r="B1937" s="1">
        <f ca="1">IFERROR(__xludf.DUMMYFUNCTION("""COMPUTED_VALUE"""),141.62)</f>
        <v>141.62</v>
      </c>
    </row>
    <row r="1938" spans="1:2">
      <c r="A1938" s="3">
        <f ca="1">IFERROR(__xludf.DUMMYFUNCTION("""COMPUTED_VALUE"""),44532.6666666666)</f>
        <v>44532.666666666599</v>
      </c>
      <c r="B1938" s="1">
        <f ca="1">IFERROR(__xludf.DUMMYFUNCTION("""COMPUTED_VALUE"""),143.78)</f>
        <v>143.78</v>
      </c>
    </row>
    <row r="1939" spans="1:2">
      <c r="A1939" s="3">
        <f ca="1">IFERROR(__xludf.DUMMYFUNCTION("""COMPUTED_VALUE"""),44533.6666666666)</f>
        <v>44533.666666666599</v>
      </c>
      <c r="B1939" s="1">
        <f ca="1">IFERROR(__xludf.DUMMYFUNCTION("""COMPUTED_VALUE"""),142.52)</f>
        <v>142.52000000000001</v>
      </c>
    </row>
    <row r="1940" spans="1:2">
      <c r="A1940" s="3">
        <f ca="1">IFERROR(__xludf.DUMMYFUNCTION("""COMPUTED_VALUE"""),44536.6666666666)</f>
        <v>44536.666666666599</v>
      </c>
      <c r="B1940" s="1">
        <f ca="1">IFERROR(__xludf.DUMMYFUNCTION("""COMPUTED_VALUE"""),143.8)</f>
        <v>143.80000000000001</v>
      </c>
    </row>
    <row r="1941" spans="1:2">
      <c r="A1941" s="3">
        <f ca="1">IFERROR(__xludf.DUMMYFUNCTION("""COMPUTED_VALUE"""),44537.6666666666)</f>
        <v>44537.666666666599</v>
      </c>
      <c r="B1941" s="1">
        <f ca="1">IFERROR(__xludf.DUMMYFUNCTION("""COMPUTED_VALUE"""),148.04)</f>
        <v>148.04</v>
      </c>
    </row>
    <row r="1942" spans="1:2">
      <c r="A1942" s="3">
        <f ca="1">IFERROR(__xludf.DUMMYFUNCTION("""COMPUTED_VALUE"""),44538.6666666666)</f>
        <v>44538.666666666599</v>
      </c>
      <c r="B1942" s="1">
        <f ca="1">IFERROR(__xludf.DUMMYFUNCTION("""COMPUTED_VALUE"""),148.72)</f>
        <v>148.72</v>
      </c>
    </row>
    <row r="1943" spans="1:2">
      <c r="A1943" s="3">
        <f ca="1">IFERROR(__xludf.DUMMYFUNCTION("""COMPUTED_VALUE"""),44539.6666666666)</f>
        <v>44539.666666666599</v>
      </c>
      <c r="B1943" s="1">
        <f ca="1">IFERROR(__xludf.DUMMYFUNCTION("""COMPUTED_VALUE"""),148.11)</f>
        <v>148.11000000000001</v>
      </c>
    </row>
    <row r="1944" spans="1:2">
      <c r="A1944" s="3">
        <f ca="1">IFERROR(__xludf.DUMMYFUNCTION("""COMPUTED_VALUE"""),44540.6666666666)</f>
        <v>44540.666666666599</v>
      </c>
      <c r="B1944" s="1">
        <f ca="1">IFERROR(__xludf.DUMMYFUNCTION("""COMPUTED_VALUE"""),148.68)</f>
        <v>148.68</v>
      </c>
    </row>
    <row r="1945" spans="1:2">
      <c r="A1945" s="3">
        <f ca="1">IFERROR(__xludf.DUMMYFUNCTION("""COMPUTED_VALUE"""),44543.6666666666)</f>
        <v>44543.666666666599</v>
      </c>
      <c r="B1945" s="1">
        <f ca="1">IFERROR(__xludf.DUMMYFUNCTION("""COMPUTED_VALUE"""),146.7)</f>
        <v>146.69999999999999</v>
      </c>
    </row>
    <row r="1946" spans="1:2">
      <c r="A1946" s="3">
        <f ca="1">IFERROR(__xludf.DUMMYFUNCTION("""COMPUTED_VALUE"""),44544.6666666666)</f>
        <v>44544.666666666599</v>
      </c>
      <c r="B1946" s="1">
        <f ca="1">IFERROR(__xludf.DUMMYFUNCTION("""COMPUTED_VALUE"""),144.97)</f>
        <v>144.97</v>
      </c>
    </row>
    <row r="1947" spans="1:2">
      <c r="A1947" s="3">
        <f ca="1">IFERROR(__xludf.DUMMYFUNCTION("""COMPUTED_VALUE"""),44545.6666666666)</f>
        <v>44545.666666666599</v>
      </c>
      <c r="B1947" s="1">
        <f ca="1">IFERROR(__xludf.DUMMYFUNCTION("""COMPUTED_VALUE"""),147.37)</f>
        <v>147.37</v>
      </c>
    </row>
    <row r="1948" spans="1:2">
      <c r="A1948" s="3">
        <f ca="1">IFERROR(__xludf.DUMMYFUNCTION("""COMPUTED_VALUE"""),44546.6666666666)</f>
        <v>44546.666666666599</v>
      </c>
      <c r="B1948" s="1">
        <f ca="1">IFERROR(__xludf.DUMMYFUNCTION("""COMPUTED_VALUE"""),144.84)</f>
        <v>144.84</v>
      </c>
    </row>
    <row r="1949" spans="1:2">
      <c r="A1949" s="3">
        <f ca="1">IFERROR(__xludf.DUMMYFUNCTION("""COMPUTED_VALUE"""),44547.6666666666)</f>
        <v>44547.666666666599</v>
      </c>
      <c r="B1949" s="1">
        <f ca="1">IFERROR(__xludf.DUMMYFUNCTION("""COMPUTED_VALUE"""),142.8)</f>
        <v>142.80000000000001</v>
      </c>
    </row>
    <row r="1950" spans="1:2">
      <c r="A1950" s="3">
        <f ca="1">IFERROR(__xludf.DUMMYFUNCTION("""COMPUTED_VALUE"""),44550.6666666666)</f>
        <v>44550.666666666599</v>
      </c>
      <c r="B1950" s="1">
        <f ca="1">IFERROR(__xludf.DUMMYFUNCTION("""COMPUTED_VALUE"""),142.4)</f>
        <v>142.4</v>
      </c>
    </row>
    <row r="1951" spans="1:2">
      <c r="A1951" s="3">
        <f ca="1">IFERROR(__xludf.DUMMYFUNCTION("""COMPUTED_VALUE"""),44551.6666666666)</f>
        <v>44551.666666666599</v>
      </c>
      <c r="B1951" s="1">
        <f ca="1">IFERROR(__xludf.DUMMYFUNCTION("""COMPUTED_VALUE"""),144.22)</f>
        <v>144.22</v>
      </c>
    </row>
    <row r="1952" spans="1:2">
      <c r="A1952" s="3">
        <f ca="1">IFERROR(__xludf.DUMMYFUNCTION("""COMPUTED_VALUE"""),44552.6666666666)</f>
        <v>44552.666666666599</v>
      </c>
      <c r="B1952" s="1">
        <f ca="1">IFERROR(__xludf.DUMMYFUNCTION("""COMPUTED_VALUE"""),146.95)</f>
        <v>146.94999999999999</v>
      </c>
    </row>
    <row r="1953" spans="1:2">
      <c r="A1953" s="3">
        <f ca="1">IFERROR(__xludf.DUMMYFUNCTION("""COMPUTED_VALUE"""),44553.6666666666)</f>
        <v>44553.666666666599</v>
      </c>
      <c r="B1953" s="1">
        <f ca="1">IFERROR(__xludf.DUMMYFUNCTION("""COMPUTED_VALUE"""),147.14)</f>
        <v>147.13999999999999</v>
      </c>
    </row>
    <row r="1954" spans="1:2">
      <c r="A1954" s="3">
        <f ca="1">IFERROR(__xludf.DUMMYFUNCTION("""COMPUTED_VALUE"""),44557.6666666666)</f>
        <v>44557.666666666599</v>
      </c>
      <c r="B1954" s="1">
        <f ca="1">IFERROR(__xludf.DUMMYFUNCTION("""COMPUTED_VALUE"""),148.06)</f>
        <v>148.06</v>
      </c>
    </row>
    <row r="1955" spans="1:2">
      <c r="A1955" s="3">
        <f ca="1">IFERROR(__xludf.DUMMYFUNCTION("""COMPUTED_VALUE"""),44558.6666666666)</f>
        <v>44558.666666666599</v>
      </c>
      <c r="B1955" s="1">
        <f ca="1">IFERROR(__xludf.DUMMYFUNCTION("""COMPUTED_VALUE"""),146.45)</f>
        <v>146.44999999999999</v>
      </c>
    </row>
    <row r="1956" spans="1:2">
      <c r="A1956" s="3">
        <f ca="1">IFERROR(__xludf.DUMMYFUNCTION("""COMPUTED_VALUE"""),44559.6666666666)</f>
        <v>44559.666666666599</v>
      </c>
      <c r="B1956" s="1">
        <f ca="1">IFERROR(__xludf.DUMMYFUNCTION("""COMPUTED_VALUE"""),146.5)</f>
        <v>146.5</v>
      </c>
    </row>
    <row r="1957" spans="1:2">
      <c r="A1957" s="3">
        <f ca="1">IFERROR(__xludf.DUMMYFUNCTION("""COMPUTED_VALUE"""),44560.6666666666)</f>
        <v>44560.666666666599</v>
      </c>
      <c r="B1957" s="1">
        <f ca="1">IFERROR(__xludf.DUMMYFUNCTION("""COMPUTED_VALUE"""),146)</f>
        <v>146</v>
      </c>
    </row>
    <row r="1958" spans="1:2">
      <c r="A1958" s="3">
        <f ca="1">IFERROR(__xludf.DUMMYFUNCTION("""COMPUTED_VALUE"""),44561.6666666666)</f>
        <v>44561.666666666599</v>
      </c>
      <c r="B1958" s="1">
        <f ca="1">IFERROR(__xludf.DUMMYFUNCTION("""COMPUTED_VALUE"""),144.68)</f>
        <v>144.68</v>
      </c>
    </row>
    <row r="1959" spans="1:2">
      <c r="A1959" s="3">
        <f ca="1">IFERROR(__xludf.DUMMYFUNCTION("""COMPUTED_VALUE"""),44564.6666666666)</f>
        <v>44564.666666666599</v>
      </c>
      <c r="B1959" s="1">
        <f ca="1">IFERROR(__xludf.DUMMYFUNCTION("""COMPUTED_VALUE"""),145.07)</f>
        <v>145.07</v>
      </c>
    </row>
    <row r="1960" spans="1:2">
      <c r="A1960" s="3">
        <f ca="1">IFERROR(__xludf.DUMMYFUNCTION("""COMPUTED_VALUE"""),44565.6666666666)</f>
        <v>44565.666666666599</v>
      </c>
      <c r="B1960" s="1">
        <f ca="1">IFERROR(__xludf.DUMMYFUNCTION("""COMPUTED_VALUE"""),144.42)</f>
        <v>144.41999999999999</v>
      </c>
    </row>
    <row r="1961" spans="1:2">
      <c r="A1961" s="3">
        <f ca="1">IFERROR(__xludf.DUMMYFUNCTION("""COMPUTED_VALUE"""),44566.6666666666)</f>
        <v>44566.666666666599</v>
      </c>
      <c r="B1961" s="1">
        <f ca="1">IFERROR(__xludf.DUMMYFUNCTION("""COMPUTED_VALUE"""),137.65)</f>
        <v>137.65</v>
      </c>
    </row>
    <row r="1962" spans="1:2">
      <c r="A1962" s="3">
        <f ca="1">IFERROR(__xludf.DUMMYFUNCTION("""COMPUTED_VALUE"""),44567.6666666666)</f>
        <v>44567.666666666599</v>
      </c>
      <c r="B1962" s="1">
        <f ca="1">IFERROR(__xludf.DUMMYFUNCTION("""COMPUTED_VALUE"""),137.55)</f>
        <v>137.55000000000001</v>
      </c>
    </row>
    <row r="1963" spans="1:2">
      <c r="A1963" s="3">
        <f ca="1">IFERROR(__xludf.DUMMYFUNCTION("""COMPUTED_VALUE"""),44568.6666666666)</f>
        <v>44568.666666666599</v>
      </c>
      <c r="B1963" s="1">
        <f ca="1">IFERROR(__xludf.DUMMYFUNCTION("""COMPUTED_VALUE"""),137)</f>
        <v>137</v>
      </c>
    </row>
    <row r="1964" spans="1:2">
      <c r="A1964" s="3">
        <f ca="1">IFERROR(__xludf.DUMMYFUNCTION("""COMPUTED_VALUE"""),44571.6666666666)</f>
        <v>44571.666666666599</v>
      </c>
      <c r="B1964" s="1">
        <f ca="1">IFERROR(__xludf.DUMMYFUNCTION("""COMPUTED_VALUE"""),138.57)</f>
        <v>138.57</v>
      </c>
    </row>
    <row r="1965" spans="1:2">
      <c r="A1965" s="3">
        <f ca="1">IFERROR(__xludf.DUMMYFUNCTION("""COMPUTED_VALUE"""),44572.6666666666)</f>
        <v>44572.666666666599</v>
      </c>
      <c r="B1965" s="1">
        <f ca="1">IFERROR(__xludf.DUMMYFUNCTION("""COMPUTED_VALUE"""),140.02)</f>
        <v>140.02000000000001</v>
      </c>
    </row>
    <row r="1966" spans="1:2">
      <c r="A1966" s="3">
        <f ca="1">IFERROR(__xludf.DUMMYFUNCTION("""COMPUTED_VALUE"""),44573.6666666666)</f>
        <v>44573.666666666599</v>
      </c>
      <c r="B1966" s="1">
        <f ca="1">IFERROR(__xludf.DUMMYFUNCTION("""COMPUTED_VALUE"""),141.65)</f>
        <v>141.65</v>
      </c>
    </row>
    <row r="1967" spans="1:2">
      <c r="A1967" s="3">
        <f ca="1">IFERROR(__xludf.DUMMYFUNCTION("""COMPUTED_VALUE"""),44574.6666666666)</f>
        <v>44574.666666666599</v>
      </c>
      <c r="B1967" s="1">
        <f ca="1">IFERROR(__xludf.DUMMYFUNCTION("""COMPUTED_VALUE"""),139.13)</f>
        <v>139.13</v>
      </c>
    </row>
    <row r="1968" spans="1:2">
      <c r="A1968" s="3">
        <f ca="1">IFERROR(__xludf.DUMMYFUNCTION("""COMPUTED_VALUE"""),44575.6666666666)</f>
        <v>44575.666666666599</v>
      </c>
      <c r="B1968" s="1">
        <f ca="1">IFERROR(__xludf.DUMMYFUNCTION("""COMPUTED_VALUE"""),139.79)</f>
        <v>139.79</v>
      </c>
    </row>
    <row r="1969" spans="1:2">
      <c r="A1969" s="3">
        <f ca="1">IFERROR(__xludf.DUMMYFUNCTION("""COMPUTED_VALUE"""),44579.6666666666)</f>
        <v>44579.666666666599</v>
      </c>
      <c r="B1969" s="1">
        <f ca="1">IFERROR(__xludf.DUMMYFUNCTION("""COMPUTED_VALUE"""),136.29)</f>
        <v>136.29</v>
      </c>
    </row>
    <row r="1970" spans="1:2">
      <c r="A1970" s="3">
        <f ca="1">IFERROR(__xludf.DUMMYFUNCTION("""COMPUTED_VALUE"""),44580.6666666666)</f>
        <v>44580.666666666599</v>
      </c>
      <c r="B1970" s="1">
        <f ca="1">IFERROR(__xludf.DUMMYFUNCTION("""COMPUTED_VALUE"""),135.65)</f>
        <v>135.65</v>
      </c>
    </row>
    <row r="1971" spans="1:2">
      <c r="A1971" s="3">
        <f ca="1">IFERROR(__xludf.DUMMYFUNCTION("""COMPUTED_VALUE"""),44581.6666666666)</f>
        <v>44581.666666666599</v>
      </c>
      <c r="B1971" s="1">
        <f ca="1">IFERROR(__xludf.DUMMYFUNCTION("""COMPUTED_VALUE"""),133.51)</f>
        <v>133.51</v>
      </c>
    </row>
    <row r="1972" spans="1:2">
      <c r="A1972" s="3">
        <f ca="1">IFERROR(__xludf.DUMMYFUNCTION("""COMPUTED_VALUE"""),44582.6666666666)</f>
        <v>44582.666666666599</v>
      </c>
      <c r="B1972" s="1">
        <f ca="1">IFERROR(__xludf.DUMMYFUNCTION("""COMPUTED_VALUE"""),130.09)</f>
        <v>130.09</v>
      </c>
    </row>
    <row r="1973" spans="1:2">
      <c r="A1973" s="3">
        <f ca="1">IFERROR(__xludf.DUMMYFUNCTION("""COMPUTED_VALUE"""),44585.6666666666)</f>
        <v>44585.666666666599</v>
      </c>
      <c r="B1973" s="1">
        <f ca="1">IFERROR(__xludf.DUMMYFUNCTION("""COMPUTED_VALUE"""),130.37)</f>
        <v>130.37</v>
      </c>
    </row>
    <row r="1974" spans="1:2">
      <c r="A1974" s="3">
        <f ca="1">IFERROR(__xludf.DUMMYFUNCTION("""COMPUTED_VALUE"""),44586.6666666666)</f>
        <v>44586.666666666599</v>
      </c>
      <c r="B1974" s="1">
        <f ca="1">IFERROR(__xludf.DUMMYFUNCTION("""COMPUTED_VALUE"""),126.74)</f>
        <v>126.74</v>
      </c>
    </row>
    <row r="1975" spans="1:2">
      <c r="A1975" s="3">
        <f ca="1">IFERROR(__xludf.DUMMYFUNCTION("""COMPUTED_VALUE"""),44587.6666666666)</f>
        <v>44587.666666666599</v>
      </c>
      <c r="B1975" s="1">
        <f ca="1">IFERROR(__xludf.DUMMYFUNCTION("""COMPUTED_VALUE"""),129.24)</f>
        <v>129.24</v>
      </c>
    </row>
    <row r="1976" spans="1:2">
      <c r="A1976" s="3">
        <f ca="1">IFERROR(__xludf.DUMMYFUNCTION("""COMPUTED_VALUE"""),44588.6666666666)</f>
        <v>44588.666666666599</v>
      </c>
      <c r="B1976" s="1">
        <f ca="1">IFERROR(__xludf.DUMMYFUNCTION("""COMPUTED_VALUE"""),129.12)</f>
        <v>129.12</v>
      </c>
    </row>
    <row r="1977" spans="1:2">
      <c r="A1977" s="3">
        <f ca="1">IFERROR(__xludf.DUMMYFUNCTION("""COMPUTED_VALUE"""),44589.6666666666)</f>
        <v>44589.666666666599</v>
      </c>
      <c r="B1977" s="1">
        <f ca="1">IFERROR(__xludf.DUMMYFUNCTION("""COMPUTED_VALUE"""),133.29)</f>
        <v>133.29</v>
      </c>
    </row>
    <row r="1978" spans="1:2">
      <c r="A1978" s="3">
        <f ca="1">IFERROR(__xludf.DUMMYFUNCTION("""COMPUTED_VALUE"""),44592.6666666666)</f>
        <v>44592.666666666599</v>
      </c>
      <c r="B1978" s="1">
        <f ca="1">IFERROR(__xludf.DUMMYFUNCTION("""COMPUTED_VALUE"""),135.7)</f>
        <v>135.69999999999999</v>
      </c>
    </row>
    <row r="1979" spans="1:2">
      <c r="A1979" s="3">
        <f ca="1">IFERROR(__xludf.DUMMYFUNCTION("""COMPUTED_VALUE"""),44593.6666666666)</f>
        <v>44593.666666666599</v>
      </c>
      <c r="B1979" s="1">
        <f ca="1">IFERROR(__xludf.DUMMYFUNCTION("""COMPUTED_VALUE"""),137.88)</f>
        <v>137.88</v>
      </c>
    </row>
    <row r="1980" spans="1:2">
      <c r="A1980" s="3">
        <f ca="1">IFERROR(__xludf.DUMMYFUNCTION("""COMPUTED_VALUE"""),44594.6666666666)</f>
        <v>44594.666666666599</v>
      </c>
      <c r="B1980" s="1">
        <f ca="1">IFERROR(__xludf.DUMMYFUNCTION("""COMPUTED_VALUE"""),148.04)</f>
        <v>148.04</v>
      </c>
    </row>
    <row r="1981" spans="1:2">
      <c r="A1981" s="3">
        <f ca="1">IFERROR(__xludf.DUMMYFUNCTION("""COMPUTED_VALUE"""),44595.6666666666)</f>
        <v>44595.666666666599</v>
      </c>
      <c r="B1981" s="1">
        <f ca="1">IFERROR(__xludf.DUMMYFUNCTION("""COMPUTED_VALUE"""),142.65)</f>
        <v>142.65</v>
      </c>
    </row>
    <row r="1982" spans="1:2">
      <c r="A1982" s="3">
        <f ca="1">IFERROR(__xludf.DUMMYFUNCTION("""COMPUTED_VALUE"""),44596.6666666666)</f>
        <v>44596.666666666599</v>
      </c>
      <c r="B1982" s="1">
        <f ca="1">IFERROR(__xludf.DUMMYFUNCTION("""COMPUTED_VALUE"""),143.02)</f>
        <v>143.02000000000001</v>
      </c>
    </row>
    <row r="1983" spans="1:2">
      <c r="A1983" s="3">
        <f ca="1">IFERROR(__xludf.DUMMYFUNCTION("""COMPUTED_VALUE"""),44599.6666666666)</f>
        <v>44599.666666666599</v>
      </c>
      <c r="B1983" s="1">
        <f ca="1">IFERROR(__xludf.DUMMYFUNCTION("""COMPUTED_VALUE"""),138.94)</f>
        <v>138.94</v>
      </c>
    </row>
    <row r="1984" spans="1:2">
      <c r="A1984" s="3">
        <f ca="1">IFERROR(__xludf.DUMMYFUNCTION("""COMPUTED_VALUE"""),44600.6666666666)</f>
        <v>44600.666666666599</v>
      </c>
      <c r="B1984" s="1">
        <f ca="1">IFERROR(__xludf.DUMMYFUNCTION("""COMPUTED_VALUE"""),139.21)</f>
        <v>139.21</v>
      </c>
    </row>
    <row r="1985" spans="1:2">
      <c r="A1985" s="3">
        <f ca="1">IFERROR(__xludf.DUMMYFUNCTION("""COMPUTED_VALUE"""),44601.6666666666)</f>
        <v>44601.666666666599</v>
      </c>
      <c r="B1985" s="1">
        <f ca="1">IFERROR(__xludf.DUMMYFUNCTION("""COMPUTED_VALUE"""),141.45)</f>
        <v>141.44999999999999</v>
      </c>
    </row>
    <row r="1986" spans="1:2">
      <c r="A1986" s="3">
        <f ca="1">IFERROR(__xludf.DUMMYFUNCTION("""COMPUTED_VALUE"""),44602.6666666666)</f>
        <v>44602.666666666599</v>
      </c>
      <c r="B1986" s="1">
        <f ca="1">IFERROR(__xludf.DUMMYFUNCTION("""COMPUTED_VALUE"""),138.6)</f>
        <v>138.6</v>
      </c>
    </row>
    <row r="1987" spans="1:2">
      <c r="A1987" s="3">
        <f ca="1">IFERROR(__xludf.DUMMYFUNCTION("""COMPUTED_VALUE"""),44603.6666666666)</f>
        <v>44603.666666666599</v>
      </c>
      <c r="B1987" s="1">
        <f ca="1">IFERROR(__xludf.DUMMYFUNCTION("""COMPUTED_VALUE"""),134.13)</f>
        <v>134.13</v>
      </c>
    </row>
    <row r="1988" spans="1:2">
      <c r="A1988" s="3">
        <f ca="1">IFERROR(__xludf.DUMMYFUNCTION("""COMPUTED_VALUE"""),44606.6666666666)</f>
        <v>44606.666666666599</v>
      </c>
      <c r="B1988" s="1">
        <f ca="1">IFERROR(__xludf.DUMMYFUNCTION("""COMPUTED_VALUE"""),135.3)</f>
        <v>135.30000000000001</v>
      </c>
    </row>
    <row r="1989" spans="1:2">
      <c r="A1989" s="3">
        <f ca="1">IFERROR(__xludf.DUMMYFUNCTION("""COMPUTED_VALUE"""),44607.6666666666)</f>
        <v>44607.666666666599</v>
      </c>
      <c r="B1989" s="1">
        <f ca="1">IFERROR(__xludf.DUMMYFUNCTION("""COMPUTED_VALUE"""),136.43)</f>
        <v>136.43</v>
      </c>
    </row>
    <row r="1990" spans="1:2">
      <c r="A1990" s="3">
        <f ca="1">IFERROR(__xludf.DUMMYFUNCTION("""COMPUTED_VALUE"""),44608.6666666666)</f>
        <v>44608.666666666599</v>
      </c>
      <c r="B1990" s="1">
        <f ca="1">IFERROR(__xludf.DUMMYFUNCTION("""COMPUTED_VALUE"""),137.49)</f>
        <v>137.49</v>
      </c>
    </row>
    <row r="1991" spans="1:2">
      <c r="A1991" s="3">
        <f ca="1">IFERROR(__xludf.DUMMYFUNCTION("""COMPUTED_VALUE"""),44609.6666666666)</f>
        <v>44609.666666666599</v>
      </c>
      <c r="B1991" s="1">
        <f ca="1">IFERROR(__xludf.DUMMYFUNCTION("""COMPUTED_VALUE"""),132.31)</f>
        <v>132.31</v>
      </c>
    </row>
    <row r="1992" spans="1:2">
      <c r="A1992" s="3">
        <f ca="1">IFERROR(__xludf.DUMMYFUNCTION("""COMPUTED_VALUE"""),44610.6666666666)</f>
        <v>44610.666666666599</v>
      </c>
      <c r="B1992" s="1">
        <f ca="1">IFERROR(__xludf.DUMMYFUNCTION("""COMPUTED_VALUE"""),130.47)</f>
        <v>130.47</v>
      </c>
    </row>
    <row r="1993" spans="1:2">
      <c r="A1993" s="3">
        <f ca="1">IFERROR(__xludf.DUMMYFUNCTION("""COMPUTED_VALUE"""),44614.6666666666)</f>
        <v>44614.666666666599</v>
      </c>
      <c r="B1993" s="1">
        <f ca="1">IFERROR(__xludf.DUMMYFUNCTION("""COMPUTED_VALUE"""),129.4)</f>
        <v>129.4</v>
      </c>
    </row>
    <row r="1994" spans="1:2">
      <c r="A1994" s="3">
        <f ca="1">IFERROR(__xludf.DUMMYFUNCTION("""COMPUTED_VALUE"""),44615.6666666666)</f>
        <v>44615.666666666599</v>
      </c>
      <c r="B1994" s="1">
        <f ca="1">IFERROR(__xludf.DUMMYFUNCTION("""COMPUTED_VALUE"""),127.59)</f>
        <v>127.59</v>
      </c>
    </row>
    <row r="1995" spans="1:2">
      <c r="A1995" s="3">
        <f ca="1">IFERROR(__xludf.DUMMYFUNCTION("""COMPUTED_VALUE"""),44616.6666666666)</f>
        <v>44616.666666666599</v>
      </c>
      <c r="B1995" s="1">
        <f ca="1">IFERROR(__xludf.DUMMYFUNCTION("""COMPUTED_VALUE"""),132.67)</f>
        <v>132.66999999999999</v>
      </c>
    </row>
    <row r="1996" spans="1:2">
      <c r="A1996" s="3">
        <f ca="1">IFERROR(__xludf.DUMMYFUNCTION("""COMPUTED_VALUE"""),44617.6666666666)</f>
        <v>44617.666666666599</v>
      </c>
      <c r="B1996" s="1">
        <f ca="1">IFERROR(__xludf.DUMMYFUNCTION("""COMPUTED_VALUE"""),134.52)</f>
        <v>134.52000000000001</v>
      </c>
    </row>
    <row r="1997" spans="1:2">
      <c r="A1997" s="3">
        <f ca="1">IFERROR(__xludf.DUMMYFUNCTION("""COMPUTED_VALUE"""),44620.6666666666)</f>
        <v>44620.666666666599</v>
      </c>
      <c r="B1997" s="1">
        <f ca="1">IFERROR(__xludf.DUMMYFUNCTION("""COMPUTED_VALUE"""),134.89)</f>
        <v>134.88999999999999</v>
      </c>
    </row>
    <row r="1998" spans="1:2">
      <c r="A1998" s="3">
        <f ca="1">IFERROR(__xludf.DUMMYFUNCTION("""COMPUTED_VALUE"""),44621.6666666666)</f>
        <v>44621.666666666599</v>
      </c>
      <c r="B1998" s="1">
        <f ca="1">IFERROR(__xludf.DUMMYFUNCTION("""COMPUTED_VALUE"""),134.17)</f>
        <v>134.16999999999999</v>
      </c>
    </row>
    <row r="1999" spans="1:2">
      <c r="A1999" s="3">
        <f ca="1">IFERROR(__xludf.DUMMYFUNCTION("""COMPUTED_VALUE"""),44622.6666666666)</f>
        <v>44622.666666666599</v>
      </c>
      <c r="B1999" s="1">
        <f ca="1">IFERROR(__xludf.DUMMYFUNCTION("""COMPUTED_VALUE"""),134.75)</f>
        <v>134.75</v>
      </c>
    </row>
    <row r="2000" spans="1:2">
      <c r="A2000" s="3">
        <f ca="1">IFERROR(__xludf.DUMMYFUNCTION("""COMPUTED_VALUE"""),44623.6666666666)</f>
        <v>44623.666666666599</v>
      </c>
      <c r="B2000" s="1">
        <f ca="1">IFERROR(__xludf.DUMMYFUNCTION("""COMPUTED_VALUE"""),134.31)</f>
        <v>134.31</v>
      </c>
    </row>
    <row r="2001" spans="1:2">
      <c r="A2001" s="3">
        <f ca="1">IFERROR(__xludf.DUMMYFUNCTION("""COMPUTED_VALUE"""),44624.6666666666)</f>
        <v>44624.666666666599</v>
      </c>
      <c r="B2001" s="1">
        <f ca="1">IFERROR(__xludf.DUMMYFUNCTION("""COMPUTED_VALUE"""),132.12)</f>
        <v>132.12</v>
      </c>
    </row>
    <row r="2002" spans="1:2">
      <c r="A2002" s="3">
        <f ca="1">IFERROR(__xludf.DUMMYFUNCTION("""COMPUTED_VALUE"""),44627.6666666666)</f>
        <v>44627.666666666599</v>
      </c>
      <c r="B2002" s="1">
        <f ca="1">IFERROR(__xludf.DUMMYFUNCTION("""COMPUTED_VALUE"""),126.46)</f>
        <v>126.46</v>
      </c>
    </row>
    <row r="2003" spans="1:2">
      <c r="A2003" s="3">
        <f ca="1">IFERROR(__xludf.DUMMYFUNCTION("""COMPUTED_VALUE"""),44628.6666666666)</f>
        <v>44628.666666666599</v>
      </c>
      <c r="B2003" s="1">
        <f ca="1">IFERROR(__xludf.DUMMYFUNCTION("""COMPUTED_VALUE"""),127.28)</f>
        <v>127.28</v>
      </c>
    </row>
    <row r="2004" spans="1:2">
      <c r="A2004" s="3">
        <f ca="1">IFERROR(__xludf.DUMMYFUNCTION("""COMPUTED_VALUE"""),44629.6666666666)</f>
        <v>44629.666666666599</v>
      </c>
      <c r="B2004" s="1">
        <f ca="1">IFERROR(__xludf.DUMMYFUNCTION("""COMPUTED_VALUE"""),133.87)</f>
        <v>133.87</v>
      </c>
    </row>
    <row r="2005" spans="1:2">
      <c r="A2005" s="3">
        <f ca="1">IFERROR(__xludf.DUMMYFUNCTION("""COMPUTED_VALUE"""),44630.6666666666)</f>
        <v>44630.666666666599</v>
      </c>
      <c r="B2005" s="1">
        <f ca="1">IFERROR(__xludf.DUMMYFUNCTION("""COMPUTED_VALUE"""),132.68)</f>
        <v>132.68</v>
      </c>
    </row>
    <row r="2006" spans="1:2">
      <c r="A2006" s="3">
        <f ca="1">IFERROR(__xludf.DUMMYFUNCTION("""COMPUTED_VALUE"""),44631.6666666666)</f>
        <v>44631.666666666599</v>
      </c>
      <c r="B2006" s="1">
        <f ca="1">IFERROR(__xludf.DUMMYFUNCTION("""COMPUTED_VALUE"""),130.48)</f>
        <v>130.47999999999999</v>
      </c>
    </row>
    <row r="2007" spans="1:2">
      <c r="A2007" s="3">
        <f ca="1">IFERROR(__xludf.DUMMYFUNCTION("""COMPUTED_VALUE"""),44634.6666666666)</f>
        <v>44634.666666666599</v>
      </c>
      <c r="B2007" s="1">
        <f ca="1">IFERROR(__xludf.DUMMYFUNCTION("""COMPUTED_VALUE"""),126.74)</f>
        <v>126.74</v>
      </c>
    </row>
    <row r="2008" spans="1:2">
      <c r="A2008" s="3">
        <f ca="1">IFERROR(__xludf.DUMMYFUNCTION("""COMPUTED_VALUE"""),44635.6666666666)</f>
        <v>44635.666666666599</v>
      </c>
      <c r="B2008" s="1">
        <f ca="1">IFERROR(__xludf.DUMMYFUNCTION("""COMPUTED_VALUE"""),129.66)</f>
        <v>129.66</v>
      </c>
    </row>
    <row r="2009" spans="1:2">
      <c r="A2009" s="3">
        <f ca="1">IFERROR(__xludf.DUMMYFUNCTION("""COMPUTED_VALUE"""),44636.6666666666)</f>
        <v>44636.666666666599</v>
      </c>
      <c r="B2009" s="1">
        <f ca="1">IFERROR(__xludf.DUMMYFUNCTION("""COMPUTED_VALUE"""),133.69)</f>
        <v>133.69</v>
      </c>
    </row>
    <row r="2010" spans="1:2">
      <c r="A2010" s="3">
        <f ca="1">IFERROR(__xludf.DUMMYFUNCTION("""COMPUTED_VALUE"""),44637.6666666666)</f>
        <v>44637.666666666599</v>
      </c>
      <c r="B2010" s="1">
        <f ca="1">IFERROR(__xludf.DUMMYFUNCTION("""COMPUTED_VALUE"""),134.6)</f>
        <v>134.6</v>
      </c>
    </row>
    <row r="2011" spans="1:2">
      <c r="A2011" s="3">
        <f ca="1">IFERROR(__xludf.DUMMYFUNCTION("""COMPUTED_VALUE"""),44638.6666666666)</f>
        <v>44638.666666666599</v>
      </c>
      <c r="B2011" s="1">
        <f ca="1">IFERROR(__xludf.DUMMYFUNCTION("""COMPUTED_VALUE"""),136.8)</f>
        <v>136.80000000000001</v>
      </c>
    </row>
    <row r="2012" spans="1:2">
      <c r="A2012" s="3">
        <f ca="1">IFERROR(__xludf.DUMMYFUNCTION("""COMPUTED_VALUE"""),44641.6666666666)</f>
        <v>44641.666666666599</v>
      </c>
      <c r="B2012" s="1">
        <f ca="1">IFERROR(__xludf.DUMMYFUNCTION("""COMPUTED_VALUE"""),136.48)</f>
        <v>136.47999999999999</v>
      </c>
    </row>
    <row r="2013" spans="1:2">
      <c r="A2013" s="3">
        <f ca="1">IFERROR(__xludf.DUMMYFUNCTION("""COMPUTED_VALUE"""),44642.6666666666)</f>
        <v>44642.666666666599</v>
      </c>
      <c r="B2013" s="1">
        <f ca="1">IFERROR(__xludf.DUMMYFUNCTION("""COMPUTED_VALUE"""),140.28)</f>
        <v>140.28</v>
      </c>
    </row>
    <row r="2014" spans="1:2">
      <c r="A2014" s="3">
        <f ca="1">IFERROR(__xludf.DUMMYFUNCTION("""COMPUTED_VALUE"""),44643.6666666666)</f>
        <v>44643.666666666599</v>
      </c>
      <c r="B2014" s="1">
        <f ca="1">IFERROR(__xludf.DUMMYFUNCTION("""COMPUTED_VALUE"""),138.5)</f>
        <v>138.5</v>
      </c>
    </row>
    <row r="2015" spans="1:2">
      <c r="A2015" s="3">
        <f ca="1">IFERROR(__xludf.DUMMYFUNCTION("""COMPUTED_VALUE"""),44644.6666666666)</f>
        <v>44644.666666666599</v>
      </c>
      <c r="B2015" s="1">
        <f ca="1">IFERROR(__xludf.DUMMYFUNCTION("""COMPUTED_VALUE"""),141.31)</f>
        <v>141.31</v>
      </c>
    </row>
    <row r="2016" spans="1:2">
      <c r="A2016" s="3">
        <f ca="1">IFERROR(__xludf.DUMMYFUNCTION("""COMPUTED_VALUE"""),44645.6666666666)</f>
        <v>44645.666666666599</v>
      </c>
      <c r="B2016" s="1">
        <f ca="1">IFERROR(__xludf.DUMMYFUNCTION("""COMPUTED_VALUE"""),141.52)</f>
        <v>141.52000000000001</v>
      </c>
    </row>
    <row r="2017" spans="1:2">
      <c r="A2017" s="3">
        <f ca="1">IFERROR(__xludf.DUMMYFUNCTION("""COMPUTED_VALUE"""),44648.6666666666)</f>
        <v>44648.666666666599</v>
      </c>
      <c r="B2017" s="1">
        <f ca="1">IFERROR(__xludf.DUMMYFUNCTION("""COMPUTED_VALUE"""),141.95)</f>
        <v>141.94999999999999</v>
      </c>
    </row>
    <row r="2018" spans="1:2">
      <c r="A2018" s="3">
        <f ca="1">IFERROR(__xludf.DUMMYFUNCTION("""COMPUTED_VALUE"""),44649.6666666666)</f>
        <v>44649.666666666599</v>
      </c>
      <c r="B2018" s="1">
        <f ca="1">IFERROR(__xludf.DUMMYFUNCTION("""COMPUTED_VALUE"""),143.25)</f>
        <v>143.25</v>
      </c>
    </row>
    <row r="2019" spans="1:2">
      <c r="A2019" s="3">
        <f ca="1">IFERROR(__xludf.DUMMYFUNCTION("""COMPUTED_VALUE"""),44650.6666666666)</f>
        <v>44650.666666666599</v>
      </c>
      <c r="B2019" s="1">
        <f ca="1">IFERROR(__xludf.DUMMYFUNCTION("""COMPUTED_VALUE"""),142.64)</f>
        <v>142.63999999999999</v>
      </c>
    </row>
    <row r="2020" spans="1:2">
      <c r="A2020" s="3">
        <f ca="1">IFERROR(__xludf.DUMMYFUNCTION("""COMPUTED_VALUE"""),44651.6666666666)</f>
        <v>44651.666666666599</v>
      </c>
      <c r="B2020" s="1">
        <f ca="1">IFERROR(__xludf.DUMMYFUNCTION("""COMPUTED_VALUE"""),139.65)</f>
        <v>139.65</v>
      </c>
    </row>
    <row r="2021" spans="1:2">
      <c r="A2021" s="3">
        <f ca="1">IFERROR(__xludf.DUMMYFUNCTION("""COMPUTED_VALUE"""),44652.6666666666)</f>
        <v>44652.666666666599</v>
      </c>
      <c r="B2021" s="1">
        <f ca="1">IFERROR(__xludf.DUMMYFUNCTION("""COMPUTED_VALUE"""),140.7)</f>
        <v>140.69999999999999</v>
      </c>
    </row>
    <row r="2022" spans="1:2">
      <c r="A2022" s="3">
        <f ca="1">IFERROR(__xludf.DUMMYFUNCTION("""COMPUTED_VALUE"""),44655.6666666666)</f>
        <v>44655.666666666599</v>
      </c>
      <c r="B2022" s="1">
        <f ca="1">IFERROR(__xludf.DUMMYFUNCTION("""COMPUTED_VALUE"""),143.64)</f>
        <v>143.63999999999999</v>
      </c>
    </row>
    <row r="2023" spans="1:2">
      <c r="A2023" s="3">
        <f ca="1">IFERROR(__xludf.DUMMYFUNCTION("""COMPUTED_VALUE"""),44656.6666666666)</f>
        <v>44656.666666666599</v>
      </c>
      <c r="B2023" s="1">
        <f ca="1">IFERROR(__xludf.DUMMYFUNCTION("""COMPUTED_VALUE"""),141.06)</f>
        <v>141.06</v>
      </c>
    </row>
    <row r="2024" spans="1:2">
      <c r="A2024" s="3">
        <f ca="1">IFERROR(__xludf.DUMMYFUNCTION("""COMPUTED_VALUE"""),44657.6666666666)</f>
        <v>44657.666666666599</v>
      </c>
      <c r="B2024" s="1">
        <f ca="1">IFERROR(__xludf.DUMMYFUNCTION("""COMPUTED_VALUE"""),137.18)</f>
        <v>137.18</v>
      </c>
    </row>
    <row r="2025" spans="1:2">
      <c r="A2025" s="3">
        <f ca="1">IFERROR(__xludf.DUMMYFUNCTION("""COMPUTED_VALUE"""),44658.6666666666)</f>
        <v>44658.666666666599</v>
      </c>
      <c r="B2025" s="1">
        <f ca="1">IFERROR(__xludf.DUMMYFUNCTION("""COMPUTED_VALUE"""),136.47)</f>
        <v>136.47</v>
      </c>
    </row>
    <row r="2026" spans="1:2">
      <c r="A2026" s="3">
        <f ca="1">IFERROR(__xludf.DUMMYFUNCTION("""COMPUTED_VALUE"""),44659.6666666666)</f>
        <v>44659.666666666599</v>
      </c>
      <c r="B2026" s="1">
        <f ca="1">IFERROR(__xludf.DUMMYFUNCTION("""COMPUTED_VALUE"""),134.01)</f>
        <v>134.01</v>
      </c>
    </row>
    <row r="2027" spans="1:2">
      <c r="A2027" s="3">
        <f ca="1">IFERROR(__xludf.DUMMYFUNCTION("""COMPUTED_VALUE"""),44662.6666666666)</f>
        <v>44662.666666666599</v>
      </c>
      <c r="B2027" s="1">
        <f ca="1">IFERROR(__xludf.DUMMYFUNCTION("""COMPUTED_VALUE"""),129.8)</f>
        <v>129.80000000000001</v>
      </c>
    </row>
    <row r="2028" spans="1:2">
      <c r="A2028" s="3">
        <f ca="1">IFERROR(__xludf.DUMMYFUNCTION("""COMPUTED_VALUE"""),44663.6666666666)</f>
        <v>44663.666666666599</v>
      </c>
      <c r="B2028" s="1">
        <f ca="1">IFERROR(__xludf.DUMMYFUNCTION("""COMPUTED_VALUE"""),128.37)</f>
        <v>128.37</v>
      </c>
    </row>
    <row r="2029" spans="1:2">
      <c r="A2029" s="3">
        <f ca="1">IFERROR(__xludf.DUMMYFUNCTION("""COMPUTED_VALUE"""),44664.6666666666)</f>
        <v>44664.666666666599</v>
      </c>
      <c r="B2029" s="1">
        <f ca="1">IFERROR(__xludf.DUMMYFUNCTION("""COMPUTED_VALUE"""),130.29)</f>
        <v>130.29</v>
      </c>
    </row>
    <row r="2030" spans="1:2">
      <c r="A2030" s="3">
        <f ca="1">IFERROR(__xludf.DUMMYFUNCTION("""COMPUTED_VALUE"""),44665.6666666666)</f>
        <v>44665.666666666599</v>
      </c>
      <c r="B2030" s="1">
        <f ca="1">IFERROR(__xludf.DUMMYFUNCTION("""COMPUTED_VALUE"""),127.25)</f>
        <v>127.25</v>
      </c>
    </row>
    <row r="2031" spans="1:2">
      <c r="A2031" s="3">
        <f ca="1">IFERROR(__xludf.DUMMYFUNCTION("""COMPUTED_VALUE"""),44669.6666666666)</f>
        <v>44669.666666666599</v>
      </c>
      <c r="B2031" s="1">
        <f ca="1">IFERROR(__xludf.DUMMYFUNCTION("""COMPUTED_VALUE"""),127.96)</f>
        <v>127.96</v>
      </c>
    </row>
    <row r="2032" spans="1:2">
      <c r="A2032" s="3">
        <f ca="1">IFERROR(__xludf.DUMMYFUNCTION("""COMPUTED_VALUE"""),44670.6666666666)</f>
        <v>44670.666666666599</v>
      </c>
      <c r="B2032" s="1">
        <f ca="1">IFERROR(__xludf.DUMMYFUNCTION("""COMPUTED_VALUE"""),130.53)</f>
        <v>130.53</v>
      </c>
    </row>
    <row r="2033" spans="1:2">
      <c r="A2033" s="3">
        <f ca="1">IFERROR(__xludf.DUMMYFUNCTION("""COMPUTED_VALUE"""),44671.6666666666)</f>
        <v>44671.666666666599</v>
      </c>
      <c r="B2033" s="1">
        <f ca="1">IFERROR(__xludf.DUMMYFUNCTION("""COMPUTED_VALUE"""),128.25)</f>
        <v>128.25</v>
      </c>
    </row>
    <row r="2034" spans="1:2">
      <c r="A2034" s="3">
        <f ca="1">IFERROR(__xludf.DUMMYFUNCTION("""COMPUTED_VALUE"""),44672.6666666666)</f>
        <v>44672.666666666599</v>
      </c>
      <c r="B2034" s="1">
        <f ca="1">IFERROR(__xludf.DUMMYFUNCTION("""COMPUTED_VALUE"""),124.94)</f>
        <v>124.94</v>
      </c>
    </row>
    <row r="2035" spans="1:2">
      <c r="A2035" s="3">
        <f ca="1">IFERROR(__xludf.DUMMYFUNCTION("""COMPUTED_VALUE"""),44673.6666666666)</f>
        <v>44673.666666666599</v>
      </c>
      <c r="B2035" s="1">
        <f ca="1">IFERROR(__xludf.DUMMYFUNCTION("""COMPUTED_VALUE"""),119.61)</f>
        <v>119.61</v>
      </c>
    </row>
    <row r="2036" spans="1:2">
      <c r="A2036" s="3">
        <f ca="1">IFERROR(__xludf.DUMMYFUNCTION("""COMPUTED_VALUE"""),44676.6666666666)</f>
        <v>44676.666666666599</v>
      </c>
      <c r="B2036" s="1">
        <f ca="1">IFERROR(__xludf.DUMMYFUNCTION("""COMPUTED_VALUE"""),123.25)</f>
        <v>123.25</v>
      </c>
    </row>
    <row r="2037" spans="1:2">
      <c r="A2037" s="3">
        <f ca="1">IFERROR(__xludf.DUMMYFUNCTION("""COMPUTED_VALUE"""),44677.6666666666)</f>
        <v>44677.666666666599</v>
      </c>
      <c r="B2037" s="1">
        <f ca="1">IFERROR(__xludf.DUMMYFUNCTION("""COMPUTED_VALUE"""),119.51)</f>
        <v>119.51</v>
      </c>
    </row>
    <row r="2038" spans="1:2">
      <c r="A2038" s="3">
        <f ca="1">IFERROR(__xludf.DUMMYFUNCTION("""COMPUTED_VALUE"""),44678.6666666666)</f>
        <v>44678.666666666599</v>
      </c>
      <c r="B2038" s="1">
        <f ca="1">IFERROR(__xludf.DUMMYFUNCTION("""COMPUTED_VALUE"""),115.02)</f>
        <v>115.02</v>
      </c>
    </row>
    <row r="2039" spans="1:2">
      <c r="A2039" s="3">
        <f ca="1">IFERROR(__xludf.DUMMYFUNCTION("""COMPUTED_VALUE"""),44679.6666666666)</f>
        <v>44679.666666666599</v>
      </c>
      <c r="B2039" s="1">
        <f ca="1">IFERROR(__xludf.DUMMYFUNCTION("""COMPUTED_VALUE"""),119.41)</f>
        <v>119.41</v>
      </c>
    </row>
    <row r="2040" spans="1:2">
      <c r="A2040" s="3">
        <f ca="1">IFERROR(__xludf.DUMMYFUNCTION("""COMPUTED_VALUE"""),44680.6666666666)</f>
        <v>44680.666666666599</v>
      </c>
      <c r="B2040" s="1">
        <f ca="1">IFERROR(__xludf.DUMMYFUNCTION("""COMPUTED_VALUE"""),114.97)</f>
        <v>114.97</v>
      </c>
    </row>
    <row r="2041" spans="1:2">
      <c r="A2041" s="3">
        <f ca="1">IFERROR(__xludf.DUMMYFUNCTION("""COMPUTED_VALUE"""),44683.6666666666)</f>
        <v>44683.666666666599</v>
      </c>
      <c r="B2041" s="1">
        <f ca="1">IFERROR(__xludf.DUMMYFUNCTION("""COMPUTED_VALUE"""),117.16)</f>
        <v>117.16</v>
      </c>
    </row>
    <row r="2042" spans="1:2">
      <c r="A2042" s="3">
        <f ca="1">IFERROR(__xludf.DUMMYFUNCTION("""COMPUTED_VALUE"""),44684.6666666666)</f>
        <v>44684.666666666599</v>
      </c>
      <c r="B2042" s="1">
        <f ca="1">IFERROR(__xludf.DUMMYFUNCTION("""COMPUTED_VALUE"""),118.13)</f>
        <v>118.13</v>
      </c>
    </row>
    <row r="2043" spans="1:2">
      <c r="A2043" s="3">
        <f ca="1">IFERROR(__xludf.DUMMYFUNCTION("""COMPUTED_VALUE"""),44685.6666666666)</f>
        <v>44685.666666666599</v>
      </c>
      <c r="B2043" s="1">
        <f ca="1">IFERROR(__xludf.DUMMYFUNCTION("""COMPUTED_VALUE"""),122.58)</f>
        <v>122.58</v>
      </c>
    </row>
    <row r="2044" spans="1:2">
      <c r="A2044" s="3">
        <f ca="1">IFERROR(__xludf.DUMMYFUNCTION("""COMPUTED_VALUE"""),44686.6666666666)</f>
        <v>44686.666666666599</v>
      </c>
      <c r="B2044" s="1">
        <f ca="1">IFERROR(__xludf.DUMMYFUNCTION("""COMPUTED_VALUE"""),116.75)</f>
        <v>116.75</v>
      </c>
    </row>
    <row r="2045" spans="1:2">
      <c r="A2045" s="3">
        <f ca="1">IFERROR(__xludf.DUMMYFUNCTION("""COMPUTED_VALUE"""),44687.6666666666)</f>
        <v>44687.666666666599</v>
      </c>
      <c r="B2045" s="1">
        <f ca="1">IFERROR(__xludf.DUMMYFUNCTION("""COMPUTED_VALUE"""),115.66)</f>
        <v>115.66</v>
      </c>
    </row>
    <row r="2046" spans="1:2">
      <c r="A2046" s="3">
        <f ca="1">IFERROR(__xludf.DUMMYFUNCTION("""COMPUTED_VALUE"""),44690.6666666666)</f>
        <v>44690.666666666599</v>
      </c>
      <c r="B2046" s="1">
        <f ca="1">IFERROR(__xludf.DUMMYFUNCTION("""COMPUTED_VALUE"""),113.08)</f>
        <v>113.08</v>
      </c>
    </row>
    <row r="2047" spans="1:2">
      <c r="A2047" s="3">
        <f ca="1">IFERROR(__xludf.DUMMYFUNCTION("""COMPUTED_VALUE"""),44691.6666666666)</f>
        <v>44691.666666666599</v>
      </c>
      <c r="B2047" s="1">
        <f ca="1">IFERROR(__xludf.DUMMYFUNCTION("""COMPUTED_VALUE"""),114.58)</f>
        <v>114.58</v>
      </c>
    </row>
    <row r="2048" spans="1:2">
      <c r="A2048" s="3">
        <f ca="1">IFERROR(__xludf.DUMMYFUNCTION("""COMPUTED_VALUE"""),44692.6666666666)</f>
        <v>44692.666666666599</v>
      </c>
      <c r="B2048" s="1">
        <f ca="1">IFERROR(__xludf.DUMMYFUNCTION("""COMPUTED_VALUE"""),113.96)</f>
        <v>113.96</v>
      </c>
    </row>
    <row r="2049" spans="1:2">
      <c r="A2049" s="3">
        <f ca="1">IFERROR(__xludf.DUMMYFUNCTION("""COMPUTED_VALUE"""),44693.6666666666)</f>
        <v>44693.666666666599</v>
      </c>
      <c r="B2049" s="1">
        <f ca="1">IFERROR(__xludf.DUMMYFUNCTION("""COMPUTED_VALUE"""),113.16)</f>
        <v>113.16</v>
      </c>
    </row>
    <row r="2050" spans="1:2">
      <c r="A2050" s="3">
        <f ca="1">IFERROR(__xludf.DUMMYFUNCTION("""COMPUTED_VALUE"""),44694.6666666666)</f>
        <v>44694.666666666599</v>
      </c>
      <c r="B2050" s="1">
        <f ca="1">IFERROR(__xludf.DUMMYFUNCTION("""COMPUTED_VALUE"""),116.52)</f>
        <v>116.52</v>
      </c>
    </row>
    <row r="2051" spans="1:2">
      <c r="A2051" s="3">
        <f ca="1">IFERROR(__xludf.DUMMYFUNCTION("""COMPUTED_VALUE"""),44697.6666666666)</f>
        <v>44697.666666666599</v>
      </c>
      <c r="B2051" s="1">
        <f ca="1">IFERROR(__xludf.DUMMYFUNCTION("""COMPUTED_VALUE"""),114.79)</f>
        <v>114.79</v>
      </c>
    </row>
    <row r="2052" spans="1:2">
      <c r="A2052" s="3">
        <f ca="1">IFERROR(__xludf.DUMMYFUNCTION("""COMPUTED_VALUE"""),44698.6666666666)</f>
        <v>44698.666666666599</v>
      </c>
      <c r="B2052" s="1">
        <f ca="1">IFERROR(__xludf.DUMMYFUNCTION("""COMPUTED_VALUE"""),116.7)</f>
        <v>116.7</v>
      </c>
    </row>
    <row r="2053" spans="1:2">
      <c r="A2053" s="3">
        <f ca="1">IFERROR(__xludf.DUMMYFUNCTION("""COMPUTED_VALUE"""),44699.6666666666)</f>
        <v>44699.666666666599</v>
      </c>
      <c r="B2053" s="1">
        <f ca="1">IFERROR(__xludf.DUMMYFUNCTION("""COMPUTED_VALUE"""),112.4)</f>
        <v>112.4</v>
      </c>
    </row>
    <row r="2054" spans="1:2">
      <c r="A2054" s="3">
        <f ca="1">IFERROR(__xludf.DUMMYFUNCTION("""COMPUTED_VALUE"""),44700.6666666666)</f>
        <v>44700.666666666599</v>
      </c>
      <c r="B2054" s="1">
        <f ca="1">IFERROR(__xludf.DUMMYFUNCTION("""COMPUTED_VALUE"""),110.75)</f>
        <v>110.75</v>
      </c>
    </row>
    <row r="2055" spans="1:2">
      <c r="A2055" s="3">
        <f ca="1">IFERROR(__xludf.DUMMYFUNCTION("""COMPUTED_VALUE"""),44701.6666666666)</f>
        <v>44701.666666666599</v>
      </c>
      <c r="B2055" s="1">
        <f ca="1">IFERROR(__xludf.DUMMYFUNCTION("""COMPUTED_VALUE"""),109.31)</f>
        <v>109.31</v>
      </c>
    </row>
    <row r="2056" spans="1:2">
      <c r="A2056" s="3">
        <f ca="1">IFERROR(__xludf.DUMMYFUNCTION("""COMPUTED_VALUE"""),44704.6666666666)</f>
        <v>44704.666666666599</v>
      </c>
      <c r="B2056" s="1">
        <f ca="1">IFERROR(__xludf.DUMMYFUNCTION("""COMPUTED_VALUE"""),111.67)</f>
        <v>111.67</v>
      </c>
    </row>
    <row r="2057" spans="1:2">
      <c r="A2057" s="3">
        <f ca="1">IFERROR(__xludf.DUMMYFUNCTION("""COMPUTED_VALUE"""),44705.6666666666)</f>
        <v>44705.666666666599</v>
      </c>
      <c r="B2057" s="1">
        <f ca="1">IFERROR(__xludf.DUMMYFUNCTION("""COMPUTED_VALUE"""),105.93)</f>
        <v>105.93</v>
      </c>
    </row>
    <row r="2058" spans="1:2">
      <c r="A2058" s="3">
        <f ca="1">IFERROR(__xludf.DUMMYFUNCTION("""COMPUTED_VALUE"""),44706.6666666666)</f>
        <v>44706.666666666599</v>
      </c>
      <c r="B2058" s="1">
        <f ca="1">IFERROR(__xludf.DUMMYFUNCTION("""COMPUTED_VALUE"""),105.84)</f>
        <v>105.84</v>
      </c>
    </row>
    <row r="2059" spans="1:2">
      <c r="A2059" s="3">
        <f ca="1">IFERROR(__xludf.DUMMYFUNCTION("""COMPUTED_VALUE"""),44707.6666666666)</f>
        <v>44707.666666666599</v>
      </c>
      <c r="B2059" s="1">
        <f ca="1">IFERROR(__xludf.DUMMYFUNCTION("""COMPUTED_VALUE"""),108.3)</f>
        <v>108.3</v>
      </c>
    </row>
    <row r="2060" spans="1:2">
      <c r="A2060" s="3">
        <f ca="1">IFERROR(__xludf.DUMMYFUNCTION("""COMPUTED_VALUE"""),44708.6666666666)</f>
        <v>44708.666666666599</v>
      </c>
      <c r="B2060" s="1">
        <f ca="1">IFERROR(__xludf.DUMMYFUNCTION("""COMPUTED_VALUE"""),112.8)</f>
        <v>112.8</v>
      </c>
    </row>
    <row r="2061" spans="1:2">
      <c r="A2061" s="3">
        <f ca="1">IFERROR(__xludf.DUMMYFUNCTION("""COMPUTED_VALUE"""),44712.6666666666)</f>
        <v>44712.666666666599</v>
      </c>
      <c r="B2061" s="1">
        <f ca="1">IFERROR(__xludf.DUMMYFUNCTION("""COMPUTED_VALUE"""),114.04)</f>
        <v>114.04</v>
      </c>
    </row>
    <row r="2062" spans="1:2">
      <c r="A2062" s="3">
        <f ca="1">IFERROR(__xludf.DUMMYFUNCTION("""COMPUTED_VALUE"""),44713.6666666666)</f>
        <v>44713.666666666599</v>
      </c>
      <c r="B2062" s="1">
        <f ca="1">IFERROR(__xludf.DUMMYFUNCTION("""COMPUTED_VALUE"""),114.14)</f>
        <v>114.14</v>
      </c>
    </row>
    <row r="2063" spans="1:2">
      <c r="A2063" s="3">
        <f ca="1">IFERROR(__xludf.DUMMYFUNCTION("""COMPUTED_VALUE"""),44714.6666666666)</f>
        <v>44714.666666666599</v>
      </c>
      <c r="B2063" s="1">
        <f ca="1">IFERROR(__xludf.DUMMYFUNCTION("""COMPUTED_VALUE"""),117.75)</f>
        <v>117.75</v>
      </c>
    </row>
    <row r="2064" spans="1:2">
      <c r="A2064" s="3">
        <f ca="1">IFERROR(__xludf.DUMMYFUNCTION("""COMPUTED_VALUE"""),44715.6666666666)</f>
        <v>44715.666666666599</v>
      </c>
      <c r="B2064" s="1">
        <f ca="1">IFERROR(__xludf.DUMMYFUNCTION("""COMPUTED_VALUE"""),114.56)</f>
        <v>114.56</v>
      </c>
    </row>
    <row r="2065" spans="1:2">
      <c r="A2065" s="3">
        <f ca="1">IFERROR(__xludf.DUMMYFUNCTION("""COMPUTED_VALUE"""),44718.6666666666)</f>
        <v>44718.666666666599</v>
      </c>
      <c r="B2065" s="1">
        <f ca="1">IFERROR(__xludf.DUMMYFUNCTION("""COMPUTED_VALUE"""),117.01)</f>
        <v>117.01</v>
      </c>
    </row>
    <row r="2066" spans="1:2">
      <c r="A2066" s="3">
        <f ca="1">IFERROR(__xludf.DUMMYFUNCTION("""COMPUTED_VALUE"""),44719.6666666666)</f>
        <v>44719.666666666599</v>
      </c>
      <c r="B2066" s="1">
        <f ca="1">IFERROR(__xludf.DUMMYFUNCTION("""COMPUTED_VALUE"""),117.23)</f>
        <v>117.23</v>
      </c>
    </row>
    <row r="2067" spans="1:2">
      <c r="A2067" s="3">
        <f ca="1">IFERROR(__xludf.DUMMYFUNCTION("""COMPUTED_VALUE"""),44720.6666666666)</f>
        <v>44720.666666666599</v>
      </c>
      <c r="B2067" s="1">
        <f ca="1">IFERROR(__xludf.DUMMYFUNCTION("""COMPUTED_VALUE"""),117.24)</f>
        <v>117.24</v>
      </c>
    </row>
    <row r="2068" spans="1:2">
      <c r="A2068" s="3">
        <f ca="1">IFERROR(__xludf.DUMMYFUNCTION("""COMPUTED_VALUE"""),44721.6666666666)</f>
        <v>44721.666666666599</v>
      </c>
      <c r="B2068" s="1">
        <f ca="1">IFERROR(__xludf.DUMMYFUNCTION("""COMPUTED_VALUE"""),114.92)</f>
        <v>114.92</v>
      </c>
    </row>
    <row r="2069" spans="1:2">
      <c r="A2069" s="3">
        <f ca="1">IFERROR(__xludf.DUMMYFUNCTION("""COMPUTED_VALUE"""),44722.6666666666)</f>
        <v>44722.666666666599</v>
      </c>
      <c r="B2069" s="1">
        <f ca="1">IFERROR(__xludf.DUMMYFUNCTION("""COMPUTED_VALUE"""),111.43)</f>
        <v>111.43</v>
      </c>
    </row>
    <row r="2070" spans="1:2">
      <c r="A2070" s="3">
        <f ca="1">IFERROR(__xludf.DUMMYFUNCTION("""COMPUTED_VALUE"""),44725.6666666666)</f>
        <v>44725.666666666599</v>
      </c>
      <c r="B2070" s="1">
        <f ca="1">IFERROR(__xludf.DUMMYFUNCTION("""COMPUTED_VALUE"""),106.88)</f>
        <v>106.88</v>
      </c>
    </row>
    <row r="2071" spans="1:2">
      <c r="A2071" s="3">
        <f ca="1">IFERROR(__xludf.DUMMYFUNCTION("""COMPUTED_VALUE"""),44726.6666666666)</f>
        <v>44726.666666666599</v>
      </c>
      <c r="B2071" s="1">
        <f ca="1">IFERROR(__xludf.DUMMYFUNCTION("""COMPUTED_VALUE"""),107.19)</f>
        <v>107.19</v>
      </c>
    </row>
    <row r="2072" spans="1:2">
      <c r="A2072" s="3">
        <f ca="1">IFERROR(__xludf.DUMMYFUNCTION("""COMPUTED_VALUE"""),44727.6666666666)</f>
        <v>44727.666666666599</v>
      </c>
      <c r="B2072" s="1">
        <f ca="1">IFERROR(__xludf.DUMMYFUNCTION("""COMPUTED_VALUE"""),110.39)</f>
        <v>110.39</v>
      </c>
    </row>
    <row r="2073" spans="1:2">
      <c r="A2073" s="3">
        <f ca="1">IFERROR(__xludf.DUMMYFUNCTION("""COMPUTED_VALUE"""),44728.6666666666)</f>
        <v>44728.666666666599</v>
      </c>
      <c r="B2073" s="1">
        <f ca="1">IFERROR(__xludf.DUMMYFUNCTION("""COMPUTED_VALUE"""),106.64)</f>
        <v>106.64</v>
      </c>
    </row>
    <row r="2074" spans="1:2">
      <c r="A2074" s="3">
        <f ca="1">IFERROR(__xludf.DUMMYFUNCTION("""COMPUTED_VALUE"""),44729.6666666666)</f>
        <v>44729.666666666599</v>
      </c>
      <c r="B2074" s="1">
        <f ca="1">IFERROR(__xludf.DUMMYFUNCTION("""COMPUTED_VALUE"""),107.87)</f>
        <v>107.87</v>
      </c>
    </row>
    <row r="2075" spans="1:2">
      <c r="A2075" s="3">
        <f ca="1">IFERROR(__xludf.DUMMYFUNCTION("""COMPUTED_VALUE"""),44733.6666666666)</f>
        <v>44733.666666666599</v>
      </c>
      <c r="B2075" s="1">
        <f ca="1">IFERROR(__xludf.DUMMYFUNCTION("""COMPUTED_VALUE"""),112.02)</f>
        <v>112.02</v>
      </c>
    </row>
    <row r="2076" spans="1:2">
      <c r="A2076" s="3">
        <f ca="1">IFERROR(__xludf.DUMMYFUNCTION("""COMPUTED_VALUE"""),44734.6666666666)</f>
        <v>44734.666666666599</v>
      </c>
      <c r="B2076" s="1">
        <f ca="1">IFERROR(__xludf.DUMMYFUNCTION("""COMPUTED_VALUE"""),112.03)</f>
        <v>112.03</v>
      </c>
    </row>
    <row r="2077" spans="1:2">
      <c r="A2077" s="3">
        <f ca="1">IFERROR(__xludf.DUMMYFUNCTION("""COMPUTED_VALUE"""),44735.6666666666)</f>
        <v>44735.666666666599</v>
      </c>
      <c r="B2077" s="1">
        <f ca="1">IFERROR(__xludf.DUMMYFUNCTION("""COMPUTED_VALUE"""),112.68)</f>
        <v>112.68</v>
      </c>
    </row>
    <row r="2078" spans="1:2">
      <c r="A2078" s="3">
        <f ca="1">IFERROR(__xludf.DUMMYFUNCTION("""COMPUTED_VALUE"""),44736.6666666666)</f>
        <v>44736.666666666599</v>
      </c>
      <c r="B2078" s="1">
        <f ca="1">IFERROR(__xludf.DUMMYFUNCTION("""COMPUTED_VALUE"""),118.54)</f>
        <v>118.54</v>
      </c>
    </row>
    <row r="2079" spans="1:2">
      <c r="A2079" s="3">
        <f ca="1">IFERROR(__xludf.DUMMYFUNCTION("""COMPUTED_VALUE"""),44739.6666666666)</f>
        <v>44739.666666666599</v>
      </c>
      <c r="B2079" s="1">
        <f ca="1">IFERROR(__xludf.DUMMYFUNCTION("""COMPUTED_VALUE"""),116.62)</f>
        <v>116.62</v>
      </c>
    </row>
    <row r="2080" spans="1:2">
      <c r="A2080" s="3">
        <f ca="1">IFERROR(__xludf.DUMMYFUNCTION("""COMPUTED_VALUE"""),44740.6666666666)</f>
        <v>44740.666666666599</v>
      </c>
      <c r="B2080" s="1">
        <f ca="1">IFERROR(__xludf.DUMMYFUNCTION("""COMPUTED_VALUE"""),112.57)</f>
        <v>112.57</v>
      </c>
    </row>
    <row r="2081" spans="1:2">
      <c r="A2081" s="3">
        <f ca="1">IFERROR(__xludf.DUMMYFUNCTION("""COMPUTED_VALUE"""),44741.6666666666)</f>
        <v>44741.666666666599</v>
      </c>
      <c r="B2081" s="1">
        <f ca="1">IFERROR(__xludf.DUMMYFUNCTION("""COMPUTED_VALUE"""),112.26)</f>
        <v>112.26</v>
      </c>
    </row>
    <row r="2082" spans="1:2">
      <c r="A2082" s="3">
        <f ca="1">IFERROR(__xludf.DUMMYFUNCTION("""COMPUTED_VALUE"""),44742.6666666666)</f>
        <v>44742.666666666599</v>
      </c>
      <c r="B2082" s="1">
        <f ca="1">IFERROR(__xludf.DUMMYFUNCTION("""COMPUTED_VALUE"""),109.37)</f>
        <v>109.37</v>
      </c>
    </row>
    <row r="2083" spans="1:2">
      <c r="A2083" s="3">
        <f ca="1">IFERROR(__xludf.DUMMYFUNCTION("""COMPUTED_VALUE"""),44743.6666666666)</f>
        <v>44743.666666666599</v>
      </c>
      <c r="B2083" s="1">
        <f ca="1">IFERROR(__xludf.DUMMYFUNCTION("""COMPUTED_VALUE"""),109.08)</f>
        <v>109.08</v>
      </c>
    </row>
    <row r="2084" spans="1:2">
      <c r="A2084" s="3">
        <f ca="1">IFERROR(__xludf.DUMMYFUNCTION("""COMPUTED_VALUE"""),44747.6666666666)</f>
        <v>44747.666666666599</v>
      </c>
      <c r="B2084" s="1">
        <f ca="1">IFERROR(__xludf.DUMMYFUNCTION("""COMPUTED_VALUE"""),113.89)</f>
        <v>113.89</v>
      </c>
    </row>
    <row r="2085" spans="1:2">
      <c r="A2085" s="3">
        <f ca="1">IFERROR(__xludf.DUMMYFUNCTION("""COMPUTED_VALUE"""),44748.6666666666)</f>
        <v>44748.666666666599</v>
      </c>
      <c r="B2085" s="1">
        <f ca="1">IFERROR(__xludf.DUMMYFUNCTION("""COMPUTED_VALUE"""),115.21)</f>
        <v>115.21</v>
      </c>
    </row>
    <row r="2086" spans="1:2">
      <c r="A2086" s="3">
        <f ca="1">IFERROR(__xludf.DUMMYFUNCTION("""COMPUTED_VALUE"""),44749.6666666666)</f>
        <v>44749.666666666599</v>
      </c>
      <c r="B2086" s="1">
        <f ca="1">IFERROR(__xludf.DUMMYFUNCTION("""COMPUTED_VALUE"""),119.31)</f>
        <v>119.31</v>
      </c>
    </row>
    <row r="2087" spans="1:2">
      <c r="A2087" s="3">
        <f ca="1">IFERROR(__xludf.DUMMYFUNCTION("""COMPUTED_VALUE"""),44750.6666666666)</f>
        <v>44750.666666666599</v>
      </c>
      <c r="B2087" s="1">
        <f ca="1">IFERROR(__xludf.DUMMYFUNCTION("""COMPUTED_VALUE"""),120.17)</f>
        <v>120.17</v>
      </c>
    </row>
    <row r="2088" spans="1:2">
      <c r="A2088" s="3">
        <f ca="1">IFERROR(__xludf.DUMMYFUNCTION("""COMPUTED_VALUE"""),44753.6666666666)</f>
        <v>44753.666666666599</v>
      </c>
      <c r="B2088" s="1">
        <f ca="1">IFERROR(__xludf.DUMMYFUNCTION("""COMPUTED_VALUE"""),116.52)</f>
        <v>116.52</v>
      </c>
    </row>
    <row r="2089" spans="1:2">
      <c r="A2089" s="3">
        <f ca="1">IFERROR(__xludf.DUMMYFUNCTION("""COMPUTED_VALUE"""),44754.6666666666)</f>
        <v>44754.666666666599</v>
      </c>
      <c r="B2089" s="1">
        <f ca="1">IFERROR(__xludf.DUMMYFUNCTION("""COMPUTED_VALUE"""),114.85)</f>
        <v>114.85</v>
      </c>
    </row>
    <row r="2090" spans="1:2">
      <c r="A2090" s="3">
        <f ca="1">IFERROR(__xludf.DUMMYFUNCTION("""COMPUTED_VALUE"""),44755.6666666666)</f>
        <v>44755.666666666599</v>
      </c>
      <c r="B2090" s="1">
        <f ca="1">IFERROR(__xludf.DUMMYFUNCTION("""COMPUTED_VALUE"""),112.19)</f>
        <v>112.19</v>
      </c>
    </row>
    <row r="2091" spans="1:2">
      <c r="A2091" s="3">
        <f ca="1">IFERROR(__xludf.DUMMYFUNCTION("""COMPUTED_VALUE"""),44756.6666666666)</f>
        <v>44756.666666666599</v>
      </c>
      <c r="B2091" s="1">
        <f ca="1">IFERROR(__xludf.DUMMYFUNCTION("""COMPUTED_VALUE"""),111.44)</f>
        <v>111.44</v>
      </c>
    </row>
    <row r="2092" spans="1:2">
      <c r="A2092" s="3">
        <f ca="1">IFERROR(__xludf.DUMMYFUNCTION("""COMPUTED_VALUE"""),44757.6666666666)</f>
        <v>44757.666666666599</v>
      </c>
      <c r="B2092" s="1">
        <f ca="1">IFERROR(__xludf.DUMMYFUNCTION("""COMPUTED_VALUE"""),112.77)</f>
        <v>112.77</v>
      </c>
    </row>
    <row r="2093" spans="1:2">
      <c r="A2093" s="3">
        <f ca="1">IFERROR(__xludf.DUMMYFUNCTION("""COMPUTED_VALUE"""),44760.6666666666)</f>
        <v>44760.666666666599</v>
      </c>
      <c r="B2093" s="1">
        <f ca="1">IFERROR(__xludf.DUMMYFUNCTION("""COMPUTED_VALUE"""),109.91)</f>
        <v>109.91</v>
      </c>
    </row>
    <row r="2094" spans="1:2">
      <c r="A2094" s="3">
        <f ca="1">IFERROR(__xludf.DUMMYFUNCTION("""COMPUTED_VALUE"""),44761.6666666666)</f>
        <v>44761.666666666599</v>
      </c>
      <c r="B2094" s="1">
        <f ca="1">IFERROR(__xludf.DUMMYFUNCTION("""COMPUTED_VALUE"""),114.62)</f>
        <v>114.62</v>
      </c>
    </row>
    <row r="2095" spans="1:2">
      <c r="A2095" s="3">
        <f ca="1">IFERROR(__xludf.DUMMYFUNCTION("""COMPUTED_VALUE"""),44762.6666666666)</f>
        <v>44762.666666666599</v>
      </c>
      <c r="B2095" s="1">
        <f ca="1">IFERROR(__xludf.DUMMYFUNCTION("""COMPUTED_VALUE"""),114.7)</f>
        <v>114.7</v>
      </c>
    </row>
    <row r="2096" spans="1:2">
      <c r="A2096" s="3">
        <f ca="1">IFERROR(__xludf.DUMMYFUNCTION("""COMPUTED_VALUE"""),44763.6666666666)</f>
        <v>44763.666666666599</v>
      </c>
      <c r="B2096" s="1">
        <f ca="1">IFERROR(__xludf.DUMMYFUNCTION("""COMPUTED_VALUE"""),115.04)</f>
        <v>115.04</v>
      </c>
    </row>
    <row r="2097" spans="1:2">
      <c r="A2097" s="3">
        <f ca="1">IFERROR(__xludf.DUMMYFUNCTION("""COMPUTED_VALUE"""),44764.6666666666)</f>
        <v>44764.666666666599</v>
      </c>
      <c r="B2097" s="1">
        <f ca="1">IFERROR(__xludf.DUMMYFUNCTION("""COMPUTED_VALUE"""),108.36)</f>
        <v>108.36</v>
      </c>
    </row>
    <row r="2098" spans="1:2">
      <c r="A2098" s="3">
        <f ca="1">IFERROR(__xludf.DUMMYFUNCTION("""COMPUTED_VALUE"""),44767.6666666666)</f>
        <v>44767.666666666599</v>
      </c>
      <c r="B2098" s="1">
        <f ca="1">IFERROR(__xludf.DUMMYFUNCTION("""COMPUTED_VALUE"""),108.21)</f>
        <v>108.21</v>
      </c>
    </row>
    <row r="2099" spans="1:2">
      <c r="A2099" s="3">
        <f ca="1">IFERROR(__xludf.DUMMYFUNCTION("""COMPUTED_VALUE"""),44768.6666666666)</f>
        <v>44768.666666666599</v>
      </c>
      <c r="B2099" s="1">
        <f ca="1">IFERROR(__xludf.DUMMYFUNCTION("""COMPUTED_VALUE"""),105.44)</f>
        <v>105.44</v>
      </c>
    </row>
    <row r="2100" spans="1:2">
      <c r="A2100" s="3">
        <f ca="1">IFERROR(__xludf.DUMMYFUNCTION("""COMPUTED_VALUE"""),44769.6666666666)</f>
        <v>44769.666666666599</v>
      </c>
      <c r="B2100" s="1">
        <f ca="1">IFERROR(__xludf.DUMMYFUNCTION("""COMPUTED_VALUE"""),113.6)</f>
        <v>113.6</v>
      </c>
    </row>
    <row r="2101" spans="1:2">
      <c r="A2101" s="3">
        <f ca="1">IFERROR(__xludf.DUMMYFUNCTION("""COMPUTED_VALUE"""),44770.6666666666)</f>
        <v>44770.666666666599</v>
      </c>
      <c r="B2101" s="1">
        <f ca="1">IFERROR(__xludf.DUMMYFUNCTION("""COMPUTED_VALUE"""),114.59)</f>
        <v>114.59</v>
      </c>
    </row>
    <row r="2102" spans="1:2">
      <c r="A2102" s="3">
        <f ca="1">IFERROR(__xludf.DUMMYFUNCTION("""COMPUTED_VALUE"""),44771.6666666666)</f>
        <v>44771.666666666599</v>
      </c>
      <c r="B2102" s="1">
        <f ca="1">IFERROR(__xludf.DUMMYFUNCTION("""COMPUTED_VALUE"""),116.64)</f>
        <v>116.64</v>
      </c>
    </row>
    <row r="2103" spans="1:2">
      <c r="A2103" s="3">
        <f ca="1">IFERROR(__xludf.DUMMYFUNCTION("""COMPUTED_VALUE"""),44774.6666666666)</f>
        <v>44774.666666666599</v>
      </c>
      <c r="B2103" s="1">
        <f ca="1">IFERROR(__xludf.DUMMYFUNCTION("""COMPUTED_VALUE"""),115.48)</f>
        <v>115.48</v>
      </c>
    </row>
    <row r="2104" spans="1:2">
      <c r="A2104" s="3">
        <f ca="1">IFERROR(__xludf.DUMMYFUNCTION("""COMPUTED_VALUE"""),44775.6666666666)</f>
        <v>44775.666666666599</v>
      </c>
      <c r="B2104" s="1">
        <f ca="1">IFERROR(__xludf.DUMMYFUNCTION("""COMPUTED_VALUE"""),115.9)</f>
        <v>115.9</v>
      </c>
    </row>
    <row r="2105" spans="1:2">
      <c r="A2105" s="3">
        <f ca="1">IFERROR(__xludf.DUMMYFUNCTION("""COMPUTED_VALUE"""),44776.6666666666)</f>
        <v>44776.666666666599</v>
      </c>
      <c r="B2105" s="1">
        <f ca="1">IFERROR(__xludf.DUMMYFUNCTION("""COMPUTED_VALUE"""),118.78)</f>
        <v>118.78</v>
      </c>
    </row>
    <row r="2106" spans="1:2">
      <c r="A2106" s="3">
        <f ca="1">IFERROR(__xludf.DUMMYFUNCTION("""COMPUTED_VALUE"""),44777.6666666666)</f>
        <v>44777.666666666599</v>
      </c>
      <c r="B2106" s="1">
        <f ca="1">IFERROR(__xludf.DUMMYFUNCTION("""COMPUTED_VALUE"""),118.87)</f>
        <v>118.87</v>
      </c>
    </row>
    <row r="2107" spans="1:2">
      <c r="A2107" s="3">
        <f ca="1">IFERROR(__xludf.DUMMYFUNCTION("""COMPUTED_VALUE"""),44778.6666666666)</f>
        <v>44778.666666666599</v>
      </c>
      <c r="B2107" s="1">
        <f ca="1">IFERROR(__xludf.DUMMYFUNCTION("""COMPUTED_VALUE"""),118.22)</f>
        <v>118.22</v>
      </c>
    </row>
    <row r="2108" spans="1:2">
      <c r="A2108" s="3">
        <f ca="1">IFERROR(__xludf.DUMMYFUNCTION("""COMPUTED_VALUE"""),44781.6666666666)</f>
        <v>44781.666666666599</v>
      </c>
      <c r="B2108" s="1">
        <f ca="1">IFERROR(__xludf.DUMMYFUNCTION("""COMPUTED_VALUE"""),118.14)</f>
        <v>118.14</v>
      </c>
    </row>
    <row r="2109" spans="1:2">
      <c r="A2109" s="3">
        <f ca="1">IFERROR(__xludf.DUMMYFUNCTION("""COMPUTED_VALUE"""),44782.6666666666)</f>
        <v>44782.666666666599</v>
      </c>
      <c r="B2109" s="1">
        <f ca="1">IFERROR(__xludf.DUMMYFUNCTION("""COMPUTED_VALUE"""),117.5)</f>
        <v>117.5</v>
      </c>
    </row>
    <row r="2110" spans="1:2">
      <c r="A2110" s="3">
        <f ca="1">IFERROR(__xludf.DUMMYFUNCTION("""COMPUTED_VALUE"""),44783.6666666666)</f>
        <v>44783.666666666599</v>
      </c>
      <c r="B2110" s="1">
        <f ca="1">IFERROR(__xludf.DUMMYFUNCTION("""COMPUTED_VALUE"""),120.65)</f>
        <v>120.65</v>
      </c>
    </row>
    <row r="2111" spans="1:2">
      <c r="A2111" s="3">
        <f ca="1">IFERROR(__xludf.DUMMYFUNCTION("""COMPUTED_VALUE"""),44784.6666666666)</f>
        <v>44784.666666666599</v>
      </c>
      <c r="B2111" s="1">
        <f ca="1">IFERROR(__xludf.DUMMYFUNCTION("""COMPUTED_VALUE"""),119.82)</f>
        <v>119.82</v>
      </c>
    </row>
    <row r="2112" spans="1:2">
      <c r="A2112" s="3">
        <f ca="1">IFERROR(__xludf.DUMMYFUNCTION("""COMPUTED_VALUE"""),44785.6666666666)</f>
        <v>44785.666666666599</v>
      </c>
      <c r="B2112" s="1">
        <f ca="1">IFERROR(__xludf.DUMMYFUNCTION("""COMPUTED_VALUE"""),122.65)</f>
        <v>122.65</v>
      </c>
    </row>
    <row r="2113" spans="1:2">
      <c r="A2113" s="3">
        <f ca="1">IFERROR(__xludf.DUMMYFUNCTION("""COMPUTED_VALUE"""),44788.6666666666)</f>
        <v>44788.666666666599</v>
      </c>
      <c r="B2113" s="1">
        <f ca="1">IFERROR(__xludf.DUMMYFUNCTION("""COMPUTED_VALUE"""),122.88)</f>
        <v>122.88</v>
      </c>
    </row>
    <row r="2114" spans="1:2">
      <c r="A2114" s="3">
        <f ca="1">IFERROR(__xludf.DUMMYFUNCTION("""COMPUTED_VALUE"""),44789.6666666666)</f>
        <v>44789.666666666599</v>
      </c>
      <c r="B2114" s="1">
        <f ca="1">IFERROR(__xludf.DUMMYFUNCTION("""COMPUTED_VALUE"""),122.51)</f>
        <v>122.51</v>
      </c>
    </row>
    <row r="2115" spans="1:2">
      <c r="A2115" s="3">
        <f ca="1">IFERROR(__xludf.DUMMYFUNCTION("""COMPUTED_VALUE"""),44790.6666666666)</f>
        <v>44790.666666666599</v>
      </c>
      <c r="B2115" s="1">
        <f ca="1">IFERROR(__xludf.DUMMYFUNCTION("""COMPUTED_VALUE"""),120.32)</f>
        <v>120.32</v>
      </c>
    </row>
    <row r="2116" spans="1:2">
      <c r="A2116" s="3">
        <f ca="1">IFERROR(__xludf.DUMMYFUNCTION("""COMPUTED_VALUE"""),44791.6666666666)</f>
        <v>44791.666666666599</v>
      </c>
      <c r="B2116" s="1">
        <f ca="1">IFERROR(__xludf.DUMMYFUNCTION("""COMPUTED_VALUE"""),120.86)</f>
        <v>120.86</v>
      </c>
    </row>
    <row r="2117" spans="1:2">
      <c r="A2117" s="3">
        <f ca="1">IFERROR(__xludf.DUMMYFUNCTION("""COMPUTED_VALUE"""),44792.6666666666)</f>
        <v>44792.666666666599</v>
      </c>
      <c r="B2117" s="1">
        <f ca="1">IFERROR(__xludf.DUMMYFUNCTION("""COMPUTED_VALUE"""),118.12)</f>
        <v>118.12</v>
      </c>
    </row>
    <row r="2118" spans="1:2">
      <c r="A2118" s="3">
        <f ca="1">IFERROR(__xludf.DUMMYFUNCTION("""COMPUTED_VALUE"""),44795.6666666666)</f>
        <v>44795.666666666599</v>
      </c>
      <c r="B2118" s="1">
        <f ca="1">IFERROR(__xludf.DUMMYFUNCTION("""COMPUTED_VALUE"""),115.07)</f>
        <v>115.07</v>
      </c>
    </row>
    <row r="2119" spans="1:2">
      <c r="A2119" s="3">
        <f ca="1">IFERROR(__xludf.DUMMYFUNCTION("""COMPUTED_VALUE"""),44796.6666666666)</f>
        <v>44796.666666666599</v>
      </c>
      <c r="B2119" s="1">
        <f ca="1">IFERROR(__xludf.DUMMYFUNCTION("""COMPUTED_VALUE"""),114.77)</f>
        <v>114.77</v>
      </c>
    </row>
    <row r="2120" spans="1:2">
      <c r="A2120" s="3">
        <f ca="1">IFERROR(__xludf.DUMMYFUNCTION("""COMPUTED_VALUE"""),44797.6666666666)</f>
        <v>44797.666666666599</v>
      </c>
      <c r="B2120" s="1">
        <f ca="1">IFERROR(__xludf.DUMMYFUNCTION("""COMPUTED_VALUE"""),114.7)</f>
        <v>114.7</v>
      </c>
    </row>
    <row r="2121" spans="1:2">
      <c r="A2121" s="3">
        <f ca="1">IFERROR(__xludf.DUMMYFUNCTION("""COMPUTED_VALUE"""),44798.6666666666)</f>
        <v>44798.666666666599</v>
      </c>
      <c r="B2121" s="1">
        <f ca="1">IFERROR(__xludf.DUMMYFUNCTION("""COMPUTED_VALUE"""),117.7)</f>
        <v>117.7</v>
      </c>
    </row>
    <row r="2122" spans="1:2">
      <c r="A2122" s="3">
        <f ca="1">IFERROR(__xludf.DUMMYFUNCTION("""COMPUTED_VALUE"""),44799.6666666666)</f>
        <v>44799.666666666599</v>
      </c>
      <c r="B2122" s="1">
        <f ca="1">IFERROR(__xludf.DUMMYFUNCTION("""COMPUTED_VALUE"""),111.3)</f>
        <v>111.3</v>
      </c>
    </row>
    <row r="2123" spans="1:2">
      <c r="A2123" s="3">
        <f ca="1">IFERROR(__xludf.DUMMYFUNCTION("""COMPUTED_VALUE"""),44802.6666666666)</f>
        <v>44802.666666666599</v>
      </c>
      <c r="B2123" s="1">
        <f ca="1">IFERROR(__xludf.DUMMYFUNCTION("""COMPUTED_VALUE"""),110.34)</f>
        <v>110.34</v>
      </c>
    </row>
    <row r="2124" spans="1:2">
      <c r="A2124" s="3">
        <f ca="1">IFERROR(__xludf.DUMMYFUNCTION("""COMPUTED_VALUE"""),44803.6666666666)</f>
        <v>44803.666666666599</v>
      </c>
      <c r="B2124" s="1">
        <f ca="1">IFERROR(__xludf.DUMMYFUNCTION("""COMPUTED_VALUE"""),109.91)</f>
        <v>109.91</v>
      </c>
    </row>
    <row r="2125" spans="1:2">
      <c r="A2125" s="3">
        <f ca="1">IFERROR(__xludf.DUMMYFUNCTION("""COMPUTED_VALUE"""),44804.6666666666)</f>
        <v>44804.666666666599</v>
      </c>
      <c r="B2125" s="1">
        <f ca="1">IFERROR(__xludf.DUMMYFUNCTION("""COMPUTED_VALUE"""),109.15)</f>
        <v>109.15</v>
      </c>
    </row>
    <row r="2126" spans="1:2">
      <c r="A2126" s="3">
        <f ca="1">IFERROR(__xludf.DUMMYFUNCTION("""COMPUTED_VALUE"""),44805.6666666666)</f>
        <v>44805.666666666599</v>
      </c>
      <c r="B2126" s="1">
        <f ca="1">IFERROR(__xludf.DUMMYFUNCTION("""COMPUTED_VALUE"""),110.55)</f>
        <v>110.55</v>
      </c>
    </row>
    <row r="2127" spans="1:2">
      <c r="A2127" s="3">
        <f ca="1">IFERROR(__xludf.DUMMYFUNCTION("""COMPUTED_VALUE"""),44806.6666666666)</f>
        <v>44806.666666666599</v>
      </c>
      <c r="B2127" s="1">
        <f ca="1">IFERROR(__xludf.DUMMYFUNCTION("""COMPUTED_VALUE"""),108.68)</f>
        <v>108.68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50"/>
  <sheetViews>
    <sheetView workbookViewId="0"/>
  </sheetViews>
  <sheetFormatPr defaultRowHeight="13.2"/>
  <cols>
    <col min="1" max="1" width="18" bestFit="1" customWidth="1"/>
  </cols>
  <sheetData>
    <row r="1" spans="1:2">
      <c r="A1" s="1" t="str">
        <f ca="1">IFERROR(__xludf.DUMMYFUNCTION("GOOGLEFINANCE(""MSFT"", ""price"",DATE(2005,1,1), DATE(2022,9,6), ""DAILY"")"),"Date")</f>
        <v>Date</v>
      </c>
      <c r="B1" s="1" t="str">
        <f ca="1">IFERROR(__xludf.DUMMYFUNCTION("""COMPUTED_VALUE"""),"Close")</f>
        <v>Close</v>
      </c>
    </row>
    <row r="2" spans="1:2">
      <c r="A2" s="3">
        <f ca="1">IFERROR(__xludf.DUMMYFUNCTION("""COMPUTED_VALUE"""),38355.6666666666)</f>
        <v>38355.666666666599</v>
      </c>
      <c r="B2" s="1">
        <f ca="1">IFERROR(__xludf.DUMMYFUNCTION("""COMPUTED_VALUE"""),26.74)</f>
        <v>26.74</v>
      </c>
    </row>
    <row r="3" spans="1:2">
      <c r="A3" s="3">
        <f ca="1">IFERROR(__xludf.DUMMYFUNCTION("""COMPUTED_VALUE"""),38356.6666666666)</f>
        <v>38356.666666666599</v>
      </c>
      <c r="B3" s="1">
        <f ca="1">IFERROR(__xludf.DUMMYFUNCTION("""COMPUTED_VALUE"""),26.84)</f>
        <v>26.84</v>
      </c>
    </row>
    <row r="4" spans="1:2">
      <c r="A4" s="3">
        <f ca="1">IFERROR(__xludf.DUMMYFUNCTION("""COMPUTED_VALUE"""),38357.6666666666)</f>
        <v>38357.666666666599</v>
      </c>
      <c r="B4" s="1">
        <f ca="1">IFERROR(__xludf.DUMMYFUNCTION("""COMPUTED_VALUE"""),26.78)</f>
        <v>26.78</v>
      </c>
    </row>
    <row r="5" spans="1:2">
      <c r="A5" s="3">
        <f ca="1">IFERROR(__xludf.DUMMYFUNCTION("""COMPUTED_VALUE"""),38358.6666666666)</f>
        <v>38358.666666666599</v>
      </c>
      <c r="B5" s="1">
        <f ca="1">IFERROR(__xludf.DUMMYFUNCTION("""COMPUTED_VALUE"""),26.75)</f>
        <v>26.75</v>
      </c>
    </row>
    <row r="6" spans="1:2">
      <c r="A6" s="3">
        <f ca="1">IFERROR(__xludf.DUMMYFUNCTION("""COMPUTED_VALUE"""),38359.6666666666)</f>
        <v>38359.666666666599</v>
      </c>
      <c r="B6" s="1">
        <f ca="1">IFERROR(__xludf.DUMMYFUNCTION("""COMPUTED_VALUE"""),26.67)</f>
        <v>26.67</v>
      </c>
    </row>
    <row r="7" spans="1:2">
      <c r="A7" s="3">
        <f ca="1">IFERROR(__xludf.DUMMYFUNCTION("""COMPUTED_VALUE"""),38362.6666666666)</f>
        <v>38362.666666666599</v>
      </c>
      <c r="B7" s="1">
        <f ca="1">IFERROR(__xludf.DUMMYFUNCTION("""COMPUTED_VALUE"""),26.8)</f>
        <v>26.8</v>
      </c>
    </row>
    <row r="8" spans="1:2">
      <c r="A8" s="3">
        <f ca="1">IFERROR(__xludf.DUMMYFUNCTION("""COMPUTED_VALUE"""),38363.6666666666)</f>
        <v>38363.666666666599</v>
      </c>
      <c r="B8" s="1">
        <f ca="1">IFERROR(__xludf.DUMMYFUNCTION("""COMPUTED_VALUE"""),26.73)</f>
        <v>26.73</v>
      </c>
    </row>
    <row r="9" spans="1:2">
      <c r="A9" s="3">
        <f ca="1">IFERROR(__xludf.DUMMYFUNCTION("""COMPUTED_VALUE"""),38364.6666666666)</f>
        <v>38364.666666666599</v>
      </c>
      <c r="B9" s="1">
        <f ca="1">IFERROR(__xludf.DUMMYFUNCTION("""COMPUTED_VALUE"""),26.78)</f>
        <v>26.78</v>
      </c>
    </row>
    <row r="10" spans="1:2">
      <c r="A10" s="3">
        <f ca="1">IFERROR(__xludf.DUMMYFUNCTION("""COMPUTED_VALUE"""),38365.6666666666)</f>
        <v>38365.666666666599</v>
      </c>
      <c r="B10" s="1">
        <f ca="1">IFERROR(__xludf.DUMMYFUNCTION("""COMPUTED_VALUE"""),26.27)</f>
        <v>26.27</v>
      </c>
    </row>
    <row r="11" spans="1:2">
      <c r="A11" s="3">
        <f ca="1">IFERROR(__xludf.DUMMYFUNCTION("""COMPUTED_VALUE"""),38366.6666666666)</f>
        <v>38366.666666666599</v>
      </c>
      <c r="B11" s="1">
        <f ca="1">IFERROR(__xludf.DUMMYFUNCTION("""COMPUTED_VALUE"""),26.12)</f>
        <v>26.12</v>
      </c>
    </row>
    <row r="12" spans="1:2">
      <c r="A12" s="3">
        <f ca="1">IFERROR(__xludf.DUMMYFUNCTION("""COMPUTED_VALUE"""),38370.6666666666)</f>
        <v>38370.666666666599</v>
      </c>
      <c r="B12" s="1">
        <f ca="1">IFERROR(__xludf.DUMMYFUNCTION("""COMPUTED_VALUE"""),26.32)</f>
        <v>26.32</v>
      </c>
    </row>
    <row r="13" spans="1:2">
      <c r="A13" s="3">
        <f ca="1">IFERROR(__xludf.DUMMYFUNCTION("""COMPUTED_VALUE"""),38371.6666666666)</f>
        <v>38371.666666666599</v>
      </c>
      <c r="B13" s="1">
        <f ca="1">IFERROR(__xludf.DUMMYFUNCTION("""COMPUTED_VALUE"""),25.98)</f>
        <v>25.98</v>
      </c>
    </row>
    <row r="14" spans="1:2">
      <c r="A14" s="3">
        <f ca="1">IFERROR(__xludf.DUMMYFUNCTION("""COMPUTED_VALUE"""),38372.6666666666)</f>
        <v>38372.666666666599</v>
      </c>
      <c r="B14" s="1">
        <f ca="1">IFERROR(__xludf.DUMMYFUNCTION("""COMPUTED_VALUE"""),25.86)</f>
        <v>25.86</v>
      </c>
    </row>
    <row r="15" spans="1:2">
      <c r="A15" s="3">
        <f ca="1">IFERROR(__xludf.DUMMYFUNCTION("""COMPUTED_VALUE"""),38373.6666666666)</f>
        <v>38373.666666666599</v>
      </c>
      <c r="B15" s="1">
        <f ca="1">IFERROR(__xludf.DUMMYFUNCTION("""COMPUTED_VALUE"""),25.65)</f>
        <v>25.65</v>
      </c>
    </row>
    <row r="16" spans="1:2">
      <c r="A16" s="3">
        <f ca="1">IFERROR(__xludf.DUMMYFUNCTION("""COMPUTED_VALUE"""),38376.6666666666)</f>
        <v>38376.666666666599</v>
      </c>
      <c r="B16" s="1">
        <f ca="1">IFERROR(__xludf.DUMMYFUNCTION("""COMPUTED_VALUE"""),25.67)</f>
        <v>25.67</v>
      </c>
    </row>
    <row r="17" spans="1:2">
      <c r="A17" s="3">
        <f ca="1">IFERROR(__xludf.DUMMYFUNCTION("""COMPUTED_VALUE"""),38377.6666666666)</f>
        <v>38377.666666666599</v>
      </c>
      <c r="B17" s="1">
        <f ca="1">IFERROR(__xludf.DUMMYFUNCTION("""COMPUTED_VALUE"""),26.02)</f>
        <v>26.02</v>
      </c>
    </row>
    <row r="18" spans="1:2">
      <c r="A18" s="3">
        <f ca="1">IFERROR(__xludf.DUMMYFUNCTION("""COMPUTED_VALUE"""),38378.6666666666)</f>
        <v>38378.666666666599</v>
      </c>
      <c r="B18" s="1">
        <f ca="1">IFERROR(__xludf.DUMMYFUNCTION("""COMPUTED_VALUE"""),26.01)</f>
        <v>26.01</v>
      </c>
    </row>
    <row r="19" spans="1:2">
      <c r="A19" s="3">
        <f ca="1">IFERROR(__xludf.DUMMYFUNCTION("""COMPUTED_VALUE"""),38379.6666666666)</f>
        <v>38379.666666666599</v>
      </c>
      <c r="B19" s="1">
        <f ca="1">IFERROR(__xludf.DUMMYFUNCTION("""COMPUTED_VALUE"""),26.11)</f>
        <v>26.11</v>
      </c>
    </row>
    <row r="20" spans="1:2">
      <c r="A20" s="3">
        <f ca="1">IFERROR(__xludf.DUMMYFUNCTION("""COMPUTED_VALUE"""),38380.6666666666)</f>
        <v>38380.666666666599</v>
      </c>
      <c r="B20" s="1">
        <f ca="1">IFERROR(__xludf.DUMMYFUNCTION("""COMPUTED_VALUE"""),26.18)</f>
        <v>26.18</v>
      </c>
    </row>
    <row r="21" spans="1:2">
      <c r="A21" s="3">
        <f ca="1">IFERROR(__xludf.DUMMYFUNCTION("""COMPUTED_VALUE"""),38383.6666666666)</f>
        <v>38383.666666666599</v>
      </c>
      <c r="B21" s="1">
        <f ca="1">IFERROR(__xludf.DUMMYFUNCTION("""COMPUTED_VALUE"""),26.28)</f>
        <v>26.28</v>
      </c>
    </row>
    <row r="22" spans="1:2">
      <c r="A22" s="3">
        <f ca="1">IFERROR(__xludf.DUMMYFUNCTION("""COMPUTED_VALUE"""),38384.6666666666)</f>
        <v>38384.666666666599</v>
      </c>
      <c r="B22" s="1">
        <f ca="1">IFERROR(__xludf.DUMMYFUNCTION("""COMPUTED_VALUE"""),26.39)</f>
        <v>26.39</v>
      </c>
    </row>
    <row r="23" spans="1:2">
      <c r="A23" s="3">
        <f ca="1">IFERROR(__xludf.DUMMYFUNCTION("""COMPUTED_VALUE"""),38385.6666666666)</f>
        <v>38385.666666666599</v>
      </c>
      <c r="B23" s="1">
        <f ca="1">IFERROR(__xludf.DUMMYFUNCTION("""COMPUTED_VALUE"""),26.46)</f>
        <v>26.46</v>
      </c>
    </row>
    <row r="24" spans="1:2">
      <c r="A24" s="3">
        <f ca="1">IFERROR(__xludf.DUMMYFUNCTION("""COMPUTED_VALUE"""),38386.6666666666)</f>
        <v>38386.666666666599</v>
      </c>
      <c r="B24" s="1">
        <f ca="1">IFERROR(__xludf.DUMMYFUNCTION("""COMPUTED_VALUE"""),26.18)</f>
        <v>26.18</v>
      </c>
    </row>
    <row r="25" spans="1:2">
      <c r="A25" s="3">
        <f ca="1">IFERROR(__xludf.DUMMYFUNCTION("""COMPUTED_VALUE"""),38387.6666666666)</f>
        <v>38387.666666666599</v>
      </c>
      <c r="B25" s="1">
        <f ca="1">IFERROR(__xludf.DUMMYFUNCTION("""COMPUTED_VALUE"""),26.32)</f>
        <v>26.32</v>
      </c>
    </row>
    <row r="26" spans="1:2">
      <c r="A26" s="3">
        <f ca="1">IFERROR(__xludf.DUMMYFUNCTION("""COMPUTED_VALUE"""),38390.6666666666)</f>
        <v>38390.666666666599</v>
      </c>
      <c r="B26" s="1">
        <f ca="1">IFERROR(__xludf.DUMMYFUNCTION("""COMPUTED_VALUE"""),26.16)</f>
        <v>26.16</v>
      </c>
    </row>
    <row r="27" spans="1:2">
      <c r="A27" s="3">
        <f ca="1">IFERROR(__xludf.DUMMYFUNCTION("""COMPUTED_VALUE"""),38391.6666666666)</f>
        <v>38391.666666666599</v>
      </c>
      <c r="B27" s="1">
        <f ca="1">IFERROR(__xludf.DUMMYFUNCTION("""COMPUTED_VALUE"""),26.24)</f>
        <v>26.24</v>
      </c>
    </row>
    <row r="28" spans="1:2">
      <c r="A28" s="3">
        <f ca="1">IFERROR(__xludf.DUMMYFUNCTION("""COMPUTED_VALUE"""),38392.6666666666)</f>
        <v>38392.666666666599</v>
      </c>
      <c r="B28" s="1">
        <f ca="1">IFERROR(__xludf.DUMMYFUNCTION("""COMPUTED_VALUE"""),26.07)</f>
        <v>26.07</v>
      </c>
    </row>
    <row r="29" spans="1:2">
      <c r="A29" s="3">
        <f ca="1">IFERROR(__xludf.DUMMYFUNCTION("""COMPUTED_VALUE"""),38393.6666666666)</f>
        <v>38393.666666666599</v>
      </c>
      <c r="B29" s="1">
        <f ca="1">IFERROR(__xludf.DUMMYFUNCTION("""COMPUTED_VALUE"""),26.06)</f>
        <v>26.06</v>
      </c>
    </row>
    <row r="30" spans="1:2">
      <c r="A30" s="3">
        <f ca="1">IFERROR(__xludf.DUMMYFUNCTION("""COMPUTED_VALUE"""),38394.6666666666)</f>
        <v>38394.666666666599</v>
      </c>
      <c r="B30" s="1">
        <f ca="1">IFERROR(__xludf.DUMMYFUNCTION("""COMPUTED_VALUE"""),25.97)</f>
        <v>25.97</v>
      </c>
    </row>
    <row r="31" spans="1:2">
      <c r="A31" s="3">
        <f ca="1">IFERROR(__xludf.DUMMYFUNCTION("""COMPUTED_VALUE"""),38397.6666666666)</f>
        <v>38397.666666666599</v>
      </c>
      <c r="B31" s="1">
        <f ca="1">IFERROR(__xludf.DUMMYFUNCTION("""COMPUTED_VALUE"""),26.01)</f>
        <v>26.01</v>
      </c>
    </row>
    <row r="32" spans="1:2">
      <c r="A32" s="3">
        <f ca="1">IFERROR(__xludf.DUMMYFUNCTION("""COMPUTED_VALUE"""),38398.6666666666)</f>
        <v>38398.666666666599</v>
      </c>
      <c r="B32" s="1">
        <f ca="1">IFERROR(__xludf.DUMMYFUNCTION("""COMPUTED_VALUE"""),25.93)</f>
        <v>25.93</v>
      </c>
    </row>
    <row r="33" spans="1:2">
      <c r="A33" s="3">
        <f ca="1">IFERROR(__xludf.DUMMYFUNCTION("""COMPUTED_VALUE"""),38399.6666666666)</f>
        <v>38399.666666666599</v>
      </c>
      <c r="B33" s="1">
        <f ca="1">IFERROR(__xludf.DUMMYFUNCTION("""COMPUTED_VALUE"""),25.79)</f>
        <v>25.79</v>
      </c>
    </row>
    <row r="34" spans="1:2">
      <c r="A34" s="3">
        <f ca="1">IFERROR(__xludf.DUMMYFUNCTION("""COMPUTED_VALUE"""),38400.6666666666)</f>
        <v>38400.666666666599</v>
      </c>
      <c r="B34" s="1">
        <f ca="1">IFERROR(__xludf.DUMMYFUNCTION("""COMPUTED_VALUE"""),25.65)</f>
        <v>25.65</v>
      </c>
    </row>
    <row r="35" spans="1:2">
      <c r="A35" s="3">
        <f ca="1">IFERROR(__xludf.DUMMYFUNCTION("""COMPUTED_VALUE"""),38401.6666666666)</f>
        <v>38401.666666666599</v>
      </c>
      <c r="B35" s="1">
        <f ca="1">IFERROR(__xludf.DUMMYFUNCTION("""COMPUTED_VALUE"""),25.48)</f>
        <v>25.48</v>
      </c>
    </row>
    <row r="36" spans="1:2">
      <c r="A36" s="3">
        <f ca="1">IFERROR(__xludf.DUMMYFUNCTION("""COMPUTED_VALUE"""),38405.6666666666)</f>
        <v>38405.666666666599</v>
      </c>
      <c r="B36" s="1">
        <f ca="1">IFERROR(__xludf.DUMMYFUNCTION("""COMPUTED_VALUE"""),25.23)</f>
        <v>25.23</v>
      </c>
    </row>
    <row r="37" spans="1:2">
      <c r="A37" s="3">
        <f ca="1">IFERROR(__xludf.DUMMYFUNCTION("""COMPUTED_VALUE"""),38406.6666666666)</f>
        <v>38406.666666666599</v>
      </c>
      <c r="B37" s="1">
        <f ca="1">IFERROR(__xludf.DUMMYFUNCTION("""COMPUTED_VALUE"""),25.2)</f>
        <v>25.2</v>
      </c>
    </row>
    <row r="38" spans="1:2">
      <c r="A38" s="3">
        <f ca="1">IFERROR(__xludf.DUMMYFUNCTION("""COMPUTED_VALUE"""),38407.6666666666)</f>
        <v>38407.666666666599</v>
      </c>
      <c r="B38" s="1">
        <f ca="1">IFERROR(__xludf.DUMMYFUNCTION("""COMPUTED_VALUE"""),25.37)</f>
        <v>25.37</v>
      </c>
    </row>
    <row r="39" spans="1:2">
      <c r="A39" s="3">
        <f ca="1">IFERROR(__xludf.DUMMYFUNCTION("""COMPUTED_VALUE"""),38408.6666666666)</f>
        <v>38408.666666666599</v>
      </c>
      <c r="B39" s="1">
        <f ca="1">IFERROR(__xludf.DUMMYFUNCTION("""COMPUTED_VALUE"""),25.25)</f>
        <v>25.25</v>
      </c>
    </row>
    <row r="40" spans="1:2">
      <c r="A40" s="3">
        <f ca="1">IFERROR(__xludf.DUMMYFUNCTION("""COMPUTED_VALUE"""),38411.6666666666)</f>
        <v>38411.666666666599</v>
      </c>
      <c r="B40" s="1">
        <f ca="1">IFERROR(__xludf.DUMMYFUNCTION("""COMPUTED_VALUE"""),25.16)</f>
        <v>25.16</v>
      </c>
    </row>
    <row r="41" spans="1:2">
      <c r="A41" s="3">
        <f ca="1">IFERROR(__xludf.DUMMYFUNCTION("""COMPUTED_VALUE"""),38412.6666666666)</f>
        <v>38412.666666666599</v>
      </c>
      <c r="B41" s="1">
        <f ca="1">IFERROR(__xludf.DUMMYFUNCTION("""COMPUTED_VALUE"""),25.28)</f>
        <v>25.28</v>
      </c>
    </row>
    <row r="42" spans="1:2">
      <c r="A42" s="3">
        <f ca="1">IFERROR(__xludf.DUMMYFUNCTION("""COMPUTED_VALUE"""),38413.6666666666)</f>
        <v>38413.666666666599</v>
      </c>
      <c r="B42" s="1">
        <f ca="1">IFERROR(__xludf.DUMMYFUNCTION("""COMPUTED_VALUE"""),25.26)</f>
        <v>25.26</v>
      </c>
    </row>
    <row r="43" spans="1:2">
      <c r="A43" s="3">
        <f ca="1">IFERROR(__xludf.DUMMYFUNCTION("""COMPUTED_VALUE"""),38414.6666666666)</f>
        <v>38414.666666666599</v>
      </c>
      <c r="B43" s="1">
        <f ca="1">IFERROR(__xludf.DUMMYFUNCTION("""COMPUTED_VALUE"""),25.17)</f>
        <v>25.17</v>
      </c>
    </row>
    <row r="44" spans="1:2">
      <c r="A44" s="3">
        <f ca="1">IFERROR(__xludf.DUMMYFUNCTION("""COMPUTED_VALUE"""),38415.6666666666)</f>
        <v>38415.666666666599</v>
      </c>
      <c r="B44" s="1">
        <f ca="1">IFERROR(__xludf.DUMMYFUNCTION("""COMPUTED_VALUE"""),25.17)</f>
        <v>25.17</v>
      </c>
    </row>
    <row r="45" spans="1:2">
      <c r="A45" s="3">
        <f ca="1">IFERROR(__xludf.DUMMYFUNCTION("""COMPUTED_VALUE"""),38418.6666666666)</f>
        <v>38418.666666666599</v>
      </c>
      <c r="B45" s="1">
        <f ca="1">IFERROR(__xludf.DUMMYFUNCTION("""COMPUTED_VALUE"""),25.47)</f>
        <v>25.47</v>
      </c>
    </row>
    <row r="46" spans="1:2">
      <c r="A46" s="3">
        <f ca="1">IFERROR(__xludf.DUMMYFUNCTION("""COMPUTED_VALUE"""),38419.6666666666)</f>
        <v>38419.666666666599</v>
      </c>
      <c r="B46" s="1">
        <f ca="1">IFERROR(__xludf.DUMMYFUNCTION("""COMPUTED_VALUE"""),25.4)</f>
        <v>25.4</v>
      </c>
    </row>
    <row r="47" spans="1:2">
      <c r="A47" s="3">
        <f ca="1">IFERROR(__xludf.DUMMYFUNCTION("""COMPUTED_VALUE"""),38420.6666666666)</f>
        <v>38420.666666666599</v>
      </c>
      <c r="B47" s="1">
        <f ca="1">IFERROR(__xludf.DUMMYFUNCTION("""COMPUTED_VALUE"""),25.31)</f>
        <v>25.31</v>
      </c>
    </row>
    <row r="48" spans="1:2">
      <c r="A48" s="3">
        <f ca="1">IFERROR(__xludf.DUMMYFUNCTION("""COMPUTED_VALUE"""),38421.6666666666)</f>
        <v>38421.666666666599</v>
      </c>
      <c r="B48" s="1">
        <f ca="1">IFERROR(__xludf.DUMMYFUNCTION("""COMPUTED_VALUE"""),25.43)</f>
        <v>25.43</v>
      </c>
    </row>
    <row r="49" spans="1:2">
      <c r="A49" s="3">
        <f ca="1">IFERROR(__xludf.DUMMYFUNCTION("""COMPUTED_VALUE"""),38422.6666666666)</f>
        <v>38422.666666666599</v>
      </c>
      <c r="B49" s="1">
        <f ca="1">IFERROR(__xludf.DUMMYFUNCTION("""COMPUTED_VALUE"""),25.09)</f>
        <v>25.09</v>
      </c>
    </row>
    <row r="50" spans="1:2">
      <c r="A50" s="3">
        <f ca="1">IFERROR(__xludf.DUMMYFUNCTION("""COMPUTED_VALUE"""),38425.6666666666)</f>
        <v>38425.666666666599</v>
      </c>
      <c r="B50" s="1">
        <f ca="1">IFERROR(__xludf.DUMMYFUNCTION("""COMPUTED_VALUE"""),25.11)</f>
        <v>25.11</v>
      </c>
    </row>
    <row r="51" spans="1:2">
      <c r="A51" s="3">
        <f ca="1">IFERROR(__xludf.DUMMYFUNCTION("""COMPUTED_VALUE"""),38426.6666666666)</f>
        <v>38426.666666666599</v>
      </c>
      <c r="B51" s="1">
        <f ca="1">IFERROR(__xludf.DUMMYFUNCTION("""COMPUTED_VALUE"""),24.91)</f>
        <v>24.91</v>
      </c>
    </row>
    <row r="52" spans="1:2">
      <c r="A52" s="3">
        <f ca="1">IFERROR(__xludf.DUMMYFUNCTION("""COMPUTED_VALUE"""),38427.6666666666)</f>
        <v>38427.666666666599</v>
      </c>
      <c r="B52" s="1">
        <f ca="1">IFERROR(__xludf.DUMMYFUNCTION("""COMPUTED_VALUE"""),24.63)</f>
        <v>24.63</v>
      </c>
    </row>
    <row r="53" spans="1:2">
      <c r="A53" s="3">
        <f ca="1">IFERROR(__xludf.DUMMYFUNCTION("""COMPUTED_VALUE"""),38428.6666666666)</f>
        <v>38428.666666666599</v>
      </c>
      <c r="B53" s="1">
        <f ca="1">IFERROR(__xludf.DUMMYFUNCTION("""COMPUTED_VALUE"""),24.54)</f>
        <v>24.54</v>
      </c>
    </row>
    <row r="54" spans="1:2">
      <c r="A54" s="3">
        <f ca="1">IFERROR(__xludf.DUMMYFUNCTION("""COMPUTED_VALUE"""),38429.6666666666)</f>
        <v>38429.666666666599</v>
      </c>
      <c r="B54" s="1">
        <f ca="1">IFERROR(__xludf.DUMMYFUNCTION("""COMPUTED_VALUE"""),24.31)</f>
        <v>24.31</v>
      </c>
    </row>
    <row r="55" spans="1:2">
      <c r="A55" s="3">
        <f ca="1">IFERROR(__xludf.DUMMYFUNCTION("""COMPUTED_VALUE"""),38432.6666666666)</f>
        <v>38432.666666666599</v>
      </c>
      <c r="B55" s="1">
        <f ca="1">IFERROR(__xludf.DUMMYFUNCTION("""COMPUTED_VALUE"""),24.2)</f>
        <v>24.2</v>
      </c>
    </row>
    <row r="56" spans="1:2">
      <c r="A56" s="3">
        <f ca="1">IFERROR(__xludf.DUMMYFUNCTION("""COMPUTED_VALUE"""),38433.6666666666)</f>
        <v>38433.666666666599</v>
      </c>
      <c r="B56" s="1">
        <f ca="1">IFERROR(__xludf.DUMMYFUNCTION("""COMPUTED_VALUE"""),23.99)</f>
        <v>23.99</v>
      </c>
    </row>
    <row r="57" spans="1:2">
      <c r="A57" s="3">
        <f ca="1">IFERROR(__xludf.DUMMYFUNCTION("""COMPUTED_VALUE"""),38434.6666666666)</f>
        <v>38434.666666666599</v>
      </c>
      <c r="B57" s="1">
        <f ca="1">IFERROR(__xludf.DUMMYFUNCTION("""COMPUTED_VALUE"""),24.18)</f>
        <v>24.18</v>
      </c>
    </row>
    <row r="58" spans="1:2">
      <c r="A58" s="3">
        <f ca="1">IFERROR(__xludf.DUMMYFUNCTION("""COMPUTED_VALUE"""),38435.6666666666)</f>
        <v>38435.666666666599</v>
      </c>
      <c r="B58" s="1">
        <f ca="1">IFERROR(__xludf.DUMMYFUNCTION("""COMPUTED_VALUE"""),24.28)</f>
        <v>24.28</v>
      </c>
    </row>
    <row r="59" spans="1:2">
      <c r="A59" s="3">
        <f ca="1">IFERROR(__xludf.DUMMYFUNCTION("""COMPUTED_VALUE"""),38439.6666666666)</f>
        <v>38439.666666666599</v>
      </c>
      <c r="B59" s="1">
        <f ca="1">IFERROR(__xludf.DUMMYFUNCTION("""COMPUTED_VALUE"""),24.2)</f>
        <v>24.2</v>
      </c>
    </row>
    <row r="60" spans="1:2">
      <c r="A60" s="3">
        <f ca="1">IFERROR(__xludf.DUMMYFUNCTION("""COMPUTED_VALUE"""),38440.6666666666)</f>
        <v>38440.666666666599</v>
      </c>
      <c r="B60" s="1">
        <f ca="1">IFERROR(__xludf.DUMMYFUNCTION("""COMPUTED_VALUE"""),23.92)</f>
        <v>23.92</v>
      </c>
    </row>
    <row r="61" spans="1:2">
      <c r="A61" s="3">
        <f ca="1">IFERROR(__xludf.DUMMYFUNCTION("""COMPUTED_VALUE"""),38441.6666666666)</f>
        <v>38441.666666666599</v>
      </c>
      <c r="B61" s="1">
        <f ca="1">IFERROR(__xludf.DUMMYFUNCTION("""COMPUTED_VALUE"""),24.16)</f>
        <v>24.16</v>
      </c>
    </row>
    <row r="62" spans="1:2">
      <c r="A62" s="3">
        <f ca="1">IFERROR(__xludf.DUMMYFUNCTION("""COMPUTED_VALUE"""),38442.6666666666)</f>
        <v>38442.666666666599</v>
      </c>
      <c r="B62" s="1">
        <f ca="1">IFERROR(__xludf.DUMMYFUNCTION("""COMPUTED_VALUE"""),24.17)</f>
        <v>24.17</v>
      </c>
    </row>
    <row r="63" spans="1:2">
      <c r="A63" s="3">
        <f ca="1">IFERROR(__xludf.DUMMYFUNCTION("""COMPUTED_VALUE"""),38443.6666666666)</f>
        <v>38443.666666666599</v>
      </c>
      <c r="B63" s="1">
        <f ca="1">IFERROR(__xludf.DUMMYFUNCTION("""COMPUTED_VALUE"""),24.12)</f>
        <v>24.12</v>
      </c>
    </row>
    <row r="64" spans="1:2">
      <c r="A64" s="3">
        <f ca="1">IFERROR(__xludf.DUMMYFUNCTION("""COMPUTED_VALUE"""),38446.6666666666)</f>
        <v>38446.666666666599</v>
      </c>
      <c r="B64" s="1">
        <f ca="1">IFERROR(__xludf.DUMMYFUNCTION("""COMPUTED_VALUE"""),24.23)</f>
        <v>24.23</v>
      </c>
    </row>
    <row r="65" spans="1:2">
      <c r="A65" s="3">
        <f ca="1">IFERROR(__xludf.DUMMYFUNCTION("""COMPUTED_VALUE"""),38447.6666666666)</f>
        <v>38447.666666666599</v>
      </c>
      <c r="B65" s="1">
        <f ca="1">IFERROR(__xludf.DUMMYFUNCTION("""COMPUTED_VALUE"""),24.47)</f>
        <v>24.47</v>
      </c>
    </row>
    <row r="66" spans="1:2">
      <c r="A66" s="3">
        <f ca="1">IFERROR(__xludf.DUMMYFUNCTION("""COMPUTED_VALUE"""),38448.6666666666)</f>
        <v>38448.666666666599</v>
      </c>
      <c r="B66" s="1">
        <f ca="1">IFERROR(__xludf.DUMMYFUNCTION("""COMPUTED_VALUE"""),24.67)</f>
        <v>24.67</v>
      </c>
    </row>
    <row r="67" spans="1:2">
      <c r="A67" s="3">
        <f ca="1">IFERROR(__xludf.DUMMYFUNCTION("""COMPUTED_VALUE"""),38449.6666666666)</f>
        <v>38449.666666666599</v>
      </c>
      <c r="B67" s="1">
        <f ca="1">IFERROR(__xludf.DUMMYFUNCTION("""COMPUTED_VALUE"""),25.1)</f>
        <v>25.1</v>
      </c>
    </row>
    <row r="68" spans="1:2">
      <c r="A68" s="3">
        <f ca="1">IFERROR(__xludf.DUMMYFUNCTION("""COMPUTED_VALUE"""),38450.6666666666)</f>
        <v>38450.666666666599</v>
      </c>
      <c r="B68" s="1">
        <f ca="1">IFERROR(__xludf.DUMMYFUNCTION("""COMPUTED_VALUE"""),24.94)</f>
        <v>24.94</v>
      </c>
    </row>
    <row r="69" spans="1:2">
      <c r="A69" s="3">
        <f ca="1">IFERROR(__xludf.DUMMYFUNCTION("""COMPUTED_VALUE"""),38453.6666666666)</f>
        <v>38453.666666666599</v>
      </c>
      <c r="B69" s="1">
        <f ca="1">IFERROR(__xludf.DUMMYFUNCTION("""COMPUTED_VALUE"""),24.97)</f>
        <v>24.97</v>
      </c>
    </row>
    <row r="70" spans="1:2">
      <c r="A70" s="3">
        <f ca="1">IFERROR(__xludf.DUMMYFUNCTION("""COMPUTED_VALUE"""),38454.6666666666)</f>
        <v>38454.666666666599</v>
      </c>
      <c r="B70" s="1">
        <f ca="1">IFERROR(__xludf.DUMMYFUNCTION("""COMPUTED_VALUE"""),25.32)</f>
        <v>25.32</v>
      </c>
    </row>
    <row r="71" spans="1:2">
      <c r="A71" s="3">
        <f ca="1">IFERROR(__xludf.DUMMYFUNCTION("""COMPUTED_VALUE"""),38455.6666666666)</f>
        <v>38455.666666666599</v>
      </c>
      <c r="B71" s="1">
        <f ca="1">IFERROR(__xludf.DUMMYFUNCTION("""COMPUTED_VALUE"""),25.04)</f>
        <v>25.04</v>
      </c>
    </row>
    <row r="72" spans="1:2">
      <c r="A72" s="3">
        <f ca="1">IFERROR(__xludf.DUMMYFUNCTION("""COMPUTED_VALUE"""),38456.6666666666)</f>
        <v>38456.666666666599</v>
      </c>
      <c r="B72" s="1">
        <f ca="1">IFERROR(__xludf.DUMMYFUNCTION("""COMPUTED_VALUE"""),24.84)</f>
        <v>24.84</v>
      </c>
    </row>
    <row r="73" spans="1:2">
      <c r="A73" s="3">
        <f ca="1">IFERROR(__xludf.DUMMYFUNCTION("""COMPUTED_VALUE"""),38457.6666666666)</f>
        <v>38457.666666666599</v>
      </c>
      <c r="B73" s="1">
        <f ca="1">IFERROR(__xludf.DUMMYFUNCTION("""COMPUTED_VALUE"""),24.46)</f>
        <v>24.46</v>
      </c>
    </row>
    <row r="74" spans="1:2">
      <c r="A74" s="3">
        <f ca="1">IFERROR(__xludf.DUMMYFUNCTION("""COMPUTED_VALUE"""),38460.6666666666)</f>
        <v>38460.666666666599</v>
      </c>
      <c r="B74" s="1">
        <f ca="1">IFERROR(__xludf.DUMMYFUNCTION("""COMPUTED_VALUE"""),24.65)</f>
        <v>24.65</v>
      </c>
    </row>
    <row r="75" spans="1:2">
      <c r="A75" s="3">
        <f ca="1">IFERROR(__xludf.DUMMYFUNCTION("""COMPUTED_VALUE"""),38461.6666666666)</f>
        <v>38461.666666666599</v>
      </c>
      <c r="B75" s="1">
        <f ca="1">IFERROR(__xludf.DUMMYFUNCTION("""COMPUTED_VALUE"""),24.63)</f>
        <v>24.63</v>
      </c>
    </row>
    <row r="76" spans="1:2">
      <c r="A76" s="3">
        <f ca="1">IFERROR(__xludf.DUMMYFUNCTION("""COMPUTED_VALUE"""),38462.6666666666)</f>
        <v>38462.666666666599</v>
      </c>
      <c r="B76" s="1">
        <f ca="1">IFERROR(__xludf.DUMMYFUNCTION("""COMPUTED_VALUE"""),24.32)</f>
        <v>24.32</v>
      </c>
    </row>
    <row r="77" spans="1:2">
      <c r="A77" s="3">
        <f ca="1">IFERROR(__xludf.DUMMYFUNCTION("""COMPUTED_VALUE"""),38463.6666666666)</f>
        <v>38463.666666666599</v>
      </c>
      <c r="B77" s="1">
        <f ca="1">IFERROR(__xludf.DUMMYFUNCTION("""COMPUTED_VALUE"""),25.28)</f>
        <v>25.28</v>
      </c>
    </row>
    <row r="78" spans="1:2">
      <c r="A78" s="3">
        <f ca="1">IFERROR(__xludf.DUMMYFUNCTION("""COMPUTED_VALUE"""),38464.6666666666)</f>
        <v>38464.666666666599</v>
      </c>
      <c r="B78" s="1">
        <f ca="1">IFERROR(__xludf.DUMMYFUNCTION("""COMPUTED_VALUE"""),24.98)</f>
        <v>24.98</v>
      </c>
    </row>
    <row r="79" spans="1:2">
      <c r="A79" s="3">
        <f ca="1">IFERROR(__xludf.DUMMYFUNCTION("""COMPUTED_VALUE"""),38467.6666666666)</f>
        <v>38467.666666666599</v>
      </c>
      <c r="B79" s="1">
        <f ca="1">IFERROR(__xludf.DUMMYFUNCTION("""COMPUTED_VALUE"""),24.99)</f>
        <v>24.99</v>
      </c>
    </row>
    <row r="80" spans="1:2">
      <c r="A80" s="3">
        <f ca="1">IFERROR(__xludf.DUMMYFUNCTION("""COMPUTED_VALUE"""),38468.6666666666)</f>
        <v>38468.666666666599</v>
      </c>
      <c r="B80" s="1">
        <f ca="1">IFERROR(__xludf.DUMMYFUNCTION("""COMPUTED_VALUE"""),24.76)</f>
        <v>24.76</v>
      </c>
    </row>
    <row r="81" spans="1:2">
      <c r="A81" s="3">
        <f ca="1">IFERROR(__xludf.DUMMYFUNCTION("""COMPUTED_VALUE"""),38469.6666666666)</f>
        <v>38469.666666666599</v>
      </c>
      <c r="B81" s="1">
        <f ca="1">IFERROR(__xludf.DUMMYFUNCTION("""COMPUTED_VALUE"""),24.99)</f>
        <v>24.99</v>
      </c>
    </row>
    <row r="82" spans="1:2">
      <c r="A82" s="3">
        <f ca="1">IFERROR(__xludf.DUMMYFUNCTION("""COMPUTED_VALUE"""),38470.6666666666)</f>
        <v>38470.666666666599</v>
      </c>
      <c r="B82" s="1">
        <f ca="1">IFERROR(__xludf.DUMMYFUNCTION("""COMPUTED_VALUE"""),24.45)</f>
        <v>24.45</v>
      </c>
    </row>
    <row r="83" spans="1:2">
      <c r="A83" s="3">
        <f ca="1">IFERROR(__xludf.DUMMYFUNCTION("""COMPUTED_VALUE"""),38471.6666666666)</f>
        <v>38471.666666666599</v>
      </c>
      <c r="B83" s="1">
        <f ca="1">IFERROR(__xludf.DUMMYFUNCTION("""COMPUTED_VALUE"""),25.3)</f>
        <v>25.3</v>
      </c>
    </row>
    <row r="84" spans="1:2">
      <c r="A84" s="3">
        <f ca="1">IFERROR(__xludf.DUMMYFUNCTION("""COMPUTED_VALUE"""),38474.6666666666)</f>
        <v>38474.666666666599</v>
      </c>
      <c r="B84" s="1">
        <f ca="1">IFERROR(__xludf.DUMMYFUNCTION("""COMPUTED_VALUE"""),25.23)</f>
        <v>25.23</v>
      </c>
    </row>
    <row r="85" spans="1:2">
      <c r="A85" s="3">
        <f ca="1">IFERROR(__xludf.DUMMYFUNCTION("""COMPUTED_VALUE"""),38475.6666666666)</f>
        <v>38475.666666666599</v>
      </c>
      <c r="B85" s="1">
        <f ca="1">IFERROR(__xludf.DUMMYFUNCTION("""COMPUTED_VALUE"""),25.36)</f>
        <v>25.36</v>
      </c>
    </row>
    <row r="86" spans="1:2">
      <c r="A86" s="3">
        <f ca="1">IFERROR(__xludf.DUMMYFUNCTION("""COMPUTED_VALUE"""),38476.6666666666)</f>
        <v>38476.666666666599</v>
      </c>
      <c r="B86" s="1">
        <f ca="1">IFERROR(__xludf.DUMMYFUNCTION("""COMPUTED_VALUE"""),25.21)</f>
        <v>25.21</v>
      </c>
    </row>
    <row r="87" spans="1:2">
      <c r="A87" s="3">
        <f ca="1">IFERROR(__xludf.DUMMYFUNCTION("""COMPUTED_VALUE"""),38477.6666666666)</f>
        <v>38477.666666666599</v>
      </c>
      <c r="B87" s="1">
        <f ca="1">IFERROR(__xludf.DUMMYFUNCTION("""COMPUTED_VALUE"""),25.23)</f>
        <v>25.23</v>
      </c>
    </row>
    <row r="88" spans="1:2">
      <c r="A88" s="3">
        <f ca="1">IFERROR(__xludf.DUMMYFUNCTION("""COMPUTED_VALUE"""),38478.6666666666)</f>
        <v>38478.666666666599</v>
      </c>
      <c r="B88" s="1">
        <f ca="1">IFERROR(__xludf.DUMMYFUNCTION("""COMPUTED_VALUE"""),25.22)</f>
        <v>25.22</v>
      </c>
    </row>
    <row r="89" spans="1:2">
      <c r="A89" s="3">
        <f ca="1">IFERROR(__xludf.DUMMYFUNCTION("""COMPUTED_VALUE"""),38481.6666666666)</f>
        <v>38481.666666666599</v>
      </c>
      <c r="B89" s="1">
        <f ca="1">IFERROR(__xludf.DUMMYFUNCTION("""COMPUTED_VALUE"""),25.11)</f>
        <v>25.11</v>
      </c>
    </row>
    <row r="90" spans="1:2">
      <c r="A90" s="3">
        <f ca="1">IFERROR(__xludf.DUMMYFUNCTION("""COMPUTED_VALUE"""),38482.6666666666)</f>
        <v>38482.666666666599</v>
      </c>
      <c r="B90" s="1">
        <f ca="1">IFERROR(__xludf.DUMMYFUNCTION("""COMPUTED_VALUE"""),24.9)</f>
        <v>24.9</v>
      </c>
    </row>
    <row r="91" spans="1:2">
      <c r="A91" s="3">
        <f ca="1">IFERROR(__xludf.DUMMYFUNCTION("""COMPUTED_VALUE"""),38483.6666666666)</f>
        <v>38483.666666666599</v>
      </c>
      <c r="B91" s="1">
        <f ca="1">IFERROR(__xludf.DUMMYFUNCTION("""COMPUTED_VALUE"""),24.91)</f>
        <v>24.91</v>
      </c>
    </row>
    <row r="92" spans="1:2">
      <c r="A92" s="3">
        <f ca="1">IFERROR(__xludf.DUMMYFUNCTION("""COMPUTED_VALUE"""),38484.6666666666)</f>
        <v>38484.666666666599</v>
      </c>
      <c r="B92" s="1">
        <f ca="1">IFERROR(__xludf.DUMMYFUNCTION("""COMPUTED_VALUE"""),25)</f>
        <v>25</v>
      </c>
    </row>
    <row r="93" spans="1:2">
      <c r="A93" s="3">
        <f ca="1">IFERROR(__xludf.DUMMYFUNCTION("""COMPUTED_VALUE"""),38485.6666666666)</f>
        <v>38485.666666666599</v>
      </c>
      <c r="B93" s="1">
        <f ca="1">IFERROR(__xludf.DUMMYFUNCTION("""COMPUTED_VALUE"""),25.3)</f>
        <v>25.3</v>
      </c>
    </row>
    <row r="94" spans="1:2">
      <c r="A94" s="3">
        <f ca="1">IFERROR(__xludf.DUMMYFUNCTION("""COMPUTED_VALUE"""),38488.6666666666)</f>
        <v>38488.666666666599</v>
      </c>
      <c r="B94" s="1">
        <f ca="1">IFERROR(__xludf.DUMMYFUNCTION("""COMPUTED_VALUE"""),25.49)</f>
        <v>25.49</v>
      </c>
    </row>
    <row r="95" spans="1:2">
      <c r="A95" s="3">
        <f ca="1">IFERROR(__xludf.DUMMYFUNCTION("""COMPUTED_VALUE"""),38489.6666666666)</f>
        <v>38489.666666666599</v>
      </c>
      <c r="B95" s="1">
        <f ca="1">IFERROR(__xludf.DUMMYFUNCTION("""COMPUTED_VALUE"""),25.46)</f>
        <v>25.46</v>
      </c>
    </row>
    <row r="96" spans="1:2">
      <c r="A96" s="3">
        <f ca="1">IFERROR(__xludf.DUMMYFUNCTION("""COMPUTED_VALUE"""),38490.6666666666)</f>
        <v>38490.666666666599</v>
      </c>
      <c r="B96" s="1">
        <f ca="1">IFERROR(__xludf.DUMMYFUNCTION("""COMPUTED_VALUE"""),25.7)</f>
        <v>25.7</v>
      </c>
    </row>
    <row r="97" spans="1:2">
      <c r="A97" s="3">
        <f ca="1">IFERROR(__xludf.DUMMYFUNCTION("""COMPUTED_VALUE"""),38491.6666666666)</f>
        <v>38491.666666666599</v>
      </c>
      <c r="B97" s="1">
        <f ca="1">IFERROR(__xludf.DUMMYFUNCTION("""COMPUTED_VALUE"""),25.92)</f>
        <v>25.92</v>
      </c>
    </row>
    <row r="98" spans="1:2">
      <c r="A98" s="3">
        <f ca="1">IFERROR(__xludf.DUMMYFUNCTION("""COMPUTED_VALUE"""),38492.6666666666)</f>
        <v>38492.666666666599</v>
      </c>
      <c r="B98" s="1">
        <f ca="1">IFERROR(__xludf.DUMMYFUNCTION("""COMPUTED_VALUE"""),25.74)</f>
        <v>25.74</v>
      </c>
    </row>
    <row r="99" spans="1:2">
      <c r="A99" s="3">
        <f ca="1">IFERROR(__xludf.DUMMYFUNCTION("""COMPUTED_VALUE"""),38495.6666666666)</f>
        <v>38495.666666666599</v>
      </c>
      <c r="B99" s="1">
        <f ca="1">IFERROR(__xludf.DUMMYFUNCTION("""COMPUTED_VALUE"""),25.85)</f>
        <v>25.85</v>
      </c>
    </row>
    <row r="100" spans="1:2">
      <c r="A100" s="3">
        <f ca="1">IFERROR(__xludf.DUMMYFUNCTION("""COMPUTED_VALUE"""),38496.6666666666)</f>
        <v>38496.666666666599</v>
      </c>
      <c r="B100" s="1">
        <f ca="1">IFERROR(__xludf.DUMMYFUNCTION("""COMPUTED_VALUE"""),25.75)</f>
        <v>25.75</v>
      </c>
    </row>
    <row r="101" spans="1:2">
      <c r="A101" s="3">
        <f ca="1">IFERROR(__xludf.DUMMYFUNCTION("""COMPUTED_VALUE"""),38497.6666666666)</f>
        <v>38497.666666666599</v>
      </c>
      <c r="B101" s="1">
        <f ca="1">IFERROR(__xludf.DUMMYFUNCTION("""COMPUTED_VALUE"""),25.71)</f>
        <v>25.71</v>
      </c>
    </row>
    <row r="102" spans="1:2">
      <c r="A102" s="3">
        <f ca="1">IFERROR(__xludf.DUMMYFUNCTION("""COMPUTED_VALUE"""),38498.6666666666)</f>
        <v>38498.666666666599</v>
      </c>
      <c r="B102" s="1">
        <f ca="1">IFERROR(__xludf.DUMMYFUNCTION("""COMPUTED_VALUE"""),25.9)</f>
        <v>25.9</v>
      </c>
    </row>
    <row r="103" spans="1:2">
      <c r="A103" s="3">
        <f ca="1">IFERROR(__xludf.DUMMYFUNCTION("""COMPUTED_VALUE"""),38499.6666666666)</f>
        <v>38499.666666666599</v>
      </c>
      <c r="B103" s="1">
        <f ca="1">IFERROR(__xludf.DUMMYFUNCTION("""COMPUTED_VALUE"""),26.07)</f>
        <v>26.07</v>
      </c>
    </row>
    <row r="104" spans="1:2">
      <c r="A104" s="3">
        <f ca="1">IFERROR(__xludf.DUMMYFUNCTION("""COMPUTED_VALUE"""),38503.6666666666)</f>
        <v>38503.666666666599</v>
      </c>
      <c r="B104" s="1">
        <f ca="1">IFERROR(__xludf.DUMMYFUNCTION("""COMPUTED_VALUE"""),25.8)</f>
        <v>25.8</v>
      </c>
    </row>
    <row r="105" spans="1:2">
      <c r="A105" s="3">
        <f ca="1">IFERROR(__xludf.DUMMYFUNCTION("""COMPUTED_VALUE"""),38504.6666666666)</f>
        <v>38504.666666666599</v>
      </c>
      <c r="B105" s="1">
        <f ca="1">IFERROR(__xludf.DUMMYFUNCTION("""COMPUTED_VALUE"""),25.81)</f>
        <v>25.81</v>
      </c>
    </row>
    <row r="106" spans="1:2">
      <c r="A106" s="3">
        <f ca="1">IFERROR(__xludf.DUMMYFUNCTION("""COMPUTED_VALUE"""),38505.6666666666)</f>
        <v>38505.666666666599</v>
      </c>
      <c r="B106" s="1">
        <f ca="1">IFERROR(__xludf.DUMMYFUNCTION("""COMPUTED_VALUE"""),25.79)</f>
        <v>25.79</v>
      </c>
    </row>
    <row r="107" spans="1:2">
      <c r="A107" s="3">
        <f ca="1">IFERROR(__xludf.DUMMYFUNCTION("""COMPUTED_VALUE"""),38506.6666666666)</f>
        <v>38506.666666666599</v>
      </c>
      <c r="B107" s="1">
        <f ca="1">IFERROR(__xludf.DUMMYFUNCTION("""COMPUTED_VALUE"""),25.43)</f>
        <v>25.43</v>
      </c>
    </row>
    <row r="108" spans="1:2">
      <c r="A108" s="3">
        <f ca="1">IFERROR(__xludf.DUMMYFUNCTION("""COMPUTED_VALUE"""),38509.6666666666)</f>
        <v>38509.666666666599</v>
      </c>
      <c r="B108" s="1">
        <f ca="1">IFERROR(__xludf.DUMMYFUNCTION("""COMPUTED_VALUE"""),25.37)</f>
        <v>25.37</v>
      </c>
    </row>
    <row r="109" spans="1:2">
      <c r="A109" s="3">
        <f ca="1">IFERROR(__xludf.DUMMYFUNCTION("""COMPUTED_VALUE"""),38510.6666666666)</f>
        <v>38510.666666666599</v>
      </c>
      <c r="B109" s="1">
        <f ca="1">IFERROR(__xludf.DUMMYFUNCTION("""COMPUTED_VALUE"""),25.51)</f>
        <v>25.51</v>
      </c>
    </row>
    <row r="110" spans="1:2">
      <c r="A110" s="3">
        <f ca="1">IFERROR(__xludf.DUMMYFUNCTION("""COMPUTED_VALUE"""),38511.6666666666)</f>
        <v>38511.666666666599</v>
      </c>
      <c r="B110" s="1">
        <f ca="1">IFERROR(__xludf.DUMMYFUNCTION("""COMPUTED_VALUE"""),25.4)</f>
        <v>25.4</v>
      </c>
    </row>
    <row r="111" spans="1:2">
      <c r="A111" s="3">
        <f ca="1">IFERROR(__xludf.DUMMYFUNCTION("""COMPUTED_VALUE"""),38512.6666666666)</f>
        <v>38512.666666666599</v>
      </c>
      <c r="B111" s="1">
        <f ca="1">IFERROR(__xludf.DUMMYFUNCTION("""COMPUTED_VALUE"""),25.51)</f>
        <v>25.51</v>
      </c>
    </row>
    <row r="112" spans="1:2">
      <c r="A112" s="3">
        <f ca="1">IFERROR(__xludf.DUMMYFUNCTION("""COMPUTED_VALUE"""),38513.6666666666)</f>
        <v>38513.666666666599</v>
      </c>
      <c r="B112" s="1">
        <f ca="1">IFERROR(__xludf.DUMMYFUNCTION("""COMPUTED_VALUE"""),25.43)</f>
        <v>25.43</v>
      </c>
    </row>
    <row r="113" spans="1:2">
      <c r="A113" s="3">
        <f ca="1">IFERROR(__xludf.DUMMYFUNCTION("""COMPUTED_VALUE"""),38516.6666666666)</f>
        <v>38516.666666666599</v>
      </c>
      <c r="B113" s="1">
        <f ca="1">IFERROR(__xludf.DUMMYFUNCTION("""COMPUTED_VALUE"""),25.31)</f>
        <v>25.31</v>
      </c>
    </row>
    <row r="114" spans="1:2">
      <c r="A114" s="3">
        <f ca="1">IFERROR(__xludf.DUMMYFUNCTION("""COMPUTED_VALUE"""),38517.6666666666)</f>
        <v>38517.666666666599</v>
      </c>
      <c r="B114" s="1">
        <f ca="1">IFERROR(__xludf.DUMMYFUNCTION("""COMPUTED_VALUE"""),25.36)</f>
        <v>25.36</v>
      </c>
    </row>
    <row r="115" spans="1:2">
      <c r="A115" s="3">
        <f ca="1">IFERROR(__xludf.DUMMYFUNCTION("""COMPUTED_VALUE"""),38518.6666666666)</f>
        <v>38518.666666666599</v>
      </c>
      <c r="B115" s="1">
        <f ca="1">IFERROR(__xludf.DUMMYFUNCTION("""COMPUTED_VALUE"""),25.26)</f>
        <v>25.26</v>
      </c>
    </row>
    <row r="116" spans="1:2">
      <c r="A116" s="3">
        <f ca="1">IFERROR(__xludf.DUMMYFUNCTION("""COMPUTED_VALUE"""),38519.6666666666)</f>
        <v>38519.666666666599</v>
      </c>
      <c r="B116" s="1">
        <f ca="1">IFERROR(__xludf.DUMMYFUNCTION("""COMPUTED_VALUE"""),25.04)</f>
        <v>25.04</v>
      </c>
    </row>
    <row r="117" spans="1:2">
      <c r="A117" s="3">
        <f ca="1">IFERROR(__xludf.DUMMYFUNCTION("""COMPUTED_VALUE"""),38520.6666666666)</f>
        <v>38520.666666666599</v>
      </c>
      <c r="B117" s="1">
        <f ca="1">IFERROR(__xludf.DUMMYFUNCTION("""COMPUTED_VALUE"""),25.04)</f>
        <v>25.04</v>
      </c>
    </row>
    <row r="118" spans="1:2">
      <c r="A118" s="3">
        <f ca="1">IFERROR(__xludf.DUMMYFUNCTION("""COMPUTED_VALUE"""),38523.6666666666)</f>
        <v>38523.666666666599</v>
      </c>
      <c r="B118" s="1">
        <f ca="1">IFERROR(__xludf.DUMMYFUNCTION("""COMPUTED_VALUE"""),25.11)</f>
        <v>25.11</v>
      </c>
    </row>
    <row r="119" spans="1:2">
      <c r="A119" s="3">
        <f ca="1">IFERROR(__xludf.DUMMYFUNCTION("""COMPUTED_VALUE"""),38524.6666666666)</f>
        <v>38524.666666666599</v>
      </c>
      <c r="B119" s="1">
        <f ca="1">IFERROR(__xludf.DUMMYFUNCTION("""COMPUTED_VALUE"""),25.15)</f>
        <v>25.15</v>
      </c>
    </row>
    <row r="120" spans="1:2">
      <c r="A120" s="3">
        <f ca="1">IFERROR(__xludf.DUMMYFUNCTION("""COMPUTED_VALUE"""),38525.6666666666)</f>
        <v>38525.666666666599</v>
      </c>
      <c r="B120" s="1">
        <f ca="1">IFERROR(__xludf.DUMMYFUNCTION("""COMPUTED_VALUE"""),25.07)</f>
        <v>25.07</v>
      </c>
    </row>
    <row r="121" spans="1:2">
      <c r="A121" s="3">
        <f ca="1">IFERROR(__xludf.DUMMYFUNCTION("""COMPUTED_VALUE"""),38526.6666666666)</f>
        <v>38526.666666666599</v>
      </c>
      <c r="B121" s="1">
        <f ca="1">IFERROR(__xludf.DUMMYFUNCTION("""COMPUTED_VALUE"""),25.31)</f>
        <v>25.31</v>
      </c>
    </row>
    <row r="122" spans="1:2">
      <c r="A122" s="3">
        <f ca="1">IFERROR(__xludf.DUMMYFUNCTION("""COMPUTED_VALUE"""),38527.6666666666)</f>
        <v>38527.666666666599</v>
      </c>
      <c r="B122" s="1">
        <f ca="1">IFERROR(__xludf.DUMMYFUNCTION("""COMPUTED_VALUE"""),25.04)</f>
        <v>25.04</v>
      </c>
    </row>
    <row r="123" spans="1:2">
      <c r="A123" s="3">
        <f ca="1">IFERROR(__xludf.DUMMYFUNCTION("""COMPUTED_VALUE"""),38530.6666666666)</f>
        <v>38530.666666666599</v>
      </c>
      <c r="B123" s="1">
        <f ca="1">IFERROR(__xludf.DUMMYFUNCTION("""COMPUTED_VALUE"""),25.05)</f>
        <v>25.05</v>
      </c>
    </row>
    <row r="124" spans="1:2">
      <c r="A124" s="3">
        <f ca="1">IFERROR(__xludf.DUMMYFUNCTION("""COMPUTED_VALUE"""),38531.6666666666)</f>
        <v>38531.666666666599</v>
      </c>
      <c r="B124" s="1">
        <f ca="1">IFERROR(__xludf.DUMMYFUNCTION("""COMPUTED_VALUE"""),25.07)</f>
        <v>25.07</v>
      </c>
    </row>
    <row r="125" spans="1:2">
      <c r="A125" s="3">
        <f ca="1">IFERROR(__xludf.DUMMYFUNCTION("""COMPUTED_VALUE"""),38532.6666666666)</f>
        <v>38532.666666666599</v>
      </c>
      <c r="B125" s="1">
        <f ca="1">IFERROR(__xludf.DUMMYFUNCTION("""COMPUTED_VALUE"""),25.09)</f>
        <v>25.09</v>
      </c>
    </row>
    <row r="126" spans="1:2">
      <c r="A126" s="3">
        <f ca="1">IFERROR(__xludf.DUMMYFUNCTION("""COMPUTED_VALUE"""),38533.6666666666)</f>
        <v>38533.666666666599</v>
      </c>
      <c r="B126" s="1">
        <f ca="1">IFERROR(__xludf.DUMMYFUNCTION("""COMPUTED_VALUE"""),24.84)</f>
        <v>24.84</v>
      </c>
    </row>
    <row r="127" spans="1:2">
      <c r="A127" s="3">
        <f ca="1">IFERROR(__xludf.DUMMYFUNCTION("""COMPUTED_VALUE"""),38534.6666666666)</f>
        <v>38534.666666666599</v>
      </c>
      <c r="B127" s="1">
        <f ca="1">IFERROR(__xludf.DUMMYFUNCTION("""COMPUTED_VALUE"""),24.71)</f>
        <v>24.71</v>
      </c>
    </row>
    <row r="128" spans="1:2">
      <c r="A128" s="3">
        <f ca="1">IFERROR(__xludf.DUMMYFUNCTION("""COMPUTED_VALUE"""),38538.6666666666)</f>
        <v>38538.666666666599</v>
      </c>
      <c r="B128" s="1">
        <f ca="1">IFERROR(__xludf.DUMMYFUNCTION("""COMPUTED_VALUE"""),24.98)</f>
        <v>24.98</v>
      </c>
    </row>
    <row r="129" spans="1:2">
      <c r="A129" s="3">
        <f ca="1">IFERROR(__xludf.DUMMYFUNCTION("""COMPUTED_VALUE"""),38539.6666666666)</f>
        <v>38539.666666666599</v>
      </c>
      <c r="B129" s="1">
        <f ca="1">IFERROR(__xludf.DUMMYFUNCTION("""COMPUTED_VALUE"""),24.7)</f>
        <v>24.7</v>
      </c>
    </row>
    <row r="130" spans="1:2">
      <c r="A130" s="3">
        <f ca="1">IFERROR(__xludf.DUMMYFUNCTION("""COMPUTED_VALUE"""),38540.6666666666)</f>
        <v>38540.666666666599</v>
      </c>
      <c r="B130" s="1">
        <f ca="1">IFERROR(__xludf.DUMMYFUNCTION("""COMPUTED_VALUE"""),24.65)</f>
        <v>24.65</v>
      </c>
    </row>
    <row r="131" spans="1:2">
      <c r="A131" s="3">
        <f ca="1">IFERROR(__xludf.DUMMYFUNCTION("""COMPUTED_VALUE"""),38541.6666666666)</f>
        <v>38541.666666666599</v>
      </c>
      <c r="B131" s="1">
        <f ca="1">IFERROR(__xludf.DUMMYFUNCTION("""COMPUTED_VALUE"""),25.09)</f>
        <v>25.09</v>
      </c>
    </row>
    <row r="132" spans="1:2">
      <c r="A132" s="3">
        <f ca="1">IFERROR(__xludf.DUMMYFUNCTION("""COMPUTED_VALUE"""),38544.6666666666)</f>
        <v>38544.666666666599</v>
      </c>
      <c r="B132" s="1">
        <f ca="1">IFERROR(__xludf.DUMMYFUNCTION("""COMPUTED_VALUE"""),25.29)</f>
        <v>25.29</v>
      </c>
    </row>
    <row r="133" spans="1:2">
      <c r="A133" s="3">
        <f ca="1">IFERROR(__xludf.DUMMYFUNCTION("""COMPUTED_VALUE"""),38545.6666666666)</f>
        <v>38545.666666666599</v>
      </c>
      <c r="B133" s="1">
        <f ca="1">IFERROR(__xludf.DUMMYFUNCTION("""COMPUTED_VALUE"""),25.61)</f>
        <v>25.61</v>
      </c>
    </row>
    <row r="134" spans="1:2">
      <c r="A134" s="3">
        <f ca="1">IFERROR(__xludf.DUMMYFUNCTION("""COMPUTED_VALUE"""),38546.6666666666)</f>
        <v>38546.666666666599</v>
      </c>
      <c r="B134" s="1">
        <f ca="1">IFERROR(__xludf.DUMMYFUNCTION("""COMPUTED_VALUE"""),25.66)</f>
        <v>25.66</v>
      </c>
    </row>
    <row r="135" spans="1:2">
      <c r="A135" s="3">
        <f ca="1">IFERROR(__xludf.DUMMYFUNCTION("""COMPUTED_VALUE"""),38547.6666666666)</f>
        <v>38547.666666666599</v>
      </c>
      <c r="B135" s="1">
        <f ca="1">IFERROR(__xludf.DUMMYFUNCTION("""COMPUTED_VALUE"""),25.97)</f>
        <v>25.97</v>
      </c>
    </row>
    <row r="136" spans="1:2">
      <c r="A136" s="3">
        <f ca="1">IFERROR(__xludf.DUMMYFUNCTION("""COMPUTED_VALUE"""),38548.6666666666)</f>
        <v>38548.666666666599</v>
      </c>
      <c r="B136" s="1">
        <f ca="1">IFERROR(__xludf.DUMMYFUNCTION("""COMPUTED_VALUE"""),25.79)</f>
        <v>25.79</v>
      </c>
    </row>
    <row r="137" spans="1:2">
      <c r="A137" s="3">
        <f ca="1">IFERROR(__xludf.DUMMYFUNCTION("""COMPUTED_VALUE"""),38551.6666666666)</f>
        <v>38551.666666666599</v>
      </c>
      <c r="B137" s="1">
        <f ca="1">IFERROR(__xludf.DUMMYFUNCTION("""COMPUTED_VALUE"""),25.55)</f>
        <v>25.55</v>
      </c>
    </row>
    <row r="138" spans="1:2">
      <c r="A138" s="3">
        <f ca="1">IFERROR(__xludf.DUMMYFUNCTION("""COMPUTED_VALUE"""),38552.6666666666)</f>
        <v>38552.666666666599</v>
      </c>
      <c r="B138" s="1">
        <f ca="1">IFERROR(__xludf.DUMMYFUNCTION("""COMPUTED_VALUE"""),26.16)</f>
        <v>26.16</v>
      </c>
    </row>
    <row r="139" spans="1:2">
      <c r="A139" s="3">
        <f ca="1">IFERROR(__xludf.DUMMYFUNCTION("""COMPUTED_VALUE"""),38553.6666666666)</f>
        <v>38553.666666666599</v>
      </c>
      <c r="B139" s="1">
        <f ca="1">IFERROR(__xludf.DUMMYFUNCTION("""COMPUTED_VALUE"""),26.19)</f>
        <v>26.19</v>
      </c>
    </row>
    <row r="140" spans="1:2">
      <c r="A140" s="3">
        <f ca="1">IFERROR(__xludf.DUMMYFUNCTION("""COMPUTED_VALUE"""),38554.6666666666)</f>
        <v>38554.666666666599</v>
      </c>
      <c r="B140" s="1">
        <f ca="1">IFERROR(__xludf.DUMMYFUNCTION("""COMPUTED_VALUE"""),26.44)</f>
        <v>26.44</v>
      </c>
    </row>
    <row r="141" spans="1:2">
      <c r="A141" s="3">
        <f ca="1">IFERROR(__xludf.DUMMYFUNCTION("""COMPUTED_VALUE"""),38555.6666666666)</f>
        <v>38555.666666666599</v>
      </c>
      <c r="B141" s="1">
        <f ca="1">IFERROR(__xludf.DUMMYFUNCTION("""COMPUTED_VALUE"""),25.68)</f>
        <v>25.68</v>
      </c>
    </row>
    <row r="142" spans="1:2">
      <c r="A142" s="3">
        <f ca="1">IFERROR(__xludf.DUMMYFUNCTION("""COMPUTED_VALUE"""),38558.6666666666)</f>
        <v>38558.666666666599</v>
      </c>
      <c r="B142" s="1">
        <f ca="1">IFERROR(__xludf.DUMMYFUNCTION("""COMPUTED_VALUE"""),25.69)</f>
        <v>25.69</v>
      </c>
    </row>
    <row r="143" spans="1:2">
      <c r="A143" s="3">
        <f ca="1">IFERROR(__xludf.DUMMYFUNCTION("""COMPUTED_VALUE"""),38559.6666666666)</f>
        <v>38559.666666666599</v>
      </c>
      <c r="B143" s="1">
        <f ca="1">IFERROR(__xludf.DUMMYFUNCTION("""COMPUTED_VALUE"""),25.54)</f>
        <v>25.54</v>
      </c>
    </row>
    <row r="144" spans="1:2">
      <c r="A144" s="3">
        <f ca="1">IFERROR(__xludf.DUMMYFUNCTION("""COMPUTED_VALUE"""),38560.6666666666)</f>
        <v>38560.666666666599</v>
      </c>
      <c r="B144" s="1">
        <f ca="1">IFERROR(__xludf.DUMMYFUNCTION("""COMPUTED_VALUE"""),25.72)</f>
        <v>25.72</v>
      </c>
    </row>
    <row r="145" spans="1:2">
      <c r="A145" s="3">
        <f ca="1">IFERROR(__xludf.DUMMYFUNCTION("""COMPUTED_VALUE"""),38561.6666666666)</f>
        <v>38561.666666666599</v>
      </c>
      <c r="B145" s="1">
        <f ca="1">IFERROR(__xludf.DUMMYFUNCTION("""COMPUTED_VALUE"""),25.75)</f>
        <v>25.75</v>
      </c>
    </row>
    <row r="146" spans="1:2">
      <c r="A146" s="3">
        <f ca="1">IFERROR(__xludf.DUMMYFUNCTION("""COMPUTED_VALUE"""),38562.6666666666)</f>
        <v>38562.666666666599</v>
      </c>
      <c r="B146" s="1">
        <f ca="1">IFERROR(__xludf.DUMMYFUNCTION("""COMPUTED_VALUE"""),25.61)</f>
        <v>25.61</v>
      </c>
    </row>
    <row r="147" spans="1:2">
      <c r="A147" s="3">
        <f ca="1">IFERROR(__xludf.DUMMYFUNCTION("""COMPUTED_VALUE"""),38565.6666666666)</f>
        <v>38565.666666666599</v>
      </c>
      <c r="B147" s="1">
        <f ca="1">IFERROR(__xludf.DUMMYFUNCTION("""COMPUTED_VALUE"""),25.92)</f>
        <v>25.92</v>
      </c>
    </row>
    <row r="148" spans="1:2">
      <c r="A148" s="3">
        <f ca="1">IFERROR(__xludf.DUMMYFUNCTION("""COMPUTED_VALUE"""),38566.6666666666)</f>
        <v>38566.666666666599</v>
      </c>
      <c r="B148" s="1">
        <f ca="1">IFERROR(__xludf.DUMMYFUNCTION("""COMPUTED_VALUE"""),26.81)</f>
        <v>26.81</v>
      </c>
    </row>
    <row r="149" spans="1:2">
      <c r="A149" s="3">
        <f ca="1">IFERROR(__xludf.DUMMYFUNCTION("""COMPUTED_VALUE"""),38567.6666666666)</f>
        <v>38567.666666666599</v>
      </c>
      <c r="B149" s="1">
        <f ca="1">IFERROR(__xludf.DUMMYFUNCTION("""COMPUTED_VALUE"""),27.25)</f>
        <v>27.25</v>
      </c>
    </row>
    <row r="150" spans="1:2">
      <c r="A150" s="3">
        <f ca="1">IFERROR(__xludf.DUMMYFUNCTION("""COMPUTED_VALUE"""),38568.6666666666)</f>
        <v>38568.666666666599</v>
      </c>
      <c r="B150" s="1">
        <f ca="1">IFERROR(__xludf.DUMMYFUNCTION("""COMPUTED_VALUE"""),27.32)</f>
        <v>27.32</v>
      </c>
    </row>
    <row r="151" spans="1:2">
      <c r="A151" s="3">
        <f ca="1">IFERROR(__xludf.DUMMYFUNCTION("""COMPUTED_VALUE"""),38569.6666666666)</f>
        <v>38569.666666666599</v>
      </c>
      <c r="B151" s="1">
        <f ca="1">IFERROR(__xludf.DUMMYFUNCTION("""COMPUTED_VALUE"""),27.76)</f>
        <v>27.76</v>
      </c>
    </row>
    <row r="152" spans="1:2">
      <c r="A152" s="3">
        <f ca="1">IFERROR(__xludf.DUMMYFUNCTION("""COMPUTED_VALUE"""),38572.6666666666)</f>
        <v>38572.666666666599</v>
      </c>
      <c r="B152" s="1">
        <f ca="1">IFERROR(__xludf.DUMMYFUNCTION("""COMPUTED_VALUE"""),27.13)</f>
        <v>27.13</v>
      </c>
    </row>
    <row r="153" spans="1:2">
      <c r="A153" s="3">
        <f ca="1">IFERROR(__xludf.DUMMYFUNCTION("""COMPUTED_VALUE"""),38573.6666666666)</f>
        <v>38573.666666666599</v>
      </c>
      <c r="B153" s="1">
        <f ca="1">IFERROR(__xludf.DUMMYFUNCTION("""COMPUTED_VALUE"""),27.35)</f>
        <v>27.35</v>
      </c>
    </row>
    <row r="154" spans="1:2">
      <c r="A154" s="3">
        <f ca="1">IFERROR(__xludf.DUMMYFUNCTION("""COMPUTED_VALUE"""),38574.6666666666)</f>
        <v>38574.666666666599</v>
      </c>
      <c r="B154" s="1">
        <f ca="1">IFERROR(__xludf.DUMMYFUNCTION("""COMPUTED_VALUE"""),26.95)</f>
        <v>26.95</v>
      </c>
    </row>
    <row r="155" spans="1:2">
      <c r="A155" s="3">
        <f ca="1">IFERROR(__xludf.DUMMYFUNCTION("""COMPUTED_VALUE"""),38575.6666666666)</f>
        <v>38575.666666666599</v>
      </c>
      <c r="B155" s="1">
        <f ca="1">IFERROR(__xludf.DUMMYFUNCTION("""COMPUTED_VALUE"""),27.27)</f>
        <v>27.27</v>
      </c>
    </row>
    <row r="156" spans="1:2">
      <c r="A156" s="3">
        <f ca="1">IFERROR(__xludf.DUMMYFUNCTION("""COMPUTED_VALUE"""),38576.6666666666)</f>
        <v>38576.666666666599</v>
      </c>
      <c r="B156" s="1">
        <f ca="1">IFERROR(__xludf.DUMMYFUNCTION("""COMPUTED_VALUE"""),27.05)</f>
        <v>27.05</v>
      </c>
    </row>
    <row r="157" spans="1:2">
      <c r="A157" s="3">
        <f ca="1">IFERROR(__xludf.DUMMYFUNCTION("""COMPUTED_VALUE"""),38579.6666666666)</f>
        <v>38579.666666666599</v>
      </c>
      <c r="B157" s="1">
        <f ca="1">IFERROR(__xludf.DUMMYFUNCTION("""COMPUTED_VALUE"""),27.13)</f>
        <v>27.13</v>
      </c>
    </row>
    <row r="158" spans="1:2">
      <c r="A158" s="3">
        <f ca="1">IFERROR(__xludf.DUMMYFUNCTION("""COMPUTED_VALUE"""),38580.6666666666)</f>
        <v>38580.666666666599</v>
      </c>
      <c r="B158" s="1">
        <f ca="1">IFERROR(__xludf.DUMMYFUNCTION("""COMPUTED_VALUE"""),26.74)</f>
        <v>26.74</v>
      </c>
    </row>
    <row r="159" spans="1:2">
      <c r="A159" s="3">
        <f ca="1">IFERROR(__xludf.DUMMYFUNCTION("""COMPUTED_VALUE"""),38581.6666666666)</f>
        <v>38581.666666666599</v>
      </c>
      <c r="B159" s="1">
        <f ca="1">IFERROR(__xludf.DUMMYFUNCTION("""COMPUTED_VALUE"""),26.95)</f>
        <v>26.95</v>
      </c>
    </row>
    <row r="160" spans="1:2">
      <c r="A160" s="3">
        <f ca="1">IFERROR(__xludf.DUMMYFUNCTION("""COMPUTED_VALUE"""),38582.6666666666)</f>
        <v>38582.666666666599</v>
      </c>
      <c r="B160" s="1">
        <f ca="1">IFERROR(__xludf.DUMMYFUNCTION("""COMPUTED_VALUE"""),26.82)</f>
        <v>26.82</v>
      </c>
    </row>
    <row r="161" spans="1:2">
      <c r="A161" s="3">
        <f ca="1">IFERROR(__xludf.DUMMYFUNCTION("""COMPUTED_VALUE"""),38583.6666666666)</f>
        <v>38583.666666666599</v>
      </c>
      <c r="B161" s="1">
        <f ca="1">IFERROR(__xludf.DUMMYFUNCTION("""COMPUTED_VALUE"""),26.72)</f>
        <v>26.72</v>
      </c>
    </row>
    <row r="162" spans="1:2">
      <c r="A162" s="3">
        <f ca="1">IFERROR(__xludf.DUMMYFUNCTION("""COMPUTED_VALUE"""),38586.6666666666)</f>
        <v>38586.666666666599</v>
      </c>
      <c r="B162" s="1">
        <f ca="1">IFERROR(__xludf.DUMMYFUNCTION("""COMPUTED_VALUE"""),26.91)</f>
        <v>26.91</v>
      </c>
    </row>
    <row r="163" spans="1:2">
      <c r="A163" s="3">
        <f ca="1">IFERROR(__xludf.DUMMYFUNCTION("""COMPUTED_VALUE"""),38587.6666666666)</f>
        <v>38587.666666666599</v>
      </c>
      <c r="B163" s="1">
        <f ca="1">IFERROR(__xludf.DUMMYFUNCTION("""COMPUTED_VALUE"""),26.87)</f>
        <v>26.87</v>
      </c>
    </row>
    <row r="164" spans="1:2">
      <c r="A164" s="3">
        <f ca="1">IFERROR(__xludf.DUMMYFUNCTION("""COMPUTED_VALUE"""),38588.6666666666)</f>
        <v>38588.666666666599</v>
      </c>
      <c r="B164" s="1">
        <f ca="1">IFERROR(__xludf.DUMMYFUNCTION("""COMPUTED_VALUE"""),26.81)</f>
        <v>26.81</v>
      </c>
    </row>
    <row r="165" spans="1:2">
      <c r="A165" s="3">
        <f ca="1">IFERROR(__xludf.DUMMYFUNCTION("""COMPUTED_VALUE"""),38589.6666666666)</f>
        <v>38589.666666666599</v>
      </c>
      <c r="B165" s="1">
        <f ca="1">IFERROR(__xludf.DUMMYFUNCTION("""COMPUTED_VALUE"""),27.03)</f>
        <v>27.03</v>
      </c>
    </row>
    <row r="166" spans="1:2">
      <c r="A166" s="3">
        <f ca="1">IFERROR(__xludf.DUMMYFUNCTION("""COMPUTED_VALUE"""),38590.6666666666)</f>
        <v>38590.666666666599</v>
      </c>
      <c r="B166" s="1">
        <f ca="1">IFERROR(__xludf.DUMMYFUNCTION("""COMPUTED_VALUE"""),26.97)</f>
        <v>26.97</v>
      </c>
    </row>
    <row r="167" spans="1:2">
      <c r="A167" s="3">
        <f ca="1">IFERROR(__xludf.DUMMYFUNCTION("""COMPUTED_VALUE"""),38593.6666666666)</f>
        <v>38593.666666666599</v>
      </c>
      <c r="B167" s="1">
        <f ca="1">IFERROR(__xludf.DUMMYFUNCTION("""COMPUTED_VALUE"""),27.15)</f>
        <v>27.15</v>
      </c>
    </row>
    <row r="168" spans="1:2">
      <c r="A168" s="3">
        <f ca="1">IFERROR(__xludf.DUMMYFUNCTION("""COMPUTED_VALUE"""),38594.6666666666)</f>
        <v>38594.666666666599</v>
      </c>
      <c r="B168" s="1">
        <f ca="1">IFERROR(__xludf.DUMMYFUNCTION("""COMPUTED_VALUE"""),27.18)</f>
        <v>27.18</v>
      </c>
    </row>
    <row r="169" spans="1:2">
      <c r="A169" s="3">
        <f ca="1">IFERROR(__xludf.DUMMYFUNCTION("""COMPUTED_VALUE"""),38595.6666666666)</f>
        <v>38595.666666666599</v>
      </c>
      <c r="B169" s="1">
        <f ca="1">IFERROR(__xludf.DUMMYFUNCTION("""COMPUTED_VALUE"""),27.38)</f>
        <v>27.38</v>
      </c>
    </row>
    <row r="170" spans="1:2">
      <c r="A170" s="3">
        <f ca="1">IFERROR(__xludf.DUMMYFUNCTION("""COMPUTED_VALUE"""),38596.6666666666)</f>
        <v>38596.666666666599</v>
      </c>
      <c r="B170" s="1">
        <f ca="1">IFERROR(__xludf.DUMMYFUNCTION("""COMPUTED_VALUE"""),27.2)</f>
        <v>27.2</v>
      </c>
    </row>
    <row r="171" spans="1:2">
      <c r="A171" s="3">
        <f ca="1">IFERROR(__xludf.DUMMYFUNCTION("""COMPUTED_VALUE"""),38597.6666666666)</f>
        <v>38597.666666666599</v>
      </c>
      <c r="B171" s="1">
        <f ca="1">IFERROR(__xludf.DUMMYFUNCTION("""COMPUTED_VALUE"""),27.02)</f>
        <v>27.02</v>
      </c>
    </row>
    <row r="172" spans="1:2">
      <c r="A172" s="3">
        <f ca="1">IFERROR(__xludf.DUMMYFUNCTION("""COMPUTED_VALUE"""),38601.6666666666)</f>
        <v>38601.666666666599</v>
      </c>
      <c r="B172" s="1">
        <f ca="1">IFERROR(__xludf.DUMMYFUNCTION("""COMPUTED_VALUE"""),27)</f>
        <v>27</v>
      </c>
    </row>
    <row r="173" spans="1:2">
      <c r="A173" s="3">
        <f ca="1">IFERROR(__xludf.DUMMYFUNCTION("""COMPUTED_VALUE"""),38602.6666666666)</f>
        <v>38602.666666666599</v>
      </c>
      <c r="B173" s="1">
        <f ca="1">IFERROR(__xludf.DUMMYFUNCTION("""COMPUTED_VALUE"""),26.85)</f>
        <v>26.85</v>
      </c>
    </row>
    <row r="174" spans="1:2">
      <c r="A174" s="3">
        <f ca="1">IFERROR(__xludf.DUMMYFUNCTION("""COMPUTED_VALUE"""),38603.6666666666)</f>
        <v>38603.666666666599</v>
      </c>
      <c r="B174" s="1">
        <f ca="1">IFERROR(__xludf.DUMMYFUNCTION("""COMPUTED_VALUE"""),26.61)</f>
        <v>26.61</v>
      </c>
    </row>
    <row r="175" spans="1:2">
      <c r="A175" s="3">
        <f ca="1">IFERROR(__xludf.DUMMYFUNCTION("""COMPUTED_VALUE"""),38604.6666666666)</f>
        <v>38604.666666666599</v>
      </c>
      <c r="B175" s="1">
        <f ca="1">IFERROR(__xludf.DUMMYFUNCTION("""COMPUTED_VALUE"""),26.58)</f>
        <v>26.58</v>
      </c>
    </row>
    <row r="176" spans="1:2">
      <c r="A176" s="3">
        <f ca="1">IFERROR(__xludf.DUMMYFUNCTION("""COMPUTED_VALUE"""),38607.6666666666)</f>
        <v>38607.666666666599</v>
      </c>
      <c r="B176" s="1">
        <f ca="1">IFERROR(__xludf.DUMMYFUNCTION("""COMPUTED_VALUE"""),26.61)</f>
        <v>26.61</v>
      </c>
    </row>
    <row r="177" spans="1:2">
      <c r="A177" s="3">
        <f ca="1">IFERROR(__xludf.DUMMYFUNCTION("""COMPUTED_VALUE"""),38608.6666666666)</f>
        <v>38608.666666666599</v>
      </c>
      <c r="B177" s="1">
        <f ca="1">IFERROR(__xludf.DUMMYFUNCTION("""COMPUTED_VALUE"""),26.48)</f>
        <v>26.48</v>
      </c>
    </row>
    <row r="178" spans="1:2">
      <c r="A178" s="3">
        <f ca="1">IFERROR(__xludf.DUMMYFUNCTION("""COMPUTED_VALUE"""),38609.6666666666)</f>
        <v>38609.666666666599</v>
      </c>
      <c r="B178" s="1">
        <f ca="1">IFERROR(__xludf.DUMMYFUNCTION("""COMPUTED_VALUE"""),26.31)</f>
        <v>26.31</v>
      </c>
    </row>
    <row r="179" spans="1:2">
      <c r="A179" s="3">
        <f ca="1">IFERROR(__xludf.DUMMYFUNCTION("""COMPUTED_VALUE"""),38610.6666666666)</f>
        <v>38610.666666666599</v>
      </c>
      <c r="B179" s="1">
        <f ca="1">IFERROR(__xludf.DUMMYFUNCTION("""COMPUTED_VALUE"""),26.27)</f>
        <v>26.27</v>
      </c>
    </row>
    <row r="180" spans="1:2">
      <c r="A180" s="3">
        <f ca="1">IFERROR(__xludf.DUMMYFUNCTION("""COMPUTED_VALUE"""),38611.6666666666)</f>
        <v>38611.666666666599</v>
      </c>
      <c r="B180" s="1">
        <f ca="1">IFERROR(__xludf.DUMMYFUNCTION("""COMPUTED_VALUE"""),26.07)</f>
        <v>26.07</v>
      </c>
    </row>
    <row r="181" spans="1:2">
      <c r="A181" s="3">
        <f ca="1">IFERROR(__xludf.DUMMYFUNCTION("""COMPUTED_VALUE"""),38614.6666666666)</f>
        <v>38614.666666666599</v>
      </c>
      <c r="B181" s="1">
        <f ca="1">IFERROR(__xludf.DUMMYFUNCTION("""COMPUTED_VALUE"""),26)</f>
        <v>26</v>
      </c>
    </row>
    <row r="182" spans="1:2">
      <c r="A182" s="3">
        <f ca="1">IFERROR(__xludf.DUMMYFUNCTION("""COMPUTED_VALUE"""),38615.6666666666)</f>
        <v>38615.666666666599</v>
      </c>
      <c r="B182" s="1">
        <f ca="1">IFERROR(__xludf.DUMMYFUNCTION("""COMPUTED_VALUE"""),25.84)</f>
        <v>25.84</v>
      </c>
    </row>
    <row r="183" spans="1:2">
      <c r="A183" s="3">
        <f ca="1">IFERROR(__xludf.DUMMYFUNCTION("""COMPUTED_VALUE"""),38616.6666666666)</f>
        <v>38616.666666666599</v>
      </c>
      <c r="B183" s="1">
        <f ca="1">IFERROR(__xludf.DUMMYFUNCTION("""COMPUTED_VALUE"""),25.49)</f>
        <v>25.49</v>
      </c>
    </row>
    <row r="184" spans="1:2">
      <c r="A184" s="3">
        <f ca="1">IFERROR(__xludf.DUMMYFUNCTION("""COMPUTED_VALUE"""),38617.6666666666)</f>
        <v>38617.666666666599</v>
      </c>
      <c r="B184" s="1">
        <f ca="1">IFERROR(__xludf.DUMMYFUNCTION("""COMPUTED_VALUE"""),25.34)</f>
        <v>25.34</v>
      </c>
    </row>
    <row r="185" spans="1:2">
      <c r="A185" s="3">
        <f ca="1">IFERROR(__xludf.DUMMYFUNCTION("""COMPUTED_VALUE"""),38618.6666666666)</f>
        <v>38618.666666666599</v>
      </c>
      <c r="B185" s="1">
        <f ca="1">IFERROR(__xludf.DUMMYFUNCTION("""COMPUTED_VALUE"""),25.27)</f>
        <v>25.27</v>
      </c>
    </row>
    <row r="186" spans="1:2">
      <c r="A186" s="3">
        <f ca="1">IFERROR(__xludf.DUMMYFUNCTION("""COMPUTED_VALUE"""),38621.6666666666)</f>
        <v>38621.666666666599</v>
      </c>
      <c r="B186" s="1">
        <f ca="1">IFERROR(__xludf.DUMMYFUNCTION("""COMPUTED_VALUE"""),25.27)</f>
        <v>25.27</v>
      </c>
    </row>
    <row r="187" spans="1:2">
      <c r="A187" s="3">
        <f ca="1">IFERROR(__xludf.DUMMYFUNCTION("""COMPUTED_VALUE"""),38622.6666666666)</f>
        <v>38622.666666666599</v>
      </c>
      <c r="B187" s="1">
        <f ca="1">IFERROR(__xludf.DUMMYFUNCTION("""COMPUTED_VALUE"""),25.4)</f>
        <v>25.4</v>
      </c>
    </row>
    <row r="188" spans="1:2">
      <c r="A188" s="3">
        <f ca="1">IFERROR(__xludf.DUMMYFUNCTION("""COMPUTED_VALUE"""),38623.6666666666)</f>
        <v>38623.666666666599</v>
      </c>
      <c r="B188" s="1">
        <f ca="1">IFERROR(__xludf.DUMMYFUNCTION("""COMPUTED_VALUE"""),25.67)</f>
        <v>25.67</v>
      </c>
    </row>
    <row r="189" spans="1:2">
      <c r="A189" s="3">
        <f ca="1">IFERROR(__xludf.DUMMYFUNCTION("""COMPUTED_VALUE"""),38624.6666666666)</f>
        <v>38624.666666666599</v>
      </c>
      <c r="B189" s="1">
        <f ca="1">IFERROR(__xludf.DUMMYFUNCTION("""COMPUTED_VALUE"""),25.94)</f>
        <v>25.94</v>
      </c>
    </row>
    <row r="190" spans="1:2">
      <c r="A190" s="3">
        <f ca="1">IFERROR(__xludf.DUMMYFUNCTION("""COMPUTED_VALUE"""),38625.6666666666)</f>
        <v>38625.666666666599</v>
      </c>
      <c r="B190" s="1">
        <f ca="1">IFERROR(__xludf.DUMMYFUNCTION("""COMPUTED_VALUE"""),25.73)</f>
        <v>25.73</v>
      </c>
    </row>
    <row r="191" spans="1:2">
      <c r="A191" s="3">
        <f ca="1">IFERROR(__xludf.DUMMYFUNCTION("""COMPUTED_VALUE"""),38628.6666666666)</f>
        <v>38628.666666666599</v>
      </c>
      <c r="B191" s="1">
        <f ca="1">IFERROR(__xludf.DUMMYFUNCTION("""COMPUTED_VALUE"""),25.5)</f>
        <v>25.5</v>
      </c>
    </row>
    <row r="192" spans="1:2">
      <c r="A192" s="3">
        <f ca="1">IFERROR(__xludf.DUMMYFUNCTION("""COMPUTED_VALUE"""),38629.6666666666)</f>
        <v>38629.666666666599</v>
      </c>
      <c r="B192" s="1">
        <f ca="1">IFERROR(__xludf.DUMMYFUNCTION("""COMPUTED_VALUE"""),24.98)</f>
        <v>24.98</v>
      </c>
    </row>
    <row r="193" spans="1:2">
      <c r="A193" s="3">
        <f ca="1">IFERROR(__xludf.DUMMYFUNCTION("""COMPUTED_VALUE"""),38630.6666666666)</f>
        <v>38630.666666666599</v>
      </c>
      <c r="B193" s="1">
        <f ca="1">IFERROR(__xludf.DUMMYFUNCTION("""COMPUTED_VALUE"""),24.67)</f>
        <v>24.67</v>
      </c>
    </row>
    <row r="194" spans="1:2">
      <c r="A194" s="3">
        <f ca="1">IFERROR(__xludf.DUMMYFUNCTION("""COMPUTED_VALUE"""),38631.6666666666)</f>
        <v>38631.666666666599</v>
      </c>
      <c r="B194" s="1">
        <f ca="1">IFERROR(__xludf.DUMMYFUNCTION("""COMPUTED_VALUE"""),24.73)</f>
        <v>24.73</v>
      </c>
    </row>
    <row r="195" spans="1:2">
      <c r="A195" s="3">
        <f ca="1">IFERROR(__xludf.DUMMYFUNCTION("""COMPUTED_VALUE"""),38632.6666666666)</f>
        <v>38632.666666666599</v>
      </c>
      <c r="B195" s="1">
        <f ca="1">IFERROR(__xludf.DUMMYFUNCTION("""COMPUTED_VALUE"""),24.59)</f>
        <v>24.59</v>
      </c>
    </row>
    <row r="196" spans="1:2">
      <c r="A196" s="3">
        <f ca="1">IFERROR(__xludf.DUMMYFUNCTION("""COMPUTED_VALUE"""),38635.6666666666)</f>
        <v>38635.666666666599</v>
      </c>
      <c r="B196" s="1">
        <f ca="1">IFERROR(__xludf.DUMMYFUNCTION("""COMPUTED_VALUE"""),24.46)</f>
        <v>24.46</v>
      </c>
    </row>
    <row r="197" spans="1:2">
      <c r="A197" s="3">
        <f ca="1">IFERROR(__xludf.DUMMYFUNCTION("""COMPUTED_VALUE"""),38636.6666666666)</f>
        <v>38636.666666666599</v>
      </c>
      <c r="B197" s="1">
        <f ca="1">IFERROR(__xludf.DUMMYFUNCTION("""COMPUTED_VALUE"""),24.41)</f>
        <v>24.41</v>
      </c>
    </row>
    <row r="198" spans="1:2">
      <c r="A198" s="3">
        <f ca="1">IFERROR(__xludf.DUMMYFUNCTION("""COMPUTED_VALUE"""),38637.6666666666)</f>
        <v>38637.666666666599</v>
      </c>
      <c r="B198" s="1">
        <f ca="1">IFERROR(__xludf.DUMMYFUNCTION("""COMPUTED_VALUE"""),24.3)</f>
        <v>24.3</v>
      </c>
    </row>
    <row r="199" spans="1:2">
      <c r="A199" s="3">
        <f ca="1">IFERROR(__xludf.DUMMYFUNCTION("""COMPUTED_VALUE"""),38638.6666666666)</f>
        <v>38638.666666666599</v>
      </c>
      <c r="B199" s="1">
        <f ca="1">IFERROR(__xludf.DUMMYFUNCTION("""COMPUTED_VALUE"""),24.59)</f>
        <v>24.59</v>
      </c>
    </row>
    <row r="200" spans="1:2">
      <c r="A200" s="3">
        <f ca="1">IFERROR(__xludf.DUMMYFUNCTION("""COMPUTED_VALUE"""),38639.6666666666)</f>
        <v>38639.666666666599</v>
      </c>
      <c r="B200" s="1">
        <f ca="1">IFERROR(__xludf.DUMMYFUNCTION("""COMPUTED_VALUE"""),24.67)</f>
        <v>24.67</v>
      </c>
    </row>
    <row r="201" spans="1:2">
      <c r="A201" s="3">
        <f ca="1">IFERROR(__xludf.DUMMYFUNCTION("""COMPUTED_VALUE"""),38642.6666666666)</f>
        <v>38642.666666666599</v>
      </c>
      <c r="B201" s="1">
        <f ca="1">IFERROR(__xludf.DUMMYFUNCTION("""COMPUTED_VALUE"""),24.53)</f>
        <v>24.53</v>
      </c>
    </row>
    <row r="202" spans="1:2">
      <c r="A202" s="3">
        <f ca="1">IFERROR(__xludf.DUMMYFUNCTION("""COMPUTED_VALUE"""),38643.6666666666)</f>
        <v>38643.666666666599</v>
      </c>
      <c r="B202" s="1">
        <f ca="1">IFERROR(__xludf.DUMMYFUNCTION("""COMPUTED_VALUE"""),24.57)</f>
        <v>24.57</v>
      </c>
    </row>
    <row r="203" spans="1:2">
      <c r="A203" s="3">
        <f ca="1">IFERROR(__xludf.DUMMYFUNCTION("""COMPUTED_VALUE"""),38644.6666666666)</f>
        <v>38644.666666666599</v>
      </c>
      <c r="B203" s="1">
        <f ca="1">IFERROR(__xludf.DUMMYFUNCTION("""COMPUTED_VALUE"""),25.09)</f>
        <v>25.09</v>
      </c>
    </row>
    <row r="204" spans="1:2">
      <c r="A204" s="3">
        <f ca="1">IFERROR(__xludf.DUMMYFUNCTION("""COMPUTED_VALUE"""),38645.6666666666)</f>
        <v>38645.666666666599</v>
      </c>
      <c r="B204" s="1">
        <f ca="1">IFERROR(__xludf.DUMMYFUNCTION("""COMPUTED_VALUE"""),24.79)</f>
        <v>24.79</v>
      </c>
    </row>
    <row r="205" spans="1:2">
      <c r="A205" s="3">
        <f ca="1">IFERROR(__xludf.DUMMYFUNCTION("""COMPUTED_VALUE"""),38646.6666666666)</f>
        <v>38646.666666666599</v>
      </c>
      <c r="B205" s="1">
        <f ca="1">IFERROR(__xludf.DUMMYFUNCTION("""COMPUTED_VALUE"""),24.78)</f>
        <v>24.78</v>
      </c>
    </row>
    <row r="206" spans="1:2">
      <c r="A206" s="3">
        <f ca="1">IFERROR(__xludf.DUMMYFUNCTION("""COMPUTED_VALUE"""),38649.6666666666)</f>
        <v>38649.666666666599</v>
      </c>
      <c r="B206" s="1">
        <f ca="1">IFERROR(__xludf.DUMMYFUNCTION("""COMPUTED_VALUE"""),25.1)</f>
        <v>25.1</v>
      </c>
    </row>
    <row r="207" spans="1:2">
      <c r="A207" s="3">
        <f ca="1">IFERROR(__xludf.DUMMYFUNCTION("""COMPUTED_VALUE"""),38650.6666666666)</f>
        <v>38650.666666666599</v>
      </c>
      <c r="B207" s="1">
        <f ca="1">IFERROR(__xludf.DUMMYFUNCTION("""COMPUTED_VALUE"""),25.03)</f>
        <v>25.03</v>
      </c>
    </row>
    <row r="208" spans="1:2">
      <c r="A208" s="3">
        <f ca="1">IFERROR(__xludf.DUMMYFUNCTION("""COMPUTED_VALUE"""),38651.6666666666)</f>
        <v>38651.666666666599</v>
      </c>
      <c r="B208" s="1">
        <f ca="1">IFERROR(__xludf.DUMMYFUNCTION("""COMPUTED_VALUE"""),25.11)</f>
        <v>25.11</v>
      </c>
    </row>
    <row r="209" spans="1:2">
      <c r="A209" s="3">
        <f ca="1">IFERROR(__xludf.DUMMYFUNCTION("""COMPUTED_VALUE"""),38652.6666666666)</f>
        <v>38652.666666666599</v>
      </c>
      <c r="B209" s="1">
        <f ca="1">IFERROR(__xludf.DUMMYFUNCTION("""COMPUTED_VALUE"""),24.85)</f>
        <v>24.85</v>
      </c>
    </row>
    <row r="210" spans="1:2">
      <c r="A210" s="3">
        <f ca="1">IFERROR(__xludf.DUMMYFUNCTION("""COMPUTED_VALUE"""),38653.6666666666)</f>
        <v>38653.666666666599</v>
      </c>
      <c r="B210" s="1">
        <f ca="1">IFERROR(__xludf.DUMMYFUNCTION("""COMPUTED_VALUE"""),25.53)</f>
        <v>25.53</v>
      </c>
    </row>
    <row r="211" spans="1:2">
      <c r="A211" s="3">
        <f ca="1">IFERROR(__xludf.DUMMYFUNCTION("""COMPUTED_VALUE"""),38656.6666666666)</f>
        <v>38656.666666666599</v>
      </c>
      <c r="B211" s="1">
        <f ca="1">IFERROR(__xludf.DUMMYFUNCTION("""COMPUTED_VALUE"""),25.7)</f>
        <v>25.7</v>
      </c>
    </row>
    <row r="212" spans="1:2">
      <c r="A212" s="3">
        <f ca="1">IFERROR(__xludf.DUMMYFUNCTION("""COMPUTED_VALUE"""),38657.6666666666)</f>
        <v>38657.666666666599</v>
      </c>
      <c r="B212" s="1">
        <f ca="1">IFERROR(__xludf.DUMMYFUNCTION("""COMPUTED_VALUE"""),25.96)</f>
        <v>25.96</v>
      </c>
    </row>
    <row r="213" spans="1:2">
      <c r="A213" s="3">
        <f ca="1">IFERROR(__xludf.DUMMYFUNCTION("""COMPUTED_VALUE"""),38658.6666666666)</f>
        <v>38658.666666666599</v>
      </c>
      <c r="B213" s="1">
        <f ca="1">IFERROR(__xludf.DUMMYFUNCTION("""COMPUTED_VALUE"""),26.46)</f>
        <v>26.46</v>
      </c>
    </row>
    <row r="214" spans="1:2">
      <c r="A214" s="3">
        <f ca="1">IFERROR(__xludf.DUMMYFUNCTION("""COMPUTED_VALUE"""),38659.6666666666)</f>
        <v>38659.666666666599</v>
      </c>
      <c r="B214" s="1">
        <f ca="1">IFERROR(__xludf.DUMMYFUNCTION("""COMPUTED_VALUE"""),26.44)</f>
        <v>26.44</v>
      </c>
    </row>
    <row r="215" spans="1:2">
      <c r="A215" s="3">
        <f ca="1">IFERROR(__xludf.DUMMYFUNCTION("""COMPUTED_VALUE"""),38660.6666666666)</f>
        <v>38660.666666666599</v>
      </c>
      <c r="B215" s="1">
        <f ca="1">IFERROR(__xludf.DUMMYFUNCTION("""COMPUTED_VALUE"""),26.66)</f>
        <v>26.66</v>
      </c>
    </row>
    <row r="216" spans="1:2">
      <c r="A216" s="3">
        <f ca="1">IFERROR(__xludf.DUMMYFUNCTION("""COMPUTED_VALUE"""),38663.6666666666)</f>
        <v>38663.666666666599</v>
      </c>
      <c r="B216" s="1">
        <f ca="1">IFERROR(__xludf.DUMMYFUNCTION("""COMPUTED_VALUE"""),27.01)</f>
        <v>27.01</v>
      </c>
    </row>
    <row r="217" spans="1:2">
      <c r="A217" s="3">
        <f ca="1">IFERROR(__xludf.DUMMYFUNCTION("""COMPUTED_VALUE"""),38664.6666666666)</f>
        <v>38664.666666666599</v>
      </c>
      <c r="B217" s="1">
        <f ca="1">IFERROR(__xludf.DUMMYFUNCTION("""COMPUTED_VALUE"""),27.05)</f>
        <v>27.05</v>
      </c>
    </row>
    <row r="218" spans="1:2">
      <c r="A218" s="3">
        <f ca="1">IFERROR(__xludf.DUMMYFUNCTION("""COMPUTED_VALUE"""),38665.6666666666)</f>
        <v>38665.666666666599</v>
      </c>
      <c r="B218" s="1">
        <f ca="1">IFERROR(__xludf.DUMMYFUNCTION("""COMPUTED_VALUE"""),26.96)</f>
        <v>26.96</v>
      </c>
    </row>
    <row r="219" spans="1:2">
      <c r="A219" s="3">
        <f ca="1">IFERROR(__xludf.DUMMYFUNCTION("""COMPUTED_VALUE"""),38666.6666666666)</f>
        <v>38666.666666666599</v>
      </c>
      <c r="B219" s="1">
        <f ca="1">IFERROR(__xludf.DUMMYFUNCTION("""COMPUTED_VALUE"""),27.09)</f>
        <v>27.09</v>
      </c>
    </row>
    <row r="220" spans="1:2">
      <c r="A220" s="3">
        <f ca="1">IFERROR(__xludf.DUMMYFUNCTION("""COMPUTED_VALUE"""),38667.6666666666)</f>
        <v>38667.666666666599</v>
      </c>
      <c r="B220" s="1">
        <f ca="1">IFERROR(__xludf.DUMMYFUNCTION("""COMPUTED_VALUE"""),27.28)</f>
        <v>27.28</v>
      </c>
    </row>
    <row r="221" spans="1:2">
      <c r="A221" s="3">
        <f ca="1">IFERROR(__xludf.DUMMYFUNCTION("""COMPUTED_VALUE"""),38670.6666666666)</f>
        <v>38670.666666666599</v>
      </c>
      <c r="B221" s="1">
        <f ca="1">IFERROR(__xludf.DUMMYFUNCTION("""COMPUTED_VALUE"""),27.35)</f>
        <v>27.35</v>
      </c>
    </row>
    <row r="222" spans="1:2">
      <c r="A222" s="3">
        <f ca="1">IFERROR(__xludf.DUMMYFUNCTION("""COMPUTED_VALUE"""),38671.6666666666)</f>
        <v>38671.666666666599</v>
      </c>
      <c r="B222" s="1">
        <f ca="1">IFERROR(__xludf.DUMMYFUNCTION("""COMPUTED_VALUE"""),27.5)</f>
        <v>27.5</v>
      </c>
    </row>
    <row r="223" spans="1:2">
      <c r="A223" s="3">
        <f ca="1">IFERROR(__xludf.DUMMYFUNCTION("""COMPUTED_VALUE"""),38672.6666666666)</f>
        <v>38672.666666666599</v>
      </c>
      <c r="B223" s="1">
        <f ca="1">IFERROR(__xludf.DUMMYFUNCTION("""COMPUTED_VALUE"""),27.74)</f>
        <v>27.74</v>
      </c>
    </row>
    <row r="224" spans="1:2">
      <c r="A224" s="3">
        <f ca="1">IFERROR(__xludf.DUMMYFUNCTION("""COMPUTED_VALUE"""),38673.6666666666)</f>
        <v>38673.666666666599</v>
      </c>
      <c r="B224" s="1">
        <f ca="1">IFERROR(__xludf.DUMMYFUNCTION("""COMPUTED_VALUE"""),27.97)</f>
        <v>27.97</v>
      </c>
    </row>
    <row r="225" spans="1:2">
      <c r="A225" s="3">
        <f ca="1">IFERROR(__xludf.DUMMYFUNCTION("""COMPUTED_VALUE"""),38674.6666666666)</f>
        <v>38674.666666666599</v>
      </c>
      <c r="B225" s="1">
        <f ca="1">IFERROR(__xludf.DUMMYFUNCTION("""COMPUTED_VALUE"""),28.07)</f>
        <v>28.07</v>
      </c>
    </row>
    <row r="226" spans="1:2">
      <c r="A226" s="3">
        <f ca="1">IFERROR(__xludf.DUMMYFUNCTION("""COMPUTED_VALUE"""),38677.6666666666)</f>
        <v>38677.666666666599</v>
      </c>
      <c r="B226" s="1">
        <f ca="1">IFERROR(__xludf.DUMMYFUNCTION("""COMPUTED_VALUE"""),28.16)</f>
        <v>28.16</v>
      </c>
    </row>
    <row r="227" spans="1:2">
      <c r="A227" s="3">
        <f ca="1">IFERROR(__xludf.DUMMYFUNCTION("""COMPUTED_VALUE"""),38678.6666666666)</f>
        <v>38678.666666666599</v>
      </c>
      <c r="B227" s="1">
        <f ca="1">IFERROR(__xludf.DUMMYFUNCTION("""COMPUTED_VALUE"""),27.91)</f>
        <v>27.91</v>
      </c>
    </row>
    <row r="228" spans="1:2">
      <c r="A228" s="3">
        <f ca="1">IFERROR(__xludf.DUMMYFUNCTION("""COMPUTED_VALUE"""),38679.6666666666)</f>
        <v>38679.666666666599</v>
      </c>
      <c r="B228" s="1">
        <f ca="1">IFERROR(__xludf.DUMMYFUNCTION("""COMPUTED_VALUE"""),27.92)</f>
        <v>27.92</v>
      </c>
    </row>
    <row r="229" spans="1:2">
      <c r="A229" s="3">
        <f ca="1">IFERROR(__xludf.DUMMYFUNCTION("""COMPUTED_VALUE"""),38681.6666666666)</f>
        <v>38681.666666666599</v>
      </c>
      <c r="B229" s="1">
        <f ca="1">IFERROR(__xludf.DUMMYFUNCTION("""COMPUTED_VALUE"""),27.76)</f>
        <v>27.76</v>
      </c>
    </row>
    <row r="230" spans="1:2">
      <c r="A230" s="3">
        <f ca="1">IFERROR(__xludf.DUMMYFUNCTION("""COMPUTED_VALUE"""),38684.6666666666)</f>
        <v>38684.666666666599</v>
      </c>
      <c r="B230" s="1">
        <f ca="1">IFERROR(__xludf.DUMMYFUNCTION("""COMPUTED_VALUE"""),27.75)</f>
        <v>27.75</v>
      </c>
    </row>
    <row r="231" spans="1:2">
      <c r="A231" s="3">
        <f ca="1">IFERROR(__xludf.DUMMYFUNCTION("""COMPUTED_VALUE"""),38685.6666666666)</f>
        <v>38685.666666666599</v>
      </c>
      <c r="B231" s="1">
        <f ca="1">IFERROR(__xludf.DUMMYFUNCTION("""COMPUTED_VALUE"""),27.68)</f>
        <v>27.68</v>
      </c>
    </row>
    <row r="232" spans="1:2">
      <c r="A232" s="3">
        <f ca="1">IFERROR(__xludf.DUMMYFUNCTION("""COMPUTED_VALUE"""),38686.6666666666)</f>
        <v>38686.666666666599</v>
      </c>
      <c r="B232" s="1">
        <f ca="1">IFERROR(__xludf.DUMMYFUNCTION("""COMPUTED_VALUE"""),27.68)</f>
        <v>27.68</v>
      </c>
    </row>
    <row r="233" spans="1:2">
      <c r="A233" s="3">
        <f ca="1">IFERROR(__xludf.DUMMYFUNCTION("""COMPUTED_VALUE"""),38687.6666666666)</f>
        <v>38687.666666666599</v>
      </c>
      <c r="B233" s="1">
        <f ca="1">IFERROR(__xludf.DUMMYFUNCTION("""COMPUTED_VALUE"""),27.89)</f>
        <v>27.89</v>
      </c>
    </row>
    <row r="234" spans="1:2">
      <c r="A234" s="3">
        <f ca="1">IFERROR(__xludf.DUMMYFUNCTION("""COMPUTED_VALUE"""),38688.6666666666)</f>
        <v>38688.666666666599</v>
      </c>
      <c r="B234" s="1">
        <f ca="1">IFERROR(__xludf.DUMMYFUNCTION("""COMPUTED_VALUE"""),28.01)</f>
        <v>28.01</v>
      </c>
    </row>
    <row r="235" spans="1:2">
      <c r="A235" s="3">
        <f ca="1">IFERROR(__xludf.DUMMYFUNCTION("""COMPUTED_VALUE"""),38691.6666666666)</f>
        <v>38691.666666666599</v>
      </c>
      <c r="B235" s="1">
        <f ca="1">IFERROR(__xludf.DUMMYFUNCTION("""COMPUTED_VALUE"""),27.85)</f>
        <v>27.85</v>
      </c>
    </row>
    <row r="236" spans="1:2">
      <c r="A236" s="3">
        <f ca="1">IFERROR(__xludf.DUMMYFUNCTION("""COMPUTED_VALUE"""),38692.6666666666)</f>
        <v>38692.666666666599</v>
      </c>
      <c r="B236" s="1">
        <f ca="1">IFERROR(__xludf.DUMMYFUNCTION("""COMPUTED_VALUE"""),27.69)</f>
        <v>27.69</v>
      </c>
    </row>
    <row r="237" spans="1:2">
      <c r="A237" s="3">
        <f ca="1">IFERROR(__xludf.DUMMYFUNCTION("""COMPUTED_VALUE"""),38693.6666666666)</f>
        <v>38693.666666666599</v>
      </c>
      <c r="B237" s="1">
        <f ca="1">IFERROR(__xludf.DUMMYFUNCTION("""COMPUTED_VALUE"""),27.75)</f>
        <v>27.75</v>
      </c>
    </row>
    <row r="238" spans="1:2">
      <c r="A238" s="3">
        <f ca="1">IFERROR(__xludf.DUMMYFUNCTION("""COMPUTED_VALUE"""),38694.6666666666)</f>
        <v>38694.666666666599</v>
      </c>
      <c r="B238" s="1">
        <f ca="1">IFERROR(__xludf.DUMMYFUNCTION("""COMPUTED_VALUE"""),27.69)</f>
        <v>27.69</v>
      </c>
    </row>
    <row r="239" spans="1:2">
      <c r="A239" s="3">
        <f ca="1">IFERROR(__xludf.DUMMYFUNCTION("""COMPUTED_VALUE"""),38695.6666666666)</f>
        <v>38695.666666666599</v>
      </c>
      <c r="B239" s="1">
        <f ca="1">IFERROR(__xludf.DUMMYFUNCTION("""COMPUTED_VALUE"""),27.71)</f>
        <v>27.71</v>
      </c>
    </row>
    <row r="240" spans="1:2">
      <c r="A240" s="3">
        <f ca="1">IFERROR(__xludf.DUMMYFUNCTION("""COMPUTED_VALUE"""),38698.6666666666)</f>
        <v>38698.666666666599</v>
      </c>
      <c r="B240" s="1">
        <f ca="1">IFERROR(__xludf.DUMMYFUNCTION("""COMPUTED_VALUE"""),27.45)</f>
        <v>27.45</v>
      </c>
    </row>
    <row r="241" spans="1:2">
      <c r="A241" s="3">
        <f ca="1">IFERROR(__xludf.DUMMYFUNCTION("""COMPUTED_VALUE"""),38699.6666666666)</f>
        <v>38699.666666666599</v>
      </c>
      <c r="B241" s="1">
        <f ca="1">IFERROR(__xludf.DUMMYFUNCTION("""COMPUTED_VALUE"""),27.13)</f>
        <v>27.13</v>
      </c>
    </row>
    <row r="242" spans="1:2">
      <c r="A242" s="3">
        <f ca="1">IFERROR(__xludf.DUMMYFUNCTION("""COMPUTED_VALUE"""),38700.6666666666)</f>
        <v>38700.666666666599</v>
      </c>
      <c r="B242" s="1">
        <f ca="1">IFERROR(__xludf.DUMMYFUNCTION("""COMPUTED_VALUE"""),27.09)</f>
        <v>27.09</v>
      </c>
    </row>
    <row r="243" spans="1:2">
      <c r="A243" s="3">
        <f ca="1">IFERROR(__xludf.DUMMYFUNCTION("""COMPUTED_VALUE"""),38701.6666666666)</f>
        <v>38701.666666666599</v>
      </c>
      <c r="B243" s="1">
        <f ca="1">IFERROR(__xludf.DUMMYFUNCTION("""COMPUTED_VALUE"""),26.89)</f>
        <v>26.89</v>
      </c>
    </row>
    <row r="244" spans="1:2">
      <c r="A244" s="3">
        <f ca="1">IFERROR(__xludf.DUMMYFUNCTION("""COMPUTED_VALUE"""),38702.6666666666)</f>
        <v>38702.666666666599</v>
      </c>
      <c r="B244" s="1">
        <f ca="1">IFERROR(__xludf.DUMMYFUNCTION("""COMPUTED_VALUE"""),26.9)</f>
        <v>26.9</v>
      </c>
    </row>
    <row r="245" spans="1:2">
      <c r="A245" s="3">
        <f ca="1">IFERROR(__xludf.DUMMYFUNCTION("""COMPUTED_VALUE"""),38705.6666666666)</f>
        <v>38705.666666666599</v>
      </c>
      <c r="B245" s="1">
        <f ca="1">IFERROR(__xludf.DUMMYFUNCTION("""COMPUTED_VALUE"""),26.83)</f>
        <v>26.83</v>
      </c>
    </row>
    <row r="246" spans="1:2">
      <c r="A246" s="3">
        <f ca="1">IFERROR(__xludf.DUMMYFUNCTION("""COMPUTED_VALUE"""),38706.6666666666)</f>
        <v>38706.666666666599</v>
      </c>
      <c r="B246" s="1">
        <f ca="1">IFERROR(__xludf.DUMMYFUNCTION("""COMPUTED_VALUE"""),26.86)</f>
        <v>26.86</v>
      </c>
    </row>
    <row r="247" spans="1:2">
      <c r="A247" s="3">
        <f ca="1">IFERROR(__xludf.DUMMYFUNCTION("""COMPUTED_VALUE"""),38707.6666666666)</f>
        <v>38707.666666666599</v>
      </c>
      <c r="B247" s="1">
        <f ca="1">IFERROR(__xludf.DUMMYFUNCTION("""COMPUTED_VALUE"""),26.73)</f>
        <v>26.73</v>
      </c>
    </row>
    <row r="248" spans="1:2">
      <c r="A248" s="3">
        <f ca="1">IFERROR(__xludf.DUMMYFUNCTION("""COMPUTED_VALUE"""),38708.6666666666)</f>
        <v>38708.666666666599</v>
      </c>
      <c r="B248" s="1">
        <f ca="1">IFERROR(__xludf.DUMMYFUNCTION("""COMPUTED_VALUE"""),26.59)</f>
        <v>26.59</v>
      </c>
    </row>
    <row r="249" spans="1:2">
      <c r="A249" s="3">
        <f ca="1">IFERROR(__xludf.DUMMYFUNCTION("""COMPUTED_VALUE"""),38709.6666666666)</f>
        <v>38709.666666666599</v>
      </c>
      <c r="B249" s="1">
        <f ca="1">IFERROR(__xludf.DUMMYFUNCTION("""COMPUTED_VALUE"""),26.64)</f>
        <v>26.64</v>
      </c>
    </row>
    <row r="250" spans="1:2">
      <c r="A250" s="3">
        <f ca="1">IFERROR(__xludf.DUMMYFUNCTION("""COMPUTED_VALUE"""),38713.6666666666)</f>
        <v>38713.666666666599</v>
      </c>
      <c r="B250" s="1">
        <f ca="1">IFERROR(__xludf.DUMMYFUNCTION("""COMPUTED_VALUE"""),26.46)</f>
        <v>26.46</v>
      </c>
    </row>
    <row r="251" spans="1:2">
      <c r="A251" s="3">
        <f ca="1">IFERROR(__xludf.DUMMYFUNCTION("""COMPUTED_VALUE"""),38714.6666666666)</f>
        <v>38714.666666666599</v>
      </c>
      <c r="B251" s="1">
        <f ca="1">IFERROR(__xludf.DUMMYFUNCTION("""COMPUTED_VALUE"""),26.39)</f>
        <v>26.39</v>
      </c>
    </row>
    <row r="252" spans="1:2">
      <c r="A252" s="3">
        <f ca="1">IFERROR(__xludf.DUMMYFUNCTION("""COMPUTED_VALUE"""),38715.6666666666)</f>
        <v>38715.666666666599</v>
      </c>
      <c r="B252" s="1">
        <f ca="1">IFERROR(__xludf.DUMMYFUNCTION("""COMPUTED_VALUE"""),26.27)</f>
        <v>26.27</v>
      </c>
    </row>
    <row r="253" spans="1:2">
      <c r="A253" s="3">
        <f ca="1">IFERROR(__xludf.DUMMYFUNCTION("""COMPUTED_VALUE"""),38716.6666666666)</f>
        <v>38716.666666666599</v>
      </c>
      <c r="B253" s="1">
        <f ca="1">IFERROR(__xludf.DUMMYFUNCTION("""COMPUTED_VALUE"""),26.15)</f>
        <v>26.15</v>
      </c>
    </row>
    <row r="254" spans="1:2">
      <c r="A254" s="3">
        <f ca="1">IFERROR(__xludf.DUMMYFUNCTION("""COMPUTED_VALUE"""),38720.6666666666)</f>
        <v>38720.666666666599</v>
      </c>
      <c r="B254" s="1">
        <f ca="1">IFERROR(__xludf.DUMMYFUNCTION("""COMPUTED_VALUE"""),26.84)</f>
        <v>26.84</v>
      </c>
    </row>
    <row r="255" spans="1:2">
      <c r="A255" s="3">
        <f ca="1">IFERROR(__xludf.DUMMYFUNCTION("""COMPUTED_VALUE"""),38721.6666666666)</f>
        <v>38721.666666666599</v>
      </c>
      <c r="B255" s="1">
        <f ca="1">IFERROR(__xludf.DUMMYFUNCTION("""COMPUTED_VALUE"""),26.97)</f>
        <v>26.97</v>
      </c>
    </row>
    <row r="256" spans="1:2">
      <c r="A256" s="3">
        <f ca="1">IFERROR(__xludf.DUMMYFUNCTION("""COMPUTED_VALUE"""),38722.6666666666)</f>
        <v>38722.666666666599</v>
      </c>
      <c r="B256" s="1">
        <f ca="1">IFERROR(__xludf.DUMMYFUNCTION("""COMPUTED_VALUE"""),26.99)</f>
        <v>26.99</v>
      </c>
    </row>
    <row r="257" spans="1:2">
      <c r="A257" s="3">
        <f ca="1">IFERROR(__xludf.DUMMYFUNCTION("""COMPUTED_VALUE"""),38723.6666666666)</f>
        <v>38723.666666666599</v>
      </c>
      <c r="B257" s="1">
        <f ca="1">IFERROR(__xludf.DUMMYFUNCTION("""COMPUTED_VALUE"""),26.91)</f>
        <v>26.91</v>
      </c>
    </row>
    <row r="258" spans="1:2">
      <c r="A258" s="3">
        <f ca="1">IFERROR(__xludf.DUMMYFUNCTION("""COMPUTED_VALUE"""),38726.6666666666)</f>
        <v>38726.666666666599</v>
      </c>
      <c r="B258" s="1">
        <f ca="1">IFERROR(__xludf.DUMMYFUNCTION("""COMPUTED_VALUE"""),26.86)</f>
        <v>26.86</v>
      </c>
    </row>
    <row r="259" spans="1:2">
      <c r="A259" s="3">
        <f ca="1">IFERROR(__xludf.DUMMYFUNCTION("""COMPUTED_VALUE"""),38727.6666666666)</f>
        <v>38727.666666666599</v>
      </c>
      <c r="B259" s="1">
        <f ca="1">IFERROR(__xludf.DUMMYFUNCTION("""COMPUTED_VALUE"""),27)</f>
        <v>27</v>
      </c>
    </row>
    <row r="260" spans="1:2">
      <c r="A260" s="3">
        <f ca="1">IFERROR(__xludf.DUMMYFUNCTION("""COMPUTED_VALUE"""),38728.6666666666)</f>
        <v>38728.666666666599</v>
      </c>
      <c r="B260" s="1">
        <f ca="1">IFERROR(__xludf.DUMMYFUNCTION("""COMPUTED_VALUE"""),27.29)</f>
        <v>27.29</v>
      </c>
    </row>
    <row r="261" spans="1:2">
      <c r="A261" s="3">
        <f ca="1">IFERROR(__xludf.DUMMYFUNCTION("""COMPUTED_VALUE"""),38729.6666666666)</f>
        <v>38729.666666666599</v>
      </c>
      <c r="B261" s="1">
        <f ca="1">IFERROR(__xludf.DUMMYFUNCTION("""COMPUTED_VALUE"""),27.14)</f>
        <v>27.14</v>
      </c>
    </row>
    <row r="262" spans="1:2">
      <c r="A262" s="3">
        <f ca="1">IFERROR(__xludf.DUMMYFUNCTION("""COMPUTED_VALUE"""),38730.6666666666)</f>
        <v>38730.666666666599</v>
      </c>
      <c r="B262" s="1">
        <f ca="1">IFERROR(__xludf.DUMMYFUNCTION("""COMPUTED_VALUE"""),27.19)</f>
        <v>27.19</v>
      </c>
    </row>
    <row r="263" spans="1:2">
      <c r="A263" s="3">
        <f ca="1">IFERROR(__xludf.DUMMYFUNCTION("""COMPUTED_VALUE"""),38734.6666666666)</f>
        <v>38734.666666666599</v>
      </c>
      <c r="B263" s="1">
        <f ca="1">IFERROR(__xludf.DUMMYFUNCTION("""COMPUTED_VALUE"""),26.99)</f>
        <v>26.99</v>
      </c>
    </row>
    <row r="264" spans="1:2">
      <c r="A264" s="3">
        <f ca="1">IFERROR(__xludf.DUMMYFUNCTION("""COMPUTED_VALUE"""),38735.6666666666)</f>
        <v>38735.666666666599</v>
      </c>
      <c r="B264" s="1">
        <f ca="1">IFERROR(__xludf.DUMMYFUNCTION("""COMPUTED_VALUE"""),26.83)</f>
        <v>26.83</v>
      </c>
    </row>
    <row r="265" spans="1:2">
      <c r="A265" s="3">
        <f ca="1">IFERROR(__xludf.DUMMYFUNCTION("""COMPUTED_VALUE"""),38736.6666666666)</f>
        <v>38736.666666666599</v>
      </c>
      <c r="B265" s="1">
        <f ca="1">IFERROR(__xludf.DUMMYFUNCTION("""COMPUTED_VALUE"""),27.02)</f>
        <v>27.02</v>
      </c>
    </row>
    <row r="266" spans="1:2">
      <c r="A266" s="3">
        <f ca="1">IFERROR(__xludf.DUMMYFUNCTION("""COMPUTED_VALUE"""),38737.6666666666)</f>
        <v>38737.666666666599</v>
      </c>
      <c r="B266" s="1">
        <f ca="1">IFERROR(__xludf.DUMMYFUNCTION("""COMPUTED_VALUE"""),26.41)</f>
        <v>26.41</v>
      </c>
    </row>
    <row r="267" spans="1:2">
      <c r="A267" s="3">
        <f ca="1">IFERROR(__xludf.DUMMYFUNCTION("""COMPUTED_VALUE"""),38740.6666666666)</f>
        <v>38740.666666666599</v>
      </c>
      <c r="B267" s="1">
        <f ca="1">IFERROR(__xludf.DUMMYFUNCTION("""COMPUTED_VALUE"""),26.35)</f>
        <v>26.35</v>
      </c>
    </row>
    <row r="268" spans="1:2">
      <c r="A268" s="3">
        <f ca="1">IFERROR(__xludf.DUMMYFUNCTION("""COMPUTED_VALUE"""),38741.6666666666)</f>
        <v>38741.666666666599</v>
      </c>
      <c r="B268" s="1">
        <f ca="1">IFERROR(__xludf.DUMMYFUNCTION("""COMPUTED_VALUE"""),26.28)</f>
        <v>26.28</v>
      </c>
    </row>
    <row r="269" spans="1:2">
      <c r="A269" s="3">
        <f ca="1">IFERROR(__xludf.DUMMYFUNCTION("""COMPUTED_VALUE"""),38742.6666666666)</f>
        <v>38742.666666666599</v>
      </c>
      <c r="B269" s="1">
        <f ca="1">IFERROR(__xludf.DUMMYFUNCTION("""COMPUTED_VALUE"""),26.4)</f>
        <v>26.4</v>
      </c>
    </row>
    <row r="270" spans="1:2">
      <c r="A270" s="3">
        <f ca="1">IFERROR(__xludf.DUMMYFUNCTION("""COMPUTED_VALUE"""),38743.6666666666)</f>
        <v>38743.666666666599</v>
      </c>
      <c r="B270" s="1">
        <f ca="1">IFERROR(__xludf.DUMMYFUNCTION("""COMPUTED_VALUE"""),26.5)</f>
        <v>26.5</v>
      </c>
    </row>
    <row r="271" spans="1:2">
      <c r="A271" s="3">
        <f ca="1">IFERROR(__xludf.DUMMYFUNCTION("""COMPUTED_VALUE"""),38744.6666666666)</f>
        <v>38744.666666666599</v>
      </c>
      <c r="B271" s="1">
        <f ca="1">IFERROR(__xludf.DUMMYFUNCTION("""COMPUTED_VALUE"""),27.79)</f>
        <v>27.79</v>
      </c>
    </row>
    <row r="272" spans="1:2">
      <c r="A272" s="3">
        <f ca="1">IFERROR(__xludf.DUMMYFUNCTION("""COMPUTED_VALUE"""),38747.6666666666)</f>
        <v>38747.666666666599</v>
      </c>
      <c r="B272" s="1">
        <f ca="1">IFERROR(__xludf.DUMMYFUNCTION("""COMPUTED_VALUE"""),28)</f>
        <v>28</v>
      </c>
    </row>
    <row r="273" spans="1:2">
      <c r="A273" s="3">
        <f ca="1">IFERROR(__xludf.DUMMYFUNCTION("""COMPUTED_VALUE"""),38748.6666666666)</f>
        <v>38748.666666666599</v>
      </c>
      <c r="B273" s="1">
        <f ca="1">IFERROR(__xludf.DUMMYFUNCTION("""COMPUTED_VALUE"""),28.15)</f>
        <v>28.15</v>
      </c>
    </row>
    <row r="274" spans="1:2">
      <c r="A274" s="3">
        <f ca="1">IFERROR(__xludf.DUMMYFUNCTION("""COMPUTED_VALUE"""),38749.6666666666)</f>
        <v>38749.666666666599</v>
      </c>
      <c r="B274" s="1">
        <f ca="1">IFERROR(__xludf.DUMMYFUNCTION("""COMPUTED_VALUE"""),28.04)</f>
        <v>28.04</v>
      </c>
    </row>
    <row r="275" spans="1:2">
      <c r="A275" s="3">
        <f ca="1">IFERROR(__xludf.DUMMYFUNCTION("""COMPUTED_VALUE"""),38750.6666666666)</f>
        <v>38750.666666666599</v>
      </c>
      <c r="B275" s="1">
        <f ca="1">IFERROR(__xludf.DUMMYFUNCTION("""COMPUTED_VALUE"""),27.68)</f>
        <v>27.68</v>
      </c>
    </row>
    <row r="276" spans="1:2">
      <c r="A276" s="3">
        <f ca="1">IFERROR(__xludf.DUMMYFUNCTION("""COMPUTED_VALUE"""),38751.6666666666)</f>
        <v>38751.666666666599</v>
      </c>
      <c r="B276" s="1">
        <f ca="1">IFERROR(__xludf.DUMMYFUNCTION("""COMPUTED_VALUE"""),27.54)</f>
        <v>27.54</v>
      </c>
    </row>
    <row r="277" spans="1:2">
      <c r="A277" s="3">
        <f ca="1">IFERROR(__xludf.DUMMYFUNCTION("""COMPUTED_VALUE"""),38754.6666666666)</f>
        <v>38754.666666666599</v>
      </c>
      <c r="B277" s="1">
        <f ca="1">IFERROR(__xludf.DUMMYFUNCTION("""COMPUTED_VALUE"""),27.17)</f>
        <v>27.17</v>
      </c>
    </row>
    <row r="278" spans="1:2">
      <c r="A278" s="3">
        <f ca="1">IFERROR(__xludf.DUMMYFUNCTION("""COMPUTED_VALUE"""),38755.6666666666)</f>
        <v>38755.666666666599</v>
      </c>
      <c r="B278" s="1">
        <f ca="1">IFERROR(__xludf.DUMMYFUNCTION("""COMPUTED_VALUE"""),26.94)</f>
        <v>26.94</v>
      </c>
    </row>
    <row r="279" spans="1:2">
      <c r="A279" s="3">
        <f ca="1">IFERROR(__xludf.DUMMYFUNCTION("""COMPUTED_VALUE"""),38756.6666666666)</f>
        <v>38756.666666666599</v>
      </c>
      <c r="B279" s="1">
        <f ca="1">IFERROR(__xludf.DUMMYFUNCTION("""COMPUTED_VALUE"""),26.91)</f>
        <v>26.91</v>
      </c>
    </row>
    <row r="280" spans="1:2">
      <c r="A280" s="3">
        <f ca="1">IFERROR(__xludf.DUMMYFUNCTION("""COMPUTED_VALUE"""),38757.6666666666)</f>
        <v>38757.666666666599</v>
      </c>
      <c r="B280" s="1">
        <f ca="1">IFERROR(__xludf.DUMMYFUNCTION("""COMPUTED_VALUE"""),26.66)</f>
        <v>26.66</v>
      </c>
    </row>
    <row r="281" spans="1:2">
      <c r="A281" s="3">
        <f ca="1">IFERROR(__xludf.DUMMYFUNCTION("""COMPUTED_VALUE"""),38758.6666666666)</f>
        <v>38758.666666666599</v>
      </c>
      <c r="B281" s="1">
        <f ca="1">IFERROR(__xludf.DUMMYFUNCTION("""COMPUTED_VALUE"""),26.69)</f>
        <v>26.69</v>
      </c>
    </row>
    <row r="282" spans="1:2">
      <c r="A282" s="3">
        <f ca="1">IFERROR(__xludf.DUMMYFUNCTION("""COMPUTED_VALUE"""),38761.6666666666)</f>
        <v>38761.666666666599</v>
      </c>
      <c r="B282" s="1">
        <f ca="1">IFERROR(__xludf.DUMMYFUNCTION("""COMPUTED_VALUE"""),26.39)</f>
        <v>26.39</v>
      </c>
    </row>
    <row r="283" spans="1:2">
      <c r="A283" s="3">
        <f ca="1">IFERROR(__xludf.DUMMYFUNCTION("""COMPUTED_VALUE"""),38762.6666666666)</f>
        <v>38762.666666666599</v>
      </c>
      <c r="B283" s="1">
        <f ca="1">IFERROR(__xludf.DUMMYFUNCTION("""COMPUTED_VALUE"""),26.65)</f>
        <v>26.65</v>
      </c>
    </row>
    <row r="284" spans="1:2">
      <c r="A284" s="3">
        <f ca="1">IFERROR(__xludf.DUMMYFUNCTION("""COMPUTED_VALUE"""),38763.6666666666)</f>
        <v>38763.666666666599</v>
      </c>
      <c r="B284" s="1">
        <f ca="1">IFERROR(__xludf.DUMMYFUNCTION("""COMPUTED_VALUE"""),26.88)</f>
        <v>26.88</v>
      </c>
    </row>
    <row r="285" spans="1:2">
      <c r="A285" s="3">
        <f ca="1">IFERROR(__xludf.DUMMYFUNCTION("""COMPUTED_VALUE"""),38764.6666666666)</f>
        <v>38764.666666666599</v>
      </c>
      <c r="B285" s="1">
        <f ca="1">IFERROR(__xludf.DUMMYFUNCTION("""COMPUTED_VALUE"""),26.81)</f>
        <v>26.81</v>
      </c>
    </row>
    <row r="286" spans="1:2">
      <c r="A286" s="3">
        <f ca="1">IFERROR(__xludf.DUMMYFUNCTION("""COMPUTED_VALUE"""),38765.6666666666)</f>
        <v>38765.666666666599</v>
      </c>
      <c r="B286" s="1">
        <f ca="1">IFERROR(__xludf.DUMMYFUNCTION("""COMPUTED_VALUE"""),26.7)</f>
        <v>26.7</v>
      </c>
    </row>
    <row r="287" spans="1:2">
      <c r="A287" s="3">
        <f ca="1">IFERROR(__xludf.DUMMYFUNCTION("""COMPUTED_VALUE"""),38769.6666666666)</f>
        <v>38769.666666666599</v>
      </c>
      <c r="B287" s="1">
        <f ca="1">IFERROR(__xludf.DUMMYFUNCTION("""COMPUTED_VALUE"""),26.54)</f>
        <v>26.54</v>
      </c>
    </row>
    <row r="288" spans="1:2">
      <c r="A288" s="3">
        <f ca="1">IFERROR(__xludf.DUMMYFUNCTION("""COMPUTED_VALUE"""),38770.6666666666)</f>
        <v>38770.666666666599</v>
      </c>
      <c r="B288" s="1">
        <f ca="1">IFERROR(__xludf.DUMMYFUNCTION("""COMPUTED_VALUE"""),26.72)</f>
        <v>26.72</v>
      </c>
    </row>
    <row r="289" spans="1:2">
      <c r="A289" s="3">
        <f ca="1">IFERROR(__xludf.DUMMYFUNCTION("""COMPUTED_VALUE"""),38771.6666666666)</f>
        <v>38771.666666666599</v>
      </c>
      <c r="B289" s="1">
        <f ca="1">IFERROR(__xludf.DUMMYFUNCTION("""COMPUTED_VALUE"""),26.66)</f>
        <v>26.66</v>
      </c>
    </row>
    <row r="290" spans="1:2">
      <c r="A290" s="3">
        <f ca="1">IFERROR(__xludf.DUMMYFUNCTION("""COMPUTED_VALUE"""),38772.6666666666)</f>
        <v>38772.666666666599</v>
      </c>
      <c r="B290" s="1">
        <f ca="1">IFERROR(__xludf.DUMMYFUNCTION("""COMPUTED_VALUE"""),26.63)</f>
        <v>26.63</v>
      </c>
    </row>
    <row r="291" spans="1:2">
      <c r="A291" s="3">
        <f ca="1">IFERROR(__xludf.DUMMYFUNCTION("""COMPUTED_VALUE"""),38775.6666666666)</f>
        <v>38775.666666666599</v>
      </c>
      <c r="B291" s="1">
        <f ca="1">IFERROR(__xludf.DUMMYFUNCTION("""COMPUTED_VALUE"""),27.05)</f>
        <v>27.05</v>
      </c>
    </row>
    <row r="292" spans="1:2">
      <c r="A292" s="3">
        <f ca="1">IFERROR(__xludf.DUMMYFUNCTION("""COMPUTED_VALUE"""),38776.6666666666)</f>
        <v>38776.666666666599</v>
      </c>
      <c r="B292" s="1">
        <f ca="1">IFERROR(__xludf.DUMMYFUNCTION("""COMPUTED_VALUE"""),26.87)</f>
        <v>26.87</v>
      </c>
    </row>
    <row r="293" spans="1:2">
      <c r="A293" s="3">
        <f ca="1">IFERROR(__xludf.DUMMYFUNCTION("""COMPUTED_VALUE"""),38777.6666666666)</f>
        <v>38777.666666666599</v>
      </c>
      <c r="B293" s="1">
        <f ca="1">IFERROR(__xludf.DUMMYFUNCTION("""COMPUTED_VALUE"""),27.14)</f>
        <v>27.14</v>
      </c>
    </row>
    <row r="294" spans="1:2">
      <c r="A294" s="3">
        <f ca="1">IFERROR(__xludf.DUMMYFUNCTION("""COMPUTED_VALUE"""),38778.6666666666)</f>
        <v>38778.666666666599</v>
      </c>
      <c r="B294" s="1">
        <f ca="1">IFERROR(__xludf.DUMMYFUNCTION("""COMPUTED_VALUE"""),26.97)</f>
        <v>26.97</v>
      </c>
    </row>
    <row r="295" spans="1:2">
      <c r="A295" s="3">
        <f ca="1">IFERROR(__xludf.DUMMYFUNCTION("""COMPUTED_VALUE"""),38779.6666666666)</f>
        <v>38779.666666666599</v>
      </c>
      <c r="B295" s="1">
        <f ca="1">IFERROR(__xludf.DUMMYFUNCTION("""COMPUTED_VALUE"""),26.93)</f>
        <v>26.93</v>
      </c>
    </row>
    <row r="296" spans="1:2">
      <c r="A296" s="3">
        <f ca="1">IFERROR(__xludf.DUMMYFUNCTION("""COMPUTED_VALUE"""),38782.6666666666)</f>
        <v>38782.666666666599</v>
      </c>
      <c r="B296" s="1">
        <f ca="1">IFERROR(__xludf.DUMMYFUNCTION("""COMPUTED_VALUE"""),26.91)</f>
        <v>26.91</v>
      </c>
    </row>
    <row r="297" spans="1:2">
      <c r="A297" s="3">
        <f ca="1">IFERROR(__xludf.DUMMYFUNCTION("""COMPUTED_VALUE"""),38783.6666666666)</f>
        <v>38783.666666666599</v>
      </c>
      <c r="B297" s="1">
        <f ca="1">IFERROR(__xludf.DUMMYFUNCTION("""COMPUTED_VALUE"""),27.06)</f>
        <v>27.06</v>
      </c>
    </row>
    <row r="298" spans="1:2">
      <c r="A298" s="3">
        <f ca="1">IFERROR(__xludf.DUMMYFUNCTION("""COMPUTED_VALUE"""),38784.6666666666)</f>
        <v>38784.666666666599</v>
      </c>
      <c r="B298" s="1">
        <f ca="1">IFERROR(__xludf.DUMMYFUNCTION("""COMPUTED_VALUE"""),27.25)</f>
        <v>27.25</v>
      </c>
    </row>
    <row r="299" spans="1:2">
      <c r="A299" s="3">
        <f ca="1">IFERROR(__xludf.DUMMYFUNCTION("""COMPUTED_VALUE"""),38785.6666666666)</f>
        <v>38785.666666666599</v>
      </c>
      <c r="B299" s="1">
        <f ca="1">IFERROR(__xludf.DUMMYFUNCTION("""COMPUTED_VALUE"""),27)</f>
        <v>27</v>
      </c>
    </row>
    <row r="300" spans="1:2">
      <c r="A300" s="3">
        <f ca="1">IFERROR(__xludf.DUMMYFUNCTION("""COMPUTED_VALUE"""),38786.6666666666)</f>
        <v>38786.666666666599</v>
      </c>
      <c r="B300" s="1">
        <f ca="1">IFERROR(__xludf.DUMMYFUNCTION("""COMPUTED_VALUE"""),27.17)</f>
        <v>27.17</v>
      </c>
    </row>
    <row r="301" spans="1:2">
      <c r="A301" s="3">
        <f ca="1">IFERROR(__xludf.DUMMYFUNCTION("""COMPUTED_VALUE"""),38789.6666666666)</f>
        <v>38789.666666666599</v>
      </c>
      <c r="B301" s="1">
        <f ca="1">IFERROR(__xludf.DUMMYFUNCTION("""COMPUTED_VALUE"""),27.11)</f>
        <v>27.11</v>
      </c>
    </row>
    <row r="302" spans="1:2">
      <c r="A302" s="3">
        <f ca="1">IFERROR(__xludf.DUMMYFUNCTION("""COMPUTED_VALUE"""),38790.6666666666)</f>
        <v>38790.666666666599</v>
      </c>
      <c r="B302" s="1">
        <f ca="1">IFERROR(__xludf.DUMMYFUNCTION("""COMPUTED_VALUE"""),27.23)</f>
        <v>27.23</v>
      </c>
    </row>
    <row r="303" spans="1:2">
      <c r="A303" s="3">
        <f ca="1">IFERROR(__xludf.DUMMYFUNCTION("""COMPUTED_VALUE"""),38791.6666666666)</f>
        <v>38791.666666666599</v>
      </c>
      <c r="B303" s="1">
        <f ca="1">IFERROR(__xludf.DUMMYFUNCTION("""COMPUTED_VALUE"""),27.36)</f>
        <v>27.36</v>
      </c>
    </row>
    <row r="304" spans="1:2">
      <c r="A304" s="3">
        <f ca="1">IFERROR(__xludf.DUMMYFUNCTION("""COMPUTED_VALUE"""),38792.6666666666)</f>
        <v>38792.666666666599</v>
      </c>
      <c r="B304" s="1">
        <f ca="1">IFERROR(__xludf.DUMMYFUNCTION("""COMPUTED_VALUE"""),27.27)</f>
        <v>27.27</v>
      </c>
    </row>
    <row r="305" spans="1:2">
      <c r="A305" s="3">
        <f ca="1">IFERROR(__xludf.DUMMYFUNCTION("""COMPUTED_VALUE"""),38793.6666666666)</f>
        <v>38793.666666666599</v>
      </c>
      <c r="B305" s="1">
        <f ca="1">IFERROR(__xludf.DUMMYFUNCTION("""COMPUTED_VALUE"""),27.5)</f>
        <v>27.5</v>
      </c>
    </row>
    <row r="306" spans="1:2">
      <c r="A306" s="3">
        <f ca="1">IFERROR(__xludf.DUMMYFUNCTION("""COMPUTED_VALUE"""),38796.6666666666)</f>
        <v>38796.666666666599</v>
      </c>
      <c r="B306" s="1">
        <f ca="1">IFERROR(__xludf.DUMMYFUNCTION("""COMPUTED_VALUE"""),27.89)</f>
        <v>27.89</v>
      </c>
    </row>
    <row r="307" spans="1:2">
      <c r="A307" s="3">
        <f ca="1">IFERROR(__xludf.DUMMYFUNCTION("""COMPUTED_VALUE"""),38797.6666666666)</f>
        <v>38797.666666666599</v>
      </c>
      <c r="B307" s="1">
        <f ca="1">IFERROR(__xludf.DUMMYFUNCTION("""COMPUTED_VALUE"""),27.74)</f>
        <v>27.74</v>
      </c>
    </row>
    <row r="308" spans="1:2">
      <c r="A308" s="3">
        <f ca="1">IFERROR(__xludf.DUMMYFUNCTION("""COMPUTED_VALUE"""),38798.6666666666)</f>
        <v>38798.666666666599</v>
      </c>
      <c r="B308" s="1">
        <f ca="1">IFERROR(__xludf.DUMMYFUNCTION("""COMPUTED_VALUE"""),27.15)</f>
        <v>27.15</v>
      </c>
    </row>
    <row r="309" spans="1:2">
      <c r="A309" s="3">
        <f ca="1">IFERROR(__xludf.DUMMYFUNCTION("""COMPUTED_VALUE"""),38799.6666666666)</f>
        <v>38799.666666666599</v>
      </c>
      <c r="B309" s="1">
        <f ca="1">IFERROR(__xludf.DUMMYFUNCTION("""COMPUTED_VALUE"""),26.85)</f>
        <v>26.85</v>
      </c>
    </row>
    <row r="310" spans="1:2">
      <c r="A310" s="3">
        <f ca="1">IFERROR(__xludf.DUMMYFUNCTION("""COMPUTED_VALUE"""),38800.6666666666)</f>
        <v>38800.666666666599</v>
      </c>
      <c r="B310" s="1">
        <f ca="1">IFERROR(__xludf.DUMMYFUNCTION("""COMPUTED_VALUE"""),27.01)</f>
        <v>27.01</v>
      </c>
    </row>
    <row r="311" spans="1:2">
      <c r="A311" s="3">
        <f ca="1">IFERROR(__xludf.DUMMYFUNCTION("""COMPUTED_VALUE"""),38803.6666666666)</f>
        <v>38803.666666666599</v>
      </c>
      <c r="B311" s="1">
        <f ca="1">IFERROR(__xludf.DUMMYFUNCTION("""COMPUTED_VALUE"""),27.01)</f>
        <v>27.01</v>
      </c>
    </row>
    <row r="312" spans="1:2">
      <c r="A312" s="3">
        <f ca="1">IFERROR(__xludf.DUMMYFUNCTION("""COMPUTED_VALUE"""),38804.6666666666)</f>
        <v>38804.666666666599</v>
      </c>
      <c r="B312" s="1">
        <f ca="1">IFERROR(__xludf.DUMMYFUNCTION("""COMPUTED_VALUE"""),26.9)</f>
        <v>26.9</v>
      </c>
    </row>
    <row r="313" spans="1:2">
      <c r="A313" s="3">
        <f ca="1">IFERROR(__xludf.DUMMYFUNCTION("""COMPUTED_VALUE"""),38805.6666666666)</f>
        <v>38805.666666666599</v>
      </c>
      <c r="B313" s="1">
        <f ca="1">IFERROR(__xludf.DUMMYFUNCTION("""COMPUTED_VALUE"""),27.02)</f>
        <v>27.02</v>
      </c>
    </row>
    <row r="314" spans="1:2">
      <c r="A314" s="3">
        <f ca="1">IFERROR(__xludf.DUMMYFUNCTION("""COMPUTED_VALUE"""),38806.6666666666)</f>
        <v>38806.666666666599</v>
      </c>
      <c r="B314" s="1">
        <f ca="1">IFERROR(__xludf.DUMMYFUNCTION("""COMPUTED_VALUE"""),27.23)</f>
        <v>27.23</v>
      </c>
    </row>
    <row r="315" spans="1:2">
      <c r="A315" s="3">
        <f ca="1">IFERROR(__xludf.DUMMYFUNCTION("""COMPUTED_VALUE"""),38807.6666666666)</f>
        <v>38807.666666666599</v>
      </c>
      <c r="B315" s="1">
        <f ca="1">IFERROR(__xludf.DUMMYFUNCTION("""COMPUTED_VALUE"""),27.21)</f>
        <v>27.21</v>
      </c>
    </row>
    <row r="316" spans="1:2">
      <c r="A316" s="3">
        <f ca="1">IFERROR(__xludf.DUMMYFUNCTION("""COMPUTED_VALUE"""),38810.6666666666)</f>
        <v>38810.666666666599</v>
      </c>
      <c r="B316" s="1">
        <f ca="1">IFERROR(__xludf.DUMMYFUNCTION("""COMPUTED_VALUE"""),27.56)</f>
        <v>27.56</v>
      </c>
    </row>
    <row r="317" spans="1:2">
      <c r="A317" s="3">
        <f ca="1">IFERROR(__xludf.DUMMYFUNCTION("""COMPUTED_VALUE"""),38811.6666666666)</f>
        <v>38811.666666666599</v>
      </c>
      <c r="B317" s="1">
        <f ca="1">IFERROR(__xludf.DUMMYFUNCTION("""COMPUTED_VALUE"""),27.64)</f>
        <v>27.64</v>
      </c>
    </row>
    <row r="318" spans="1:2">
      <c r="A318" s="3">
        <f ca="1">IFERROR(__xludf.DUMMYFUNCTION("""COMPUTED_VALUE"""),38812.6666666666)</f>
        <v>38812.666666666599</v>
      </c>
      <c r="B318" s="1">
        <f ca="1">IFERROR(__xludf.DUMMYFUNCTION("""COMPUTED_VALUE"""),27.74)</f>
        <v>27.74</v>
      </c>
    </row>
    <row r="319" spans="1:2">
      <c r="A319" s="3">
        <f ca="1">IFERROR(__xludf.DUMMYFUNCTION("""COMPUTED_VALUE"""),38813.6666666666)</f>
        <v>38813.666666666599</v>
      </c>
      <c r="B319" s="1">
        <f ca="1">IFERROR(__xludf.DUMMYFUNCTION("""COMPUTED_VALUE"""),27.56)</f>
        <v>27.56</v>
      </c>
    </row>
    <row r="320" spans="1:2">
      <c r="A320" s="3">
        <f ca="1">IFERROR(__xludf.DUMMYFUNCTION("""COMPUTED_VALUE"""),38814.6666666666)</f>
        <v>38814.666666666599</v>
      </c>
      <c r="B320" s="1">
        <f ca="1">IFERROR(__xludf.DUMMYFUNCTION("""COMPUTED_VALUE"""),27.25)</f>
        <v>27.25</v>
      </c>
    </row>
    <row r="321" spans="1:2">
      <c r="A321" s="3">
        <f ca="1">IFERROR(__xludf.DUMMYFUNCTION("""COMPUTED_VALUE"""),38817.6666666666)</f>
        <v>38817.666666666599</v>
      </c>
      <c r="B321" s="1">
        <f ca="1">IFERROR(__xludf.DUMMYFUNCTION("""COMPUTED_VALUE"""),27.29)</f>
        <v>27.29</v>
      </c>
    </row>
    <row r="322" spans="1:2">
      <c r="A322" s="3">
        <f ca="1">IFERROR(__xludf.DUMMYFUNCTION("""COMPUTED_VALUE"""),38818.6666666666)</f>
        <v>38818.666666666599</v>
      </c>
      <c r="B322" s="1">
        <f ca="1">IFERROR(__xludf.DUMMYFUNCTION("""COMPUTED_VALUE"""),27.13)</f>
        <v>27.13</v>
      </c>
    </row>
    <row r="323" spans="1:2">
      <c r="A323" s="3">
        <f ca="1">IFERROR(__xludf.DUMMYFUNCTION("""COMPUTED_VALUE"""),38819.6666666666)</f>
        <v>38819.666666666599</v>
      </c>
      <c r="B323" s="1">
        <f ca="1">IFERROR(__xludf.DUMMYFUNCTION("""COMPUTED_VALUE"""),27.2)</f>
        <v>27.2</v>
      </c>
    </row>
    <row r="324" spans="1:2">
      <c r="A324" s="3">
        <f ca="1">IFERROR(__xludf.DUMMYFUNCTION("""COMPUTED_VALUE"""),38820.6666666666)</f>
        <v>38820.666666666599</v>
      </c>
      <c r="B324" s="1">
        <f ca="1">IFERROR(__xludf.DUMMYFUNCTION("""COMPUTED_VALUE"""),27.07)</f>
        <v>27.07</v>
      </c>
    </row>
    <row r="325" spans="1:2">
      <c r="A325" s="3">
        <f ca="1">IFERROR(__xludf.DUMMYFUNCTION("""COMPUTED_VALUE"""),38824.6666666666)</f>
        <v>38824.666666666599</v>
      </c>
      <c r="B325" s="1">
        <f ca="1">IFERROR(__xludf.DUMMYFUNCTION("""COMPUTED_VALUE"""),26.84)</f>
        <v>26.84</v>
      </c>
    </row>
    <row r="326" spans="1:2">
      <c r="A326" s="3">
        <f ca="1">IFERROR(__xludf.DUMMYFUNCTION("""COMPUTED_VALUE"""),38825.6666666666)</f>
        <v>38825.666666666599</v>
      </c>
      <c r="B326" s="1">
        <f ca="1">IFERROR(__xludf.DUMMYFUNCTION("""COMPUTED_VALUE"""),27.22)</f>
        <v>27.22</v>
      </c>
    </row>
    <row r="327" spans="1:2">
      <c r="A327" s="3">
        <f ca="1">IFERROR(__xludf.DUMMYFUNCTION("""COMPUTED_VALUE"""),38826.6666666666)</f>
        <v>38826.666666666599</v>
      </c>
      <c r="B327" s="1">
        <f ca="1">IFERROR(__xludf.DUMMYFUNCTION("""COMPUTED_VALUE"""),27.03)</f>
        <v>27.03</v>
      </c>
    </row>
    <row r="328" spans="1:2">
      <c r="A328" s="3">
        <f ca="1">IFERROR(__xludf.DUMMYFUNCTION("""COMPUTED_VALUE"""),38827.6666666666)</f>
        <v>38827.666666666599</v>
      </c>
      <c r="B328" s="1">
        <f ca="1">IFERROR(__xludf.DUMMYFUNCTION("""COMPUTED_VALUE"""),27.03)</f>
        <v>27.03</v>
      </c>
    </row>
    <row r="329" spans="1:2">
      <c r="A329" s="3">
        <f ca="1">IFERROR(__xludf.DUMMYFUNCTION("""COMPUTED_VALUE"""),38828.6666666666)</f>
        <v>38828.666666666599</v>
      </c>
      <c r="B329" s="1">
        <f ca="1">IFERROR(__xludf.DUMMYFUNCTION("""COMPUTED_VALUE"""),27.15)</f>
        <v>27.15</v>
      </c>
    </row>
    <row r="330" spans="1:2">
      <c r="A330" s="3">
        <f ca="1">IFERROR(__xludf.DUMMYFUNCTION("""COMPUTED_VALUE"""),38831.6666666666)</f>
        <v>38831.666666666599</v>
      </c>
      <c r="B330" s="1">
        <f ca="1">IFERROR(__xludf.DUMMYFUNCTION("""COMPUTED_VALUE"""),27.11)</f>
        <v>27.11</v>
      </c>
    </row>
    <row r="331" spans="1:2">
      <c r="A331" s="3">
        <f ca="1">IFERROR(__xludf.DUMMYFUNCTION("""COMPUTED_VALUE"""),38832.6666666666)</f>
        <v>38832.666666666599</v>
      </c>
      <c r="B331" s="1">
        <f ca="1">IFERROR(__xludf.DUMMYFUNCTION("""COMPUTED_VALUE"""),27.11)</f>
        <v>27.11</v>
      </c>
    </row>
    <row r="332" spans="1:2">
      <c r="A332" s="3">
        <f ca="1">IFERROR(__xludf.DUMMYFUNCTION("""COMPUTED_VALUE"""),38833.6666666666)</f>
        <v>38833.666666666599</v>
      </c>
      <c r="B332" s="1">
        <f ca="1">IFERROR(__xludf.DUMMYFUNCTION("""COMPUTED_VALUE"""),27.1)</f>
        <v>27.1</v>
      </c>
    </row>
    <row r="333" spans="1:2">
      <c r="A333" s="3">
        <f ca="1">IFERROR(__xludf.DUMMYFUNCTION("""COMPUTED_VALUE"""),38834.6666666666)</f>
        <v>38834.666666666599</v>
      </c>
      <c r="B333" s="1">
        <f ca="1">IFERROR(__xludf.DUMMYFUNCTION("""COMPUTED_VALUE"""),27.25)</f>
        <v>27.25</v>
      </c>
    </row>
    <row r="334" spans="1:2">
      <c r="A334" s="3">
        <f ca="1">IFERROR(__xludf.DUMMYFUNCTION("""COMPUTED_VALUE"""),38835.6666666666)</f>
        <v>38835.666666666599</v>
      </c>
      <c r="B334" s="1">
        <f ca="1">IFERROR(__xludf.DUMMYFUNCTION("""COMPUTED_VALUE"""),24.15)</f>
        <v>24.15</v>
      </c>
    </row>
    <row r="335" spans="1:2">
      <c r="A335" s="3">
        <f ca="1">IFERROR(__xludf.DUMMYFUNCTION("""COMPUTED_VALUE"""),38838.6666666666)</f>
        <v>38838.666666666599</v>
      </c>
      <c r="B335" s="1">
        <f ca="1">IFERROR(__xludf.DUMMYFUNCTION("""COMPUTED_VALUE"""),24.29)</f>
        <v>24.29</v>
      </c>
    </row>
    <row r="336" spans="1:2">
      <c r="A336" s="3">
        <f ca="1">IFERROR(__xludf.DUMMYFUNCTION("""COMPUTED_VALUE"""),38839.6666666666)</f>
        <v>38839.666666666599</v>
      </c>
      <c r="B336" s="1">
        <f ca="1">IFERROR(__xludf.DUMMYFUNCTION("""COMPUTED_VALUE"""),24.01)</f>
        <v>24.01</v>
      </c>
    </row>
    <row r="337" spans="1:2">
      <c r="A337" s="3">
        <f ca="1">IFERROR(__xludf.DUMMYFUNCTION("""COMPUTED_VALUE"""),38840.6666666666)</f>
        <v>38840.666666666599</v>
      </c>
      <c r="B337" s="1">
        <f ca="1">IFERROR(__xludf.DUMMYFUNCTION("""COMPUTED_VALUE"""),23.17)</f>
        <v>23.17</v>
      </c>
    </row>
    <row r="338" spans="1:2">
      <c r="A338" s="3">
        <f ca="1">IFERROR(__xludf.DUMMYFUNCTION("""COMPUTED_VALUE"""),38841.6666666666)</f>
        <v>38841.666666666599</v>
      </c>
      <c r="B338" s="1">
        <f ca="1">IFERROR(__xludf.DUMMYFUNCTION("""COMPUTED_VALUE"""),23.44)</f>
        <v>23.44</v>
      </c>
    </row>
    <row r="339" spans="1:2">
      <c r="A339" s="3">
        <f ca="1">IFERROR(__xludf.DUMMYFUNCTION("""COMPUTED_VALUE"""),38842.6666666666)</f>
        <v>38842.666666666599</v>
      </c>
      <c r="B339" s="1">
        <f ca="1">IFERROR(__xludf.DUMMYFUNCTION("""COMPUTED_VALUE"""),23.8)</f>
        <v>23.8</v>
      </c>
    </row>
    <row r="340" spans="1:2">
      <c r="A340" s="3">
        <f ca="1">IFERROR(__xludf.DUMMYFUNCTION("""COMPUTED_VALUE"""),38845.6666666666)</f>
        <v>38845.666666666599</v>
      </c>
      <c r="B340" s="1">
        <f ca="1">IFERROR(__xludf.DUMMYFUNCTION("""COMPUTED_VALUE"""),23.73)</f>
        <v>23.73</v>
      </c>
    </row>
    <row r="341" spans="1:2">
      <c r="A341" s="3">
        <f ca="1">IFERROR(__xludf.DUMMYFUNCTION("""COMPUTED_VALUE"""),38846.6666666666)</f>
        <v>38846.666666666599</v>
      </c>
      <c r="B341" s="1">
        <f ca="1">IFERROR(__xludf.DUMMYFUNCTION("""COMPUTED_VALUE"""),23.62)</f>
        <v>23.62</v>
      </c>
    </row>
    <row r="342" spans="1:2">
      <c r="A342" s="3">
        <f ca="1">IFERROR(__xludf.DUMMYFUNCTION("""COMPUTED_VALUE"""),38847.6666666666)</f>
        <v>38847.666666666599</v>
      </c>
      <c r="B342" s="1">
        <f ca="1">IFERROR(__xludf.DUMMYFUNCTION("""COMPUTED_VALUE"""),23.77)</f>
        <v>23.77</v>
      </c>
    </row>
    <row r="343" spans="1:2">
      <c r="A343" s="3">
        <f ca="1">IFERROR(__xludf.DUMMYFUNCTION("""COMPUTED_VALUE"""),38848.6666666666)</f>
        <v>38848.666666666599</v>
      </c>
      <c r="B343" s="1">
        <f ca="1">IFERROR(__xludf.DUMMYFUNCTION("""COMPUTED_VALUE"""),23.22)</f>
        <v>23.22</v>
      </c>
    </row>
    <row r="344" spans="1:2">
      <c r="A344" s="3">
        <f ca="1">IFERROR(__xludf.DUMMYFUNCTION("""COMPUTED_VALUE"""),38849.6666666666)</f>
        <v>38849.666666666599</v>
      </c>
      <c r="B344" s="1">
        <f ca="1">IFERROR(__xludf.DUMMYFUNCTION("""COMPUTED_VALUE"""),23.17)</f>
        <v>23.17</v>
      </c>
    </row>
    <row r="345" spans="1:2">
      <c r="A345" s="3">
        <f ca="1">IFERROR(__xludf.DUMMYFUNCTION("""COMPUTED_VALUE"""),38852.6666666666)</f>
        <v>38852.666666666599</v>
      </c>
      <c r="B345" s="1">
        <f ca="1">IFERROR(__xludf.DUMMYFUNCTION("""COMPUTED_VALUE"""),23.15)</f>
        <v>23.15</v>
      </c>
    </row>
    <row r="346" spans="1:2">
      <c r="A346" s="3">
        <f ca="1">IFERROR(__xludf.DUMMYFUNCTION("""COMPUTED_VALUE"""),38853.6666666666)</f>
        <v>38853.666666666599</v>
      </c>
      <c r="B346" s="1">
        <f ca="1">IFERROR(__xludf.DUMMYFUNCTION("""COMPUTED_VALUE"""),23.01)</f>
        <v>23.01</v>
      </c>
    </row>
    <row r="347" spans="1:2">
      <c r="A347" s="3">
        <f ca="1">IFERROR(__xludf.DUMMYFUNCTION("""COMPUTED_VALUE"""),38854.6666666666)</f>
        <v>38854.666666666599</v>
      </c>
      <c r="B347" s="1">
        <f ca="1">IFERROR(__xludf.DUMMYFUNCTION("""COMPUTED_VALUE"""),22.73)</f>
        <v>22.73</v>
      </c>
    </row>
    <row r="348" spans="1:2">
      <c r="A348" s="3">
        <f ca="1">IFERROR(__xludf.DUMMYFUNCTION("""COMPUTED_VALUE"""),38855.6666666666)</f>
        <v>38855.666666666599</v>
      </c>
      <c r="B348" s="1">
        <f ca="1">IFERROR(__xludf.DUMMYFUNCTION("""COMPUTED_VALUE"""),22.83)</f>
        <v>22.83</v>
      </c>
    </row>
    <row r="349" spans="1:2">
      <c r="A349" s="3">
        <f ca="1">IFERROR(__xludf.DUMMYFUNCTION("""COMPUTED_VALUE"""),38856.6666666666)</f>
        <v>38856.666666666599</v>
      </c>
      <c r="B349" s="1">
        <f ca="1">IFERROR(__xludf.DUMMYFUNCTION("""COMPUTED_VALUE"""),22.56)</f>
        <v>22.56</v>
      </c>
    </row>
    <row r="350" spans="1:2">
      <c r="A350" s="3">
        <f ca="1">IFERROR(__xludf.DUMMYFUNCTION("""COMPUTED_VALUE"""),38859.6666666666)</f>
        <v>38859.666666666599</v>
      </c>
      <c r="B350" s="1">
        <f ca="1">IFERROR(__xludf.DUMMYFUNCTION("""COMPUTED_VALUE"""),22.88)</f>
        <v>22.88</v>
      </c>
    </row>
    <row r="351" spans="1:2">
      <c r="A351" s="3">
        <f ca="1">IFERROR(__xludf.DUMMYFUNCTION("""COMPUTED_VALUE"""),38860.6666666666)</f>
        <v>38860.666666666599</v>
      </c>
      <c r="B351" s="1">
        <f ca="1">IFERROR(__xludf.DUMMYFUNCTION("""COMPUTED_VALUE"""),22.79)</f>
        <v>22.79</v>
      </c>
    </row>
    <row r="352" spans="1:2">
      <c r="A352" s="3">
        <f ca="1">IFERROR(__xludf.DUMMYFUNCTION("""COMPUTED_VALUE"""),38861.6666666666)</f>
        <v>38861.666666666599</v>
      </c>
      <c r="B352" s="1">
        <f ca="1">IFERROR(__xludf.DUMMYFUNCTION("""COMPUTED_VALUE"""),23.5)</f>
        <v>23.5</v>
      </c>
    </row>
    <row r="353" spans="1:2">
      <c r="A353" s="3">
        <f ca="1">IFERROR(__xludf.DUMMYFUNCTION("""COMPUTED_VALUE"""),38862.6666666666)</f>
        <v>38862.666666666599</v>
      </c>
      <c r="B353" s="1">
        <f ca="1">IFERROR(__xludf.DUMMYFUNCTION("""COMPUTED_VALUE"""),23.74)</f>
        <v>23.74</v>
      </c>
    </row>
    <row r="354" spans="1:2">
      <c r="A354" s="3">
        <f ca="1">IFERROR(__xludf.DUMMYFUNCTION("""COMPUTED_VALUE"""),38863.6666666666)</f>
        <v>38863.666666666599</v>
      </c>
      <c r="B354" s="1">
        <f ca="1">IFERROR(__xludf.DUMMYFUNCTION("""COMPUTED_VALUE"""),23.72)</f>
        <v>23.72</v>
      </c>
    </row>
    <row r="355" spans="1:2">
      <c r="A355" s="3">
        <f ca="1">IFERROR(__xludf.DUMMYFUNCTION("""COMPUTED_VALUE"""),38867.6666666666)</f>
        <v>38867.666666666599</v>
      </c>
      <c r="B355" s="1">
        <f ca="1">IFERROR(__xludf.DUMMYFUNCTION("""COMPUTED_VALUE"""),23.15)</f>
        <v>23.15</v>
      </c>
    </row>
    <row r="356" spans="1:2">
      <c r="A356" s="3">
        <f ca="1">IFERROR(__xludf.DUMMYFUNCTION("""COMPUTED_VALUE"""),38868.6666666666)</f>
        <v>38868.666666666599</v>
      </c>
      <c r="B356" s="1">
        <f ca="1">IFERROR(__xludf.DUMMYFUNCTION("""COMPUTED_VALUE"""),22.65)</f>
        <v>22.65</v>
      </c>
    </row>
    <row r="357" spans="1:2">
      <c r="A357" s="3">
        <f ca="1">IFERROR(__xludf.DUMMYFUNCTION("""COMPUTED_VALUE"""),38869.6666666666)</f>
        <v>38869.666666666599</v>
      </c>
      <c r="B357" s="1">
        <f ca="1">IFERROR(__xludf.DUMMYFUNCTION("""COMPUTED_VALUE"""),22.82)</f>
        <v>22.82</v>
      </c>
    </row>
    <row r="358" spans="1:2">
      <c r="A358" s="3">
        <f ca="1">IFERROR(__xludf.DUMMYFUNCTION("""COMPUTED_VALUE"""),38870.6666666666)</f>
        <v>38870.666666666599</v>
      </c>
      <c r="B358" s="1">
        <f ca="1">IFERROR(__xludf.DUMMYFUNCTION("""COMPUTED_VALUE"""),22.76)</f>
        <v>22.76</v>
      </c>
    </row>
    <row r="359" spans="1:2">
      <c r="A359" s="3">
        <f ca="1">IFERROR(__xludf.DUMMYFUNCTION("""COMPUTED_VALUE"""),38873.6666666666)</f>
        <v>38873.666666666599</v>
      </c>
      <c r="B359" s="1">
        <f ca="1">IFERROR(__xludf.DUMMYFUNCTION("""COMPUTED_VALUE"""),22.5)</f>
        <v>22.5</v>
      </c>
    </row>
    <row r="360" spans="1:2">
      <c r="A360" s="3">
        <f ca="1">IFERROR(__xludf.DUMMYFUNCTION("""COMPUTED_VALUE"""),38874.6666666666)</f>
        <v>38874.666666666599</v>
      </c>
      <c r="B360" s="1">
        <f ca="1">IFERROR(__xludf.DUMMYFUNCTION("""COMPUTED_VALUE"""),22.13)</f>
        <v>22.13</v>
      </c>
    </row>
    <row r="361" spans="1:2">
      <c r="A361" s="3">
        <f ca="1">IFERROR(__xludf.DUMMYFUNCTION("""COMPUTED_VALUE"""),38875.6666666666)</f>
        <v>38875.666666666599</v>
      </c>
      <c r="B361" s="1">
        <f ca="1">IFERROR(__xludf.DUMMYFUNCTION("""COMPUTED_VALUE"""),22.04)</f>
        <v>22.04</v>
      </c>
    </row>
    <row r="362" spans="1:2">
      <c r="A362" s="3">
        <f ca="1">IFERROR(__xludf.DUMMYFUNCTION("""COMPUTED_VALUE"""),38876.6666666666)</f>
        <v>38876.666666666599</v>
      </c>
      <c r="B362" s="1">
        <f ca="1">IFERROR(__xludf.DUMMYFUNCTION("""COMPUTED_VALUE"""),22.11)</f>
        <v>22.11</v>
      </c>
    </row>
    <row r="363" spans="1:2">
      <c r="A363" s="3">
        <f ca="1">IFERROR(__xludf.DUMMYFUNCTION("""COMPUTED_VALUE"""),38877.6666666666)</f>
        <v>38877.666666666599</v>
      </c>
      <c r="B363" s="1">
        <f ca="1">IFERROR(__xludf.DUMMYFUNCTION("""COMPUTED_VALUE"""),21.92)</f>
        <v>21.92</v>
      </c>
    </row>
    <row r="364" spans="1:2">
      <c r="A364" s="3">
        <f ca="1">IFERROR(__xludf.DUMMYFUNCTION("""COMPUTED_VALUE"""),38880.6666666666)</f>
        <v>38880.666666666599</v>
      </c>
      <c r="B364" s="1">
        <f ca="1">IFERROR(__xludf.DUMMYFUNCTION("""COMPUTED_VALUE"""),21.71)</f>
        <v>21.71</v>
      </c>
    </row>
    <row r="365" spans="1:2">
      <c r="A365" s="3">
        <f ca="1">IFERROR(__xludf.DUMMYFUNCTION("""COMPUTED_VALUE"""),38881.6666666666)</f>
        <v>38881.666666666599</v>
      </c>
      <c r="B365" s="1">
        <f ca="1">IFERROR(__xludf.DUMMYFUNCTION("""COMPUTED_VALUE"""),21.51)</f>
        <v>21.51</v>
      </c>
    </row>
    <row r="366" spans="1:2">
      <c r="A366" s="3">
        <f ca="1">IFERROR(__xludf.DUMMYFUNCTION("""COMPUTED_VALUE"""),38882.6666666666)</f>
        <v>38882.666666666599</v>
      </c>
      <c r="B366" s="1">
        <f ca="1">IFERROR(__xludf.DUMMYFUNCTION("""COMPUTED_VALUE"""),21.88)</f>
        <v>21.88</v>
      </c>
    </row>
    <row r="367" spans="1:2">
      <c r="A367" s="3">
        <f ca="1">IFERROR(__xludf.DUMMYFUNCTION("""COMPUTED_VALUE"""),38883.6666666666)</f>
        <v>38883.666666666599</v>
      </c>
      <c r="B367" s="1">
        <f ca="1">IFERROR(__xludf.DUMMYFUNCTION("""COMPUTED_VALUE"""),22.07)</f>
        <v>22.07</v>
      </c>
    </row>
    <row r="368" spans="1:2">
      <c r="A368" s="3">
        <f ca="1">IFERROR(__xludf.DUMMYFUNCTION("""COMPUTED_VALUE"""),38884.6666666666)</f>
        <v>38884.666666666599</v>
      </c>
      <c r="B368" s="1">
        <f ca="1">IFERROR(__xludf.DUMMYFUNCTION("""COMPUTED_VALUE"""),22.1)</f>
        <v>22.1</v>
      </c>
    </row>
    <row r="369" spans="1:2">
      <c r="A369" s="3">
        <f ca="1">IFERROR(__xludf.DUMMYFUNCTION("""COMPUTED_VALUE"""),38887.6666666666)</f>
        <v>38887.666666666599</v>
      </c>
      <c r="B369" s="1">
        <f ca="1">IFERROR(__xludf.DUMMYFUNCTION("""COMPUTED_VALUE"""),22.55)</f>
        <v>22.55</v>
      </c>
    </row>
    <row r="370" spans="1:2">
      <c r="A370" s="3">
        <f ca="1">IFERROR(__xludf.DUMMYFUNCTION("""COMPUTED_VALUE"""),38888.6666666666)</f>
        <v>38888.666666666599</v>
      </c>
      <c r="B370" s="1">
        <f ca="1">IFERROR(__xludf.DUMMYFUNCTION("""COMPUTED_VALUE"""),22.56)</f>
        <v>22.56</v>
      </c>
    </row>
    <row r="371" spans="1:2">
      <c r="A371" s="3">
        <f ca="1">IFERROR(__xludf.DUMMYFUNCTION("""COMPUTED_VALUE"""),38889.6666666666)</f>
        <v>38889.666666666599</v>
      </c>
      <c r="B371" s="1">
        <f ca="1">IFERROR(__xludf.DUMMYFUNCTION("""COMPUTED_VALUE"""),23.08)</f>
        <v>23.08</v>
      </c>
    </row>
    <row r="372" spans="1:2">
      <c r="A372" s="3">
        <f ca="1">IFERROR(__xludf.DUMMYFUNCTION("""COMPUTED_VALUE"""),38890.6666666666)</f>
        <v>38890.666666666599</v>
      </c>
      <c r="B372" s="1">
        <f ca="1">IFERROR(__xludf.DUMMYFUNCTION("""COMPUTED_VALUE"""),22.88)</f>
        <v>22.88</v>
      </c>
    </row>
    <row r="373" spans="1:2">
      <c r="A373" s="3">
        <f ca="1">IFERROR(__xludf.DUMMYFUNCTION("""COMPUTED_VALUE"""),38891.6666666666)</f>
        <v>38891.666666666599</v>
      </c>
      <c r="B373" s="1">
        <f ca="1">IFERROR(__xludf.DUMMYFUNCTION("""COMPUTED_VALUE"""),22.5)</f>
        <v>22.5</v>
      </c>
    </row>
    <row r="374" spans="1:2">
      <c r="A374" s="3">
        <f ca="1">IFERROR(__xludf.DUMMYFUNCTION("""COMPUTED_VALUE"""),38894.6666666666)</f>
        <v>38894.666666666599</v>
      </c>
      <c r="B374" s="1">
        <f ca="1">IFERROR(__xludf.DUMMYFUNCTION("""COMPUTED_VALUE"""),22.82)</f>
        <v>22.82</v>
      </c>
    </row>
    <row r="375" spans="1:2">
      <c r="A375" s="3">
        <f ca="1">IFERROR(__xludf.DUMMYFUNCTION("""COMPUTED_VALUE"""),38895.6666666666)</f>
        <v>38895.666666666599</v>
      </c>
      <c r="B375" s="1">
        <f ca="1">IFERROR(__xludf.DUMMYFUNCTION("""COMPUTED_VALUE"""),22.86)</f>
        <v>22.86</v>
      </c>
    </row>
    <row r="376" spans="1:2">
      <c r="A376" s="3">
        <f ca="1">IFERROR(__xludf.DUMMYFUNCTION("""COMPUTED_VALUE"""),38896.6666666666)</f>
        <v>38896.666666666599</v>
      </c>
      <c r="B376" s="1">
        <f ca="1">IFERROR(__xludf.DUMMYFUNCTION("""COMPUTED_VALUE"""),23.16)</f>
        <v>23.16</v>
      </c>
    </row>
    <row r="377" spans="1:2">
      <c r="A377" s="3">
        <f ca="1">IFERROR(__xludf.DUMMYFUNCTION("""COMPUTED_VALUE"""),38897.6666666666)</f>
        <v>38897.666666666599</v>
      </c>
      <c r="B377" s="1">
        <f ca="1">IFERROR(__xludf.DUMMYFUNCTION("""COMPUTED_VALUE"""),23.47)</f>
        <v>23.47</v>
      </c>
    </row>
    <row r="378" spans="1:2">
      <c r="A378" s="3">
        <f ca="1">IFERROR(__xludf.DUMMYFUNCTION("""COMPUTED_VALUE"""),38898.6666666666)</f>
        <v>38898.666666666599</v>
      </c>
      <c r="B378" s="1">
        <f ca="1">IFERROR(__xludf.DUMMYFUNCTION("""COMPUTED_VALUE"""),23.3)</f>
        <v>23.3</v>
      </c>
    </row>
    <row r="379" spans="1:2">
      <c r="A379" s="3">
        <f ca="1">IFERROR(__xludf.DUMMYFUNCTION("""COMPUTED_VALUE"""),38901.6666666666)</f>
        <v>38901.666666666599</v>
      </c>
      <c r="B379" s="1">
        <f ca="1">IFERROR(__xludf.DUMMYFUNCTION("""COMPUTED_VALUE"""),23.7)</f>
        <v>23.7</v>
      </c>
    </row>
    <row r="380" spans="1:2">
      <c r="A380" s="3">
        <f ca="1">IFERROR(__xludf.DUMMYFUNCTION("""COMPUTED_VALUE"""),38903.6666666666)</f>
        <v>38903.666666666599</v>
      </c>
      <c r="B380" s="1">
        <f ca="1">IFERROR(__xludf.DUMMYFUNCTION("""COMPUTED_VALUE"""),23.35)</f>
        <v>23.35</v>
      </c>
    </row>
    <row r="381" spans="1:2">
      <c r="A381" s="3">
        <f ca="1">IFERROR(__xludf.DUMMYFUNCTION("""COMPUTED_VALUE"""),38904.6666666666)</f>
        <v>38904.666666666599</v>
      </c>
      <c r="B381" s="1">
        <f ca="1">IFERROR(__xludf.DUMMYFUNCTION("""COMPUTED_VALUE"""),23.48)</f>
        <v>23.48</v>
      </c>
    </row>
    <row r="382" spans="1:2">
      <c r="A382" s="3">
        <f ca="1">IFERROR(__xludf.DUMMYFUNCTION("""COMPUTED_VALUE"""),38905.6666666666)</f>
        <v>38905.666666666599</v>
      </c>
      <c r="B382" s="1">
        <f ca="1">IFERROR(__xludf.DUMMYFUNCTION("""COMPUTED_VALUE"""),23.3)</f>
        <v>23.3</v>
      </c>
    </row>
    <row r="383" spans="1:2">
      <c r="A383" s="3">
        <f ca="1">IFERROR(__xludf.DUMMYFUNCTION("""COMPUTED_VALUE"""),38908.6666666666)</f>
        <v>38908.666666666599</v>
      </c>
      <c r="B383" s="1">
        <f ca="1">IFERROR(__xludf.DUMMYFUNCTION("""COMPUTED_VALUE"""),23.5)</f>
        <v>23.5</v>
      </c>
    </row>
    <row r="384" spans="1:2">
      <c r="A384" s="3">
        <f ca="1">IFERROR(__xludf.DUMMYFUNCTION("""COMPUTED_VALUE"""),38909.6666666666)</f>
        <v>38909.666666666599</v>
      </c>
      <c r="B384" s="1">
        <f ca="1">IFERROR(__xludf.DUMMYFUNCTION("""COMPUTED_VALUE"""),23.1)</f>
        <v>23.1</v>
      </c>
    </row>
    <row r="385" spans="1:2">
      <c r="A385" s="3">
        <f ca="1">IFERROR(__xludf.DUMMYFUNCTION("""COMPUTED_VALUE"""),38910.6666666666)</f>
        <v>38910.666666666599</v>
      </c>
      <c r="B385" s="1">
        <f ca="1">IFERROR(__xludf.DUMMYFUNCTION("""COMPUTED_VALUE"""),22.64)</f>
        <v>22.64</v>
      </c>
    </row>
    <row r="386" spans="1:2">
      <c r="A386" s="3">
        <f ca="1">IFERROR(__xludf.DUMMYFUNCTION("""COMPUTED_VALUE"""),38911.6666666666)</f>
        <v>38911.666666666599</v>
      </c>
      <c r="B386" s="1">
        <f ca="1">IFERROR(__xludf.DUMMYFUNCTION("""COMPUTED_VALUE"""),22.26)</f>
        <v>22.26</v>
      </c>
    </row>
    <row r="387" spans="1:2">
      <c r="A387" s="3">
        <f ca="1">IFERROR(__xludf.DUMMYFUNCTION("""COMPUTED_VALUE"""),38912.6666666666)</f>
        <v>38912.666666666599</v>
      </c>
      <c r="B387" s="1">
        <f ca="1">IFERROR(__xludf.DUMMYFUNCTION("""COMPUTED_VALUE"""),22.29)</f>
        <v>22.29</v>
      </c>
    </row>
    <row r="388" spans="1:2">
      <c r="A388" s="3">
        <f ca="1">IFERROR(__xludf.DUMMYFUNCTION("""COMPUTED_VALUE"""),38915.6666666666)</f>
        <v>38915.666666666599</v>
      </c>
      <c r="B388" s="1">
        <f ca="1">IFERROR(__xludf.DUMMYFUNCTION("""COMPUTED_VALUE"""),22.48)</f>
        <v>22.48</v>
      </c>
    </row>
    <row r="389" spans="1:2">
      <c r="A389" s="3">
        <f ca="1">IFERROR(__xludf.DUMMYFUNCTION("""COMPUTED_VALUE"""),38916.6666666666)</f>
        <v>38916.666666666599</v>
      </c>
      <c r="B389" s="1">
        <f ca="1">IFERROR(__xludf.DUMMYFUNCTION("""COMPUTED_VALUE"""),22.74)</f>
        <v>22.74</v>
      </c>
    </row>
    <row r="390" spans="1:2">
      <c r="A390" s="3">
        <f ca="1">IFERROR(__xludf.DUMMYFUNCTION("""COMPUTED_VALUE"""),38917.6666666666)</f>
        <v>38917.666666666599</v>
      </c>
      <c r="B390" s="1">
        <f ca="1">IFERROR(__xludf.DUMMYFUNCTION("""COMPUTED_VALUE"""),23.4)</f>
        <v>23.4</v>
      </c>
    </row>
    <row r="391" spans="1:2">
      <c r="A391" s="3">
        <f ca="1">IFERROR(__xludf.DUMMYFUNCTION("""COMPUTED_VALUE"""),38918.6666666666)</f>
        <v>38918.666666666599</v>
      </c>
      <c r="B391" s="1">
        <f ca="1">IFERROR(__xludf.DUMMYFUNCTION("""COMPUTED_VALUE"""),22.85)</f>
        <v>22.85</v>
      </c>
    </row>
    <row r="392" spans="1:2">
      <c r="A392" s="3">
        <f ca="1">IFERROR(__xludf.DUMMYFUNCTION("""COMPUTED_VALUE"""),38919.6666666666)</f>
        <v>38919.666666666599</v>
      </c>
      <c r="B392" s="1">
        <f ca="1">IFERROR(__xludf.DUMMYFUNCTION("""COMPUTED_VALUE"""),23.87)</f>
        <v>23.87</v>
      </c>
    </row>
    <row r="393" spans="1:2">
      <c r="A393" s="3">
        <f ca="1">IFERROR(__xludf.DUMMYFUNCTION("""COMPUTED_VALUE"""),38922.6666666666)</f>
        <v>38922.666666666599</v>
      </c>
      <c r="B393" s="1">
        <f ca="1">IFERROR(__xludf.DUMMYFUNCTION("""COMPUTED_VALUE"""),24)</f>
        <v>24</v>
      </c>
    </row>
    <row r="394" spans="1:2">
      <c r="A394" s="3">
        <f ca="1">IFERROR(__xludf.DUMMYFUNCTION("""COMPUTED_VALUE"""),38923.6666666666)</f>
        <v>38923.666666666599</v>
      </c>
      <c r="B394" s="1">
        <f ca="1">IFERROR(__xludf.DUMMYFUNCTION("""COMPUTED_VALUE"""),24.22)</f>
        <v>24.22</v>
      </c>
    </row>
    <row r="395" spans="1:2">
      <c r="A395" s="3">
        <f ca="1">IFERROR(__xludf.DUMMYFUNCTION("""COMPUTED_VALUE"""),38924.6666666666)</f>
        <v>38924.666666666599</v>
      </c>
      <c r="B395" s="1">
        <f ca="1">IFERROR(__xludf.DUMMYFUNCTION("""COMPUTED_VALUE"""),24.37)</f>
        <v>24.37</v>
      </c>
    </row>
    <row r="396" spans="1:2">
      <c r="A396" s="3">
        <f ca="1">IFERROR(__xludf.DUMMYFUNCTION("""COMPUTED_VALUE"""),38925.6666666666)</f>
        <v>38925.666666666599</v>
      </c>
      <c r="B396" s="1">
        <f ca="1">IFERROR(__xludf.DUMMYFUNCTION("""COMPUTED_VALUE"""),23.88)</f>
        <v>23.88</v>
      </c>
    </row>
    <row r="397" spans="1:2">
      <c r="A397" s="3">
        <f ca="1">IFERROR(__xludf.DUMMYFUNCTION("""COMPUTED_VALUE"""),38926.6666666666)</f>
        <v>38926.666666666599</v>
      </c>
      <c r="B397" s="1">
        <f ca="1">IFERROR(__xludf.DUMMYFUNCTION("""COMPUTED_VALUE"""),24.25)</f>
        <v>24.25</v>
      </c>
    </row>
    <row r="398" spans="1:2">
      <c r="A398" s="3">
        <f ca="1">IFERROR(__xludf.DUMMYFUNCTION("""COMPUTED_VALUE"""),38929.6666666666)</f>
        <v>38929.666666666599</v>
      </c>
      <c r="B398" s="1">
        <f ca="1">IFERROR(__xludf.DUMMYFUNCTION("""COMPUTED_VALUE"""),24.06)</f>
        <v>24.06</v>
      </c>
    </row>
    <row r="399" spans="1:2">
      <c r="A399" s="3">
        <f ca="1">IFERROR(__xludf.DUMMYFUNCTION("""COMPUTED_VALUE"""),38930.6666666666)</f>
        <v>38930.666666666599</v>
      </c>
      <c r="B399" s="1">
        <f ca="1">IFERROR(__xludf.DUMMYFUNCTION("""COMPUTED_VALUE"""),23.99)</f>
        <v>23.99</v>
      </c>
    </row>
    <row r="400" spans="1:2">
      <c r="A400" s="3">
        <f ca="1">IFERROR(__xludf.DUMMYFUNCTION("""COMPUTED_VALUE"""),38931.6666666666)</f>
        <v>38931.666666666599</v>
      </c>
      <c r="B400" s="1">
        <f ca="1">IFERROR(__xludf.DUMMYFUNCTION("""COMPUTED_VALUE"""),24.3)</f>
        <v>24.3</v>
      </c>
    </row>
    <row r="401" spans="1:2">
      <c r="A401" s="3">
        <f ca="1">IFERROR(__xludf.DUMMYFUNCTION("""COMPUTED_VALUE"""),38932.6666666666)</f>
        <v>38932.666666666599</v>
      </c>
      <c r="B401" s="1">
        <f ca="1">IFERROR(__xludf.DUMMYFUNCTION("""COMPUTED_VALUE"""),24.21)</f>
        <v>24.21</v>
      </c>
    </row>
    <row r="402" spans="1:2">
      <c r="A402" s="3">
        <f ca="1">IFERROR(__xludf.DUMMYFUNCTION("""COMPUTED_VALUE"""),38933.6666666666)</f>
        <v>38933.666666666599</v>
      </c>
      <c r="B402" s="1">
        <f ca="1">IFERROR(__xludf.DUMMYFUNCTION("""COMPUTED_VALUE"""),24.29)</f>
        <v>24.29</v>
      </c>
    </row>
    <row r="403" spans="1:2">
      <c r="A403" s="3">
        <f ca="1">IFERROR(__xludf.DUMMYFUNCTION("""COMPUTED_VALUE"""),38936.6666666666)</f>
        <v>38936.666666666599</v>
      </c>
      <c r="B403" s="1">
        <f ca="1">IFERROR(__xludf.DUMMYFUNCTION("""COMPUTED_VALUE"""),24.22)</f>
        <v>24.22</v>
      </c>
    </row>
    <row r="404" spans="1:2">
      <c r="A404" s="3">
        <f ca="1">IFERROR(__xludf.DUMMYFUNCTION("""COMPUTED_VALUE"""),38937.6666666666)</f>
        <v>38937.666666666599</v>
      </c>
      <c r="B404" s="1">
        <f ca="1">IFERROR(__xludf.DUMMYFUNCTION("""COMPUTED_VALUE"""),24.34)</f>
        <v>24.34</v>
      </c>
    </row>
    <row r="405" spans="1:2">
      <c r="A405" s="3">
        <f ca="1">IFERROR(__xludf.DUMMYFUNCTION("""COMPUTED_VALUE"""),38938.6666666666)</f>
        <v>38938.666666666599</v>
      </c>
      <c r="B405" s="1">
        <f ca="1">IFERROR(__xludf.DUMMYFUNCTION("""COMPUTED_VALUE"""),24.44)</f>
        <v>24.44</v>
      </c>
    </row>
    <row r="406" spans="1:2">
      <c r="A406" s="3">
        <f ca="1">IFERROR(__xludf.DUMMYFUNCTION("""COMPUTED_VALUE"""),38939.6666666666)</f>
        <v>38939.666666666599</v>
      </c>
      <c r="B406" s="1">
        <f ca="1">IFERROR(__xludf.DUMMYFUNCTION("""COMPUTED_VALUE"""),24.46)</f>
        <v>24.46</v>
      </c>
    </row>
    <row r="407" spans="1:2">
      <c r="A407" s="3">
        <f ca="1">IFERROR(__xludf.DUMMYFUNCTION("""COMPUTED_VALUE"""),38940.6666666666)</f>
        <v>38940.666666666599</v>
      </c>
      <c r="B407" s="1">
        <f ca="1">IFERROR(__xludf.DUMMYFUNCTION("""COMPUTED_VALUE"""),24.43)</f>
        <v>24.43</v>
      </c>
    </row>
    <row r="408" spans="1:2">
      <c r="A408" s="3">
        <f ca="1">IFERROR(__xludf.DUMMYFUNCTION("""COMPUTED_VALUE"""),38943.6666666666)</f>
        <v>38943.666666666599</v>
      </c>
      <c r="B408" s="1">
        <f ca="1">IFERROR(__xludf.DUMMYFUNCTION("""COMPUTED_VALUE"""),24.53)</f>
        <v>24.53</v>
      </c>
    </row>
    <row r="409" spans="1:2">
      <c r="A409" s="3">
        <f ca="1">IFERROR(__xludf.DUMMYFUNCTION("""COMPUTED_VALUE"""),38944.6666666666)</f>
        <v>38944.666666666599</v>
      </c>
      <c r="B409" s="1">
        <f ca="1">IFERROR(__xludf.DUMMYFUNCTION("""COMPUTED_VALUE"""),24.62)</f>
        <v>24.62</v>
      </c>
    </row>
    <row r="410" spans="1:2">
      <c r="A410" s="3">
        <f ca="1">IFERROR(__xludf.DUMMYFUNCTION("""COMPUTED_VALUE"""),38945.6666666666)</f>
        <v>38945.666666666599</v>
      </c>
      <c r="B410" s="1">
        <f ca="1">IFERROR(__xludf.DUMMYFUNCTION("""COMPUTED_VALUE"""),24.7)</f>
        <v>24.7</v>
      </c>
    </row>
    <row r="411" spans="1:2">
      <c r="A411" s="3">
        <f ca="1">IFERROR(__xludf.DUMMYFUNCTION("""COMPUTED_VALUE"""),38946.6666666666)</f>
        <v>38946.666666666599</v>
      </c>
      <c r="B411" s="1">
        <f ca="1">IFERROR(__xludf.DUMMYFUNCTION("""COMPUTED_VALUE"""),24.7)</f>
        <v>24.7</v>
      </c>
    </row>
    <row r="412" spans="1:2">
      <c r="A412" s="3">
        <f ca="1">IFERROR(__xludf.DUMMYFUNCTION("""COMPUTED_VALUE"""),38947.6666666666)</f>
        <v>38947.666666666599</v>
      </c>
      <c r="B412" s="1">
        <f ca="1">IFERROR(__xludf.DUMMYFUNCTION("""COMPUTED_VALUE"""),25.79)</f>
        <v>25.79</v>
      </c>
    </row>
    <row r="413" spans="1:2">
      <c r="A413" s="3">
        <f ca="1">IFERROR(__xludf.DUMMYFUNCTION("""COMPUTED_VALUE"""),38950.6666666666)</f>
        <v>38950.666666666599</v>
      </c>
      <c r="B413" s="1">
        <f ca="1">IFERROR(__xludf.DUMMYFUNCTION("""COMPUTED_VALUE"""),26.12)</f>
        <v>26.12</v>
      </c>
    </row>
    <row r="414" spans="1:2">
      <c r="A414" s="3">
        <f ca="1">IFERROR(__xludf.DUMMYFUNCTION("""COMPUTED_VALUE"""),38951.6666666666)</f>
        <v>38951.666666666599</v>
      </c>
      <c r="B414" s="1">
        <f ca="1">IFERROR(__xludf.DUMMYFUNCTION("""COMPUTED_VALUE"""),25.62)</f>
        <v>25.62</v>
      </c>
    </row>
    <row r="415" spans="1:2">
      <c r="A415" s="3">
        <f ca="1">IFERROR(__xludf.DUMMYFUNCTION("""COMPUTED_VALUE"""),38952.6666666666)</f>
        <v>38952.666666666599</v>
      </c>
      <c r="B415" s="1">
        <f ca="1">IFERROR(__xludf.DUMMYFUNCTION("""COMPUTED_VALUE"""),25.67)</f>
        <v>25.67</v>
      </c>
    </row>
    <row r="416" spans="1:2">
      <c r="A416" s="3">
        <f ca="1">IFERROR(__xludf.DUMMYFUNCTION("""COMPUTED_VALUE"""),38953.6666666666)</f>
        <v>38953.666666666599</v>
      </c>
      <c r="B416" s="1">
        <f ca="1">IFERROR(__xludf.DUMMYFUNCTION("""COMPUTED_VALUE"""),25.74)</f>
        <v>25.74</v>
      </c>
    </row>
    <row r="417" spans="1:2">
      <c r="A417" s="3">
        <f ca="1">IFERROR(__xludf.DUMMYFUNCTION("""COMPUTED_VALUE"""),38954.6666666666)</f>
        <v>38954.666666666599</v>
      </c>
      <c r="B417" s="1">
        <f ca="1">IFERROR(__xludf.DUMMYFUNCTION("""COMPUTED_VALUE"""),25.85)</f>
        <v>25.85</v>
      </c>
    </row>
    <row r="418" spans="1:2">
      <c r="A418" s="3">
        <f ca="1">IFERROR(__xludf.DUMMYFUNCTION("""COMPUTED_VALUE"""),38957.6666666666)</f>
        <v>38957.666666666599</v>
      </c>
      <c r="B418" s="1">
        <f ca="1">IFERROR(__xludf.DUMMYFUNCTION("""COMPUTED_VALUE"""),25.95)</f>
        <v>25.95</v>
      </c>
    </row>
    <row r="419" spans="1:2">
      <c r="A419" s="3">
        <f ca="1">IFERROR(__xludf.DUMMYFUNCTION("""COMPUTED_VALUE"""),38958.6666666666)</f>
        <v>38958.666666666599</v>
      </c>
      <c r="B419" s="1">
        <f ca="1">IFERROR(__xludf.DUMMYFUNCTION("""COMPUTED_VALUE"""),25.84)</f>
        <v>25.84</v>
      </c>
    </row>
    <row r="420" spans="1:2">
      <c r="A420" s="3">
        <f ca="1">IFERROR(__xludf.DUMMYFUNCTION("""COMPUTED_VALUE"""),38959.6666666666)</f>
        <v>38959.666666666599</v>
      </c>
      <c r="B420" s="1">
        <f ca="1">IFERROR(__xludf.DUMMYFUNCTION("""COMPUTED_VALUE"""),25.8)</f>
        <v>25.8</v>
      </c>
    </row>
    <row r="421" spans="1:2">
      <c r="A421" s="3">
        <f ca="1">IFERROR(__xludf.DUMMYFUNCTION("""COMPUTED_VALUE"""),38960.6666666666)</f>
        <v>38960.666666666599</v>
      </c>
      <c r="B421" s="1">
        <f ca="1">IFERROR(__xludf.DUMMYFUNCTION("""COMPUTED_VALUE"""),25.7)</f>
        <v>25.7</v>
      </c>
    </row>
    <row r="422" spans="1:2">
      <c r="A422" s="3">
        <f ca="1">IFERROR(__xludf.DUMMYFUNCTION("""COMPUTED_VALUE"""),38961.6666666666)</f>
        <v>38961.666666666599</v>
      </c>
      <c r="B422" s="1">
        <f ca="1">IFERROR(__xludf.DUMMYFUNCTION("""COMPUTED_VALUE"""),25.84)</f>
        <v>25.84</v>
      </c>
    </row>
    <row r="423" spans="1:2">
      <c r="A423" s="3">
        <f ca="1">IFERROR(__xludf.DUMMYFUNCTION("""COMPUTED_VALUE"""),38965.6666666666)</f>
        <v>38965.666666666599</v>
      </c>
      <c r="B423" s="1">
        <f ca="1">IFERROR(__xludf.DUMMYFUNCTION("""COMPUTED_VALUE"""),25.61)</f>
        <v>25.61</v>
      </c>
    </row>
    <row r="424" spans="1:2">
      <c r="A424" s="3">
        <f ca="1">IFERROR(__xludf.DUMMYFUNCTION("""COMPUTED_VALUE"""),38966.6666666666)</f>
        <v>38966.666666666599</v>
      </c>
      <c r="B424" s="1">
        <f ca="1">IFERROR(__xludf.DUMMYFUNCTION("""COMPUTED_VALUE"""),25.61)</f>
        <v>25.61</v>
      </c>
    </row>
    <row r="425" spans="1:2">
      <c r="A425" s="3">
        <f ca="1">IFERROR(__xludf.DUMMYFUNCTION("""COMPUTED_VALUE"""),38967.6666666666)</f>
        <v>38967.666666666599</v>
      </c>
      <c r="B425" s="1">
        <f ca="1">IFERROR(__xludf.DUMMYFUNCTION("""COMPUTED_VALUE"""),25.43)</f>
        <v>25.43</v>
      </c>
    </row>
    <row r="426" spans="1:2">
      <c r="A426" s="3">
        <f ca="1">IFERROR(__xludf.DUMMYFUNCTION("""COMPUTED_VALUE"""),38968.6666666666)</f>
        <v>38968.666666666599</v>
      </c>
      <c r="B426" s="1">
        <f ca="1">IFERROR(__xludf.DUMMYFUNCTION("""COMPUTED_VALUE"""),25.6)</f>
        <v>25.6</v>
      </c>
    </row>
    <row r="427" spans="1:2">
      <c r="A427" s="3">
        <f ca="1">IFERROR(__xludf.DUMMYFUNCTION("""COMPUTED_VALUE"""),38971.6666666666)</f>
        <v>38971.666666666599</v>
      </c>
      <c r="B427" s="1">
        <f ca="1">IFERROR(__xludf.DUMMYFUNCTION("""COMPUTED_VALUE"""),25.91)</f>
        <v>25.91</v>
      </c>
    </row>
    <row r="428" spans="1:2">
      <c r="A428" s="3">
        <f ca="1">IFERROR(__xludf.DUMMYFUNCTION("""COMPUTED_VALUE"""),38972.6666666666)</f>
        <v>38972.666666666599</v>
      </c>
      <c r="B428" s="1">
        <f ca="1">IFERROR(__xludf.DUMMYFUNCTION("""COMPUTED_VALUE"""),25.93)</f>
        <v>25.93</v>
      </c>
    </row>
    <row r="429" spans="1:2">
      <c r="A429" s="3">
        <f ca="1">IFERROR(__xludf.DUMMYFUNCTION("""COMPUTED_VALUE"""),38973.6666666666)</f>
        <v>38973.666666666599</v>
      </c>
      <c r="B429" s="1">
        <f ca="1">IFERROR(__xludf.DUMMYFUNCTION("""COMPUTED_VALUE"""),25.98)</f>
        <v>25.98</v>
      </c>
    </row>
    <row r="430" spans="1:2">
      <c r="A430" s="3">
        <f ca="1">IFERROR(__xludf.DUMMYFUNCTION("""COMPUTED_VALUE"""),38974.6666666666)</f>
        <v>38974.666666666599</v>
      </c>
      <c r="B430" s="1">
        <f ca="1">IFERROR(__xludf.DUMMYFUNCTION("""COMPUTED_VALUE"""),26.33)</f>
        <v>26.33</v>
      </c>
    </row>
    <row r="431" spans="1:2">
      <c r="A431" s="3">
        <f ca="1">IFERROR(__xludf.DUMMYFUNCTION("""COMPUTED_VALUE"""),38975.6666666666)</f>
        <v>38975.666666666599</v>
      </c>
      <c r="B431" s="1">
        <f ca="1">IFERROR(__xludf.DUMMYFUNCTION("""COMPUTED_VALUE"""),26.85)</f>
        <v>26.85</v>
      </c>
    </row>
    <row r="432" spans="1:2">
      <c r="A432" s="3">
        <f ca="1">IFERROR(__xludf.DUMMYFUNCTION("""COMPUTED_VALUE"""),38978.6666666666)</f>
        <v>38978.666666666599</v>
      </c>
      <c r="B432" s="1">
        <f ca="1">IFERROR(__xludf.DUMMYFUNCTION("""COMPUTED_VALUE"""),26.79)</f>
        <v>26.79</v>
      </c>
    </row>
    <row r="433" spans="1:2">
      <c r="A433" s="3">
        <f ca="1">IFERROR(__xludf.DUMMYFUNCTION("""COMPUTED_VALUE"""),38979.6666666666)</f>
        <v>38979.666666666599</v>
      </c>
      <c r="B433" s="1">
        <f ca="1">IFERROR(__xludf.DUMMYFUNCTION("""COMPUTED_VALUE"""),26.86)</f>
        <v>26.86</v>
      </c>
    </row>
    <row r="434" spans="1:2">
      <c r="A434" s="3">
        <f ca="1">IFERROR(__xludf.DUMMYFUNCTION("""COMPUTED_VALUE"""),38980.6666666666)</f>
        <v>38980.666666666599</v>
      </c>
      <c r="B434" s="1">
        <f ca="1">IFERROR(__xludf.DUMMYFUNCTION("""COMPUTED_VALUE"""),27.18)</f>
        <v>27.18</v>
      </c>
    </row>
    <row r="435" spans="1:2">
      <c r="A435" s="3">
        <f ca="1">IFERROR(__xludf.DUMMYFUNCTION("""COMPUTED_VALUE"""),38981.6666666666)</f>
        <v>38981.666666666599</v>
      </c>
      <c r="B435" s="1">
        <f ca="1">IFERROR(__xludf.DUMMYFUNCTION("""COMPUTED_VALUE"""),26.9)</f>
        <v>26.9</v>
      </c>
    </row>
    <row r="436" spans="1:2">
      <c r="A436" s="3">
        <f ca="1">IFERROR(__xludf.DUMMYFUNCTION("""COMPUTED_VALUE"""),38982.6666666666)</f>
        <v>38982.666666666599</v>
      </c>
      <c r="B436" s="1">
        <f ca="1">IFERROR(__xludf.DUMMYFUNCTION("""COMPUTED_VALUE"""),26.66)</f>
        <v>26.66</v>
      </c>
    </row>
    <row r="437" spans="1:2">
      <c r="A437" s="3">
        <f ca="1">IFERROR(__xludf.DUMMYFUNCTION("""COMPUTED_VALUE"""),38985.6666666666)</f>
        <v>38985.666666666599</v>
      </c>
      <c r="B437" s="1">
        <f ca="1">IFERROR(__xludf.DUMMYFUNCTION("""COMPUTED_VALUE"""),26.95)</f>
        <v>26.95</v>
      </c>
    </row>
    <row r="438" spans="1:2">
      <c r="A438" s="3">
        <f ca="1">IFERROR(__xludf.DUMMYFUNCTION("""COMPUTED_VALUE"""),38986.6666666666)</f>
        <v>38986.666666666599</v>
      </c>
      <c r="B438" s="1">
        <f ca="1">IFERROR(__xludf.DUMMYFUNCTION("""COMPUTED_VALUE"""),27.2)</f>
        <v>27.2</v>
      </c>
    </row>
    <row r="439" spans="1:2">
      <c r="A439" s="3">
        <f ca="1">IFERROR(__xludf.DUMMYFUNCTION("""COMPUTED_VALUE"""),38987.6666666666)</f>
        <v>38987.666666666599</v>
      </c>
      <c r="B439" s="1">
        <f ca="1">IFERROR(__xludf.DUMMYFUNCTION("""COMPUTED_VALUE"""),27.44)</f>
        <v>27.44</v>
      </c>
    </row>
    <row r="440" spans="1:2">
      <c r="A440" s="3">
        <f ca="1">IFERROR(__xludf.DUMMYFUNCTION("""COMPUTED_VALUE"""),38988.6666666666)</f>
        <v>38988.666666666599</v>
      </c>
      <c r="B440" s="1">
        <f ca="1">IFERROR(__xludf.DUMMYFUNCTION("""COMPUTED_VALUE"""),27.4)</f>
        <v>27.4</v>
      </c>
    </row>
    <row r="441" spans="1:2">
      <c r="A441" s="3">
        <f ca="1">IFERROR(__xludf.DUMMYFUNCTION("""COMPUTED_VALUE"""),38989.6666666666)</f>
        <v>38989.666666666599</v>
      </c>
      <c r="B441" s="1">
        <f ca="1">IFERROR(__xludf.DUMMYFUNCTION("""COMPUTED_VALUE"""),27.35)</f>
        <v>27.35</v>
      </c>
    </row>
    <row r="442" spans="1:2">
      <c r="A442" s="3">
        <f ca="1">IFERROR(__xludf.DUMMYFUNCTION("""COMPUTED_VALUE"""),38992.6666666666)</f>
        <v>38992.666666666599</v>
      </c>
      <c r="B442" s="1">
        <f ca="1">IFERROR(__xludf.DUMMYFUNCTION("""COMPUTED_VALUE"""),27.36)</f>
        <v>27.36</v>
      </c>
    </row>
    <row r="443" spans="1:2">
      <c r="A443" s="3">
        <f ca="1">IFERROR(__xludf.DUMMYFUNCTION("""COMPUTED_VALUE"""),38993.6666666666)</f>
        <v>38993.666666666599</v>
      </c>
      <c r="B443" s="1">
        <f ca="1">IFERROR(__xludf.DUMMYFUNCTION("""COMPUTED_VALUE"""),27.37)</f>
        <v>27.37</v>
      </c>
    </row>
    <row r="444" spans="1:2">
      <c r="A444" s="3">
        <f ca="1">IFERROR(__xludf.DUMMYFUNCTION("""COMPUTED_VALUE"""),38994.6666666666)</f>
        <v>38994.666666666599</v>
      </c>
      <c r="B444" s="1">
        <f ca="1">IFERROR(__xludf.DUMMYFUNCTION("""COMPUTED_VALUE"""),27.94)</f>
        <v>27.94</v>
      </c>
    </row>
    <row r="445" spans="1:2">
      <c r="A445" s="3">
        <f ca="1">IFERROR(__xludf.DUMMYFUNCTION("""COMPUTED_VALUE"""),38995.6666666666)</f>
        <v>38995.666666666599</v>
      </c>
      <c r="B445" s="1">
        <f ca="1">IFERROR(__xludf.DUMMYFUNCTION("""COMPUTED_VALUE"""),27.92)</f>
        <v>27.92</v>
      </c>
    </row>
    <row r="446" spans="1:2">
      <c r="A446" s="3">
        <f ca="1">IFERROR(__xludf.DUMMYFUNCTION("""COMPUTED_VALUE"""),38996.6666666666)</f>
        <v>38996.666666666599</v>
      </c>
      <c r="B446" s="1">
        <f ca="1">IFERROR(__xludf.DUMMYFUNCTION("""COMPUTED_VALUE"""),27.87)</f>
        <v>27.87</v>
      </c>
    </row>
    <row r="447" spans="1:2">
      <c r="A447" s="3">
        <f ca="1">IFERROR(__xludf.DUMMYFUNCTION("""COMPUTED_VALUE"""),38999.6666666666)</f>
        <v>38999.666666666599</v>
      </c>
      <c r="B447" s="1">
        <f ca="1">IFERROR(__xludf.DUMMYFUNCTION("""COMPUTED_VALUE"""),27.72)</f>
        <v>27.72</v>
      </c>
    </row>
    <row r="448" spans="1:2">
      <c r="A448" s="3">
        <f ca="1">IFERROR(__xludf.DUMMYFUNCTION("""COMPUTED_VALUE"""),39000.6666666666)</f>
        <v>39000.666666666599</v>
      </c>
      <c r="B448" s="1">
        <f ca="1">IFERROR(__xludf.DUMMYFUNCTION("""COMPUTED_VALUE"""),27.69)</f>
        <v>27.69</v>
      </c>
    </row>
    <row r="449" spans="1:2">
      <c r="A449" s="3">
        <f ca="1">IFERROR(__xludf.DUMMYFUNCTION("""COMPUTED_VALUE"""),39001.6666666666)</f>
        <v>39001.666666666599</v>
      </c>
      <c r="B449" s="1">
        <f ca="1">IFERROR(__xludf.DUMMYFUNCTION("""COMPUTED_VALUE"""),27.54)</f>
        <v>27.54</v>
      </c>
    </row>
    <row r="450" spans="1:2">
      <c r="A450" s="3">
        <f ca="1">IFERROR(__xludf.DUMMYFUNCTION("""COMPUTED_VALUE"""),39002.6666666666)</f>
        <v>39002.666666666599</v>
      </c>
      <c r="B450" s="1">
        <f ca="1">IFERROR(__xludf.DUMMYFUNCTION("""COMPUTED_VALUE"""),28.22)</f>
        <v>28.22</v>
      </c>
    </row>
    <row r="451" spans="1:2">
      <c r="A451" s="3">
        <f ca="1">IFERROR(__xludf.DUMMYFUNCTION("""COMPUTED_VALUE"""),39003.6666666666)</f>
        <v>39003.666666666599</v>
      </c>
      <c r="B451" s="1">
        <f ca="1">IFERROR(__xludf.DUMMYFUNCTION("""COMPUTED_VALUE"""),28.37)</f>
        <v>28.37</v>
      </c>
    </row>
    <row r="452" spans="1:2">
      <c r="A452" s="3">
        <f ca="1">IFERROR(__xludf.DUMMYFUNCTION("""COMPUTED_VALUE"""),39006.6666666666)</f>
        <v>39006.666666666599</v>
      </c>
      <c r="B452" s="1">
        <f ca="1">IFERROR(__xludf.DUMMYFUNCTION("""COMPUTED_VALUE"""),28.45)</f>
        <v>28.45</v>
      </c>
    </row>
    <row r="453" spans="1:2">
      <c r="A453" s="3">
        <f ca="1">IFERROR(__xludf.DUMMYFUNCTION("""COMPUTED_VALUE"""),39007.6666666666)</f>
        <v>39007.666666666599</v>
      </c>
      <c r="B453" s="1">
        <f ca="1">IFERROR(__xludf.DUMMYFUNCTION("""COMPUTED_VALUE"""),28.44)</f>
        <v>28.44</v>
      </c>
    </row>
    <row r="454" spans="1:2">
      <c r="A454" s="3">
        <f ca="1">IFERROR(__xludf.DUMMYFUNCTION("""COMPUTED_VALUE"""),39008.6666666666)</f>
        <v>39008.666666666599</v>
      </c>
      <c r="B454" s="1">
        <f ca="1">IFERROR(__xludf.DUMMYFUNCTION("""COMPUTED_VALUE"""),28.52)</f>
        <v>28.52</v>
      </c>
    </row>
    <row r="455" spans="1:2">
      <c r="A455" s="3">
        <f ca="1">IFERROR(__xludf.DUMMYFUNCTION("""COMPUTED_VALUE"""),39009.6666666666)</f>
        <v>39009.666666666599</v>
      </c>
      <c r="B455" s="1">
        <f ca="1">IFERROR(__xludf.DUMMYFUNCTION("""COMPUTED_VALUE"""),28.29)</f>
        <v>28.29</v>
      </c>
    </row>
    <row r="456" spans="1:2">
      <c r="A456" s="3">
        <f ca="1">IFERROR(__xludf.DUMMYFUNCTION("""COMPUTED_VALUE"""),39010.6666666666)</f>
        <v>39010.666666666599</v>
      </c>
      <c r="B456" s="1">
        <f ca="1">IFERROR(__xludf.DUMMYFUNCTION("""COMPUTED_VALUE"""),28.43)</f>
        <v>28.43</v>
      </c>
    </row>
    <row r="457" spans="1:2">
      <c r="A457" s="3">
        <f ca="1">IFERROR(__xludf.DUMMYFUNCTION("""COMPUTED_VALUE"""),39013.6666666666)</f>
        <v>39013.666666666599</v>
      </c>
      <c r="B457" s="1">
        <f ca="1">IFERROR(__xludf.DUMMYFUNCTION("""COMPUTED_VALUE"""),28.45)</f>
        <v>28.45</v>
      </c>
    </row>
    <row r="458" spans="1:2">
      <c r="A458" s="3">
        <f ca="1">IFERROR(__xludf.DUMMYFUNCTION("""COMPUTED_VALUE"""),39014.6666666666)</f>
        <v>39014.666666666599</v>
      </c>
      <c r="B458" s="1">
        <f ca="1">IFERROR(__xludf.DUMMYFUNCTION("""COMPUTED_VALUE"""),28.28)</f>
        <v>28.28</v>
      </c>
    </row>
    <row r="459" spans="1:2">
      <c r="A459" s="3">
        <f ca="1">IFERROR(__xludf.DUMMYFUNCTION("""COMPUTED_VALUE"""),39015.6666666666)</f>
        <v>39015.666666666599</v>
      </c>
      <c r="B459" s="1">
        <f ca="1">IFERROR(__xludf.DUMMYFUNCTION("""COMPUTED_VALUE"""),28.31)</f>
        <v>28.31</v>
      </c>
    </row>
    <row r="460" spans="1:2">
      <c r="A460" s="3">
        <f ca="1">IFERROR(__xludf.DUMMYFUNCTION("""COMPUTED_VALUE"""),39016.6666666666)</f>
        <v>39016.666666666599</v>
      </c>
      <c r="B460" s="1">
        <f ca="1">IFERROR(__xludf.DUMMYFUNCTION("""COMPUTED_VALUE"""),28.35)</f>
        <v>28.35</v>
      </c>
    </row>
    <row r="461" spans="1:2">
      <c r="A461" s="3">
        <f ca="1">IFERROR(__xludf.DUMMYFUNCTION("""COMPUTED_VALUE"""),39017.6666666666)</f>
        <v>39017.666666666599</v>
      </c>
      <c r="B461" s="1">
        <f ca="1">IFERROR(__xludf.DUMMYFUNCTION("""COMPUTED_VALUE"""),28.34)</f>
        <v>28.34</v>
      </c>
    </row>
    <row r="462" spans="1:2">
      <c r="A462" s="3">
        <f ca="1">IFERROR(__xludf.DUMMYFUNCTION("""COMPUTED_VALUE"""),39020.6666666666)</f>
        <v>39020.666666666599</v>
      </c>
      <c r="B462" s="1">
        <f ca="1">IFERROR(__xludf.DUMMYFUNCTION("""COMPUTED_VALUE"""),28.53)</f>
        <v>28.53</v>
      </c>
    </row>
    <row r="463" spans="1:2">
      <c r="A463" s="3">
        <f ca="1">IFERROR(__xludf.DUMMYFUNCTION("""COMPUTED_VALUE"""),39021.6666666666)</f>
        <v>39021.666666666599</v>
      </c>
      <c r="B463" s="1">
        <f ca="1">IFERROR(__xludf.DUMMYFUNCTION("""COMPUTED_VALUE"""),28.71)</f>
        <v>28.71</v>
      </c>
    </row>
    <row r="464" spans="1:2">
      <c r="A464" s="3">
        <f ca="1">IFERROR(__xludf.DUMMYFUNCTION("""COMPUTED_VALUE"""),39022.6666666666)</f>
        <v>39022.666666666599</v>
      </c>
      <c r="B464" s="1">
        <f ca="1">IFERROR(__xludf.DUMMYFUNCTION("""COMPUTED_VALUE"""),28.81)</f>
        <v>28.81</v>
      </c>
    </row>
    <row r="465" spans="1:2">
      <c r="A465" s="3">
        <f ca="1">IFERROR(__xludf.DUMMYFUNCTION("""COMPUTED_VALUE"""),39023.6666666666)</f>
        <v>39023.666666666599</v>
      </c>
      <c r="B465" s="1">
        <f ca="1">IFERROR(__xludf.DUMMYFUNCTION("""COMPUTED_VALUE"""),28.77)</f>
        <v>28.77</v>
      </c>
    </row>
    <row r="466" spans="1:2">
      <c r="A466" s="3">
        <f ca="1">IFERROR(__xludf.DUMMYFUNCTION("""COMPUTED_VALUE"""),39024.6666666666)</f>
        <v>39024.666666666599</v>
      </c>
      <c r="B466" s="1">
        <f ca="1">IFERROR(__xludf.DUMMYFUNCTION("""COMPUTED_VALUE"""),28.73)</f>
        <v>28.73</v>
      </c>
    </row>
    <row r="467" spans="1:2">
      <c r="A467" s="3">
        <f ca="1">IFERROR(__xludf.DUMMYFUNCTION("""COMPUTED_VALUE"""),39027.6666666666)</f>
        <v>39027.666666666599</v>
      </c>
      <c r="B467" s="1">
        <f ca="1">IFERROR(__xludf.DUMMYFUNCTION("""COMPUTED_VALUE"""),28.84)</f>
        <v>28.84</v>
      </c>
    </row>
    <row r="468" spans="1:2">
      <c r="A468" s="3">
        <f ca="1">IFERROR(__xludf.DUMMYFUNCTION("""COMPUTED_VALUE"""),39028.6666666666)</f>
        <v>39028.666666666599</v>
      </c>
      <c r="B468" s="1">
        <f ca="1">IFERROR(__xludf.DUMMYFUNCTION("""COMPUTED_VALUE"""),28.95)</f>
        <v>28.95</v>
      </c>
    </row>
    <row r="469" spans="1:2">
      <c r="A469" s="3">
        <f ca="1">IFERROR(__xludf.DUMMYFUNCTION("""COMPUTED_VALUE"""),39029.6666666666)</f>
        <v>39029.666666666599</v>
      </c>
      <c r="B469" s="1">
        <f ca="1">IFERROR(__xludf.DUMMYFUNCTION("""COMPUTED_VALUE"""),28.98)</f>
        <v>28.98</v>
      </c>
    </row>
    <row r="470" spans="1:2">
      <c r="A470" s="3">
        <f ca="1">IFERROR(__xludf.DUMMYFUNCTION("""COMPUTED_VALUE"""),39030.6666666666)</f>
        <v>39030.666666666599</v>
      </c>
      <c r="B470" s="1">
        <f ca="1">IFERROR(__xludf.DUMMYFUNCTION("""COMPUTED_VALUE"""),29.26)</f>
        <v>29.26</v>
      </c>
    </row>
    <row r="471" spans="1:2">
      <c r="A471" s="3">
        <f ca="1">IFERROR(__xludf.DUMMYFUNCTION("""COMPUTED_VALUE"""),39031.6666666666)</f>
        <v>39031.666666666599</v>
      </c>
      <c r="B471" s="1">
        <f ca="1">IFERROR(__xludf.DUMMYFUNCTION("""COMPUTED_VALUE"""),29.24)</f>
        <v>29.24</v>
      </c>
    </row>
    <row r="472" spans="1:2">
      <c r="A472" s="3">
        <f ca="1">IFERROR(__xludf.DUMMYFUNCTION("""COMPUTED_VALUE"""),39034.6666666666)</f>
        <v>39034.666666666599</v>
      </c>
      <c r="B472" s="1">
        <f ca="1">IFERROR(__xludf.DUMMYFUNCTION("""COMPUTED_VALUE"""),29.35)</f>
        <v>29.35</v>
      </c>
    </row>
    <row r="473" spans="1:2">
      <c r="A473" s="3">
        <f ca="1">IFERROR(__xludf.DUMMYFUNCTION("""COMPUTED_VALUE"""),39035.6666666666)</f>
        <v>39035.666666666599</v>
      </c>
      <c r="B473" s="1">
        <f ca="1">IFERROR(__xludf.DUMMYFUNCTION("""COMPUTED_VALUE"""),29.23)</f>
        <v>29.23</v>
      </c>
    </row>
    <row r="474" spans="1:2">
      <c r="A474" s="3">
        <f ca="1">IFERROR(__xludf.DUMMYFUNCTION("""COMPUTED_VALUE"""),39036.6666666666)</f>
        <v>39036.666666666599</v>
      </c>
      <c r="B474" s="1">
        <f ca="1">IFERROR(__xludf.DUMMYFUNCTION("""COMPUTED_VALUE"""),29.12)</f>
        <v>29.12</v>
      </c>
    </row>
    <row r="475" spans="1:2">
      <c r="A475" s="3">
        <f ca="1">IFERROR(__xludf.DUMMYFUNCTION("""COMPUTED_VALUE"""),39037.6666666666)</f>
        <v>39037.666666666599</v>
      </c>
      <c r="B475" s="1">
        <f ca="1">IFERROR(__xludf.DUMMYFUNCTION("""COMPUTED_VALUE"""),29.45)</f>
        <v>29.45</v>
      </c>
    </row>
    <row r="476" spans="1:2">
      <c r="A476" s="3">
        <f ca="1">IFERROR(__xludf.DUMMYFUNCTION("""COMPUTED_VALUE"""),39038.6666666666)</f>
        <v>39038.666666666599</v>
      </c>
      <c r="B476" s="1">
        <f ca="1">IFERROR(__xludf.DUMMYFUNCTION("""COMPUTED_VALUE"""),29.4)</f>
        <v>29.4</v>
      </c>
    </row>
    <row r="477" spans="1:2">
      <c r="A477" s="3">
        <f ca="1">IFERROR(__xludf.DUMMYFUNCTION("""COMPUTED_VALUE"""),39041.6666666666)</f>
        <v>39041.666666666599</v>
      </c>
      <c r="B477" s="1">
        <f ca="1">IFERROR(__xludf.DUMMYFUNCTION("""COMPUTED_VALUE"""),29.89)</f>
        <v>29.89</v>
      </c>
    </row>
    <row r="478" spans="1:2">
      <c r="A478" s="3">
        <f ca="1">IFERROR(__xludf.DUMMYFUNCTION("""COMPUTED_VALUE"""),39042.6666666666)</f>
        <v>39042.666666666599</v>
      </c>
      <c r="B478" s="1">
        <f ca="1">IFERROR(__xludf.DUMMYFUNCTION("""COMPUTED_VALUE"""),29.92)</f>
        <v>29.92</v>
      </c>
    </row>
    <row r="479" spans="1:2">
      <c r="A479" s="3">
        <f ca="1">IFERROR(__xludf.DUMMYFUNCTION("""COMPUTED_VALUE"""),39043.6666666666)</f>
        <v>39043.666666666599</v>
      </c>
      <c r="B479" s="1">
        <f ca="1">IFERROR(__xludf.DUMMYFUNCTION("""COMPUTED_VALUE"""),29.92)</f>
        <v>29.92</v>
      </c>
    </row>
    <row r="480" spans="1:2">
      <c r="A480" s="3">
        <f ca="1">IFERROR(__xludf.DUMMYFUNCTION("""COMPUTED_VALUE"""),39045.6666666666)</f>
        <v>39045.666666666599</v>
      </c>
      <c r="B480" s="1">
        <f ca="1">IFERROR(__xludf.DUMMYFUNCTION("""COMPUTED_VALUE"""),29.76)</f>
        <v>29.76</v>
      </c>
    </row>
    <row r="481" spans="1:2">
      <c r="A481" s="3">
        <f ca="1">IFERROR(__xludf.DUMMYFUNCTION("""COMPUTED_VALUE"""),39048.6666666666)</f>
        <v>39048.666666666599</v>
      </c>
      <c r="B481" s="1">
        <f ca="1">IFERROR(__xludf.DUMMYFUNCTION("""COMPUTED_VALUE"""),29.48)</f>
        <v>29.48</v>
      </c>
    </row>
    <row r="482" spans="1:2">
      <c r="A482" s="3">
        <f ca="1">IFERROR(__xludf.DUMMYFUNCTION("""COMPUTED_VALUE"""),39049.6666666666)</f>
        <v>39049.666666666599</v>
      </c>
      <c r="B482" s="1">
        <f ca="1">IFERROR(__xludf.DUMMYFUNCTION("""COMPUTED_VALUE"""),29.39)</f>
        <v>29.39</v>
      </c>
    </row>
    <row r="483" spans="1:2">
      <c r="A483" s="3">
        <f ca="1">IFERROR(__xludf.DUMMYFUNCTION("""COMPUTED_VALUE"""),39050.6666666666)</f>
        <v>39050.666666666599</v>
      </c>
      <c r="B483" s="1">
        <f ca="1">IFERROR(__xludf.DUMMYFUNCTION("""COMPUTED_VALUE"""),29.57)</f>
        <v>29.57</v>
      </c>
    </row>
    <row r="484" spans="1:2">
      <c r="A484" s="3">
        <f ca="1">IFERROR(__xludf.DUMMYFUNCTION("""COMPUTED_VALUE"""),39051.6666666666)</f>
        <v>39051.666666666599</v>
      </c>
      <c r="B484" s="1">
        <f ca="1">IFERROR(__xludf.DUMMYFUNCTION("""COMPUTED_VALUE"""),29.36)</f>
        <v>29.36</v>
      </c>
    </row>
    <row r="485" spans="1:2">
      <c r="A485" s="3">
        <f ca="1">IFERROR(__xludf.DUMMYFUNCTION("""COMPUTED_VALUE"""),39052.6666666666)</f>
        <v>39052.666666666599</v>
      </c>
      <c r="B485" s="1">
        <f ca="1">IFERROR(__xludf.DUMMYFUNCTION("""COMPUTED_VALUE"""),29.12)</f>
        <v>29.12</v>
      </c>
    </row>
    <row r="486" spans="1:2">
      <c r="A486" s="3">
        <f ca="1">IFERROR(__xludf.DUMMYFUNCTION("""COMPUTED_VALUE"""),39055.6666666666)</f>
        <v>39055.666666666599</v>
      </c>
      <c r="B486" s="1">
        <f ca="1">IFERROR(__xludf.DUMMYFUNCTION("""COMPUTED_VALUE"""),29.33)</f>
        <v>29.33</v>
      </c>
    </row>
    <row r="487" spans="1:2">
      <c r="A487" s="3">
        <f ca="1">IFERROR(__xludf.DUMMYFUNCTION("""COMPUTED_VALUE"""),39056.6666666666)</f>
        <v>39056.666666666599</v>
      </c>
      <c r="B487" s="1">
        <f ca="1">IFERROR(__xludf.DUMMYFUNCTION("""COMPUTED_VALUE"""),29.13)</f>
        <v>29.13</v>
      </c>
    </row>
    <row r="488" spans="1:2">
      <c r="A488" s="3">
        <f ca="1">IFERROR(__xludf.DUMMYFUNCTION("""COMPUTED_VALUE"""),39057.6666666666)</f>
        <v>39057.666666666599</v>
      </c>
      <c r="B488" s="1">
        <f ca="1">IFERROR(__xludf.DUMMYFUNCTION("""COMPUTED_VALUE"""),28.99)</f>
        <v>28.99</v>
      </c>
    </row>
    <row r="489" spans="1:2">
      <c r="A489" s="3">
        <f ca="1">IFERROR(__xludf.DUMMYFUNCTION("""COMPUTED_VALUE"""),39058.6666666666)</f>
        <v>39058.666666666599</v>
      </c>
      <c r="B489" s="1">
        <f ca="1">IFERROR(__xludf.DUMMYFUNCTION("""COMPUTED_VALUE"""),28.85)</f>
        <v>28.85</v>
      </c>
    </row>
    <row r="490" spans="1:2">
      <c r="A490" s="3">
        <f ca="1">IFERROR(__xludf.DUMMYFUNCTION("""COMPUTED_VALUE"""),39059.6666666666)</f>
        <v>39059.666666666599</v>
      </c>
      <c r="B490" s="1">
        <f ca="1">IFERROR(__xludf.DUMMYFUNCTION("""COMPUTED_VALUE"""),29.4)</f>
        <v>29.4</v>
      </c>
    </row>
    <row r="491" spans="1:2">
      <c r="A491" s="3">
        <f ca="1">IFERROR(__xludf.DUMMYFUNCTION("""COMPUTED_VALUE"""),39062.6666666666)</f>
        <v>39062.666666666599</v>
      </c>
      <c r="B491" s="1">
        <f ca="1">IFERROR(__xludf.DUMMYFUNCTION("""COMPUTED_VALUE"""),29.54)</f>
        <v>29.54</v>
      </c>
    </row>
    <row r="492" spans="1:2">
      <c r="A492" s="3">
        <f ca="1">IFERROR(__xludf.DUMMYFUNCTION("""COMPUTED_VALUE"""),39063.6666666666)</f>
        <v>39063.666666666599</v>
      </c>
      <c r="B492" s="1">
        <f ca="1">IFERROR(__xludf.DUMMYFUNCTION("""COMPUTED_VALUE"""),29.43)</f>
        <v>29.43</v>
      </c>
    </row>
    <row r="493" spans="1:2">
      <c r="A493" s="3">
        <f ca="1">IFERROR(__xludf.DUMMYFUNCTION("""COMPUTED_VALUE"""),39064.6666666666)</f>
        <v>39064.666666666599</v>
      </c>
      <c r="B493" s="1">
        <f ca="1">IFERROR(__xludf.DUMMYFUNCTION("""COMPUTED_VALUE"""),29.55)</f>
        <v>29.55</v>
      </c>
    </row>
    <row r="494" spans="1:2">
      <c r="A494" s="3">
        <f ca="1">IFERROR(__xludf.DUMMYFUNCTION("""COMPUTED_VALUE"""),39065.6666666666)</f>
        <v>39065.666666666599</v>
      </c>
      <c r="B494" s="1">
        <f ca="1">IFERROR(__xludf.DUMMYFUNCTION("""COMPUTED_VALUE"""),30.07)</f>
        <v>30.07</v>
      </c>
    </row>
    <row r="495" spans="1:2">
      <c r="A495" s="3">
        <f ca="1">IFERROR(__xludf.DUMMYFUNCTION("""COMPUTED_VALUE"""),39066.6666666666)</f>
        <v>39066.666666666599</v>
      </c>
      <c r="B495" s="1">
        <f ca="1">IFERROR(__xludf.DUMMYFUNCTION("""COMPUTED_VALUE"""),30.19)</f>
        <v>30.19</v>
      </c>
    </row>
    <row r="496" spans="1:2">
      <c r="A496" s="3">
        <f ca="1">IFERROR(__xludf.DUMMYFUNCTION("""COMPUTED_VALUE"""),39069.6666666666)</f>
        <v>39069.666666666599</v>
      </c>
      <c r="B496" s="1">
        <f ca="1">IFERROR(__xludf.DUMMYFUNCTION("""COMPUTED_VALUE"""),29.89)</f>
        <v>29.89</v>
      </c>
    </row>
    <row r="497" spans="1:2">
      <c r="A497" s="3">
        <f ca="1">IFERROR(__xludf.DUMMYFUNCTION("""COMPUTED_VALUE"""),39070.6666666666)</f>
        <v>39070.666666666599</v>
      </c>
      <c r="B497" s="1">
        <f ca="1">IFERROR(__xludf.DUMMYFUNCTION("""COMPUTED_VALUE"""),29.99)</f>
        <v>29.99</v>
      </c>
    </row>
    <row r="498" spans="1:2">
      <c r="A498" s="3">
        <f ca="1">IFERROR(__xludf.DUMMYFUNCTION("""COMPUTED_VALUE"""),39071.6666666666)</f>
        <v>39071.666666666599</v>
      </c>
      <c r="B498" s="1">
        <f ca="1">IFERROR(__xludf.DUMMYFUNCTION("""COMPUTED_VALUE"""),30.09)</f>
        <v>30.09</v>
      </c>
    </row>
    <row r="499" spans="1:2">
      <c r="A499" s="3">
        <f ca="1">IFERROR(__xludf.DUMMYFUNCTION("""COMPUTED_VALUE"""),39072.6666666666)</f>
        <v>39072.666666666599</v>
      </c>
      <c r="B499" s="1">
        <f ca="1">IFERROR(__xludf.DUMMYFUNCTION("""COMPUTED_VALUE"""),29.98)</f>
        <v>29.98</v>
      </c>
    </row>
    <row r="500" spans="1:2">
      <c r="A500" s="3">
        <f ca="1">IFERROR(__xludf.DUMMYFUNCTION("""COMPUTED_VALUE"""),39073.6666666666)</f>
        <v>39073.666666666599</v>
      </c>
      <c r="B500" s="1">
        <f ca="1">IFERROR(__xludf.DUMMYFUNCTION("""COMPUTED_VALUE"""),29.64)</f>
        <v>29.64</v>
      </c>
    </row>
    <row r="501" spans="1:2">
      <c r="A501" s="3">
        <f ca="1">IFERROR(__xludf.DUMMYFUNCTION("""COMPUTED_VALUE"""),39077.6666666666)</f>
        <v>39077.666666666599</v>
      </c>
      <c r="B501" s="1">
        <f ca="1">IFERROR(__xludf.DUMMYFUNCTION("""COMPUTED_VALUE"""),29.99)</f>
        <v>29.99</v>
      </c>
    </row>
    <row r="502" spans="1:2">
      <c r="A502" s="3">
        <f ca="1">IFERROR(__xludf.DUMMYFUNCTION("""COMPUTED_VALUE"""),39078.6666666666)</f>
        <v>39078.666666666599</v>
      </c>
      <c r="B502" s="1">
        <f ca="1">IFERROR(__xludf.DUMMYFUNCTION("""COMPUTED_VALUE"""),30.02)</f>
        <v>30.02</v>
      </c>
    </row>
    <row r="503" spans="1:2">
      <c r="A503" s="3">
        <f ca="1">IFERROR(__xludf.DUMMYFUNCTION("""COMPUTED_VALUE"""),39079.6666666666)</f>
        <v>39079.666666666599</v>
      </c>
      <c r="B503" s="1">
        <f ca="1">IFERROR(__xludf.DUMMYFUNCTION("""COMPUTED_VALUE"""),29.98)</f>
        <v>29.98</v>
      </c>
    </row>
    <row r="504" spans="1:2">
      <c r="A504" s="3">
        <f ca="1">IFERROR(__xludf.DUMMYFUNCTION("""COMPUTED_VALUE"""),39080.6666666666)</f>
        <v>39080.666666666599</v>
      </c>
      <c r="B504" s="1">
        <f ca="1">IFERROR(__xludf.DUMMYFUNCTION("""COMPUTED_VALUE"""),29.86)</f>
        <v>29.86</v>
      </c>
    </row>
    <row r="505" spans="1:2">
      <c r="A505" s="3">
        <f ca="1">IFERROR(__xludf.DUMMYFUNCTION("""COMPUTED_VALUE"""),39085.6666666666)</f>
        <v>39085.666666666599</v>
      </c>
      <c r="B505" s="1">
        <f ca="1">IFERROR(__xludf.DUMMYFUNCTION("""COMPUTED_VALUE"""),29.86)</f>
        <v>29.86</v>
      </c>
    </row>
    <row r="506" spans="1:2">
      <c r="A506" s="3">
        <f ca="1">IFERROR(__xludf.DUMMYFUNCTION("""COMPUTED_VALUE"""),39086.6666666666)</f>
        <v>39086.666666666599</v>
      </c>
      <c r="B506" s="1">
        <f ca="1">IFERROR(__xludf.DUMMYFUNCTION("""COMPUTED_VALUE"""),29.81)</f>
        <v>29.81</v>
      </c>
    </row>
    <row r="507" spans="1:2">
      <c r="A507" s="3">
        <f ca="1">IFERROR(__xludf.DUMMYFUNCTION("""COMPUTED_VALUE"""),39087.6666666666)</f>
        <v>39087.666666666599</v>
      </c>
      <c r="B507" s="1">
        <f ca="1">IFERROR(__xludf.DUMMYFUNCTION("""COMPUTED_VALUE"""),29.64)</f>
        <v>29.64</v>
      </c>
    </row>
    <row r="508" spans="1:2">
      <c r="A508" s="3">
        <f ca="1">IFERROR(__xludf.DUMMYFUNCTION("""COMPUTED_VALUE"""),39090.6666666666)</f>
        <v>39090.666666666599</v>
      </c>
      <c r="B508" s="1">
        <f ca="1">IFERROR(__xludf.DUMMYFUNCTION("""COMPUTED_VALUE"""),29.93)</f>
        <v>29.93</v>
      </c>
    </row>
    <row r="509" spans="1:2">
      <c r="A509" s="3">
        <f ca="1">IFERROR(__xludf.DUMMYFUNCTION("""COMPUTED_VALUE"""),39091.6666666666)</f>
        <v>39091.666666666599</v>
      </c>
      <c r="B509" s="1">
        <f ca="1">IFERROR(__xludf.DUMMYFUNCTION("""COMPUTED_VALUE"""),29.96)</f>
        <v>29.96</v>
      </c>
    </row>
    <row r="510" spans="1:2">
      <c r="A510" s="3">
        <f ca="1">IFERROR(__xludf.DUMMYFUNCTION("""COMPUTED_VALUE"""),39092.6666666666)</f>
        <v>39092.666666666599</v>
      </c>
      <c r="B510" s="1">
        <f ca="1">IFERROR(__xludf.DUMMYFUNCTION("""COMPUTED_VALUE"""),29.66)</f>
        <v>29.66</v>
      </c>
    </row>
    <row r="511" spans="1:2">
      <c r="A511" s="3">
        <f ca="1">IFERROR(__xludf.DUMMYFUNCTION("""COMPUTED_VALUE"""),39093.6666666666)</f>
        <v>39093.666666666599</v>
      </c>
      <c r="B511" s="1">
        <f ca="1">IFERROR(__xludf.DUMMYFUNCTION("""COMPUTED_VALUE"""),30.7)</f>
        <v>30.7</v>
      </c>
    </row>
    <row r="512" spans="1:2">
      <c r="A512" s="3">
        <f ca="1">IFERROR(__xludf.DUMMYFUNCTION("""COMPUTED_VALUE"""),39094.6666666666)</f>
        <v>39094.666666666599</v>
      </c>
      <c r="B512" s="1">
        <f ca="1">IFERROR(__xludf.DUMMYFUNCTION("""COMPUTED_VALUE"""),31.21)</f>
        <v>31.21</v>
      </c>
    </row>
    <row r="513" spans="1:2">
      <c r="A513" s="3">
        <f ca="1">IFERROR(__xludf.DUMMYFUNCTION("""COMPUTED_VALUE"""),39098.6666666666)</f>
        <v>39098.666666666599</v>
      </c>
      <c r="B513" s="1">
        <f ca="1">IFERROR(__xludf.DUMMYFUNCTION("""COMPUTED_VALUE"""),31.16)</f>
        <v>31.16</v>
      </c>
    </row>
    <row r="514" spans="1:2">
      <c r="A514" s="3">
        <f ca="1">IFERROR(__xludf.DUMMYFUNCTION("""COMPUTED_VALUE"""),39099.6666666666)</f>
        <v>39099.666666666599</v>
      </c>
      <c r="B514" s="1">
        <f ca="1">IFERROR(__xludf.DUMMYFUNCTION("""COMPUTED_VALUE"""),31.1)</f>
        <v>31.1</v>
      </c>
    </row>
    <row r="515" spans="1:2">
      <c r="A515" s="3">
        <f ca="1">IFERROR(__xludf.DUMMYFUNCTION("""COMPUTED_VALUE"""),39100.6666666666)</f>
        <v>39100.666666666599</v>
      </c>
      <c r="B515" s="1">
        <f ca="1">IFERROR(__xludf.DUMMYFUNCTION("""COMPUTED_VALUE"""),31)</f>
        <v>31</v>
      </c>
    </row>
    <row r="516" spans="1:2">
      <c r="A516" s="3">
        <f ca="1">IFERROR(__xludf.DUMMYFUNCTION("""COMPUTED_VALUE"""),39101.6666666666)</f>
        <v>39101.666666666599</v>
      </c>
      <c r="B516" s="1">
        <f ca="1">IFERROR(__xludf.DUMMYFUNCTION("""COMPUTED_VALUE"""),31.11)</f>
        <v>31.11</v>
      </c>
    </row>
    <row r="517" spans="1:2">
      <c r="A517" s="3">
        <f ca="1">IFERROR(__xludf.DUMMYFUNCTION("""COMPUTED_VALUE"""),39104.6666666666)</f>
        <v>39104.666666666599</v>
      </c>
      <c r="B517" s="1">
        <f ca="1">IFERROR(__xludf.DUMMYFUNCTION("""COMPUTED_VALUE"""),30.72)</f>
        <v>30.72</v>
      </c>
    </row>
    <row r="518" spans="1:2">
      <c r="A518" s="3">
        <f ca="1">IFERROR(__xludf.DUMMYFUNCTION("""COMPUTED_VALUE"""),39105.6666666666)</f>
        <v>39105.666666666599</v>
      </c>
      <c r="B518" s="1">
        <f ca="1">IFERROR(__xludf.DUMMYFUNCTION("""COMPUTED_VALUE"""),30.74)</f>
        <v>30.74</v>
      </c>
    </row>
    <row r="519" spans="1:2">
      <c r="A519" s="3">
        <f ca="1">IFERROR(__xludf.DUMMYFUNCTION("""COMPUTED_VALUE"""),39106.6666666666)</f>
        <v>39106.666666666599</v>
      </c>
      <c r="B519" s="1">
        <f ca="1">IFERROR(__xludf.DUMMYFUNCTION("""COMPUTED_VALUE"""),31.09)</f>
        <v>31.09</v>
      </c>
    </row>
    <row r="520" spans="1:2">
      <c r="A520" s="3">
        <f ca="1">IFERROR(__xludf.DUMMYFUNCTION("""COMPUTED_VALUE"""),39107.6666666666)</f>
        <v>39107.666666666599</v>
      </c>
      <c r="B520" s="1">
        <f ca="1">IFERROR(__xludf.DUMMYFUNCTION("""COMPUTED_VALUE"""),30.45)</f>
        <v>30.45</v>
      </c>
    </row>
    <row r="521" spans="1:2">
      <c r="A521" s="3">
        <f ca="1">IFERROR(__xludf.DUMMYFUNCTION("""COMPUTED_VALUE"""),39108.6666666666)</f>
        <v>39108.666666666599</v>
      </c>
      <c r="B521" s="1">
        <f ca="1">IFERROR(__xludf.DUMMYFUNCTION("""COMPUTED_VALUE"""),30.6)</f>
        <v>30.6</v>
      </c>
    </row>
    <row r="522" spans="1:2">
      <c r="A522" s="3">
        <f ca="1">IFERROR(__xludf.DUMMYFUNCTION("""COMPUTED_VALUE"""),39111.6666666666)</f>
        <v>39111.666666666599</v>
      </c>
      <c r="B522" s="1">
        <f ca="1">IFERROR(__xludf.DUMMYFUNCTION("""COMPUTED_VALUE"""),30.53)</f>
        <v>30.53</v>
      </c>
    </row>
    <row r="523" spans="1:2">
      <c r="A523" s="3">
        <f ca="1">IFERROR(__xludf.DUMMYFUNCTION("""COMPUTED_VALUE"""),39112.6666666666)</f>
        <v>39112.666666666599</v>
      </c>
      <c r="B523" s="1">
        <f ca="1">IFERROR(__xludf.DUMMYFUNCTION("""COMPUTED_VALUE"""),30.48)</f>
        <v>30.48</v>
      </c>
    </row>
    <row r="524" spans="1:2">
      <c r="A524" s="3">
        <f ca="1">IFERROR(__xludf.DUMMYFUNCTION("""COMPUTED_VALUE"""),39113.6666666666)</f>
        <v>39113.666666666599</v>
      </c>
      <c r="B524" s="1">
        <f ca="1">IFERROR(__xludf.DUMMYFUNCTION("""COMPUTED_VALUE"""),30.86)</f>
        <v>30.86</v>
      </c>
    </row>
    <row r="525" spans="1:2">
      <c r="A525" s="3">
        <f ca="1">IFERROR(__xludf.DUMMYFUNCTION("""COMPUTED_VALUE"""),39114.6666666666)</f>
        <v>39114.666666666599</v>
      </c>
      <c r="B525" s="1">
        <f ca="1">IFERROR(__xludf.DUMMYFUNCTION("""COMPUTED_VALUE"""),30.56)</f>
        <v>30.56</v>
      </c>
    </row>
    <row r="526" spans="1:2">
      <c r="A526" s="3">
        <f ca="1">IFERROR(__xludf.DUMMYFUNCTION("""COMPUTED_VALUE"""),39115.6666666666)</f>
        <v>39115.666666666599</v>
      </c>
      <c r="B526" s="1">
        <f ca="1">IFERROR(__xludf.DUMMYFUNCTION("""COMPUTED_VALUE"""),30.19)</f>
        <v>30.19</v>
      </c>
    </row>
    <row r="527" spans="1:2">
      <c r="A527" s="3">
        <f ca="1">IFERROR(__xludf.DUMMYFUNCTION("""COMPUTED_VALUE"""),39118.6666666666)</f>
        <v>39118.666666666599</v>
      </c>
      <c r="B527" s="1">
        <f ca="1">IFERROR(__xludf.DUMMYFUNCTION("""COMPUTED_VALUE"""),29.61)</f>
        <v>29.61</v>
      </c>
    </row>
    <row r="528" spans="1:2">
      <c r="A528" s="3">
        <f ca="1">IFERROR(__xludf.DUMMYFUNCTION("""COMPUTED_VALUE"""),39119.6666666666)</f>
        <v>39119.666666666599</v>
      </c>
      <c r="B528" s="1">
        <f ca="1">IFERROR(__xludf.DUMMYFUNCTION("""COMPUTED_VALUE"""),29.51)</f>
        <v>29.51</v>
      </c>
    </row>
    <row r="529" spans="1:2">
      <c r="A529" s="3">
        <f ca="1">IFERROR(__xludf.DUMMYFUNCTION("""COMPUTED_VALUE"""),39120.6666666666)</f>
        <v>39120.666666666599</v>
      </c>
      <c r="B529" s="1">
        <f ca="1">IFERROR(__xludf.DUMMYFUNCTION("""COMPUTED_VALUE"""),29.37)</f>
        <v>29.37</v>
      </c>
    </row>
    <row r="530" spans="1:2">
      <c r="A530" s="3">
        <f ca="1">IFERROR(__xludf.DUMMYFUNCTION("""COMPUTED_VALUE"""),39121.6666666666)</f>
        <v>39121.666666666599</v>
      </c>
      <c r="B530" s="1">
        <f ca="1">IFERROR(__xludf.DUMMYFUNCTION("""COMPUTED_VALUE"""),29.26)</f>
        <v>29.26</v>
      </c>
    </row>
    <row r="531" spans="1:2">
      <c r="A531" s="3">
        <f ca="1">IFERROR(__xludf.DUMMYFUNCTION("""COMPUTED_VALUE"""),39122.6666666666)</f>
        <v>39122.666666666599</v>
      </c>
      <c r="B531" s="1">
        <f ca="1">IFERROR(__xludf.DUMMYFUNCTION("""COMPUTED_VALUE"""),28.98)</f>
        <v>28.98</v>
      </c>
    </row>
    <row r="532" spans="1:2">
      <c r="A532" s="3">
        <f ca="1">IFERROR(__xludf.DUMMYFUNCTION("""COMPUTED_VALUE"""),39125.6666666666)</f>
        <v>39125.666666666599</v>
      </c>
      <c r="B532" s="1">
        <f ca="1">IFERROR(__xludf.DUMMYFUNCTION("""COMPUTED_VALUE"""),28.94)</f>
        <v>28.94</v>
      </c>
    </row>
    <row r="533" spans="1:2">
      <c r="A533" s="3">
        <f ca="1">IFERROR(__xludf.DUMMYFUNCTION("""COMPUTED_VALUE"""),39126.6666666666)</f>
        <v>39126.666666666599</v>
      </c>
      <c r="B533" s="1">
        <f ca="1">IFERROR(__xludf.DUMMYFUNCTION("""COMPUTED_VALUE"""),29.03)</f>
        <v>29.03</v>
      </c>
    </row>
    <row r="534" spans="1:2">
      <c r="A534" s="3">
        <f ca="1">IFERROR(__xludf.DUMMYFUNCTION("""COMPUTED_VALUE"""),39127.6666666666)</f>
        <v>39127.666666666599</v>
      </c>
      <c r="B534" s="1">
        <f ca="1">IFERROR(__xludf.DUMMYFUNCTION("""COMPUTED_VALUE"""),29.4)</f>
        <v>29.4</v>
      </c>
    </row>
    <row r="535" spans="1:2">
      <c r="A535" s="3">
        <f ca="1">IFERROR(__xludf.DUMMYFUNCTION("""COMPUTED_VALUE"""),39128.6666666666)</f>
        <v>39128.666666666599</v>
      </c>
      <c r="B535" s="1">
        <f ca="1">IFERROR(__xludf.DUMMYFUNCTION("""COMPUTED_VALUE"""),29.46)</f>
        <v>29.46</v>
      </c>
    </row>
    <row r="536" spans="1:2">
      <c r="A536" s="3">
        <f ca="1">IFERROR(__xludf.DUMMYFUNCTION("""COMPUTED_VALUE"""),39129.6666666666)</f>
        <v>39129.666666666599</v>
      </c>
      <c r="B536" s="1">
        <f ca="1">IFERROR(__xludf.DUMMYFUNCTION("""COMPUTED_VALUE"""),28.74)</f>
        <v>28.74</v>
      </c>
    </row>
    <row r="537" spans="1:2">
      <c r="A537" s="3">
        <f ca="1">IFERROR(__xludf.DUMMYFUNCTION("""COMPUTED_VALUE"""),39133.6666666666)</f>
        <v>39133.666666666599</v>
      </c>
      <c r="B537" s="1">
        <f ca="1">IFERROR(__xludf.DUMMYFUNCTION("""COMPUTED_VALUE"""),28.83)</f>
        <v>28.83</v>
      </c>
    </row>
    <row r="538" spans="1:2">
      <c r="A538" s="3">
        <f ca="1">IFERROR(__xludf.DUMMYFUNCTION("""COMPUTED_VALUE"""),39134.6666666666)</f>
        <v>39134.666666666599</v>
      </c>
      <c r="B538" s="1">
        <f ca="1">IFERROR(__xludf.DUMMYFUNCTION("""COMPUTED_VALUE"""),29.35)</f>
        <v>29.35</v>
      </c>
    </row>
    <row r="539" spans="1:2">
      <c r="A539" s="3">
        <f ca="1">IFERROR(__xludf.DUMMYFUNCTION("""COMPUTED_VALUE"""),39135.6666666666)</f>
        <v>39135.666666666599</v>
      </c>
      <c r="B539" s="1">
        <f ca="1">IFERROR(__xludf.DUMMYFUNCTION("""COMPUTED_VALUE"""),29.39)</f>
        <v>29.39</v>
      </c>
    </row>
    <row r="540" spans="1:2">
      <c r="A540" s="3">
        <f ca="1">IFERROR(__xludf.DUMMYFUNCTION("""COMPUTED_VALUE"""),39136.6666666666)</f>
        <v>39136.666666666599</v>
      </c>
      <c r="B540" s="1">
        <f ca="1">IFERROR(__xludf.DUMMYFUNCTION("""COMPUTED_VALUE"""),28.9)</f>
        <v>28.9</v>
      </c>
    </row>
    <row r="541" spans="1:2">
      <c r="A541" s="3">
        <f ca="1">IFERROR(__xludf.DUMMYFUNCTION("""COMPUTED_VALUE"""),39139.6666666666)</f>
        <v>39139.666666666599</v>
      </c>
      <c r="B541" s="1">
        <f ca="1">IFERROR(__xludf.DUMMYFUNCTION("""COMPUTED_VALUE"""),29.07)</f>
        <v>29.07</v>
      </c>
    </row>
    <row r="542" spans="1:2">
      <c r="A542" s="3">
        <f ca="1">IFERROR(__xludf.DUMMYFUNCTION("""COMPUTED_VALUE"""),39140.6666666666)</f>
        <v>39140.666666666599</v>
      </c>
      <c r="B542" s="1">
        <f ca="1">IFERROR(__xludf.DUMMYFUNCTION("""COMPUTED_VALUE"""),27.87)</f>
        <v>27.87</v>
      </c>
    </row>
    <row r="543" spans="1:2">
      <c r="A543" s="3">
        <f ca="1">IFERROR(__xludf.DUMMYFUNCTION("""COMPUTED_VALUE"""),39141.6666666666)</f>
        <v>39141.666666666599</v>
      </c>
      <c r="B543" s="1">
        <f ca="1">IFERROR(__xludf.DUMMYFUNCTION("""COMPUTED_VALUE"""),28.17)</f>
        <v>28.17</v>
      </c>
    </row>
    <row r="544" spans="1:2">
      <c r="A544" s="3">
        <f ca="1">IFERROR(__xludf.DUMMYFUNCTION("""COMPUTED_VALUE"""),39142.6666666666)</f>
        <v>39142.666666666599</v>
      </c>
      <c r="B544" s="1">
        <f ca="1">IFERROR(__xludf.DUMMYFUNCTION("""COMPUTED_VALUE"""),28.09)</f>
        <v>28.09</v>
      </c>
    </row>
    <row r="545" spans="1:2">
      <c r="A545" s="3">
        <f ca="1">IFERROR(__xludf.DUMMYFUNCTION("""COMPUTED_VALUE"""),39143.6666666666)</f>
        <v>39143.666666666599</v>
      </c>
      <c r="B545" s="1">
        <f ca="1">IFERROR(__xludf.DUMMYFUNCTION("""COMPUTED_VALUE"""),27.76)</f>
        <v>27.76</v>
      </c>
    </row>
    <row r="546" spans="1:2">
      <c r="A546" s="3">
        <f ca="1">IFERROR(__xludf.DUMMYFUNCTION("""COMPUTED_VALUE"""),39146.6666666666)</f>
        <v>39146.666666666599</v>
      </c>
      <c r="B546" s="1">
        <f ca="1">IFERROR(__xludf.DUMMYFUNCTION("""COMPUTED_VALUE"""),27.55)</f>
        <v>27.55</v>
      </c>
    </row>
    <row r="547" spans="1:2">
      <c r="A547" s="3">
        <f ca="1">IFERROR(__xludf.DUMMYFUNCTION("""COMPUTED_VALUE"""),39147.6666666666)</f>
        <v>39147.666666666599</v>
      </c>
      <c r="B547" s="1">
        <f ca="1">IFERROR(__xludf.DUMMYFUNCTION("""COMPUTED_VALUE"""),27.83)</f>
        <v>27.83</v>
      </c>
    </row>
    <row r="548" spans="1:2">
      <c r="A548" s="3">
        <f ca="1">IFERROR(__xludf.DUMMYFUNCTION("""COMPUTED_VALUE"""),39148.6666666666)</f>
        <v>39148.666666666599</v>
      </c>
      <c r="B548" s="1">
        <f ca="1">IFERROR(__xludf.DUMMYFUNCTION("""COMPUTED_VALUE"""),27.61)</f>
        <v>27.61</v>
      </c>
    </row>
    <row r="549" spans="1:2">
      <c r="A549" s="3">
        <f ca="1">IFERROR(__xludf.DUMMYFUNCTION("""COMPUTED_VALUE"""),39149.6666666666)</f>
        <v>39149.666666666599</v>
      </c>
      <c r="B549" s="1">
        <f ca="1">IFERROR(__xludf.DUMMYFUNCTION("""COMPUTED_VALUE"""),27.32)</f>
        <v>27.32</v>
      </c>
    </row>
    <row r="550" spans="1:2">
      <c r="A550" s="3">
        <f ca="1">IFERROR(__xludf.DUMMYFUNCTION("""COMPUTED_VALUE"""),39150.6666666666)</f>
        <v>39150.666666666599</v>
      </c>
      <c r="B550" s="1">
        <f ca="1">IFERROR(__xludf.DUMMYFUNCTION("""COMPUTED_VALUE"""),27.29)</f>
        <v>27.29</v>
      </c>
    </row>
    <row r="551" spans="1:2">
      <c r="A551" s="3">
        <f ca="1">IFERROR(__xludf.DUMMYFUNCTION("""COMPUTED_VALUE"""),39153.6666666666)</f>
        <v>39153.666666666599</v>
      </c>
      <c r="B551" s="1">
        <f ca="1">IFERROR(__xludf.DUMMYFUNCTION("""COMPUTED_VALUE"""),27.44)</f>
        <v>27.44</v>
      </c>
    </row>
    <row r="552" spans="1:2">
      <c r="A552" s="3">
        <f ca="1">IFERROR(__xludf.DUMMYFUNCTION("""COMPUTED_VALUE"""),39154.6666666666)</f>
        <v>39154.666666666599</v>
      </c>
      <c r="B552" s="1">
        <f ca="1">IFERROR(__xludf.DUMMYFUNCTION("""COMPUTED_VALUE"""),26.72)</f>
        <v>26.72</v>
      </c>
    </row>
    <row r="553" spans="1:2">
      <c r="A553" s="3">
        <f ca="1">IFERROR(__xludf.DUMMYFUNCTION("""COMPUTED_VALUE"""),39155.6666666666)</f>
        <v>39155.666666666599</v>
      </c>
      <c r="B553" s="1">
        <f ca="1">IFERROR(__xludf.DUMMYFUNCTION("""COMPUTED_VALUE"""),27.4)</f>
        <v>27.4</v>
      </c>
    </row>
    <row r="554" spans="1:2">
      <c r="A554" s="3">
        <f ca="1">IFERROR(__xludf.DUMMYFUNCTION("""COMPUTED_VALUE"""),39156.6666666666)</f>
        <v>39156.666666666599</v>
      </c>
      <c r="B554" s="1">
        <f ca="1">IFERROR(__xludf.DUMMYFUNCTION("""COMPUTED_VALUE"""),27.28)</f>
        <v>27.28</v>
      </c>
    </row>
    <row r="555" spans="1:2">
      <c r="A555" s="3">
        <f ca="1">IFERROR(__xludf.DUMMYFUNCTION("""COMPUTED_VALUE"""),39157.6666666666)</f>
        <v>39157.666666666599</v>
      </c>
      <c r="B555" s="1">
        <f ca="1">IFERROR(__xludf.DUMMYFUNCTION("""COMPUTED_VALUE"""),27.33)</f>
        <v>27.33</v>
      </c>
    </row>
    <row r="556" spans="1:2">
      <c r="A556" s="3">
        <f ca="1">IFERROR(__xludf.DUMMYFUNCTION("""COMPUTED_VALUE"""),39160.6666666666)</f>
        <v>39160.666666666599</v>
      </c>
      <c r="B556" s="1">
        <f ca="1">IFERROR(__xludf.DUMMYFUNCTION("""COMPUTED_VALUE"""),27.83)</f>
        <v>27.83</v>
      </c>
    </row>
    <row r="557" spans="1:2">
      <c r="A557" s="3">
        <f ca="1">IFERROR(__xludf.DUMMYFUNCTION("""COMPUTED_VALUE"""),39161.6666666666)</f>
        <v>39161.666666666599</v>
      </c>
      <c r="B557" s="1">
        <f ca="1">IFERROR(__xludf.DUMMYFUNCTION("""COMPUTED_VALUE"""),27.84)</f>
        <v>27.84</v>
      </c>
    </row>
    <row r="558" spans="1:2">
      <c r="A558" s="3">
        <f ca="1">IFERROR(__xludf.DUMMYFUNCTION("""COMPUTED_VALUE"""),39162.6666666666)</f>
        <v>39162.666666666599</v>
      </c>
      <c r="B558" s="1">
        <f ca="1">IFERROR(__xludf.DUMMYFUNCTION("""COMPUTED_VALUE"""),28.52)</f>
        <v>28.52</v>
      </c>
    </row>
    <row r="559" spans="1:2">
      <c r="A559" s="3">
        <f ca="1">IFERROR(__xludf.DUMMYFUNCTION("""COMPUTED_VALUE"""),39163.6666666666)</f>
        <v>39163.666666666599</v>
      </c>
      <c r="B559" s="1">
        <f ca="1">IFERROR(__xludf.DUMMYFUNCTION("""COMPUTED_VALUE"""),28.27)</f>
        <v>28.27</v>
      </c>
    </row>
    <row r="560" spans="1:2">
      <c r="A560" s="3">
        <f ca="1">IFERROR(__xludf.DUMMYFUNCTION("""COMPUTED_VALUE"""),39164.6666666666)</f>
        <v>39164.666666666599</v>
      </c>
      <c r="B560" s="1">
        <f ca="1">IFERROR(__xludf.DUMMYFUNCTION("""COMPUTED_VALUE"""),28.02)</f>
        <v>28.02</v>
      </c>
    </row>
    <row r="561" spans="1:2">
      <c r="A561" s="3">
        <f ca="1">IFERROR(__xludf.DUMMYFUNCTION("""COMPUTED_VALUE"""),39167.6666666666)</f>
        <v>39167.666666666599</v>
      </c>
      <c r="B561" s="1">
        <f ca="1">IFERROR(__xludf.DUMMYFUNCTION("""COMPUTED_VALUE"""),28.22)</f>
        <v>28.22</v>
      </c>
    </row>
    <row r="562" spans="1:2">
      <c r="A562" s="3">
        <f ca="1">IFERROR(__xludf.DUMMYFUNCTION("""COMPUTED_VALUE"""),39168.6666666666)</f>
        <v>39168.666666666599</v>
      </c>
      <c r="B562" s="1">
        <f ca="1">IFERROR(__xludf.DUMMYFUNCTION("""COMPUTED_VALUE"""),27.72)</f>
        <v>27.72</v>
      </c>
    </row>
    <row r="563" spans="1:2">
      <c r="A563" s="3">
        <f ca="1">IFERROR(__xludf.DUMMYFUNCTION("""COMPUTED_VALUE"""),39169.6666666666)</f>
        <v>39169.666666666599</v>
      </c>
      <c r="B563" s="1">
        <f ca="1">IFERROR(__xludf.DUMMYFUNCTION("""COMPUTED_VALUE"""),27.64)</f>
        <v>27.64</v>
      </c>
    </row>
    <row r="564" spans="1:2">
      <c r="A564" s="3">
        <f ca="1">IFERROR(__xludf.DUMMYFUNCTION("""COMPUTED_VALUE"""),39170.6666666666)</f>
        <v>39170.666666666599</v>
      </c>
      <c r="B564" s="1">
        <f ca="1">IFERROR(__xludf.DUMMYFUNCTION("""COMPUTED_VALUE"""),27.75)</f>
        <v>27.75</v>
      </c>
    </row>
    <row r="565" spans="1:2">
      <c r="A565" s="3">
        <f ca="1">IFERROR(__xludf.DUMMYFUNCTION("""COMPUTED_VALUE"""),39171.6666666666)</f>
        <v>39171.666666666599</v>
      </c>
      <c r="B565" s="1">
        <f ca="1">IFERROR(__xludf.DUMMYFUNCTION("""COMPUTED_VALUE"""),27.87)</f>
        <v>27.87</v>
      </c>
    </row>
    <row r="566" spans="1:2">
      <c r="A566" s="3">
        <f ca="1">IFERROR(__xludf.DUMMYFUNCTION("""COMPUTED_VALUE"""),39174.6666666666)</f>
        <v>39174.666666666599</v>
      </c>
      <c r="B566" s="1">
        <f ca="1">IFERROR(__xludf.DUMMYFUNCTION("""COMPUTED_VALUE"""),27.74)</f>
        <v>27.74</v>
      </c>
    </row>
    <row r="567" spans="1:2">
      <c r="A567" s="3">
        <f ca="1">IFERROR(__xludf.DUMMYFUNCTION("""COMPUTED_VALUE"""),39175.6666666666)</f>
        <v>39175.666666666599</v>
      </c>
      <c r="B567" s="1">
        <f ca="1">IFERROR(__xludf.DUMMYFUNCTION("""COMPUTED_VALUE"""),27.87)</f>
        <v>27.87</v>
      </c>
    </row>
    <row r="568" spans="1:2">
      <c r="A568" s="3">
        <f ca="1">IFERROR(__xludf.DUMMYFUNCTION("""COMPUTED_VALUE"""),39176.6666666666)</f>
        <v>39176.666666666599</v>
      </c>
      <c r="B568" s="1">
        <f ca="1">IFERROR(__xludf.DUMMYFUNCTION("""COMPUTED_VALUE"""),28.5)</f>
        <v>28.5</v>
      </c>
    </row>
    <row r="569" spans="1:2">
      <c r="A569" s="3">
        <f ca="1">IFERROR(__xludf.DUMMYFUNCTION("""COMPUTED_VALUE"""),39177.6666666666)</f>
        <v>39177.666666666599</v>
      </c>
      <c r="B569" s="1">
        <f ca="1">IFERROR(__xludf.DUMMYFUNCTION("""COMPUTED_VALUE"""),28.55)</f>
        <v>28.55</v>
      </c>
    </row>
    <row r="570" spans="1:2">
      <c r="A570" s="3">
        <f ca="1">IFERROR(__xludf.DUMMYFUNCTION("""COMPUTED_VALUE"""),39181.6666666666)</f>
        <v>39181.666666666599</v>
      </c>
      <c r="B570" s="1">
        <f ca="1">IFERROR(__xludf.DUMMYFUNCTION("""COMPUTED_VALUE"""),28.57)</f>
        <v>28.57</v>
      </c>
    </row>
    <row r="571" spans="1:2">
      <c r="A571" s="3">
        <f ca="1">IFERROR(__xludf.DUMMYFUNCTION("""COMPUTED_VALUE"""),39182.6666666666)</f>
        <v>39182.666666666599</v>
      </c>
      <c r="B571" s="1">
        <f ca="1">IFERROR(__xludf.DUMMYFUNCTION("""COMPUTED_VALUE"""),28.4)</f>
        <v>28.4</v>
      </c>
    </row>
    <row r="572" spans="1:2">
      <c r="A572" s="3">
        <f ca="1">IFERROR(__xludf.DUMMYFUNCTION("""COMPUTED_VALUE"""),39183.6666666666)</f>
        <v>39183.666666666599</v>
      </c>
      <c r="B572" s="1">
        <f ca="1">IFERROR(__xludf.DUMMYFUNCTION("""COMPUTED_VALUE"""),28.11)</f>
        <v>28.11</v>
      </c>
    </row>
    <row r="573" spans="1:2">
      <c r="A573" s="3">
        <f ca="1">IFERROR(__xludf.DUMMYFUNCTION("""COMPUTED_VALUE"""),39184.6666666666)</f>
        <v>39184.666666666599</v>
      </c>
      <c r="B573" s="1">
        <f ca="1">IFERROR(__xludf.DUMMYFUNCTION("""COMPUTED_VALUE"""),28.54)</f>
        <v>28.54</v>
      </c>
    </row>
    <row r="574" spans="1:2">
      <c r="A574" s="3">
        <f ca="1">IFERROR(__xludf.DUMMYFUNCTION("""COMPUTED_VALUE"""),39185.6666666666)</f>
        <v>39185.666666666599</v>
      </c>
      <c r="B574" s="1">
        <f ca="1">IFERROR(__xludf.DUMMYFUNCTION("""COMPUTED_VALUE"""),28.61)</f>
        <v>28.61</v>
      </c>
    </row>
    <row r="575" spans="1:2">
      <c r="A575" s="3">
        <f ca="1">IFERROR(__xludf.DUMMYFUNCTION("""COMPUTED_VALUE"""),39188.6666666666)</f>
        <v>39188.666666666599</v>
      </c>
      <c r="B575" s="1">
        <f ca="1">IFERROR(__xludf.DUMMYFUNCTION("""COMPUTED_VALUE"""),28.73)</f>
        <v>28.73</v>
      </c>
    </row>
    <row r="576" spans="1:2">
      <c r="A576" s="3">
        <f ca="1">IFERROR(__xludf.DUMMYFUNCTION("""COMPUTED_VALUE"""),39189.6666666666)</f>
        <v>39189.666666666599</v>
      </c>
      <c r="B576" s="1">
        <f ca="1">IFERROR(__xludf.DUMMYFUNCTION("""COMPUTED_VALUE"""),28.85)</f>
        <v>28.85</v>
      </c>
    </row>
    <row r="577" spans="1:2">
      <c r="A577" s="3">
        <f ca="1">IFERROR(__xludf.DUMMYFUNCTION("""COMPUTED_VALUE"""),39190.6666666666)</f>
        <v>39190.666666666599</v>
      </c>
      <c r="B577" s="1">
        <f ca="1">IFERROR(__xludf.DUMMYFUNCTION("""COMPUTED_VALUE"""),28.6)</f>
        <v>28.6</v>
      </c>
    </row>
    <row r="578" spans="1:2">
      <c r="A578" s="3">
        <f ca="1">IFERROR(__xludf.DUMMYFUNCTION("""COMPUTED_VALUE"""),39191.6666666666)</f>
        <v>39191.666666666599</v>
      </c>
      <c r="B578" s="1">
        <f ca="1">IFERROR(__xludf.DUMMYFUNCTION("""COMPUTED_VALUE"""),28.69)</f>
        <v>28.69</v>
      </c>
    </row>
    <row r="579" spans="1:2">
      <c r="A579" s="3">
        <f ca="1">IFERROR(__xludf.DUMMYFUNCTION("""COMPUTED_VALUE"""),39192.6666666666)</f>
        <v>39192.666666666599</v>
      </c>
      <c r="B579" s="1">
        <f ca="1">IFERROR(__xludf.DUMMYFUNCTION("""COMPUTED_VALUE"""),29.02)</f>
        <v>29.02</v>
      </c>
    </row>
    <row r="580" spans="1:2">
      <c r="A580" s="3">
        <f ca="1">IFERROR(__xludf.DUMMYFUNCTION("""COMPUTED_VALUE"""),39195.6666666666)</f>
        <v>39195.666666666599</v>
      </c>
      <c r="B580" s="1">
        <f ca="1">IFERROR(__xludf.DUMMYFUNCTION("""COMPUTED_VALUE"""),28.78)</f>
        <v>28.78</v>
      </c>
    </row>
    <row r="581" spans="1:2">
      <c r="A581" s="3">
        <f ca="1">IFERROR(__xludf.DUMMYFUNCTION("""COMPUTED_VALUE"""),39196.6666666666)</f>
        <v>39196.666666666599</v>
      </c>
      <c r="B581" s="1">
        <f ca="1">IFERROR(__xludf.DUMMYFUNCTION("""COMPUTED_VALUE"""),28.79)</f>
        <v>28.79</v>
      </c>
    </row>
    <row r="582" spans="1:2">
      <c r="A582" s="3">
        <f ca="1">IFERROR(__xludf.DUMMYFUNCTION("""COMPUTED_VALUE"""),39197.6666666666)</f>
        <v>39197.666666666599</v>
      </c>
      <c r="B582" s="1">
        <f ca="1">IFERROR(__xludf.DUMMYFUNCTION("""COMPUTED_VALUE"""),28.99)</f>
        <v>28.99</v>
      </c>
    </row>
    <row r="583" spans="1:2">
      <c r="A583" s="3">
        <f ca="1">IFERROR(__xludf.DUMMYFUNCTION("""COMPUTED_VALUE"""),39198.6666666666)</f>
        <v>39198.666666666599</v>
      </c>
      <c r="B583" s="1">
        <f ca="1">IFERROR(__xludf.DUMMYFUNCTION("""COMPUTED_VALUE"""),29.1)</f>
        <v>29.1</v>
      </c>
    </row>
    <row r="584" spans="1:2">
      <c r="A584" s="3">
        <f ca="1">IFERROR(__xludf.DUMMYFUNCTION("""COMPUTED_VALUE"""),39199.6666666666)</f>
        <v>39199.666666666599</v>
      </c>
      <c r="B584" s="1">
        <f ca="1">IFERROR(__xludf.DUMMYFUNCTION("""COMPUTED_VALUE"""),30.12)</f>
        <v>30.12</v>
      </c>
    </row>
    <row r="585" spans="1:2">
      <c r="A585" s="3">
        <f ca="1">IFERROR(__xludf.DUMMYFUNCTION("""COMPUTED_VALUE"""),39202.6666666666)</f>
        <v>39202.666666666599</v>
      </c>
      <c r="B585" s="1">
        <f ca="1">IFERROR(__xludf.DUMMYFUNCTION("""COMPUTED_VALUE"""),29.94)</f>
        <v>29.94</v>
      </c>
    </row>
    <row r="586" spans="1:2">
      <c r="A586" s="3">
        <f ca="1">IFERROR(__xludf.DUMMYFUNCTION("""COMPUTED_VALUE"""),39203.6666666666)</f>
        <v>39203.666666666599</v>
      </c>
      <c r="B586" s="1">
        <f ca="1">IFERROR(__xludf.DUMMYFUNCTION("""COMPUTED_VALUE"""),30.19)</f>
        <v>30.19</v>
      </c>
    </row>
    <row r="587" spans="1:2">
      <c r="A587" s="3">
        <f ca="1">IFERROR(__xludf.DUMMYFUNCTION("""COMPUTED_VALUE"""),39204.6666666666)</f>
        <v>39204.666666666599</v>
      </c>
      <c r="B587" s="1">
        <f ca="1">IFERROR(__xludf.DUMMYFUNCTION("""COMPUTED_VALUE"""),30.61)</f>
        <v>30.61</v>
      </c>
    </row>
    <row r="588" spans="1:2">
      <c r="A588" s="3">
        <f ca="1">IFERROR(__xludf.DUMMYFUNCTION("""COMPUTED_VALUE"""),39205.6666666666)</f>
        <v>39205.666666666599</v>
      </c>
      <c r="B588" s="1">
        <f ca="1">IFERROR(__xludf.DUMMYFUNCTION("""COMPUTED_VALUE"""),30.97)</f>
        <v>30.97</v>
      </c>
    </row>
    <row r="589" spans="1:2">
      <c r="A589" s="3">
        <f ca="1">IFERROR(__xludf.DUMMYFUNCTION("""COMPUTED_VALUE"""),39206.6666666666)</f>
        <v>39206.666666666599</v>
      </c>
      <c r="B589" s="1">
        <f ca="1">IFERROR(__xludf.DUMMYFUNCTION("""COMPUTED_VALUE"""),30.56)</f>
        <v>30.56</v>
      </c>
    </row>
    <row r="590" spans="1:2">
      <c r="A590" s="3">
        <f ca="1">IFERROR(__xludf.DUMMYFUNCTION("""COMPUTED_VALUE"""),39209.6666666666)</f>
        <v>39209.666666666599</v>
      </c>
      <c r="B590" s="1">
        <f ca="1">IFERROR(__xludf.DUMMYFUNCTION("""COMPUTED_VALUE"""),30.71)</f>
        <v>30.71</v>
      </c>
    </row>
    <row r="591" spans="1:2">
      <c r="A591" s="3">
        <f ca="1">IFERROR(__xludf.DUMMYFUNCTION("""COMPUTED_VALUE"""),39210.6666666666)</f>
        <v>39210.666666666599</v>
      </c>
      <c r="B591" s="1">
        <f ca="1">IFERROR(__xludf.DUMMYFUNCTION("""COMPUTED_VALUE"""),30.75)</f>
        <v>30.75</v>
      </c>
    </row>
    <row r="592" spans="1:2">
      <c r="A592" s="3">
        <f ca="1">IFERROR(__xludf.DUMMYFUNCTION("""COMPUTED_VALUE"""),39211.6666666666)</f>
        <v>39211.666666666599</v>
      </c>
      <c r="B592" s="1">
        <f ca="1">IFERROR(__xludf.DUMMYFUNCTION("""COMPUTED_VALUE"""),30.78)</f>
        <v>30.78</v>
      </c>
    </row>
    <row r="593" spans="1:2">
      <c r="A593" s="3">
        <f ca="1">IFERROR(__xludf.DUMMYFUNCTION("""COMPUTED_VALUE"""),39212.6666666666)</f>
        <v>39212.666666666599</v>
      </c>
      <c r="B593" s="1">
        <f ca="1">IFERROR(__xludf.DUMMYFUNCTION("""COMPUTED_VALUE"""),30.58)</f>
        <v>30.58</v>
      </c>
    </row>
    <row r="594" spans="1:2">
      <c r="A594" s="3">
        <f ca="1">IFERROR(__xludf.DUMMYFUNCTION("""COMPUTED_VALUE"""),39213.6666666666)</f>
        <v>39213.666666666599</v>
      </c>
      <c r="B594" s="1">
        <f ca="1">IFERROR(__xludf.DUMMYFUNCTION("""COMPUTED_VALUE"""),30.89)</f>
        <v>30.89</v>
      </c>
    </row>
    <row r="595" spans="1:2">
      <c r="A595" s="3">
        <f ca="1">IFERROR(__xludf.DUMMYFUNCTION("""COMPUTED_VALUE"""),39216.6666666666)</f>
        <v>39216.666666666599</v>
      </c>
      <c r="B595" s="1">
        <f ca="1">IFERROR(__xludf.DUMMYFUNCTION("""COMPUTED_VALUE"""),30.97)</f>
        <v>30.97</v>
      </c>
    </row>
    <row r="596" spans="1:2">
      <c r="A596" s="3">
        <f ca="1">IFERROR(__xludf.DUMMYFUNCTION("""COMPUTED_VALUE"""),39217.6666666666)</f>
        <v>39217.666666666599</v>
      </c>
      <c r="B596" s="1">
        <f ca="1">IFERROR(__xludf.DUMMYFUNCTION("""COMPUTED_VALUE"""),30.9)</f>
        <v>30.9</v>
      </c>
    </row>
    <row r="597" spans="1:2">
      <c r="A597" s="3">
        <f ca="1">IFERROR(__xludf.DUMMYFUNCTION("""COMPUTED_VALUE"""),39218.6666666666)</f>
        <v>39218.666666666599</v>
      </c>
      <c r="B597" s="1">
        <f ca="1">IFERROR(__xludf.DUMMYFUNCTION("""COMPUTED_VALUE"""),31.07)</f>
        <v>31.07</v>
      </c>
    </row>
    <row r="598" spans="1:2">
      <c r="A598" s="3">
        <f ca="1">IFERROR(__xludf.DUMMYFUNCTION("""COMPUTED_VALUE"""),39219.6666666666)</f>
        <v>39219.666666666599</v>
      </c>
      <c r="B598" s="1">
        <f ca="1">IFERROR(__xludf.DUMMYFUNCTION("""COMPUTED_VALUE"""),30.98)</f>
        <v>30.98</v>
      </c>
    </row>
    <row r="599" spans="1:2">
      <c r="A599" s="3">
        <f ca="1">IFERROR(__xludf.DUMMYFUNCTION("""COMPUTED_VALUE"""),39220.6666666666)</f>
        <v>39220.666666666599</v>
      </c>
      <c r="B599" s="1">
        <f ca="1">IFERROR(__xludf.DUMMYFUNCTION("""COMPUTED_VALUE"""),30.83)</f>
        <v>30.83</v>
      </c>
    </row>
    <row r="600" spans="1:2">
      <c r="A600" s="3">
        <f ca="1">IFERROR(__xludf.DUMMYFUNCTION("""COMPUTED_VALUE"""),39223.6666666666)</f>
        <v>39223.666666666599</v>
      </c>
      <c r="B600" s="1">
        <f ca="1">IFERROR(__xludf.DUMMYFUNCTION("""COMPUTED_VALUE"""),31.05)</f>
        <v>31.05</v>
      </c>
    </row>
    <row r="601" spans="1:2">
      <c r="A601" s="3">
        <f ca="1">IFERROR(__xludf.DUMMYFUNCTION("""COMPUTED_VALUE"""),39224.6666666666)</f>
        <v>39224.666666666599</v>
      </c>
      <c r="B601" s="1">
        <f ca="1">IFERROR(__xludf.DUMMYFUNCTION("""COMPUTED_VALUE"""),30.69)</f>
        <v>30.69</v>
      </c>
    </row>
    <row r="602" spans="1:2">
      <c r="A602" s="3">
        <f ca="1">IFERROR(__xludf.DUMMYFUNCTION("""COMPUTED_VALUE"""),39225.6666666666)</f>
        <v>39225.666666666599</v>
      </c>
      <c r="B602" s="1">
        <f ca="1">IFERROR(__xludf.DUMMYFUNCTION("""COMPUTED_VALUE"""),30.58)</f>
        <v>30.58</v>
      </c>
    </row>
    <row r="603" spans="1:2">
      <c r="A603" s="3">
        <f ca="1">IFERROR(__xludf.DUMMYFUNCTION("""COMPUTED_VALUE"""),39226.6666666666)</f>
        <v>39226.666666666599</v>
      </c>
      <c r="B603" s="1">
        <f ca="1">IFERROR(__xludf.DUMMYFUNCTION("""COMPUTED_VALUE"""),30.17)</f>
        <v>30.17</v>
      </c>
    </row>
    <row r="604" spans="1:2">
      <c r="A604" s="3">
        <f ca="1">IFERROR(__xludf.DUMMYFUNCTION("""COMPUTED_VALUE"""),39227.6666666666)</f>
        <v>39227.666666666599</v>
      </c>
      <c r="B604" s="1">
        <f ca="1">IFERROR(__xludf.DUMMYFUNCTION("""COMPUTED_VALUE"""),30.48)</f>
        <v>30.48</v>
      </c>
    </row>
    <row r="605" spans="1:2">
      <c r="A605" s="3">
        <f ca="1">IFERROR(__xludf.DUMMYFUNCTION("""COMPUTED_VALUE"""),39231.6666666666)</f>
        <v>39231.666666666599</v>
      </c>
      <c r="B605" s="1">
        <f ca="1">IFERROR(__xludf.DUMMYFUNCTION("""COMPUTED_VALUE"""),30.79)</f>
        <v>30.79</v>
      </c>
    </row>
    <row r="606" spans="1:2">
      <c r="A606" s="3">
        <f ca="1">IFERROR(__xludf.DUMMYFUNCTION("""COMPUTED_VALUE"""),39232.6666666666)</f>
        <v>39232.666666666599</v>
      </c>
      <c r="B606" s="1">
        <f ca="1">IFERROR(__xludf.DUMMYFUNCTION("""COMPUTED_VALUE"""),31.11)</f>
        <v>31.11</v>
      </c>
    </row>
    <row r="607" spans="1:2">
      <c r="A607" s="3">
        <f ca="1">IFERROR(__xludf.DUMMYFUNCTION("""COMPUTED_VALUE"""),39233.6666666666)</f>
        <v>39233.666666666599</v>
      </c>
      <c r="B607" s="1">
        <f ca="1">IFERROR(__xludf.DUMMYFUNCTION("""COMPUTED_VALUE"""),30.69)</f>
        <v>30.69</v>
      </c>
    </row>
    <row r="608" spans="1:2">
      <c r="A608" s="3">
        <f ca="1">IFERROR(__xludf.DUMMYFUNCTION("""COMPUTED_VALUE"""),39234.6666666666)</f>
        <v>39234.666666666599</v>
      </c>
      <c r="B608" s="1">
        <f ca="1">IFERROR(__xludf.DUMMYFUNCTION("""COMPUTED_VALUE"""),30.59)</f>
        <v>30.59</v>
      </c>
    </row>
    <row r="609" spans="1:2">
      <c r="A609" s="3">
        <f ca="1">IFERROR(__xludf.DUMMYFUNCTION("""COMPUTED_VALUE"""),39237.6666666666)</f>
        <v>39237.666666666599</v>
      </c>
      <c r="B609" s="1">
        <f ca="1">IFERROR(__xludf.DUMMYFUNCTION("""COMPUTED_VALUE"""),30.72)</f>
        <v>30.72</v>
      </c>
    </row>
    <row r="610" spans="1:2">
      <c r="A610" s="3">
        <f ca="1">IFERROR(__xludf.DUMMYFUNCTION("""COMPUTED_VALUE"""),39238.6666666666)</f>
        <v>39238.666666666599</v>
      </c>
      <c r="B610" s="1">
        <f ca="1">IFERROR(__xludf.DUMMYFUNCTION("""COMPUTED_VALUE"""),30.58)</f>
        <v>30.58</v>
      </c>
    </row>
    <row r="611" spans="1:2">
      <c r="A611" s="3">
        <f ca="1">IFERROR(__xludf.DUMMYFUNCTION("""COMPUTED_VALUE"""),39239.6666666666)</f>
        <v>39239.666666666599</v>
      </c>
      <c r="B611" s="1">
        <f ca="1">IFERROR(__xludf.DUMMYFUNCTION("""COMPUTED_VALUE"""),30.29)</f>
        <v>30.29</v>
      </c>
    </row>
    <row r="612" spans="1:2">
      <c r="A612" s="3">
        <f ca="1">IFERROR(__xludf.DUMMYFUNCTION("""COMPUTED_VALUE"""),39240.6666666666)</f>
        <v>39240.666666666599</v>
      </c>
      <c r="B612" s="1">
        <f ca="1">IFERROR(__xludf.DUMMYFUNCTION("""COMPUTED_VALUE"""),29.62)</f>
        <v>29.62</v>
      </c>
    </row>
    <row r="613" spans="1:2">
      <c r="A613" s="3">
        <f ca="1">IFERROR(__xludf.DUMMYFUNCTION("""COMPUTED_VALUE"""),39241.6666666666)</f>
        <v>39241.666666666599</v>
      </c>
      <c r="B613" s="1">
        <f ca="1">IFERROR(__xludf.DUMMYFUNCTION("""COMPUTED_VALUE"""),30.05)</f>
        <v>30.05</v>
      </c>
    </row>
    <row r="614" spans="1:2">
      <c r="A614" s="3">
        <f ca="1">IFERROR(__xludf.DUMMYFUNCTION("""COMPUTED_VALUE"""),39244.6666666666)</f>
        <v>39244.666666666599</v>
      </c>
      <c r="B614" s="1">
        <f ca="1">IFERROR(__xludf.DUMMYFUNCTION("""COMPUTED_VALUE"""),30.02)</f>
        <v>30.02</v>
      </c>
    </row>
    <row r="615" spans="1:2">
      <c r="A615" s="3">
        <f ca="1">IFERROR(__xludf.DUMMYFUNCTION("""COMPUTED_VALUE"""),39245.6666666666)</f>
        <v>39245.666666666599</v>
      </c>
      <c r="B615" s="1">
        <f ca="1">IFERROR(__xludf.DUMMYFUNCTION("""COMPUTED_VALUE"""),29.85)</f>
        <v>29.85</v>
      </c>
    </row>
    <row r="616" spans="1:2">
      <c r="A616" s="3">
        <f ca="1">IFERROR(__xludf.DUMMYFUNCTION("""COMPUTED_VALUE"""),39246.6666666666)</f>
        <v>39246.666666666599</v>
      </c>
      <c r="B616" s="1">
        <f ca="1">IFERROR(__xludf.DUMMYFUNCTION("""COMPUTED_VALUE"""),30.39)</f>
        <v>30.39</v>
      </c>
    </row>
    <row r="617" spans="1:2">
      <c r="A617" s="3">
        <f ca="1">IFERROR(__xludf.DUMMYFUNCTION("""COMPUTED_VALUE"""),39247.6666666666)</f>
        <v>39247.666666666599</v>
      </c>
      <c r="B617" s="1">
        <f ca="1">IFERROR(__xludf.DUMMYFUNCTION("""COMPUTED_VALUE"""),30.52)</f>
        <v>30.52</v>
      </c>
    </row>
    <row r="618" spans="1:2">
      <c r="A618" s="3">
        <f ca="1">IFERROR(__xludf.DUMMYFUNCTION("""COMPUTED_VALUE"""),39248.6666666666)</f>
        <v>39248.666666666599</v>
      </c>
      <c r="B618" s="1">
        <f ca="1">IFERROR(__xludf.DUMMYFUNCTION("""COMPUTED_VALUE"""),30.49)</f>
        <v>30.49</v>
      </c>
    </row>
    <row r="619" spans="1:2">
      <c r="A619" s="3">
        <f ca="1">IFERROR(__xludf.DUMMYFUNCTION("""COMPUTED_VALUE"""),39251.6666666666)</f>
        <v>39251.666666666599</v>
      </c>
      <c r="B619" s="1">
        <f ca="1">IFERROR(__xludf.DUMMYFUNCTION("""COMPUTED_VALUE"""),30.51)</f>
        <v>30.51</v>
      </c>
    </row>
    <row r="620" spans="1:2">
      <c r="A620" s="3">
        <f ca="1">IFERROR(__xludf.DUMMYFUNCTION("""COMPUTED_VALUE"""),39252.6666666666)</f>
        <v>39252.666666666599</v>
      </c>
      <c r="B620" s="1">
        <f ca="1">IFERROR(__xludf.DUMMYFUNCTION("""COMPUTED_VALUE"""),30.46)</f>
        <v>30.46</v>
      </c>
    </row>
    <row r="621" spans="1:2">
      <c r="A621" s="3">
        <f ca="1">IFERROR(__xludf.DUMMYFUNCTION("""COMPUTED_VALUE"""),39253.6666666666)</f>
        <v>39253.666666666599</v>
      </c>
      <c r="B621" s="1">
        <f ca="1">IFERROR(__xludf.DUMMYFUNCTION("""COMPUTED_VALUE"""),30.01)</f>
        <v>30.01</v>
      </c>
    </row>
    <row r="622" spans="1:2">
      <c r="A622" s="3">
        <f ca="1">IFERROR(__xludf.DUMMYFUNCTION("""COMPUTED_VALUE"""),39254.6666666666)</f>
        <v>39254.666666666599</v>
      </c>
      <c r="B622" s="1">
        <f ca="1">IFERROR(__xludf.DUMMYFUNCTION("""COMPUTED_VALUE"""),30.22)</f>
        <v>30.22</v>
      </c>
    </row>
    <row r="623" spans="1:2">
      <c r="A623" s="3">
        <f ca="1">IFERROR(__xludf.DUMMYFUNCTION("""COMPUTED_VALUE"""),39255.6666666666)</f>
        <v>39255.666666666599</v>
      </c>
      <c r="B623" s="1">
        <f ca="1">IFERROR(__xludf.DUMMYFUNCTION("""COMPUTED_VALUE"""),29.49)</f>
        <v>29.49</v>
      </c>
    </row>
    <row r="624" spans="1:2">
      <c r="A624" s="3">
        <f ca="1">IFERROR(__xludf.DUMMYFUNCTION("""COMPUTED_VALUE"""),39258.6666666666)</f>
        <v>39258.666666666599</v>
      </c>
      <c r="B624" s="1">
        <f ca="1">IFERROR(__xludf.DUMMYFUNCTION("""COMPUTED_VALUE"""),29.49)</f>
        <v>29.49</v>
      </c>
    </row>
    <row r="625" spans="1:2">
      <c r="A625" s="3">
        <f ca="1">IFERROR(__xludf.DUMMYFUNCTION("""COMPUTED_VALUE"""),39259.6666666666)</f>
        <v>39259.666666666599</v>
      </c>
      <c r="B625" s="1">
        <f ca="1">IFERROR(__xludf.DUMMYFUNCTION("""COMPUTED_VALUE"""),29.52)</f>
        <v>29.52</v>
      </c>
    </row>
    <row r="626" spans="1:2">
      <c r="A626" s="3">
        <f ca="1">IFERROR(__xludf.DUMMYFUNCTION("""COMPUTED_VALUE"""),39260.6666666666)</f>
        <v>39260.666666666599</v>
      </c>
      <c r="B626" s="1">
        <f ca="1">IFERROR(__xludf.DUMMYFUNCTION("""COMPUTED_VALUE"""),29.87)</f>
        <v>29.87</v>
      </c>
    </row>
    <row r="627" spans="1:2">
      <c r="A627" s="3">
        <f ca="1">IFERROR(__xludf.DUMMYFUNCTION("""COMPUTED_VALUE"""),39261.6666666666)</f>
        <v>39261.666666666599</v>
      </c>
      <c r="B627" s="1">
        <f ca="1">IFERROR(__xludf.DUMMYFUNCTION("""COMPUTED_VALUE"""),29.83)</f>
        <v>29.83</v>
      </c>
    </row>
    <row r="628" spans="1:2">
      <c r="A628" s="3">
        <f ca="1">IFERROR(__xludf.DUMMYFUNCTION("""COMPUTED_VALUE"""),39262.6666666666)</f>
        <v>39262.666666666599</v>
      </c>
      <c r="B628" s="1">
        <f ca="1">IFERROR(__xludf.DUMMYFUNCTION("""COMPUTED_VALUE"""),29.47)</f>
        <v>29.47</v>
      </c>
    </row>
    <row r="629" spans="1:2">
      <c r="A629" s="3">
        <f ca="1">IFERROR(__xludf.DUMMYFUNCTION("""COMPUTED_VALUE"""),39265.6666666666)</f>
        <v>39265.666666666599</v>
      </c>
      <c r="B629" s="1">
        <f ca="1">IFERROR(__xludf.DUMMYFUNCTION("""COMPUTED_VALUE"""),29.74)</f>
        <v>29.74</v>
      </c>
    </row>
    <row r="630" spans="1:2">
      <c r="A630" s="3">
        <f ca="1">IFERROR(__xludf.DUMMYFUNCTION("""COMPUTED_VALUE"""),39266.6666666666)</f>
        <v>39266.666666666599</v>
      </c>
      <c r="B630" s="1">
        <f ca="1">IFERROR(__xludf.DUMMYFUNCTION("""COMPUTED_VALUE"""),30.02)</f>
        <v>30.02</v>
      </c>
    </row>
    <row r="631" spans="1:2">
      <c r="A631" s="3">
        <f ca="1">IFERROR(__xludf.DUMMYFUNCTION("""COMPUTED_VALUE"""),39268.6666666666)</f>
        <v>39268.666666666599</v>
      </c>
      <c r="B631" s="1">
        <f ca="1">IFERROR(__xludf.DUMMYFUNCTION("""COMPUTED_VALUE"""),29.99)</f>
        <v>29.99</v>
      </c>
    </row>
    <row r="632" spans="1:2">
      <c r="A632" s="3">
        <f ca="1">IFERROR(__xludf.DUMMYFUNCTION("""COMPUTED_VALUE"""),39269.6666666666)</f>
        <v>39269.666666666599</v>
      </c>
      <c r="B632" s="1">
        <f ca="1">IFERROR(__xludf.DUMMYFUNCTION("""COMPUTED_VALUE"""),29.97)</f>
        <v>29.97</v>
      </c>
    </row>
    <row r="633" spans="1:2">
      <c r="A633" s="3">
        <f ca="1">IFERROR(__xludf.DUMMYFUNCTION("""COMPUTED_VALUE"""),39272.6666666666)</f>
        <v>39272.666666666599</v>
      </c>
      <c r="B633" s="1">
        <f ca="1">IFERROR(__xludf.DUMMYFUNCTION("""COMPUTED_VALUE"""),29.87)</f>
        <v>29.87</v>
      </c>
    </row>
    <row r="634" spans="1:2">
      <c r="A634" s="3">
        <f ca="1">IFERROR(__xludf.DUMMYFUNCTION("""COMPUTED_VALUE"""),39273.6666666666)</f>
        <v>39273.666666666599</v>
      </c>
      <c r="B634" s="1">
        <f ca="1">IFERROR(__xludf.DUMMYFUNCTION("""COMPUTED_VALUE"""),29.33)</f>
        <v>29.33</v>
      </c>
    </row>
    <row r="635" spans="1:2">
      <c r="A635" s="3">
        <f ca="1">IFERROR(__xludf.DUMMYFUNCTION("""COMPUTED_VALUE"""),39274.6666666666)</f>
        <v>39274.666666666599</v>
      </c>
      <c r="B635" s="1">
        <f ca="1">IFERROR(__xludf.DUMMYFUNCTION("""COMPUTED_VALUE"""),29.49)</f>
        <v>29.49</v>
      </c>
    </row>
    <row r="636" spans="1:2">
      <c r="A636" s="3">
        <f ca="1">IFERROR(__xludf.DUMMYFUNCTION("""COMPUTED_VALUE"""),39275.6666666666)</f>
        <v>39275.666666666599</v>
      </c>
      <c r="B636" s="1">
        <f ca="1">IFERROR(__xludf.DUMMYFUNCTION("""COMPUTED_VALUE"""),30.07)</f>
        <v>30.07</v>
      </c>
    </row>
    <row r="637" spans="1:2">
      <c r="A637" s="3">
        <f ca="1">IFERROR(__xludf.DUMMYFUNCTION("""COMPUTED_VALUE"""),39276.6666666666)</f>
        <v>39276.666666666599</v>
      </c>
      <c r="B637" s="1">
        <f ca="1">IFERROR(__xludf.DUMMYFUNCTION("""COMPUTED_VALUE"""),29.82)</f>
        <v>29.82</v>
      </c>
    </row>
    <row r="638" spans="1:2">
      <c r="A638" s="3">
        <f ca="1">IFERROR(__xludf.DUMMYFUNCTION("""COMPUTED_VALUE"""),39279.6666666666)</f>
        <v>39279.666666666599</v>
      </c>
      <c r="B638" s="1">
        <f ca="1">IFERROR(__xludf.DUMMYFUNCTION("""COMPUTED_VALUE"""),30.03)</f>
        <v>30.03</v>
      </c>
    </row>
    <row r="639" spans="1:2">
      <c r="A639" s="3">
        <f ca="1">IFERROR(__xludf.DUMMYFUNCTION("""COMPUTED_VALUE"""),39280.6666666666)</f>
        <v>39280.666666666599</v>
      </c>
      <c r="B639" s="1">
        <f ca="1">IFERROR(__xludf.DUMMYFUNCTION("""COMPUTED_VALUE"""),30.78)</f>
        <v>30.78</v>
      </c>
    </row>
    <row r="640" spans="1:2">
      <c r="A640" s="3">
        <f ca="1">IFERROR(__xludf.DUMMYFUNCTION("""COMPUTED_VALUE"""),39281.6666666666)</f>
        <v>39281.666666666599</v>
      </c>
      <c r="B640" s="1">
        <f ca="1">IFERROR(__xludf.DUMMYFUNCTION("""COMPUTED_VALUE"""),30.92)</f>
        <v>30.92</v>
      </c>
    </row>
    <row r="641" spans="1:2">
      <c r="A641" s="3">
        <f ca="1">IFERROR(__xludf.DUMMYFUNCTION("""COMPUTED_VALUE"""),39282.6666666666)</f>
        <v>39282.666666666599</v>
      </c>
      <c r="B641" s="1">
        <f ca="1">IFERROR(__xludf.DUMMYFUNCTION("""COMPUTED_VALUE"""),31.51)</f>
        <v>31.51</v>
      </c>
    </row>
    <row r="642" spans="1:2">
      <c r="A642" s="3">
        <f ca="1">IFERROR(__xludf.DUMMYFUNCTION("""COMPUTED_VALUE"""),39283.6666666666)</f>
        <v>39283.666666666599</v>
      </c>
      <c r="B642" s="1">
        <f ca="1">IFERROR(__xludf.DUMMYFUNCTION("""COMPUTED_VALUE"""),31.16)</f>
        <v>31.16</v>
      </c>
    </row>
    <row r="643" spans="1:2">
      <c r="A643" s="3">
        <f ca="1">IFERROR(__xludf.DUMMYFUNCTION("""COMPUTED_VALUE"""),39286.6666666666)</f>
        <v>39286.666666666599</v>
      </c>
      <c r="B643" s="1">
        <f ca="1">IFERROR(__xludf.DUMMYFUNCTION("""COMPUTED_VALUE"""),31.19)</f>
        <v>31.19</v>
      </c>
    </row>
    <row r="644" spans="1:2">
      <c r="A644" s="3">
        <f ca="1">IFERROR(__xludf.DUMMYFUNCTION("""COMPUTED_VALUE"""),39287.6666666666)</f>
        <v>39287.666666666599</v>
      </c>
      <c r="B644" s="1">
        <f ca="1">IFERROR(__xludf.DUMMYFUNCTION("""COMPUTED_VALUE"""),30.8)</f>
        <v>30.8</v>
      </c>
    </row>
    <row r="645" spans="1:2">
      <c r="A645" s="3">
        <f ca="1">IFERROR(__xludf.DUMMYFUNCTION("""COMPUTED_VALUE"""),39288.6666666666)</f>
        <v>39288.666666666599</v>
      </c>
      <c r="B645" s="1">
        <f ca="1">IFERROR(__xludf.DUMMYFUNCTION("""COMPUTED_VALUE"""),30.71)</f>
        <v>30.71</v>
      </c>
    </row>
    <row r="646" spans="1:2">
      <c r="A646" s="3">
        <f ca="1">IFERROR(__xludf.DUMMYFUNCTION("""COMPUTED_VALUE"""),39289.6666666666)</f>
        <v>39289.666666666599</v>
      </c>
      <c r="B646" s="1">
        <f ca="1">IFERROR(__xludf.DUMMYFUNCTION("""COMPUTED_VALUE"""),29.98)</f>
        <v>29.98</v>
      </c>
    </row>
    <row r="647" spans="1:2">
      <c r="A647" s="3">
        <f ca="1">IFERROR(__xludf.DUMMYFUNCTION("""COMPUTED_VALUE"""),39290.6666666666)</f>
        <v>39290.666666666599</v>
      </c>
      <c r="B647" s="1">
        <f ca="1">IFERROR(__xludf.DUMMYFUNCTION("""COMPUTED_VALUE"""),29.39)</f>
        <v>29.39</v>
      </c>
    </row>
    <row r="648" spans="1:2">
      <c r="A648" s="3">
        <f ca="1">IFERROR(__xludf.DUMMYFUNCTION("""COMPUTED_VALUE"""),39293.6666666666)</f>
        <v>39293.666666666599</v>
      </c>
      <c r="B648" s="1">
        <f ca="1">IFERROR(__xludf.DUMMYFUNCTION("""COMPUTED_VALUE"""),29.4)</f>
        <v>29.4</v>
      </c>
    </row>
    <row r="649" spans="1:2">
      <c r="A649" s="3">
        <f ca="1">IFERROR(__xludf.DUMMYFUNCTION("""COMPUTED_VALUE"""),39294.6666666666)</f>
        <v>39294.666666666599</v>
      </c>
      <c r="B649" s="1">
        <f ca="1">IFERROR(__xludf.DUMMYFUNCTION("""COMPUTED_VALUE"""),28.99)</f>
        <v>28.99</v>
      </c>
    </row>
    <row r="650" spans="1:2">
      <c r="A650" s="3">
        <f ca="1">IFERROR(__xludf.DUMMYFUNCTION("""COMPUTED_VALUE"""),39295.6666666666)</f>
        <v>39295.666666666599</v>
      </c>
      <c r="B650" s="1">
        <f ca="1">IFERROR(__xludf.DUMMYFUNCTION("""COMPUTED_VALUE"""),29.3)</f>
        <v>29.3</v>
      </c>
    </row>
    <row r="651" spans="1:2">
      <c r="A651" s="3">
        <f ca="1">IFERROR(__xludf.DUMMYFUNCTION("""COMPUTED_VALUE"""),39296.6666666666)</f>
        <v>39296.666666666599</v>
      </c>
      <c r="B651" s="1">
        <f ca="1">IFERROR(__xludf.DUMMYFUNCTION("""COMPUTED_VALUE"""),29.52)</f>
        <v>29.52</v>
      </c>
    </row>
    <row r="652" spans="1:2">
      <c r="A652" s="3">
        <f ca="1">IFERROR(__xludf.DUMMYFUNCTION("""COMPUTED_VALUE"""),39297.6666666666)</f>
        <v>39297.666666666599</v>
      </c>
      <c r="B652" s="1">
        <f ca="1">IFERROR(__xludf.DUMMYFUNCTION("""COMPUTED_VALUE"""),28.96)</f>
        <v>28.96</v>
      </c>
    </row>
    <row r="653" spans="1:2">
      <c r="A653" s="3">
        <f ca="1">IFERROR(__xludf.DUMMYFUNCTION("""COMPUTED_VALUE"""),39300.6666666666)</f>
        <v>39300.666666666599</v>
      </c>
      <c r="B653" s="1">
        <f ca="1">IFERROR(__xludf.DUMMYFUNCTION("""COMPUTED_VALUE"""),29.54)</f>
        <v>29.54</v>
      </c>
    </row>
    <row r="654" spans="1:2">
      <c r="A654" s="3">
        <f ca="1">IFERROR(__xludf.DUMMYFUNCTION("""COMPUTED_VALUE"""),39301.6666666666)</f>
        <v>39301.666666666599</v>
      </c>
      <c r="B654" s="1">
        <f ca="1">IFERROR(__xludf.DUMMYFUNCTION("""COMPUTED_VALUE"""),29.55)</f>
        <v>29.55</v>
      </c>
    </row>
    <row r="655" spans="1:2">
      <c r="A655" s="3">
        <f ca="1">IFERROR(__xludf.DUMMYFUNCTION("""COMPUTED_VALUE"""),39302.6666666666)</f>
        <v>39302.666666666599</v>
      </c>
      <c r="B655" s="1">
        <f ca="1">IFERROR(__xludf.DUMMYFUNCTION("""COMPUTED_VALUE"""),30)</f>
        <v>30</v>
      </c>
    </row>
    <row r="656" spans="1:2">
      <c r="A656" s="3">
        <f ca="1">IFERROR(__xludf.DUMMYFUNCTION("""COMPUTED_VALUE"""),39303.6666666666)</f>
        <v>39303.666666666599</v>
      </c>
      <c r="B656" s="1">
        <f ca="1">IFERROR(__xludf.DUMMYFUNCTION("""COMPUTED_VALUE"""),29.3)</f>
        <v>29.3</v>
      </c>
    </row>
    <row r="657" spans="1:2">
      <c r="A657" s="3">
        <f ca="1">IFERROR(__xludf.DUMMYFUNCTION("""COMPUTED_VALUE"""),39304.6666666666)</f>
        <v>39304.666666666599</v>
      </c>
      <c r="B657" s="1">
        <f ca="1">IFERROR(__xludf.DUMMYFUNCTION("""COMPUTED_VALUE"""),28.71)</f>
        <v>28.71</v>
      </c>
    </row>
    <row r="658" spans="1:2">
      <c r="A658" s="3">
        <f ca="1">IFERROR(__xludf.DUMMYFUNCTION("""COMPUTED_VALUE"""),39307.6666666666)</f>
        <v>39307.666666666599</v>
      </c>
      <c r="B658" s="1">
        <f ca="1">IFERROR(__xludf.DUMMYFUNCTION("""COMPUTED_VALUE"""),28.63)</f>
        <v>28.63</v>
      </c>
    </row>
    <row r="659" spans="1:2">
      <c r="A659" s="3">
        <f ca="1">IFERROR(__xludf.DUMMYFUNCTION("""COMPUTED_VALUE"""),39308.6666666666)</f>
        <v>39308.666666666599</v>
      </c>
      <c r="B659" s="1">
        <f ca="1">IFERROR(__xludf.DUMMYFUNCTION("""COMPUTED_VALUE"""),28.27)</f>
        <v>28.27</v>
      </c>
    </row>
    <row r="660" spans="1:2">
      <c r="A660" s="3">
        <f ca="1">IFERROR(__xludf.DUMMYFUNCTION("""COMPUTED_VALUE"""),39309.6666666666)</f>
        <v>39309.666666666599</v>
      </c>
      <c r="B660" s="1">
        <f ca="1">IFERROR(__xludf.DUMMYFUNCTION("""COMPUTED_VALUE"""),28.1)</f>
        <v>28.1</v>
      </c>
    </row>
    <row r="661" spans="1:2">
      <c r="A661" s="3">
        <f ca="1">IFERROR(__xludf.DUMMYFUNCTION("""COMPUTED_VALUE"""),39310.6666666666)</f>
        <v>39310.666666666599</v>
      </c>
      <c r="B661" s="1">
        <f ca="1">IFERROR(__xludf.DUMMYFUNCTION("""COMPUTED_VALUE"""),27.81)</f>
        <v>27.81</v>
      </c>
    </row>
    <row r="662" spans="1:2">
      <c r="A662" s="3">
        <f ca="1">IFERROR(__xludf.DUMMYFUNCTION("""COMPUTED_VALUE"""),39311.6666666666)</f>
        <v>39311.666666666599</v>
      </c>
      <c r="B662" s="1">
        <f ca="1">IFERROR(__xludf.DUMMYFUNCTION("""COMPUTED_VALUE"""),28.25)</f>
        <v>28.25</v>
      </c>
    </row>
    <row r="663" spans="1:2">
      <c r="A663" s="3">
        <f ca="1">IFERROR(__xludf.DUMMYFUNCTION("""COMPUTED_VALUE"""),39314.6666666666)</f>
        <v>39314.666666666599</v>
      </c>
      <c r="B663" s="1">
        <f ca="1">IFERROR(__xludf.DUMMYFUNCTION("""COMPUTED_VALUE"""),28.26)</f>
        <v>28.26</v>
      </c>
    </row>
    <row r="664" spans="1:2">
      <c r="A664" s="3">
        <f ca="1">IFERROR(__xludf.DUMMYFUNCTION("""COMPUTED_VALUE"""),39315.6666666666)</f>
        <v>39315.666666666599</v>
      </c>
      <c r="B664" s="1">
        <f ca="1">IFERROR(__xludf.DUMMYFUNCTION("""COMPUTED_VALUE"""),28.07)</f>
        <v>28.07</v>
      </c>
    </row>
    <row r="665" spans="1:2">
      <c r="A665" s="3">
        <f ca="1">IFERROR(__xludf.DUMMYFUNCTION("""COMPUTED_VALUE"""),39316.6666666666)</f>
        <v>39316.666666666599</v>
      </c>
      <c r="B665" s="1">
        <f ca="1">IFERROR(__xludf.DUMMYFUNCTION("""COMPUTED_VALUE"""),28.22)</f>
        <v>28.22</v>
      </c>
    </row>
    <row r="666" spans="1:2">
      <c r="A666" s="3">
        <f ca="1">IFERROR(__xludf.DUMMYFUNCTION("""COMPUTED_VALUE"""),39317.6666666666)</f>
        <v>39317.666666666599</v>
      </c>
      <c r="B666" s="1">
        <f ca="1">IFERROR(__xludf.DUMMYFUNCTION("""COMPUTED_VALUE"""),28.3)</f>
        <v>28.3</v>
      </c>
    </row>
    <row r="667" spans="1:2">
      <c r="A667" s="3">
        <f ca="1">IFERROR(__xludf.DUMMYFUNCTION("""COMPUTED_VALUE"""),39318.6666666666)</f>
        <v>39318.666666666599</v>
      </c>
      <c r="B667" s="1">
        <f ca="1">IFERROR(__xludf.DUMMYFUNCTION("""COMPUTED_VALUE"""),28.81)</f>
        <v>28.81</v>
      </c>
    </row>
    <row r="668" spans="1:2">
      <c r="A668" s="3">
        <f ca="1">IFERROR(__xludf.DUMMYFUNCTION("""COMPUTED_VALUE"""),39321.6666666666)</f>
        <v>39321.666666666599</v>
      </c>
      <c r="B668" s="1">
        <f ca="1">IFERROR(__xludf.DUMMYFUNCTION("""COMPUTED_VALUE"""),28.49)</f>
        <v>28.49</v>
      </c>
    </row>
    <row r="669" spans="1:2">
      <c r="A669" s="3">
        <f ca="1">IFERROR(__xludf.DUMMYFUNCTION("""COMPUTED_VALUE"""),39322.6666666666)</f>
        <v>39322.666666666599</v>
      </c>
      <c r="B669" s="1">
        <f ca="1">IFERROR(__xludf.DUMMYFUNCTION("""COMPUTED_VALUE"""),27.93)</f>
        <v>27.93</v>
      </c>
    </row>
    <row r="670" spans="1:2">
      <c r="A670" s="3">
        <f ca="1">IFERROR(__xludf.DUMMYFUNCTION("""COMPUTED_VALUE"""),39323.6666666666)</f>
        <v>39323.666666666599</v>
      </c>
      <c r="B670" s="1">
        <f ca="1">IFERROR(__xludf.DUMMYFUNCTION("""COMPUTED_VALUE"""),28.59)</f>
        <v>28.59</v>
      </c>
    </row>
    <row r="671" spans="1:2">
      <c r="A671" s="3">
        <f ca="1">IFERROR(__xludf.DUMMYFUNCTION("""COMPUTED_VALUE"""),39324.6666666666)</f>
        <v>39324.666666666599</v>
      </c>
      <c r="B671" s="1">
        <f ca="1">IFERROR(__xludf.DUMMYFUNCTION("""COMPUTED_VALUE"""),28.45)</f>
        <v>28.45</v>
      </c>
    </row>
    <row r="672" spans="1:2">
      <c r="A672" s="3">
        <f ca="1">IFERROR(__xludf.DUMMYFUNCTION("""COMPUTED_VALUE"""),39325.6666666666)</f>
        <v>39325.666666666599</v>
      </c>
      <c r="B672" s="1">
        <f ca="1">IFERROR(__xludf.DUMMYFUNCTION("""COMPUTED_VALUE"""),28.73)</f>
        <v>28.73</v>
      </c>
    </row>
    <row r="673" spans="1:2">
      <c r="A673" s="3">
        <f ca="1">IFERROR(__xludf.DUMMYFUNCTION("""COMPUTED_VALUE"""),39329.6666666666)</f>
        <v>39329.666666666599</v>
      </c>
      <c r="B673" s="1">
        <f ca="1">IFERROR(__xludf.DUMMYFUNCTION("""COMPUTED_VALUE"""),28.81)</f>
        <v>28.81</v>
      </c>
    </row>
    <row r="674" spans="1:2">
      <c r="A674" s="3">
        <f ca="1">IFERROR(__xludf.DUMMYFUNCTION("""COMPUTED_VALUE"""),39330.6666666666)</f>
        <v>39330.666666666599</v>
      </c>
      <c r="B674" s="1">
        <f ca="1">IFERROR(__xludf.DUMMYFUNCTION("""COMPUTED_VALUE"""),28.48)</f>
        <v>28.48</v>
      </c>
    </row>
    <row r="675" spans="1:2">
      <c r="A675" s="3">
        <f ca="1">IFERROR(__xludf.DUMMYFUNCTION("""COMPUTED_VALUE"""),39331.6666666666)</f>
        <v>39331.666666666599</v>
      </c>
      <c r="B675" s="1">
        <f ca="1">IFERROR(__xludf.DUMMYFUNCTION("""COMPUTED_VALUE"""),28.91)</f>
        <v>28.91</v>
      </c>
    </row>
    <row r="676" spans="1:2">
      <c r="A676" s="3">
        <f ca="1">IFERROR(__xludf.DUMMYFUNCTION("""COMPUTED_VALUE"""),39332.6666666666)</f>
        <v>39332.666666666599</v>
      </c>
      <c r="B676" s="1">
        <f ca="1">IFERROR(__xludf.DUMMYFUNCTION("""COMPUTED_VALUE"""),28.44)</f>
        <v>28.44</v>
      </c>
    </row>
    <row r="677" spans="1:2">
      <c r="A677" s="3">
        <f ca="1">IFERROR(__xludf.DUMMYFUNCTION("""COMPUTED_VALUE"""),39335.6666666666)</f>
        <v>39335.666666666599</v>
      </c>
      <c r="B677" s="1">
        <f ca="1">IFERROR(__xludf.DUMMYFUNCTION("""COMPUTED_VALUE"""),28.48)</f>
        <v>28.48</v>
      </c>
    </row>
    <row r="678" spans="1:2">
      <c r="A678" s="3">
        <f ca="1">IFERROR(__xludf.DUMMYFUNCTION("""COMPUTED_VALUE"""),39336.6666666666)</f>
        <v>39336.666666666599</v>
      </c>
      <c r="B678" s="1">
        <f ca="1">IFERROR(__xludf.DUMMYFUNCTION("""COMPUTED_VALUE"""),28.93)</f>
        <v>28.93</v>
      </c>
    </row>
    <row r="679" spans="1:2">
      <c r="A679" s="3">
        <f ca="1">IFERROR(__xludf.DUMMYFUNCTION("""COMPUTED_VALUE"""),39337.6666666666)</f>
        <v>39337.666666666599</v>
      </c>
      <c r="B679" s="1">
        <f ca="1">IFERROR(__xludf.DUMMYFUNCTION("""COMPUTED_VALUE"""),28.93)</f>
        <v>28.93</v>
      </c>
    </row>
    <row r="680" spans="1:2">
      <c r="A680" s="3">
        <f ca="1">IFERROR(__xludf.DUMMYFUNCTION("""COMPUTED_VALUE"""),39338.6666666666)</f>
        <v>39338.666666666599</v>
      </c>
      <c r="B680" s="1">
        <f ca="1">IFERROR(__xludf.DUMMYFUNCTION("""COMPUTED_VALUE"""),29.16)</f>
        <v>29.16</v>
      </c>
    </row>
    <row r="681" spans="1:2">
      <c r="A681" s="3">
        <f ca="1">IFERROR(__xludf.DUMMYFUNCTION("""COMPUTED_VALUE"""),39339.6666666666)</f>
        <v>39339.666666666599</v>
      </c>
      <c r="B681" s="1">
        <f ca="1">IFERROR(__xludf.DUMMYFUNCTION("""COMPUTED_VALUE"""),29.04)</f>
        <v>29.04</v>
      </c>
    </row>
    <row r="682" spans="1:2">
      <c r="A682" s="3">
        <f ca="1">IFERROR(__xludf.DUMMYFUNCTION("""COMPUTED_VALUE"""),39342.6666666666)</f>
        <v>39342.666666666599</v>
      </c>
      <c r="B682" s="1">
        <f ca="1">IFERROR(__xludf.DUMMYFUNCTION("""COMPUTED_VALUE"""),28.73)</f>
        <v>28.73</v>
      </c>
    </row>
    <row r="683" spans="1:2">
      <c r="A683" s="3">
        <f ca="1">IFERROR(__xludf.DUMMYFUNCTION("""COMPUTED_VALUE"""),39343.6666666666)</f>
        <v>39343.666666666599</v>
      </c>
      <c r="B683" s="1">
        <f ca="1">IFERROR(__xludf.DUMMYFUNCTION("""COMPUTED_VALUE"""),28.93)</f>
        <v>28.93</v>
      </c>
    </row>
    <row r="684" spans="1:2">
      <c r="A684" s="3">
        <f ca="1">IFERROR(__xludf.DUMMYFUNCTION("""COMPUTED_VALUE"""),39344.6666666666)</f>
        <v>39344.666666666599</v>
      </c>
      <c r="B684" s="1">
        <f ca="1">IFERROR(__xludf.DUMMYFUNCTION("""COMPUTED_VALUE"""),28.67)</f>
        <v>28.67</v>
      </c>
    </row>
    <row r="685" spans="1:2">
      <c r="A685" s="3">
        <f ca="1">IFERROR(__xludf.DUMMYFUNCTION("""COMPUTED_VALUE"""),39345.6666666666)</f>
        <v>39345.666666666599</v>
      </c>
      <c r="B685" s="1">
        <f ca="1">IFERROR(__xludf.DUMMYFUNCTION("""COMPUTED_VALUE"""),28.42)</f>
        <v>28.42</v>
      </c>
    </row>
    <row r="686" spans="1:2">
      <c r="A686" s="3">
        <f ca="1">IFERROR(__xludf.DUMMYFUNCTION("""COMPUTED_VALUE"""),39346.6666666666)</f>
        <v>39346.666666666599</v>
      </c>
      <c r="B686" s="1">
        <f ca="1">IFERROR(__xludf.DUMMYFUNCTION("""COMPUTED_VALUE"""),28.65)</f>
        <v>28.65</v>
      </c>
    </row>
    <row r="687" spans="1:2">
      <c r="A687" s="3">
        <f ca="1">IFERROR(__xludf.DUMMYFUNCTION("""COMPUTED_VALUE"""),39349.6666666666)</f>
        <v>39349.666666666599</v>
      </c>
      <c r="B687" s="1">
        <f ca="1">IFERROR(__xludf.DUMMYFUNCTION("""COMPUTED_VALUE"""),29.08)</f>
        <v>29.08</v>
      </c>
    </row>
    <row r="688" spans="1:2">
      <c r="A688" s="3">
        <f ca="1">IFERROR(__xludf.DUMMYFUNCTION("""COMPUTED_VALUE"""),39350.6666666666)</f>
        <v>39350.666666666599</v>
      </c>
      <c r="B688" s="1">
        <f ca="1">IFERROR(__xludf.DUMMYFUNCTION("""COMPUTED_VALUE"""),29.56)</f>
        <v>29.56</v>
      </c>
    </row>
    <row r="689" spans="1:2">
      <c r="A689" s="3">
        <f ca="1">IFERROR(__xludf.DUMMYFUNCTION("""COMPUTED_VALUE"""),39351.6666666666)</f>
        <v>39351.666666666599</v>
      </c>
      <c r="B689" s="1">
        <f ca="1">IFERROR(__xludf.DUMMYFUNCTION("""COMPUTED_VALUE"""),29.5)</f>
        <v>29.5</v>
      </c>
    </row>
    <row r="690" spans="1:2">
      <c r="A690" s="3">
        <f ca="1">IFERROR(__xludf.DUMMYFUNCTION("""COMPUTED_VALUE"""),39352.6666666666)</f>
        <v>39352.666666666599</v>
      </c>
      <c r="B690" s="1">
        <f ca="1">IFERROR(__xludf.DUMMYFUNCTION("""COMPUTED_VALUE"""),29.49)</f>
        <v>29.49</v>
      </c>
    </row>
    <row r="691" spans="1:2">
      <c r="A691" s="3">
        <f ca="1">IFERROR(__xludf.DUMMYFUNCTION("""COMPUTED_VALUE"""),39353.6666666666)</f>
        <v>39353.666666666599</v>
      </c>
      <c r="B691" s="1">
        <f ca="1">IFERROR(__xludf.DUMMYFUNCTION("""COMPUTED_VALUE"""),29.46)</f>
        <v>29.46</v>
      </c>
    </row>
    <row r="692" spans="1:2">
      <c r="A692" s="3">
        <f ca="1">IFERROR(__xludf.DUMMYFUNCTION("""COMPUTED_VALUE"""),39356.6666666666)</f>
        <v>39356.666666666599</v>
      </c>
      <c r="B692" s="1">
        <f ca="1">IFERROR(__xludf.DUMMYFUNCTION("""COMPUTED_VALUE"""),29.77)</f>
        <v>29.77</v>
      </c>
    </row>
    <row r="693" spans="1:2">
      <c r="A693" s="3">
        <f ca="1">IFERROR(__xludf.DUMMYFUNCTION("""COMPUTED_VALUE"""),39357.6666666666)</f>
        <v>39357.666666666599</v>
      </c>
      <c r="B693" s="1">
        <f ca="1">IFERROR(__xludf.DUMMYFUNCTION("""COMPUTED_VALUE"""),29.7)</f>
        <v>29.7</v>
      </c>
    </row>
    <row r="694" spans="1:2">
      <c r="A694" s="3">
        <f ca="1">IFERROR(__xludf.DUMMYFUNCTION("""COMPUTED_VALUE"""),39358.6666666666)</f>
        <v>39358.666666666599</v>
      </c>
      <c r="B694" s="1">
        <f ca="1">IFERROR(__xludf.DUMMYFUNCTION("""COMPUTED_VALUE"""),29.45)</f>
        <v>29.45</v>
      </c>
    </row>
    <row r="695" spans="1:2">
      <c r="A695" s="3">
        <f ca="1">IFERROR(__xludf.DUMMYFUNCTION("""COMPUTED_VALUE"""),39359.6666666666)</f>
        <v>39359.666666666599</v>
      </c>
      <c r="B695" s="1">
        <f ca="1">IFERROR(__xludf.DUMMYFUNCTION("""COMPUTED_VALUE"""),29.71)</f>
        <v>29.71</v>
      </c>
    </row>
    <row r="696" spans="1:2">
      <c r="A696" s="3">
        <f ca="1">IFERROR(__xludf.DUMMYFUNCTION("""COMPUTED_VALUE"""),39360.6666666666)</f>
        <v>39360.666666666599</v>
      </c>
      <c r="B696" s="1">
        <f ca="1">IFERROR(__xludf.DUMMYFUNCTION("""COMPUTED_VALUE"""),29.84)</f>
        <v>29.84</v>
      </c>
    </row>
    <row r="697" spans="1:2">
      <c r="A697" s="3">
        <f ca="1">IFERROR(__xludf.DUMMYFUNCTION("""COMPUTED_VALUE"""),39363.6666666666)</f>
        <v>39363.666666666599</v>
      </c>
      <c r="B697" s="1">
        <f ca="1">IFERROR(__xludf.DUMMYFUNCTION("""COMPUTED_VALUE"""),29.84)</f>
        <v>29.84</v>
      </c>
    </row>
    <row r="698" spans="1:2">
      <c r="A698" s="3">
        <f ca="1">IFERROR(__xludf.DUMMYFUNCTION("""COMPUTED_VALUE"""),39364.6666666666)</f>
        <v>39364.666666666599</v>
      </c>
      <c r="B698" s="1">
        <f ca="1">IFERROR(__xludf.DUMMYFUNCTION("""COMPUTED_VALUE"""),30.1)</f>
        <v>30.1</v>
      </c>
    </row>
    <row r="699" spans="1:2">
      <c r="A699" s="3">
        <f ca="1">IFERROR(__xludf.DUMMYFUNCTION("""COMPUTED_VALUE"""),39365.6666666666)</f>
        <v>39365.666666666599</v>
      </c>
      <c r="B699" s="1">
        <f ca="1">IFERROR(__xludf.DUMMYFUNCTION("""COMPUTED_VALUE"""),30.23)</f>
        <v>30.23</v>
      </c>
    </row>
    <row r="700" spans="1:2">
      <c r="A700" s="3">
        <f ca="1">IFERROR(__xludf.DUMMYFUNCTION("""COMPUTED_VALUE"""),39366.6666666666)</f>
        <v>39366.666666666599</v>
      </c>
      <c r="B700" s="1">
        <f ca="1">IFERROR(__xludf.DUMMYFUNCTION("""COMPUTED_VALUE"""),29.91)</f>
        <v>29.91</v>
      </c>
    </row>
    <row r="701" spans="1:2">
      <c r="A701" s="3">
        <f ca="1">IFERROR(__xludf.DUMMYFUNCTION("""COMPUTED_VALUE"""),39367.6666666666)</f>
        <v>39367.666666666599</v>
      </c>
      <c r="B701" s="1">
        <f ca="1">IFERROR(__xludf.DUMMYFUNCTION("""COMPUTED_VALUE"""),30.17)</f>
        <v>30.17</v>
      </c>
    </row>
    <row r="702" spans="1:2">
      <c r="A702" s="3">
        <f ca="1">IFERROR(__xludf.DUMMYFUNCTION("""COMPUTED_VALUE"""),39370.6666666666)</f>
        <v>39370.666666666599</v>
      </c>
      <c r="B702" s="1">
        <f ca="1">IFERROR(__xludf.DUMMYFUNCTION("""COMPUTED_VALUE"""),30.04)</f>
        <v>30.04</v>
      </c>
    </row>
    <row r="703" spans="1:2">
      <c r="A703" s="3">
        <f ca="1">IFERROR(__xludf.DUMMYFUNCTION("""COMPUTED_VALUE"""),39371.6666666666)</f>
        <v>39371.666666666599</v>
      </c>
      <c r="B703" s="1">
        <f ca="1">IFERROR(__xludf.DUMMYFUNCTION("""COMPUTED_VALUE"""),30.32)</f>
        <v>30.32</v>
      </c>
    </row>
    <row r="704" spans="1:2">
      <c r="A704" s="3">
        <f ca="1">IFERROR(__xludf.DUMMYFUNCTION("""COMPUTED_VALUE"""),39372.6666666666)</f>
        <v>39372.666666666599</v>
      </c>
      <c r="B704" s="1">
        <f ca="1">IFERROR(__xludf.DUMMYFUNCTION("""COMPUTED_VALUE"""),31.08)</f>
        <v>31.08</v>
      </c>
    </row>
    <row r="705" spans="1:2">
      <c r="A705" s="3">
        <f ca="1">IFERROR(__xludf.DUMMYFUNCTION("""COMPUTED_VALUE"""),39373.6666666666)</f>
        <v>39373.666666666599</v>
      </c>
      <c r="B705" s="1">
        <f ca="1">IFERROR(__xludf.DUMMYFUNCTION("""COMPUTED_VALUE"""),31.16)</f>
        <v>31.16</v>
      </c>
    </row>
    <row r="706" spans="1:2">
      <c r="A706" s="3">
        <f ca="1">IFERROR(__xludf.DUMMYFUNCTION("""COMPUTED_VALUE"""),39374.6666666666)</f>
        <v>39374.666666666599</v>
      </c>
      <c r="B706" s="1">
        <f ca="1">IFERROR(__xludf.DUMMYFUNCTION("""COMPUTED_VALUE"""),30.17)</f>
        <v>30.17</v>
      </c>
    </row>
    <row r="707" spans="1:2">
      <c r="A707" s="3">
        <f ca="1">IFERROR(__xludf.DUMMYFUNCTION("""COMPUTED_VALUE"""),39377.6666666666)</f>
        <v>39377.666666666599</v>
      </c>
      <c r="B707" s="1">
        <f ca="1">IFERROR(__xludf.DUMMYFUNCTION("""COMPUTED_VALUE"""),30.51)</f>
        <v>30.51</v>
      </c>
    </row>
    <row r="708" spans="1:2">
      <c r="A708" s="3">
        <f ca="1">IFERROR(__xludf.DUMMYFUNCTION("""COMPUTED_VALUE"""),39378.6666666666)</f>
        <v>39378.666666666599</v>
      </c>
      <c r="B708" s="1">
        <f ca="1">IFERROR(__xludf.DUMMYFUNCTION("""COMPUTED_VALUE"""),30.9)</f>
        <v>30.9</v>
      </c>
    </row>
    <row r="709" spans="1:2">
      <c r="A709" s="3">
        <f ca="1">IFERROR(__xludf.DUMMYFUNCTION("""COMPUTED_VALUE"""),39379.6666666666)</f>
        <v>39379.666666666599</v>
      </c>
      <c r="B709" s="1">
        <f ca="1">IFERROR(__xludf.DUMMYFUNCTION("""COMPUTED_VALUE"""),31.25)</f>
        <v>31.25</v>
      </c>
    </row>
    <row r="710" spans="1:2">
      <c r="A710" s="3">
        <f ca="1">IFERROR(__xludf.DUMMYFUNCTION("""COMPUTED_VALUE"""),39380.6666666666)</f>
        <v>39380.666666666599</v>
      </c>
      <c r="B710" s="1">
        <f ca="1">IFERROR(__xludf.DUMMYFUNCTION("""COMPUTED_VALUE"""),31.99)</f>
        <v>31.99</v>
      </c>
    </row>
    <row r="711" spans="1:2">
      <c r="A711" s="3">
        <f ca="1">IFERROR(__xludf.DUMMYFUNCTION("""COMPUTED_VALUE"""),39381.6666666666)</f>
        <v>39381.666666666599</v>
      </c>
      <c r="B711" s="1">
        <f ca="1">IFERROR(__xludf.DUMMYFUNCTION("""COMPUTED_VALUE"""),35.03)</f>
        <v>35.03</v>
      </c>
    </row>
    <row r="712" spans="1:2">
      <c r="A712" s="3">
        <f ca="1">IFERROR(__xludf.DUMMYFUNCTION("""COMPUTED_VALUE"""),39384.6666666666)</f>
        <v>39384.666666666599</v>
      </c>
      <c r="B712" s="1">
        <f ca="1">IFERROR(__xludf.DUMMYFUNCTION("""COMPUTED_VALUE"""),34.57)</f>
        <v>34.57</v>
      </c>
    </row>
    <row r="713" spans="1:2">
      <c r="A713" s="3">
        <f ca="1">IFERROR(__xludf.DUMMYFUNCTION("""COMPUTED_VALUE"""),39385.6666666666)</f>
        <v>39385.666666666599</v>
      </c>
      <c r="B713" s="1">
        <f ca="1">IFERROR(__xludf.DUMMYFUNCTION("""COMPUTED_VALUE"""),35.57)</f>
        <v>35.57</v>
      </c>
    </row>
    <row r="714" spans="1:2">
      <c r="A714" s="3">
        <f ca="1">IFERROR(__xludf.DUMMYFUNCTION("""COMPUTED_VALUE"""),39386.6666666666)</f>
        <v>39386.666666666599</v>
      </c>
      <c r="B714" s="1">
        <f ca="1">IFERROR(__xludf.DUMMYFUNCTION("""COMPUTED_VALUE"""),36.81)</f>
        <v>36.81</v>
      </c>
    </row>
    <row r="715" spans="1:2">
      <c r="A715" s="3">
        <f ca="1">IFERROR(__xludf.DUMMYFUNCTION("""COMPUTED_VALUE"""),39387.6666666666)</f>
        <v>39387.666666666599</v>
      </c>
      <c r="B715" s="1">
        <f ca="1">IFERROR(__xludf.DUMMYFUNCTION("""COMPUTED_VALUE"""),37.06)</f>
        <v>37.06</v>
      </c>
    </row>
    <row r="716" spans="1:2">
      <c r="A716" s="3">
        <f ca="1">IFERROR(__xludf.DUMMYFUNCTION("""COMPUTED_VALUE"""),39388.6666666666)</f>
        <v>39388.666666666599</v>
      </c>
      <c r="B716" s="1">
        <f ca="1">IFERROR(__xludf.DUMMYFUNCTION("""COMPUTED_VALUE"""),37.06)</f>
        <v>37.06</v>
      </c>
    </row>
    <row r="717" spans="1:2">
      <c r="A717" s="3">
        <f ca="1">IFERROR(__xludf.DUMMYFUNCTION("""COMPUTED_VALUE"""),39391.6666666666)</f>
        <v>39391.666666666599</v>
      </c>
      <c r="B717" s="1">
        <f ca="1">IFERROR(__xludf.DUMMYFUNCTION("""COMPUTED_VALUE"""),36.73)</f>
        <v>36.729999999999997</v>
      </c>
    </row>
    <row r="718" spans="1:2">
      <c r="A718" s="3">
        <f ca="1">IFERROR(__xludf.DUMMYFUNCTION("""COMPUTED_VALUE"""),39392.6666666666)</f>
        <v>39392.666666666599</v>
      </c>
      <c r="B718" s="1">
        <f ca="1">IFERROR(__xludf.DUMMYFUNCTION("""COMPUTED_VALUE"""),36.41)</f>
        <v>36.409999999999997</v>
      </c>
    </row>
    <row r="719" spans="1:2">
      <c r="A719" s="3">
        <f ca="1">IFERROR(__xludf.DUMMYFUNCTION("""COMPUTED_VALUE"""),39393.6666666666)</f>
        <v>39393.666666666599</v>
      </c>
      <c r="B719" s="1">
        <f ca="1">IFERROR(__xludf.DUMMYFUNCTION("""COMPUTED_VALUE"""),35.52)</f>
        <v>35.520000000000003</v>
      </c>
    </row>
    <row r="720" spans="1:2">
      <c r="A720" s="3">
        <f ca="1">IFERROR(__xludf.DUMMYFUNCTION("""COMPUTED_VALUE"""),39394.6666666666)</f>
        <v>39394.666666666599</v>
      </c>
      <c r="B720" s="1">
        <f ca="1">IFERROR(__xludf.DUMMYFUNCTION("""COMPUTED_VALUE"""),34.74)</f>
        <v>34.74</v>
      </c>
    </row>
    <row r="721" spans="1:2">
      <c r="A721" s="3">
        <f ca="1">IFERROR(__xludf.DUMMYFUNCTION("""COMPUTED_VALUE"""),39395.6666666666)</f>
        <v>39395.666666666599</v>
      </c>
      <c r="B721" s="1">
        <f ca="1">IFERROR(__xludf.DUMMYFUNCTION("""COMPUTED_VALUE"""),33.73)</f>
        <v>33.729999999999997</v>
      </c>
    </row>
    <row r="722" spans="1:2">
      <c r="A722" s="3">
        <f ca="1">IFERROR(__xludf.DUMMYFUNCTION("""COMPUTED_VALUE"""),39398.6666666666)</f>
        <v>39398.666666666599</v>
      </c>
      <c r="B722" s="1">
        <f ca="1">IFERROR(__xludf.DUMMYFUNCTION("""COMPUTED_VALUE"""),33.38)</f>
        <v>33.380000000000003</v>
      </c>
    </row>
    <row r="723" spans="1:2">
      <c r="A723" s="3">
        <f ca="1">IFERROR(__xludf.DUMMYFUNCTION("""COMPUTED_VALUE"""),39399.6666666666)</f>
        <v>39399.666666666599</v>
      </c>
      <c r="B723" s="1">
        <f ca="1">IFERROR(__xludf.DUMMYFUNCTION("""COMPUTED_VALUE"""),34.46)</f>
        <v>34.46</v>
      </c>
    </row>
    <row r="724" spans="1:2">
      <c r="A724" s="3">
        <f ca="1">IFERROR(__xludf.DUMMYFUNCTION("""COMPUTED_VALUE"""),39400.6666666666)</f>
        <v>39400.666666666599</v>
      </c>
      <c r="B724" s="1">
        <f ca="1">IFERROR(__xludf.DUMMYFUNCTION("""COMPUTED_VALUE"""),33.93)</f>
        <v>33.93</v>
      </c>
    </row>
    <row r="725" spans="1:2">
      <c r="A725" s="3">
        <f ca="1">IFERROR(__xludf.DUMMYFUNCTION("""COMPUTED_VALUE"""),39401.6666666666)</f>
        <v>39401.666666666599</v>
      </c>
      <c r="B725" s="1">
        <f ca="1">IFERROR(__xludf.DUMMYFUNCTION("""COMPUTED_VALUE"""),33.76)</f>
        <v>33.76</v>
      </c>
    </row>
    <row r="726" spans="1:2">
      <c r="A726" s="3">
        <f ca="1">IFERROR(__xludf.DUMMYFUNCTION("""COMPUTED_VALUE"""),39402.6666666666)</f>
        <v>39402.666666666599</v>
      </c>
      <c r="B726" s="1">
        <f ca="1">IFERROR(__xludf.DUMMYFUNCTION("""COMPUTED_VALUE"""),34.09)</f>
        <v>34.090000000000003</v>
      </c>
    </row>
    <row r="727" spans="1:2">
      <c r="A727" s="3">
        <f ca="1">IFERROR(__xludf.DUMMYFUNCTION("""COMPUTED_VALUE"""),39405.6666666666)</f>
        <v>39405.666666666599</v>
      </c>
      <c r="B727" s="1">
        <f ca="1">IFERROR(__xludf.DUMMYFUNCTION("""COMPUTED_VALUE"""),33.96)</f>
        <v>33.96</v>
      </c>
    </row>
    <row r="728" spans="1:2">
      <c r="A728" s="3">
        <f ca="1">IFERROR(__xludf.DUMMYFUNCTION("""COMPUTED_VALUE"""),39406.6666666666)</f>
        <v>39406.666666666599</v>
      </c>
      <c r="B728" s="1">
        <f ca="1">IFERROR(__xludf.DUMMYFUNCTION("""COMPUTED_VALUE"""),34.58)</f>
        <v>34.58</v>
      </c>
    </row>
    <row r="729" spans="1:2">
      <c r="A729" s="3">
        <f ca="1">IFERROR(__xludf.DUMMYFUNCTION("""COMPUTED_VALUE"""),39407.6666666666)</f>
        <v>39407.666666666599</v>
      </c>
      <c r="B729" s="1">
        <f ca="1">IFERROR(__xludf.DUMMYFUNCTION("""COMPUTED_VALUE"""),34.23)</f>
        <v>34.229999999999997</v>
      </c>
    </row>
    <row r="730" spans="1:2">
      <c r="A730" s="3">
        <f ca="1">IFERROR(__xludf.DUMMYFUNCTION("""COMPUTED_VALUE"""),39409.6666666666)</f>
        <v>39409.666666666599</v>
      </c>
      <c r="B730" s="1">
        <f ca="1">IFERROR(__xludf.DUMMYFUNCTION("""COMPUTED_VALUE"""),34.11)</f>
        <v>34.11</v>
      </c>
    </row>
    <row r="731" spans="1:2">
      <c r="A731" s="3">
        <f ca="1">IFERROR(__xludf.DUMMYFUNCTION("""COMPUTED_VALUE"""),39412.6666666666)</f>
        <v>39412.666666666599</v>
      </c>
      <c r="B731" s="1">
        <f ca="1">IFERROR(__xludf.DUMMYFUNCTION("""COMPUTED_VALUE"""),32.97)</f>
        <v>32.97</v>
      </c>
    </row>
    <row r="732" spans="1:2">
      <c r="A732" s="3">
        <f ca="1">IFERROR(__xludf.DUMMYFUNCTION("""COMPUTED_VALUE"""),39413.6666666666)</f>
        <v>39413.666666666599</v>
      </c>
      <c r="B732" s="1">
        <f ca="1">IFERROR(__xludf.DUMMYFUNCTION("""COMPUTED_VALUE"""),33.06)</f>
        <v>33.06</v>
      </c>
    </row>
    <row r="733" spans="1:2">
      <c r="A733" s="3">
        <f ca="1">IFERROR(__xludf.DUMMYFUNCTION("""COMPUTED_VALUE"""),39414.6666666666)</f>
        <v>39414.666666666599</v>
      </c>
      <c r="B733" s="1">
        <f ca="1">IFERROR(__xludf.DUMMYFUNCTION("""COMPUTED_VALUE"""),33.7)</f>
        <v>33.700000000000003</v>
      </c>
    </row>
    <row r="734" spans="1:2">
      <c r="A734" s="3">
        <f ca="1">IFERROR(__xludf.DUMMYFUNCTION("""COMPUTED_VALUE"""),39415.6666666666)</f>
        <v>39415.666666666599</v>
      </c>
      <c r="B734" s="1">
        <f ca="1">IFERROR(__xludf.DUMMYFUNCTION("""COMPUTED_VALUE"""),33.59)</f>
        <v>33.590000000000003</v>
      </c>
    </row>
    <row r="735" spans="1:2">
      <c r="A735" s="3">
        <f ca="1">IFERROR(__xludf.DUMMYFUNCTION("""COMPUTED_VALUE"""),39416.6666666666)</f>
        <v>39416.666666666599</v>
      </c>
      <c r="B735" s="1">
        <f ca="1">IFERROR(__xludf.DUMMYFUNCTION("""COMPUTED_VALUE"""),33.6)</f>
        <v>33.6</v>
      </c>
    </row>
    <row r="736" spans="1:2">
      <c r="A736" s="3">
        <f ca="1">IFERROR(__xludf.DUMMYFUNCTION("""COMPUTED_VALUE"""),39419.6666666666)</f>
        <v>39419.666666666599</v>
      </c>
      <c r="B736" s="1">
        <f ca="1">IFERROR(__xludf.DUMMYFUNCTION("""COMPUTED_VALUE"""),32.92)</f>
        <v>32.92</v>
      </c>
    </row>
    <row r="737" spans="1:2">
      <c r="A737" s="3">
        <f ca="1">IFERROR(__xludf.DUMMYFUNCTION("""COMPUTED_VALUE"""),39420.6666666666)</f>
        <v>39420.666666666599</v>
      </c>
      <c r="B737" s="1">
        <f ca="1">IFERROR(__xludf.DUMMYFUNCTION("""COMPUTED_VALUE"""),32.77)</f>
        <v>32.770000000000003</v>
      </c>
    </row>
    <row r="738" spans="1:2">
      <c r="A738" s="3">
        <f ca="1">IFERROR(__xludf.DUMMYFUNCTION("""COMPUTED_VALUE"""),39421.6666666666)</f>
        <v>39421.666666666599</v>
      </c>
      <c r="B738" s="1">
        <f ca="1">IFERROR(__xludf.DUMMYFUNCTION("""COMPUTED_VALUE"""),34.15)</f>
        <v>34.15</v>
      </c>
    </row>
    <row r="739" spans="1:2">
      <c r="A739" s="3">
        <f ca="1">IFERROR(__xludf.DUMMYFUNCTION("""COMPUTED_VALUE"""),39422.6666666666)</f>
        <v>39422.666666666599</v>
      </c>
      <c r="B739" s="1">
        <f ca="1">IFERROR(__xludf.DUMMYFUNCTION("""COMPUTED_VALUE"""),34.55)</f>
        <v>34.549999999999997</v>
      </c>
    </row>
    <row r="740" spans="1:2">
      <c r="A740" s="3">
        <f ca="1">IFERROR(__xludf.DUMMYFUNCTION("""COMPUTED_VALUE"""),39423.6666666666)</f>
        <v>39423.666666666599</v>
      </c>
      <c r="B740" s="1">
        <f ca="1">IFERROR(__xludf.DUMMYFUNCTION("""COMPUTED_VALUE"""),34.53)</f>
        <v>34.53</v>
      </c>
    </row>
    <row r="741" spans="1:2">
      <c r="A741" s="3">
        <f ca="1">IFERROR(__xludf.DUMMYFUNCTION("""COMPUTED_VALUE"""),39426.6666666666)</f>
        <v>39426.666666666599</v>
      </c>
      <c r="B741" s="1">
        <f ca="1">IFERROR(__xludf.DUMMYFUNCTION("""COMPUTED_VALUE"""),34.76)</f>
        <v>34.76</v>
      </c>
    </row>
    <row r="742" spans="1:2">
      <c r="A742" s="3">
        <f ca="1">IFERROR(__xludf.DUMMYFUNCTION("""COMPUTED_VALUE"""),39427.6666666666)</f>
        <v>39427.666666666599</v>
      </c>
      <c r="B742" s="1">
        <f ca="1">IFERROR(__xludf.DUMMYFUNCTION("""COMPUTED_VALUE"""),34.1)</f>
        <v>34.1</v>
      </c>
    </row>
    <row r="743" spans="1:2">
      <c r="A743" s="3">
        <f ca="1">IFERROR(__xludf.DUMMYFUNCTION("""COMPUTED_VALUE"""),39428.6666666666)</f>
        <v>39428.666666666599</v>
      </c>
      <c r="B743" s="1">
        <f ca="1">IFERROR(__xludf.DUMMYFUNCTION("""COMPUTED_VALUE"""),34.47)</f>
        <v>34.47</v>
      </c>
    </row>
    <row r="744" spans="1:2">
      <c r="A744" s="3">
        <f ca="1">IFERROR(__xludf.DUMMYFUNCTION("""COMPUTED_VALUE"""),39429.6666666666)</f>
        <v>39429.666666666599</v>
      </c>
      <c r="B744" s="1">
        <f ca="1">IFERROR(__xludf.DUMMYFUNCTION("""COMPUTED_VALUE"""),35.22)</f>
        <v>35.22</v>
      </c>
    </row>
    <row r="745" spans="1:2">
      <c r="A745" s="3">
        <f ca="1">IFERROR(__xludf.DUMMYFUNCTION("""COMPUTED_VALUE"""),39430.6666666666)</f>
        <v>39430.666666666599</v>
      </c>
      <c r="B745" s="1">
        <f ca="1">IFERROR(__xludf.DUMMYFUNCTION("""COMPUTED_VALUE"""),35.31)</f>
        <v>35.31</v>
      </c>
    </row>
    <row r="746" spans="1:2">
      <c r="A746" s="3">
        <f ca="1">IFERROR(__xludf.DUMMYFUNCTION("""COMPUTED_VALUE"""),39433.6666666666)</f>
        <v>39433.666666666599</v>
      </c>
      <c r="B746" s="1">
        <f ca="1">IFERROR(__xludf.DUMMYFUNCTION("""COMPUTED_VALUE"""),34.39)</f>
        <v>34.39</v>
      </c>
    </row>
    <row r="747" spans="1:2">
      <c r="A747" s="3">
        <f ca="1">IFERROR(__xludf.DUMMYFUNCTION("""COMPUTED_VALUE"""),39434.6666666666)</f>
        <v>39434.666666666599</v>
      </c>
      <c r="B747" s="1">
        <f ca="1">IFERROR(__xludf.DUMMYFUNCTION("""COMPUTED_VALUE"""),34.74)</f>
        <v>34.74</v>
      </c>
    </row>
    <row r="748" spans="1:2">
      <c r="A748" s="3">
        <f ca="1">IFERROR(__xludf.DUMMYFUNCTION("""COMPUTED_VALUE"""),39435.6666666666)</f>
        <v>39435.666666666599</v>
      </c>
      <c r="B748" s="1">
        <f ca="1">IFERROR(__xludf.DUMMYFUNCTION("""COMPUTED_VALUE"""),34.79)</f>
        <v>34.79</v>
      </c>
    </row>
    <row r="749" spans="1:2">
      <c r="A749" s="3">
        <f ca="1">IFERROR(__xludf.DUMMYFUNCTION("""COMPUTED_VALUE"""),39436.6666666666)</f>
        <v>39436.666666666599</v>
      </c>
      <c r="B749" s="1">
        <f ca="1">IFERROR(__xludf.DUMMYFUNCTION("""COMPUTED_VALUE"""),35.52)</f>
        <v>35.520000000000003</v>
      </c>
    </row>
    <row r="750" spans="1:2">
      <c r="A750" s="3">
        <f ca="1">IFERROR(__xludf.DUMMYFUNCTION("""COMPUTED_VALUE"""),39437.6666666666)</f>
        <v>39437.666666666599</v>
      </c>
      <c r="B750" s="1">
        <f ca="1">IFERROR(__xludf.DUMMYFUNCTION("""COMPUTED_VALUE"""),36.06)</f>
        <v>36.06</v>
      </c>
    </row>
    <row r="751" spans="1:2">
      <c r="A751" s="3">
        <f ca="1">IFERROR(__xludf.DUMMYFUNCTION("""COMPUTED_VALUE"""),39440.6666666666)</f>
        <v>39440.666666666599</v>
      </c>
      <c r="B751" s="1">
        <f ca="1">IFERROR(__xludf.DUMMYFUNCTION("""COMPUTED_VALUE"""),36.58)</f>
        <v>36.58</v>
      </c>
    </row>
    <row r="752" spans="1:2">
      <c r="A752" s="3">
        <f ca="1">IFERROR(__xludf.DUMMYFUNCTION("""COMPUTED_VALUE"""),39442.6666666666)</f>
        <v>39442.666666666599</v>
      </c>
      <c r="B752" s="1">
        <f ca="1">IFERROR(__xludf.DUMMYFUNCTION("""COMPUTED_VALUE"""),36.61)</f>
        <v>36.61</v>
      </c>
    </row>
    <row r="753" spans="1:2">
      <c r="A753" s="3">
        <f ca="1">IFERROR(__xludf.DUMMYFUNCTION("""COMPUTED_VALUE"""),39443.6666666666)</f>
        <v>39443.666666666599</v>
      </c>
      <c r="B753" s="1">
        <f ca="1">IFERROR(__xludf.DUMMYFUNCTION("""COMPUTED_VALUE"""),35.97)</f>
        <v>35.97</v>
      </c>
    </row>
    <row r="754" spans="1:2">
      <c r="A754" s="3">
        <f ca="1">IFERROR(__xludf.DUMMYFUNCTION("""COMPUTED_VALUE"""),39444.6666666666)</f>
        <v>39444.666666666599</v>
      </c>
      <c r="B754" s="1">
        <f ca="1">IFERROR(__xludf.DUMMYFUNCTION("""COMPUTED_VALUE"""),36.12)</f>
        <v>36.119999999999997</v>
      </c>
    </row>
    <row r="755" spans="1:2">
      <c r="A755" s="3">
        <f ca="1">IFERROR(__xludf.DUMMYFUNCTION("""COMPUTED_VALUE"""),39447.6666666666)</f>
        <v>39447.666666666599</v>
      </c>
      <c r="B755" s="1">
        <f ca="1">IFERROR(__xludf.DUMMYFUNCTION("""COMPUTED_VALUE"""),35.6)</f>
        <v>35.6</v>
      </c>
    </row>
    <row r="756" spans="1:2">
      <c r="A756" s="3">
        <f ca="1">IFERROR(__xludf.DUMMYFUNCTION("""COMPUTED_VALUE"""),39449.6666666666)</f>
        <v>39449.666666666599</v>
      </c>
      <c r="B756" s="1">
        <f ca="1">IFERROR(__xludf.DUMMYFUNCTION("""COMPUTED_VALUE"""),35.22)</f>
        <v>35.22</v>
      </c>
    </row>
    <row r="757" spans="1:2">
      <c r="A757" s="3">
        <f ca="1">IFERROR(__xludf.DUMMYFUNCTION("""COMPUTED_VALUE"""),39450.6666666666)</f>
        <v>39450.666666666599</v>
      </c>
      <c r="B757" s="1">
        <f ca="1">IFERROR(__xludf.DUMMYFUNCTION("""COMPUTED_VALUE"""),35.37)</f>
        <v>35.369999999999997</v>
      </c>
    </row>
    <row r="758" spans="1:2">
      <c r="A758" s="3">
        <f ca="1">IFERROR(__xludf.DUMMYFUNCTION("""COMPUTED_VALUE"""),39451.6666666666)</f>
        <v>39451.666666666599</v>
      </c>
      <c r="B758" s="1">
        <f ca="1">IFERROR(__xludf.DUMMYFUNCTION("""COMPUTED_VALUE"""),34.38)</f>
        <v>34.380000000000003</v>
      </c>
    </row>
    <row r="759" spans="1:2">
      <c r="A759" s="3">
        <f ca="1">IFERROR(__xludf.DUMMYFUNCTION("""COMPUTED_VALUE"""),39454.6666666666)</f>
        <v>39454.666666666599</v>
      </c>
      <c r="B759" s="1">
        <f ca="1">IFERROR(__xludf.DUMMYFUNCTION("""COMPUTED_VALUE"""),34.61)</f>
        <v>34.61</v>
      </c>
    </row>
    <row r="760" spans="1:2">
      <c r="A760" s="3">
        <f ca="1">IFERROR(__xludf.DUMMYFUNCTION("""COMPUTED_VALUE"""),39455.6666666666)</f>
        <v>39455.666666666599</v>
      </c>
      <c r="B760" s="1">
        <f ca="1">IFERROR(__xludf.DUMMYFUNCTION("""COMPUTED_VALUE"""),33.45)</f>
        <v>33.450000000000003</v>
      </c>
    </row>
    <row r="761" spans="1:2">
      <c r="A761" s="3">
        <f ca="1">IFERROR(__xludf.DUMMYFUNCTION("""COMPUTED_VALUE"""),39456.6666666666)</f>
        <v>39456.666666666599</v>
      </c>
      <c r="B761" s="1">
        <f ca="1">IFERROR(__xludf.DUMMYFUNCTION("""COMPUTED_VALUE"""),34.44)</f>
        <v>34.44</v>
      </c>
    </row>
    <row r="762" spans="1:2">
      <c r="A762" s="3">
        <f ca="1">IFERROR(__xludf.DUMMYFUNCTION("""COMPUTED_VALUE"""),39457.6666666666)</f>
        <v>39457.666666666599</v>
      </c>
      <c r="B762" s="1">
        <f ca="1">IFERROR(__xludf.DUMMYFUNCTION("""COMPUTED_VALUE"""),34.33)</f>
        <v>34.33</v>
      </c>
    </row>
    <row r="763" spans="1:2">
      <c r="A763" s="3">
        <f ca="1">IFERROR(__xludf.DUMMYFUNCTION("""COMPUTED_VALUE"""),39458.6666666666)</f>
        <v>39458.666666666599</v>
      </c>
      <c r="B763" s="1">
        <f ca="1">IFERROR(__xludf.DUMMYFUNCTION("""COMPUTED_VALUE"""),33.91)</f>
        <v>33.909999999999997</v>
      </c>
    </row>
    <row r="764" spans="1:2">
      <c r="A764" s="3">
        <f ca="1">IFERROR(__xludf.DUMMYFUNCTION("""COMPUTED_VALUE"""),39461.6666666666)</f>
        <v>39461.666666666599</v>
      </c>
      <c r="B764" s="1">
        <f ca="1">IFERROR(__xludf.DUMMYFUNCTION("""COMPUTED_VALUE"""),34.39)</f>
        <v>34.39</v>
      </c>
    </row>
    <row r="765" spans="1:2">
      <c r="A765" s="3">
        <f ca="1">IFERROR(__xludf.DUMMYFUNCTION("""COMPUTED_VALUE"""),39462.6666666666)</f>
        <v>39462.666666666599</v>
      </c>
      <c r="B765" s="1">
        <f ca="1">IFERROR(__xludf.DUMMYFUNCTION("""COMPUTED_VALUE"""),34)</f>
        <v>34</v>
      </c>
    </row>
    <row r="766" spans="1:2">
      <c r="A766" s="3">
        <f ca="1">IFERROR(__xludf.DUMMYFUNCTION("""COMPUTED_VALUE"""),39463.6666666666)</f>
        <v>39463.666666666599</v>
      </c>
      <c r="B766" s="1">
        <f ca="1">IFERROR(__xludf.DUMMYFUNCTION("""COMPUTED_VALUE"""),33.23)</f>
        <v>33.229999999999997</v>
      </c>
    </row>
    <row r="767" spans="1:2">
      <c r="A767" s="3">
        <f ca="1">IFERROR(__xludf.DUMMYFUNCTION("""COMPUTED_VALUE"""),39464.6666666666)</f>
        <v>39464.666666666599</v>
      </c>
      <c r="B767" s="1">
        <f ca="1">IFERROR(__xludf.DUMMYFUNCTION("""COMPUTED_VALUE"""),33.11)</f>
        <v>33.11</v>
      </c>
    </row>
    <row r="768" spans="1:2">
      <c r="A768" s="3">
        <f ca="1">IFERROR(__xludf.DUMMYFUNCTION("""COMPUTED_VALUE"""),39465.6666666666)</f>
        <v>39465.666666666599</v>
      </c>
      <c r="B768" s="1">
        <f ca="1">IFERROR(__xludf.DUMMYFUNCTION("""COMPUTED_VALUE"""),33.01)</f>
        <v>33.01</v>
      </c>
    </row>
    <row r="769" spans="1:2">
      <c r="A769" s="3">
        <f ca="1">IFERROR(__xludf.DUMMYFUNCTION("""COMPUTED_VALUE"""),39469.6666666666)</f>
        <v>39469.666666666599</v>
      </c>
      <c r="B769" s="1">
        <f ca="1">IFERROR(__xludf.DUMMYFUNCTION("""COMPUTED_VALUE"""),31.99)</f>
        <v>31.99</v>
      </c>
    </row>
    <row r="770" spans="1:2">
      <c r="A770" s="3">
        <f ca="1">IFERROR(__xludf.DUMMYFUNCTION("""COMPUTED_VALUE"""),39470.6666666666)</f>
        <v>39470.666666666599</v>
      </c>
      <c r="B770" s="1">
        <f ca="1">IFERROR(__xludf.DUMMYFUNCTION("""COMPUTED_VALUE"""),31.93)</f>
        <v>31.93</v>
      </c>
    </row>
    <row r="771" spans="1:2">
      <c r="A771" s="3">
        <f ca="1">IFERROR(__xludf.DUMMYFUNCTION("""COMPUTED_VALUE"""),39471.6666666666)</f>
        <v>39471.666666666599</v>
      </c>
      <c r="B771" s="1">
        <f ca="1">IFERROR(__xludf.DUMMYFUNCTION("""COMPUTED_VALUE"""),33.25)</f>
        <v>33.25</v>
      </c>
    </row>
    <row r="772" spans="1:2">
      <c r="A772" s="3">
        <f ca="1">IFERROR(__xludf.DUMMYFUNCTION("""COMPUTED_VALUE"""),39472.6666666666)</f>
        <v>39472.666666666599</v>
      </c>
      <c r="B772" s="1">
        <f ca="1">IFERROR(__xludf.DUMMYFUNCTION("""COMPUTED_VALUE"""),32.94)</f>
        <v>32.94</v>
      </c>
    </row>
    <row r="773" spans="1:2">
      <c r="A773" s="3">
        <f ca="1">IFERROR(__xludf.DUMMYFUNCTION("""COMPUTED_VALUE"""),39475.6666666666)</f>
        <v>39475.666666666599</v>
      </c>
      <c r="B773" s="1">
        <f ca="1">IFERROR(__xludf.DUMMYFUNCTION("""COMPUTED_VALUE"""),32.72)</f>
        <v>32.72</v>
      </c>
    </row>
    <row r="774" spans="1:2">
      <c r="A774" s="3">
        <f ca="1">IFERROR(__xludf.DUMMYFUNCTION("""COMPUTED_VALUE"""),39476.6666666666)</f>
        <v>39476.666666666599</v>
      </c>
      <c r="B774" s="1">
        <f ca="1">IFERROR(__xludf.DUMMYFUNCTION("""COMPUTED_VALUE"""),32.6)</f>
        <v>32.6</v>
      </c>
    </row>
    <row r="775" spans="1:2">
      <c r="A775" s="3">
        <f ca="1">IFERROR(__xludf.DUMMYFUNCTION("""COMPUTED_VALUE"""),39477.6666666666)</f>
        <v>39477.666666666599</v>
      </c>
      <c r="B775" s="1">
        <f ca="1">IFERROR(__xludf.DUMMYFUNCTION("""COMPUTED_VALUE"""),32.2)</f>
        <v>32.200000000000003</v>
      </c>
    </row>
    <row r="776" spans="1:2">
      <c r="A776" s="3">
        <f ca="1">IFERROR(__xludf.DUMMYFUNCTION("""COMPUTED_VALUE"""),39478.6666666666)</f>
        <v>39478.666666666599</v>
      </c>
      <c r="B776" s="1">
        <f ca="1">IFERROR(__xludf.DUMMYFUNCTION("""COMPUTED_VALUE"""),32.6)</f>
        <v>32.6</v>
      </c>
    </row>
    <row r="777" spans="1:2">
      <c r="A777" s="3">
        <f ca="1">IFERROR(__xludf.DUMMYFUNCTION("""COMPUTED_VALUE"""),39479.6666666666)</f>
        <v>39479.666666666599</v>
      </c>
      <c r="B777" s="1">
        <f ca="1">IFERROR(__xludf.DUMMYFUNCTION("""COMPUTED_VALUE"""),30.45)</f>
        <v>30.45</v>
      </c>
    </row>
    <row r="778" spans="1:2">
      <c r="A778" s="3">
        <f ca="1">IFERROR(__xludf.DUMMYFUNCTION("""COMPUTED_VALUE"""),39482.6666666666)</f>
        <v>39482.666666666599</v>
      </c>
      <c r="B778" s="1">
        <f ca="1">IFERROR(__xludf.DUMMYFUNCTION("""COMPUTED_VALUE"""),30.19)</f>
        <v>30.19</v>
      </c>
    </row>
    <row r="779" spans="1:2">
      <c r="A779" s="3">
        <f ca="1">IFERROR(__xludf.DUMMYFUNCTION("""COMPUTED_VALUE"""),39483.6666666666)</f>
        <v>39483.666666666599</v>
      </c>
      <c r="B779" s="1">
        <f ca="1">IFERROR(__xludf.DUMMYFUNCTION("""COMPUTED_VALUE"""),29.07)</f>
        <v>29.07</v>
      </c>
    </row>
    <row r="780" spans="1:2">
      <c r="A780" s="3">
        <f ca="1">IFERROR(__xludf.DUMMYFUNCTION("""COMPUTED_VALUE"""),39484.6666666666)</f>
        <v>39484.666666666599</v>
      </c>
      <c r="B780" s="1">
        <f ca="1">IFERROR(__xludf.DUMMYFUNCTION("""COMPUTED_VALUE"""),28.52)</f>
        <v>28.52</v>
      </c>
    </row>
    <row r="781" spans="1:2">
      <c r="A781" s="3">
        <f ca="1">IFERROR(__xludf.DUMMYFUNCTION("""COMPUTED_VALUE"""),39485.6666666666)</f>
        <v>39485.666666666599</v>
      </c>
      <c r="B781" s="1">
        <f ca="1">IFERROR(__xludf.DUMMYFUNCTION("""COMPUTED_VALUE"""),28.12)</f>
        <v>28.12</v>
      </c>
    </row>
    <row r="782" spans="1:2">
      <c r="A782" s="3">
        <f ca="1">IFERROR(__xludf.DUMMYFUNCTION("""COMPUTED_VALUE"""),39486.6666666666)</f>
        <v>39486.666666666599</v>
      </c>
      <c r="B782" s="1">
        <f ca="1">IFERROR(__xludf.DUMMYFUNCTION("""COMPUTED_VALUE"""),28.56)</f>
        <v>28.56</v>
      </c>
    </row>
    <row r="783" spans="1:2">
      <c r="A783" s="3">
        <f ca="1">IFERROR(__xludf.DUMMYFUNCTION("""COMPUTED_VALUE"""),39489.6666666666)</f>
        <v>39489.666666666599</v>
      </c>
      <c r="B783" s="1">
        <f ca="1">IFERROR(__xludf.DUMMYFUNCTION("""COMPUTED_VALUE"""),28.21)</f>
        <v>28.21</v>
      </c>
    </row>
    <row r="784" spans="1:2">
      <c r="A784" s="3">
        <f ca="1">IFERROR(__xludf.DUMMYFUNCTION("""COMPUTED_VALUE"""),39490.6666666666)</f>
        <v>39490.666666666599</v>
      </c>
      <c r="B784" s="1">
        <f ca="1">IFERROR(__xludf.DUMMYFUNCTION("""COMPUTED_VALUE"""),28.34)</f>
        <v>28.34</v>
      </c>
    </row>
    <row r="785" spans="1:2">
      <c r="A785" s="3">
        <f ca="1">IFERROR(__xludf.DUMMYFUNCTION("""COMPUTED_VALUE"""),39491.6666666666)</f>
        <v>39491.666666666599</v>
      </c>
      <c r="B785" s="1">
        <f ca="1">IFERROR(__xludf.DUMMYFUNCTION("""COMPUTED_VALUE"""),28.96)</f>
        <v>28.96</v>
      </c>
    </row>
    <row r="786" spans="1:2">
      <c r="A786" s="3">
        <f ca="1">IFERROR(__xludf.DUMMYFUNCTION("""COMPUTED_VALUE"""),39492.6666666666)</f>
        <v>39492.666666666599</v>
      </c>
      <c r="B786" s="1">
        <f ca="1">IFERROR(__xludf.DUMMYFUNCTION("""COMPUTED_VALUE"""),28.5)</f>
        <v>28.5</v>
      </c>
    </row>
    <row r="787" spans="1:2">
      <c r="A787" s="3">
        <f ca="1">IFERROR(__xludf.DUMMYFUNCTION("""COMPUTED_VALUE"""),39493.6666666666)</f>
        <v>39493.666666666599</v>
      </c>
      <c r="B787" s="1">
        <f ca="1">IFERROR(__xludf.DUMMYFUNCTION("""COMPUTED_VALUE"""),28.42)</f>
        <v>28.42</v>
      </c>
    </row>
    <row r="788" spans="1:2">
      <c r="A788" s="3">
        <f ca="1">IFERROR(__xludf.DUMMYFUNCTION("""COMPUTED_VALUE"""),39497.6666666666)</f>
        <v>39497.666666666599</v>
      </c>
      <c r="B788" s="1">
        <f ca="1">IFERROR(__xludf.DUMMYFUNCTION("""COMPUTED_VALUE"""),28.17)</f>
        <v>28.17</v>
      </c>
    </row>
    <row r="789" spans="1:2">
      <c r="A789" s="3">
        <f ca="1">IFERROR(__xludf.DUMMYFUNCTION("""COMPUTED_VALUE"""),39498.6666666666)</f>
        <v>39498.666666666599</v>
      </c>
      <c r="B789" s="1">
        <f ca="1">IFERROR(__xludf.DUMMYFUNCTION("""COMPUTED_VALUE"""),28.22)</f>
        <v>28.22</v>
      </c>
    </row>
    <row r="790" spans="1:2">
      <c r="A790" s="3">
        <f ca="1">IFERROR(__xludf.DUMMYFUNCTION("""COMPUTED_VALUE"""),39499.6666666666)</f>
        <v>39499.666666666599</v>
      </c>
      <c r="B790" s="1">
        <f ca="1">IFERROR(__xludf.DUMMYFUNCTION("""COMPUTED_VALUE"""),28.1)</f>
        <v>28.1</v>
      </c>
    </row>
    <row r="791" spans="1:2">
      <c r="A791" s="3">
        <f ca="1">IFERROR(__xludf.DUMMYFUNCTION("""COMPUTED_VALUE"""),39500.6666666666)</f>
        <v>39500.666666666599</v>
      </c>
      <c r="B791" s="1">
        <f ca="1">IFERROR(__xludf.DUMMYFUNCTION("""COMPUTED_VALUE"""),27.68)</f>
        <v>27.68</v>
      </c>
    </row>
    <row r="792" spans="1:2">
      <c r="A792" s="3">
        <f ca="1">IFERROR(__xludf.DUMMYFUNCTION("""COMPUTED_VALUE"""),39503.6666666666)</f>
        <v>39503.666666666599</v>
      </c>
      <c r="B792" s="1">
        <f ca="1">IFERROR(__xludf.DUMMYFUNCTION("""COMPUTED_VALUE"""),27.84)</f>
        <v>27.84</v>
      </c>
    </row>
    <row r="793" spans="1:2">
      <c r="A793" s="3">
        <f ca="1">IFERROR(__xludf.DUMMYFUNCTION("""COMPUTED_VALUE"""),39504.6666666666)</f>
        <v>39504.666666666599</v>
      </c>
      <c r="B793" s="1">
        <f ca="1">IFERROR(__xludf.DUMMYFUNCTION("""COMPUTED_VALUE"""),28.38)</f>
        <v>28.38</v>
      </c>
    </row>
    <row r="794" spans="1:2">
      <c r="A794" s="3">
        <f ca="1">IFERROR(__xludf.DUMMYFUNCTION("""COMPUTED_VALUE"""),39505.6666666666)</f>
        <v>39505.666666666599</v>
      </c>
      <c r="B794" s="1">
        <f ca="1">IFERROR(__xludf.DUMMYFUNCTION("""COMPUTED_VALUE"""),28.26)</f>
        <v>28.26</v>
      </c>
    </row>
    <row r="795" spans="1:2">
      <c r="A795" s="3">
        <f ca="1">IFERROR(__xludf.DUMMYFUNCTION("""COMPUTED_VALUE"""),39506.6666666666)</f>
        <v>39506.666666666599</v>
      </c>
      <c r="B795" s="1">
        <f ca="1">IFERROR(__xludf.DUMMYFUNCTION("""COMPUTED_VALUE"""),27.93)</f>
        <v>27.93</v>
      </c>
    </row>
    <row r="796" spans="1:2">
      <c r="A796" s="3">
        <f ca="1">IFERROR(__xludf.DUMMYFUNCTION("""COMPUTED_VALUE"""),39507.6666666666)</f>
        <v>39507.666666666599</v>
      </c>
      <c r="B796" s="1">
        <f ca="1">IFERROR(__xludf.DUMMYFUNCTION("""COMPUTED_VALUE"""),27.2)</f>
        <v>27.2</v>
      </c>
    </row>
    <row r="797" spans="1:2">
      <c r="A797" s="3">
        <f ca="1">IFERROR(__xludf.DUMMYFUNCTION("""COMPUTED_VALUE"""),39510.6666666666)</f>
        <v>39510.666666666599</v>
      </c>
      <c r="B797" s="1">
        <f ca="1">IFERROR(__xludf.DUMMYFUNCTION("""COMPUTED_VALUE"""),26.99)</f>
        <v>26.99</v>
      </c>
    </row>
    <row r="798" spans="1:2">
      <c r="A798" s="3">
        <f ca="1">IFERROR(__xludf.DUMMYFUNCTION("""COMPUTED_VALUE"""),39511.6666666666)</f>
        <v>39511.666666666599</v>
      </c>
      <c r="B798" s="1">
        <f ca="1">IFERROR(__xludf.DUMMYFUNCTION("""COMPUTED_VALUE"""),27.59)</f>
        <v>27.59</v>
      </c>
    </row>
    <row r="799" spans="1:2">
      <c r="A799" s="3">
        <f ca="1">IFERROR(__xludf.DUMMYFUNCTION("""COMPUTED_VALUE"""),39512.6666666666)</f>
        <v>39512.666666666599</v>
      </c>
      <c r="B799" s="1">
        <f ca="1">IFERROR(__xludf.DUMMYFUNCTION("""COMPUTED_VALUE"""),28.12)</f>
        <v>28.12</v>
      </c>
    </row>
    <row r="800" spans="1:2">
      <c r="A800" s="3">
        <f ca="1">IFERROR(__xludf.DUMMYFUNCTION("""COMPUTED_VALUE"""),39513.6666666666)</f>
        <v>39513.666666666599</v>
      </c>
      <c r="B800" s="1">
        <f ca="1">IFERROR(__xludf.DUMMYFUNCTION("""COMPUTED_VALUE"""),27.57)</f>
        <v>27.57</v>
      </c>
    </row>
    <row r="801" spans="1:2">
      <c r="A801" s="3">
        <f ca="1">IFERROR(__xludf.DUMMYFUNCTION("""COMPUTED_VALUE"""),39514.6666666666)</f>
        <v>39514.666666666599</v>
      </c>
      <c r="B801" s="1">
        <f ca="1">IFERROR(__xludf.DUMMYFUNCTION("""COMPUTED_VALUE"""),27.87)</f>
        <v>27.87</v>
      </c>
    </row>
    <row r="802" spans="1:2">
      <c r="A802" s="3">
        <f ca="1">IFERROR(__xludf.DUMMYFUNCTION("""COMPUTED_VALUE"""),39517.6666666666)</f>
        <v>39517.666666666599</v>
      </c>
      <c r="B802" s="1">
        <f ca="1">IFERROR(__xludf.DUMMYFUNCTION("""COMPUTED_VALUE"""),28.05)</f>
        <v>28.05</v>
      </c>
    </row>
    <row r="803" spans="1:2">
      <c r="A803" s="3">
        <f ca="1">IFERROR(__xludf.DUMMYFUNCTION("""COMPUTED_VALUE"""),39518.6666666666)</f>
        <v>39518.666666666599</v>
      </c>
      <c r="B803" s="1">
        <f ca="1">IFERROR(__xludf.DUMMYFUNCTION("""COMPUTED_VALUE"""),29.28)</f>
        <v>29.28</v>
      </c>
    </row>
    <row r="804" spans="1:2">
      <c r="A804" s="3">
        <f ca="1">IFERROR(__xludf.DUMMYFUNCTION("""COMPUTED_VALUE"""),39519.6666666666)</f>
        <v>39519.666666666599</v>
      </c>
      <c r="B804" s="1">
        <f ca="1">IFERROR(__xludf.DUMMYFUNCTION("""COMPUTED_VALUE"""),28.63)</f>
        <v>28.63</v>
      </c>
    </row>
    <row r="805" spans="1:2">
      <c r="A805" s="3">
        <f ca="1">IFERROR(__xludf.DUMMYFUNCTION("""COMPUTED_VALUE"""),39520.6666666666)</f>
        <v>39520.666666666599</v>
      </c>
      <c r="B805" s="1">
        <f ca="1">IFERROR(__xludf.DUMMYFUNCTION("""COMPUTED_VALUE"""),28.62)</f>
        <v>28.62</v>
      </c>
    </row>
    <row r="806" spans="1:2">
      <c r="A806" s="3">
        <f ca="1">IFERROR(__xludf.DUMMYFUNCTION("""COMPUTED_VALUE"""),39521.6666666666)</f>
        <v>39521.666666666599</v>
      </c>
      <c r="B806" s="1">
        <f ca="1">IFERROR(__xludf.DUMMYFUNCTION("""COMPUTED_VALUE"""),27.96)</f>
        <v>27.96</v>
      </c>
    </row>
    <row r="807" spans="1:2">
      <c r="A807" s="3">
        <f ca="1">IFERROR(__xludf.DUMMYFUNCTION("""COMPUTED_VALUE"""),39524.6666666666)</f>
        <v>39524.666666666599</v>
      </c>
      <c r="B807" s="1">
        <f ca="1">IFERROR(__xludf.DUMMYFUNCTION("""COMPUTED_VALUE"""),28.3)</f>
        <v>28.3</v>
      </c>
    </row>
    <row r="808" spans="1:2">
      <c r="A808" s="3">
        <f ca="1">IFERROR(__xludf.DUMMYFUNCTION("""COMPUTED_VALUE"""),39525.6666666666)</f>
        <v>39525.666666666599</v>
      </c>
      <c r="B808" s="1">
        <f ca="1">IFERROR(__xludf.DUMMYFUNCTION("""COMPUTED_VALUE"""),29.42)</f>
        <v>29.42</v>
      </c>
    </row>
    <row r="809" spans="1:2">
      <c r="A809" s="3">
        <f ca="1">IFERROR(__xludf.DUMMYFUNCTION("""COMPUTED_VALUE"""),39526.6666666666)</f>
        <v>39526.666666666599</v>
      </c>
      <c r="B809" s="1">
        <f ca="1">IFERROR(__xludf.DUMMYFUNCTION("""COMPUTED_VALUE"""),28.62)</f>
        <v>28.62</v>
      </c>
    </row>
    <row r="810" spans="1:2">
      <c r="A810" s="3">
        <f ca="1">IFERROR(__xludf.DUMMYFUNCTION("""COMPUTED_VALUE"""),39527.6666666666)</f>
        <v>39527.666666666599</v>
      </c>
      <c r="B810" s="1">
        <f ca="1">IFERROR(__xludf.DUMMYFUNCTION("""COMPUTED_VALUE"""),29.18)</f>
        <v>29.18</v>
      </c>
    </row>
    <row r="811" spans="1:2">
      <c r="A811" s="3">
        <f ca="1">IFERROR(__xludf.DUMMYFUNCTION("""COMPUTED_VALUE"""),39531.6666666666)</f>
        <v>39531.666666666599</v>
      </c>
      <c r="B811" s="1">
        <f ca="1">IFERROR(__xludf.DUMMYFUNCTION("""COMPUTED_VALUE"""),29.17)</f>
        <v>29.17</v>
      </c>
    </row>
    <row r="812" spans="1:2">
      <c r="A812" s="3">
        <f ca="1">IFERROR(__xludf.DUMMYFUNCTION("""COMPUTED_VALUE"""),39532.6666666666)</f>
        <v>39532.666666666599</v>
      </c>
      <c r="B812" s="1">
        <f ca="1">IFERROR(__xludf.DUMMYFUNCTION("""COMPUTED_VALUE"""),29.14)</f>
        <v>29.14</v>
      </c>
    </row>
    <row r="813" spans="1:2">
      <c r="A813" s="3">
        <f ca="1">IFERROR(__xludf.DUMMYFUNCTION("""COMPUTED_VALUE"""),39533.6666666666)</f>
        <v>39533.666666666599</v>
      </c>
      <c r="B813" s="1">
        <f ca="1">IFERROR(__xludf.DUMMYFUNCTION("""COMPUTED_VALUE"""),28.56)</f>
        <v>28.56</v>
      </c>
    </row>
    <row r="814" spans="1:2">
      <c r="A814" s="3">
        <f ca="1">IFERROR(__xludf.DUMMYFUNCTION("""COMPUTED_VALUE"""),39534.6666666666)</f>
        <v>39534.666666666599</v>
      </c>
      <c r="B814" s="1">
        <f ca="1">IFERROR(__xludf.DUMMYFUNCTION("""COMPUTED_VALUE"""),28.05)</f>
        <v>28.05</v>
      </c>
    </row>
    <row r="815" spans="1:2">
      <c r="A815" s="3">
        <f ca="1">IFERROR(__xludf.DUMMYFUNCTION("""COMPUTED_VALUE"""),39535.6666666666)</f>
        <v>39535.666666666599</v>
      </c>
      <c r="B815" s="1">
        <f ca="1">IFERROR(__xludf.DUMMYFUNCTION("""COMPUTED_VALUE"""),27.91)</f>
        <v>27.91</v>
      </c>
    </row>
    <row r="816" spans="1:2">
      <c r="A816" s="3">
        <f ca="1">IFERROR(__xludf.DUMMYFUNCTION("""COMPUTED_VALUE"""),39538.6666666666)</f>
        <v>39538.666666666599</v>
      </c>
      <c r="B816" s="1">
        <f ca="1">IFERROR(__xludf.DUMMYFUNCTION("""COMPUTED_VALUE"""),28.38)</f>
        <v>28.38</v>
      </c>
    </row>
    <row r="817" spans="1:2">
      <c r="A817" s="3">
        <f ca="1">IFERROR(__xludf.DUMMYFUNCTION("""COMPUTED_VALUE"""),39539.6666666666)</f>
        <v>39539.666666666599</v>
      </c>
      <c r="B817" s="1">
        <f ca="1">IFERROR(__xludf.DUMMYFUNCTION("""COMPUTED_VALUE"""),29.5)</f>
        <v>29.5</v>
      </c>
    </row>
    <row r="818" spans="1:2">
      <c r="A818" s="3">
        <f ca="1">IFERROR(__xludf.DUMMYFUNCTION("""COMPUTED_VALUE"""),39540.6666666666)</f>
        <v>39540.666666666599</v>
      </c>
      <c r="B818" s="1">
        <f ca="1">IFERROR(__xludf.DUMMYFUNCTION("""COMPUTED_VALUE"""),29.16)</f>
        <v>29.16</v>
      </c>
    </row>
    <row r="819" spans="1:2">
      <c r="A819" s="3">
        <f ca="1">IFERROR(__xludf.DUMMYFUNCTION("""COMPUTED_VALUE"""),39541.6666666666)</f>
        <v>39541.666666666599</v>
      </c>
      <c r="B819" s="1">
        <f ca="1">IFERROR(__xludf.DUMMYFUNCTION("""COMPUTED_VALUE"""),29)</f>
        <v>29</v>
      </c>
    </row>
    <row r="820" spans="1:2">
      <c r="A820" s="3">
        <f ca="1">IFERROR(__xludf.DUMMYFUNCTION("""COMPUTED_VALUE"""),39542.6666666666)</f>
        <v>39542.666666666599</v>
      </c>
      <c r="B820" s="1">
        <f ca="1">IFERROR(__xludf.DUMMYFUNCTION("""COMPUTED_VALUE"""),29.16)</f>
        <v>29.16</v>
      </c>
    </row>
    <row r="821" spans="1:2">
      <c r="A821" s="3">
        <f ca="1">IFERROR(__xludf.DUMMYFUNCTION("""COMPUTED_VALUE"""),39545.6666666666)</f>
        <v>39545.666666666599</v>
      </c>
      <c r="B821" s="1">
        <f ca="1">IFERROR(__xludf.DUMMYFUNCTION("""COMPUTED_VALUE"""),29.16)</f>
        <v>29.16</v>
      </c>
    </row>
    <row r="822" spans="1:2">
      <c r="A822" s="3">
        <f ca="1">IFERROR(__xludf.DUMMYFUNCTION("""COMPUTED_VALUE"""),39546.6666666666)</f>
        <v>39546.666666666599</v>
      </c>
      <c r="B822" s="1">
        <f ca="1">IFERROR(__xludf.DUMMYFUNCTION("""COMPUTED_VALUE"""),28.75)</f>
        <v>28.75</v>
      </c>
    </row>
    <row r="823" spans="1:2">
      <c r="A823" s="3">
        <f ca="1">IFERROR(__xludf.DUMMYFUNCTION("""COMPUTED_VALUE"""),39547.6666666666)</f>
        <v>39547.666666666599</v>
      </c>
      <c r="B823" s="1">
        <f ca="1">IFERROR(__xludf.DUMMYFUNCTION("""COMPUTED_VALUE"""),28.89)</f>
        <v>28.89</v>
      </c>
    </row>
    <row r="824" spans="1:2">
      <c r="A824" s="3">
        <f ca="1">IFERROR(__xludf.DUMMYFUNCTION("""COMPUTED_VALUE"""),39548.6666666666)</f>
        <v>39548.666666666599</v>
      </c>
      <c r="B824" s="1">
        <f ca="1">IFERROR(__xludf.DUMMYFUNCTION("""COMPUTED_VALUE"""),29.11)</f>
        <v>29.11</v>
      </c>
    </row>
    <row r="825" spans="1:2">
      <c r="A825" s="3">
        <f ca="1">IFERROR(__xludf.DUMMYFUNCTION("""COMPUTED_VALUE"""),39549.6666666666)</f>
        <v>39549.666666666599</v>
      </c>
      <c r="B825" s="1">
        <f ca="1">IFERROR(__xludf.DUMMYFUNCTION("""COMPUTED_VALUE"""),28.28)</f>
        <v>28.28</v>
      </c>
    </row>
    <row r="826" spans="1:2">
      <c r="A826" s="3">
        <f ca="1">IFERROR(__xludf.DUMMYFUNCTION("""COMPUTED_VALUE"""),39552.6666666666)</f>
        <v>39552.666666666599</v>
      </c>
      <c r="B826" s="1">
        <f ca="1">IFERROR(__xludf.DUMMYFUNCTION("""COMPUTED_VALUE"""),28.06)</f>
        <v>28.06</v>
      </c>
    </row>
    <row r="827" spans="1:2">
      <c r="A827" s="3">
        <f ca="1">IFERROR(__xludf.DUMMYFUNCTION("""COMPUTED_VALUE"""),39553.6666666666)</f>
        <v>39553.666666666599</v>
      </c>
      <c r="B827" s="1">
        <f ca="1">IFERROR(__xludf.DUMMYFUNCTION("""COMPUTED_VALUE"""),28.25)</f>
        <v>28.25</v>
      </c>
    </row>
    <row r="828" spans="1:2">
      <c r="A828" s="3">
        <f ca="1">IFERROR(__xludf.DUMMYFUNCTION("""COMPUTED_VALUE"""),39554.6666666666)</f>
        <v>39554.666666666599</v>
      </c>
      <c r="B828" s="1">
        <f ca="1">IFERROR(__xludf.DUMMYFUNCTION("""COMPUTED_VALUE"""),28.95)</f>
        <v>28.95</v>
      </c>
    </row>
    <row r="829" spans="1:2">
      <c r="A829" s="3">
        <f ca="1">IFERROR(__xludf.DUMMYFUNCTION("""COMPUTED_VALUE"""),39555.6666666666)</f>
        <v>39555.666666666599</v>
      </c>
      <c r="B829" s="1">
        <f ca="1">IFERROR(__xludf.DUMMYFUNCTION("""COMPUTED_VALUE"""),29.22)</f>
        <v>29.22</v>
      </c>
    </row>
    <row r="830" spans="1:2">
      <c r="A830" s="3">
        <f ca="1">IFERROR(__xludf.DUMMYFUNCTION("""COMPUTED_VALUE"""),39556.6666666666)</f>
        <v>39556.666666666599</v>
      </c>
      <c r="B830" s="1">
        <f ca="1">IFERROR(__xludf.DUMMYFUNCTION("""COMPUTED_VALUE"""),30)</f>
        <v>30</v>
      </c>
    </row>
    <row r="831" spans="1:2">
      <c r="A831" s="3">
        <f ca="1">IFERROR(__xludf.DUMMYFUNCTION("""COMPUTED_VALUE"""),39559.6666666666)</f>
        <v>39559.666666666599</v>
      </c>
      <c r="B831" s="1">
        <f ca="1">IFERROR(__xludf.DUMMYFUNCTION("""COMPUTED_VALUE"""),30.42)</f>
        <v>30.42</v>
      </c>
    </row>
    <row r="832" spans="1:2">
      <c r="A832" s="3">
        <f ca="1">IFERROR(__xludf.DUMMYFUNCTION("""COMPUTED_VALUE"""),39560.6666666666)</f>
        <v>39560.666666666599</v>
      </c>
      <c r="B832" s="1">
        <f ca="1">IFERROR(__xludf.DUMMYFUNCTION("""COMPUTED_VALUE"""),30.25)</f>
        <v>30.25</v>
      </c>
    </row>
    <row r="833" spans="1:2">
      <c r="A833" s="3">
        <f ca="1">IFERROR(__xludf.DUMMYFUNCTION("""COMPUTED_VALUE"""),39561.6666666666)</f>
        <v>39561.666666666599</v>
      </c>
      <c r="B833" s="1">
        <f ca="1">IFERROR(__xludf.DUMMYFUNCTION("""COMPUTED_VALUE"""),31.45)</f>
        <v>31.45</v>
      </c>
    </row>
    <row r="834" spans="1:2">
      <c r="A834" s="3">
        <f ca="1">IFERROR(__xludf.DUMMYFUNCTION("""COMPUTED_VALUE"""),39562.6666666666)</f>
        <v>39562.666666666599</v>
      </c>
      <c r="B834" s="1">
        <f ca="1">IFERROR(__xludf.DUMMYFUNCTION("""COMPUTED_VALUE"""),31.8)</f>
        <v>31.8</v>
      </c>
    </row>
    <row r="835" spans="1:2">
      <c r="A835" s="3">
        <f ca="1">IFERROR(__xludf.DUMMYFUNCTION("""COMPUTED_VALUE"""),39563.6666666666)</f>
        <v>39563.666666666599</v>
      </c>
      <c r="B835" s="1">
        <f ca="1">IFERROR(__xludf.DUMMYFUNCTION("""COMPUTED_VALUE"""),29.83)</f>
        <v>29.83</v>
      </c>
    </row>
    <row r="836" spans="1:2">
      <c r="A836" s="3">
        <f ca="1">IFERROR(__xludf.DUMMYFUNCTION("""COMPUTED_VALUE"""),39566.6666666666)</f>
        <v>39566.666666666599</v>
      </c>
      <c r="B836" s="1">
        <f ca="1">IFERROR(__xludf.DUMMYFUNCTION("""COMPUTED_VALUE"""),28.99)</f>
        <v>28.99</v>
      </c>
    </row>
    <row r="837" spans="1:2">
      <c r="A837" s="3">
        <f ca="1">IFERROR(__xludf.DUMMYFUNCTION("""COMPUTED_VALUE"""),39567.6666666666)</f>
        <v>39567.666666666599</v>
      </c>
      <c r="B837" s="1">
        <f ca="1">IFERROR(__xludf.DUMMYFUNCTION("""COMPUTED_VALUE"""),28.64)</f>
        <v>28.64</v>
      </c>
    </row>
    <row r="838" spans="1:2">
      <c r="A838" s="3">
        <f ca="1">IFERROR(__xludf.DUMMYFUNCTION("""COMPUTED_VALUE"""),39568.6666666666)</f>
        <v>39568.666666666599</v>
      </c>
      <c r="B838" s="1">
        <f ca="1">IFERROR(__xludf.DUMMYFUNCTION("""COMPUTED_VALUE"""),28.52)</f>
        <v>28.52</v>
      </c>
    </row>
    <row r="839" spans="1:2">
      <c r="A839" s="3">
        <f ca="1">IFERROR(__xludf.DUMMYFUNCTION("""COMPUTED_VALUE"""),39569.6666666666)</f>
        <v>39569.666666666599</v>
      </c>
      <c r="B839" s="1">
        <f ca="1">IFERROR(__xludf.DUMMYFUNCTION("""COMPUTED_VALUE"""),29.4)</f>
        <v>29.4</v>
      </c>
    </row>
    <row r="840" spans="1:2">
      <c r="A840" s="3">
        <f ca="1">IFERROR(__xludf.DUMMYFUNCTION("""COMPUTED_VALUE"""),39570.6666666666)</f>
        <v>39570.666666666599</v>
      </c>
      <c r="B840" s="1">
        <f ca="1">IFERROR(__xludf.DUMMYFUNCTION("""COMPUTED_VALUE"""),29.24)</f>
        <v>29.24</v>
      </c>
    </row>
    <row r="841" spans="1:2">
      <c r="A841" s="3">
        <f ca="1">IFERROR(__xludf.DUMMYFUNCTION("""COMPUTED_VALUE"""),39573.6666666666)</f>
        <v>39573.666666666599</v>
      </c>
      <c r="B841" s="1">
        <f ca="1">IFERROR(__xludf.DUMMYFUNCTION("""COMPUTED_VALUE"""),29.08)</f>
        <v>29.08</v>
      </c>
    </row>
    <row r="842" spans="1:2">
      <c r="A842" s="3">
        <f ca="1">IFERROR(__xludf.DUMMYFUNCTION("""COMPUTED_VALUE"""),39574.6666666666)</f>
        <v>39574.666666666599</v>
      </c>
      <c r="B842" s="1">
        <f ca="1">IFERROR(__xludf.DUMMYFUNCTION("""COMPUTED_VALUE"""),29.7)</f>
        <v>29.7</v>
      </c>
    </row>
    <row r="843" spans="1:2">
      <c r="A843" s="3">
        <f ca="1">IFERROR(__xludf.DUMMYFUNCTION("""COMPUTED_VALUE"""),39575.6666666666)</f>
        <v>39575.666666666599</v>
      </c>
      <c r="B843" s="1">
        <f ca="1">IFERROR(__xludf.DUMMYFUNCTION("""COMPUTED_VALUE"""),29.21)</f>
        <v>29.21</v>
      </c>
    </row>
    <row r="844" spans="1:2">
      <c r="A844" s="3">
        <f ca="1">IFERROR(__xludf.DUMMYFUNCTION("""COMPUTED_VALUE"""),39576.6666666666)</f>
        <v>39576.666666666599</v>
      </c>
      <c r="B844" s="1">
        <f ca="1">IFERROR(__xludf.DUMMYFUNCTION("""COMPUTED_VALUE"""),29.27)</f>
        <v>29.27</v>
      </c>
    </row>
    <row r="845" spans="1:2">
      <c r="A845" s="3">
        <f ca="1">IFERROR(__xludf.DUMMYFUNCTION("""COMPUTED_VALUE"""),39577.6666666666)</f>
        <v>39577.666666666599</v>
      </c>
      <c r="B845" s="1">
        <f ca="1">IFERROR(__xludf.DUMMYFUNCTION("""COMPUTED_VALUE"""),29.39)</f>
        <v>29.39</v>
      </c>
    </row>
    <row r="846" spans="1:2">
      <c r="A846" s="3">
        <f ca="1">IFERROR(__xludf.DUMMYFUNCTION("""COMPUTED_VALUE"""),39580.6666666666)</f>
        <v>39580.666666666599</v>
      </c>
      <c r="B846" s="1">
        <f ca="1">IFERROR(__xludf.DUMMYFUNCTION("""COMPUTED_VALUE"""),29.99)</f>
        <v>29.99</v>
      </c>
    </row>
    <row r="847" spans="1:2">
      <c r="A847" s="3">
        <f ca="1">IFERROR(__xludf.DUMMYFUNCTION("""COMPUTED_VALUE"""),39581.6666666666)</f>
        <v>39581.666666666599</v>
      </c>
      <c r="B847" s="1">
        <f ca="1">IFERROR(__xludf.DUMMYFUNCTION("""COMPUTED_VALUE"""),29.78)</f>
        <v>29.78</v>
      </c>
    </row>
    <row r="848" spans="1:2">
      <c r="A848" s="3">
        <f ca="1">IFERROR(__xludf.DUMMYFUNCTION("""COMPUTED_VALUE"""),39582.6666666666)</f>
        <v>39582.666666666599</v>
      </c>
      <c r="B848" s="1">
        <f ca="1">IFERROR(__xludf.DUMMYFUNCTION("""COMPUTED_VALUE"""),29.93)</f>
        <v>29.93</v>
      </c>
    </row>
    <row r="849" spans="1:2">
      <c r="A849" s="3">
        <f ca="1">IFERROR(__xludf.DUMMYFUNCTION("""COMPUTED_VALUE"""),39583.6666666666)</f>
        <v>39583.666666666599</v>
      </c>
      <c r="B849" s="1">
        <f ca="1">IFERROR(__xludf.DUMMYFUNCTION("""COMPUTED_VALUE"""),30.45)</f>
        <v>30.45</v>
      </c>
    </row>
    <row r="850" spans="1:2">
      <c r="A850" s="3">
        <f ca="1">IFERROR(__xludf.DUMMYFUNCTION("""COMPUTED_VALUE"""),39584.6666666666)</f>
        <v>39584.666666666599</v>
      </c>
      <c r="B850" s="1">
        <f ca="1">IFERROR(__xludf.DUMMYFUNCTION("""COMPUTED_VALUE"""),29.99)</f>
        <v>29.99</v>
      </c>
    </row>
    <row r="851" spans="1:2">
      <c r="A851" s="3">
        <f ca="1">IFERROR(__xludf.DUMMYFUNCTION("""COMPUTED_VALUE"""),39587.6666666666)</f>
        <v>39587.666666666599</v>
      </c>
      <c r="B851" s="1">
        <f ca="1">IFERROR(__xludf.DUMMYFUNCTION("""COMPUTED_VALUE"""),29.46)</f>
        <v>29.46</v>
      </c>
    </row>
    <row r="852" spans="1:2">
      <c r="A852" s="3">
        <f ca="1">IFERROR(__xludf.DUMMYFUNCTION("""COMPUTED_VALUE"""),39588.6666666666)</f>
        <v>39588.666666666599</v>
      </c>
      <c r="B852" s="1">
        <f ca="1">IFERROR(__xludf.DUMMYFUNCTION("""COMPUTED_VALUE"""),28.76)</f>
        <v>28.76</v>
      </c>
    </row>
    <row r="853" spans="1:2">
      <c r="A853" s="3">
        <f ca="1">IFERROR(__xludf.DUMMYFUNCTION("""COMPUTED_VALUE"""),39589.6666666666)</f>
        <v>39589.666666666599</v>
      </c>
      <c r="B853" s="1">
        <f ca="1">IFERROR(__xludf.DUMMYFUNCTION("""COMPUTED_VALUE"""),28.25)</f>
        <v>28.25</v>
      </c>
    </row>
    <row r="854" spans="1:2">
      <c r="A854" s="3">
        <f ca="1">IFERROR(__xludf.DUMMYFUNCTION("""COMPUTED_VALUE"""),39590.6666666666)</f>
        <v>39590.666666666599</v>
      </c>
      <c r="B854" s="1">
        <f ca="1">IFERROR(__xludf.DUMMYFUNCTION("""COMPUTED_VALUE"""),28.47)</f>
        <v>28.47</v>
      </c>
    </row>
    <row r="855" spans="1:2">
      <c r="A855" s="3">
        <f ca="1">IFERROR(__xludf.DUMMYFUNCTION("""COMPUTED_VALUE"""),39591.6666666666)</f>
        <v>39591.666666666599</v>
      </c>
      <c r="B855" s="1">
        <f ca="1">IFERROR(__xludf.DUMMYFUNCTION("""COMPUTED_VALUE"""),28.05)</f>
        <v>28.05</v>
      </c>
    </row>
    <row r="856" spans="1:2">
      <c r="A856" s="3">
        <f ca="1">IFERROR(__xludf.DUMMYFUNCTION("""COMPUTED_VALUE"""),39595.6666666666)</f>
        <v>39595.666666666599</v>
      </c>
      <c r="B856" s="1">
        <f ca="1">IFERROR(__xludf.DUMMYFUNCTION("""COMPUTED_VALUE"""),28.44)</f>
        <v>28.44</v>
      </c>
    </row>
    <row r="857" spans="1:2">
      <c r="A857" s="3">
        <f ca="1">IFERROR(__xludf.DUMMYFUNCTION("""COMPUTED_VALUE"""),39596.6666666666)</f>
        <v>39596.666666666599</v>
      </c>
      <c r="B857" s="1">
        <f ca="1">IFERROR(__xludf.DUMMYFUNCTION("""COMPUTED_VALUE"""),28.18)</f>
        <v>28.18</v>
      </c>
    </row>
    <row r="858" spans="1:2">
      <c r="A858" s="3">
        <f ca="1">IFERROR(__xludf.DUMMYFUNCTION("""COMPUTED_VALUE"""),39597.6666666666)</f>
        <v>39597.666666666599</v>
      </c>
      <c r="B858" s="1">
        <f ca="1">IFERROR(__xludf.DUMMYFUNCTION("""COMPUTED_VALUE"""),28.31)</f>
        <v>28.31</v>
      </c>
    </row>
    <row r="859" spans="1:2">
      <c r="A859" s="3">
        <f ca="1">IFERROR(__xludf.DUMMYFUNCTION("""COMPUTED_VALUE"""),39598.6666666666)</f>
        <v>39598.666666666599</v>
      </c>
      <c r="B859" s="1">
        <f ca="1">IFERROR(__xludf.DUMMYFUNCTION("""COMPUTED_VALUE"""),28.32)</f>
        <v>28.32</v>
      </c>
    </row>
    <row r="860" spans="1:2">
      <c r="A860" s="3">
        <f ca="1">IFERROR(__xludf.DUMMYFUNCTION("""COMPUTED_VALUE"""),39601.6666666666)</f>
        <v>39601.666666666599</v>
      </c>
      <c r="B860" s="1">
        <f ca="1">IFERROR(__xludf.DUMMYFUNCTION("""COMPUTED_VALUE"""),27.8)</f>
        <v>27.8</v>
      </c>
    </row>
    <row r="861" spans="1:2">
      <c r="A861" s="3">
        <f ca="1">IFERROR(__xludf.DUMMYFUNCTION("""COMPUTED_VALUE"""),39602.6666666666)</f>
        <v>39602.666666666599</v>
      </c>
      <c r="B861" s="1">
        <f ca="1">IFERROR(__xludf.DUMMYFUNCTION("""COMPUTED_VALUE"""),27.31)</f>
        <v>27.31</v>
      </c>
    </row>
    <row r="862" spans="1:2">
      <c r="A862" s="3">
        <f ca="1">IFERROR(__xludf.DUMMYFUNCTION("""COMPUTED_VALUE"""),39603.6666666666)</f>
        <v>39603.666666666599</v>
      </c>
      <c r="B862" s="1">
        <f ca="1">IFERROR(__xludf.DUMMYFUNCTION("""COMPUTED_VALUE"""),27.54)</f>
        <v>27.54</v>
      </c>
    </row>
    <row r="863" spans="1:2">
      <c r="A863" s="3">
        <f ca="1">IFERROR(__xludf.DUMMYFUNCTION("""COMPUTED_VALUE"""),39604.6666666666)</f>
        <v>39604.666666666599</v>
      </c>
      <c r="B863" s="1">
        <f ca="1">IFERROR(__xludf.DUMMYFUNCTION("""COMPUTED_VALUE"""),28.3)</f>
        <v>28.3</v>
      </c>
    </row>
    <row r="864" spans="1:2">
      <c r="A864" s="3">
        <f ca="1">IFERROR(__xludf.DUMMYFUNCTION("""COMPUTED_VALUE"""),39605.6666666666)</f>
        <v>39605.666666666599</v>
      </c>
      <c r="B864" s="1">
        <f ca="1">IFERROR(__xludf.DUMMYFUNCTION("""COMPUTED_VALUE"""),27.49)</f>
        <v>27.49</v>
      </c>
    </row>
    <row r="865" spans="1:2">
      <c r="A865" s="3">
        <f ca="1">IFERROR(__xludf.DUMMYFUNCTION("""COMPUTED_VALUE"""),39608.6666666666)</f>
        <v>39608.666666666599</v>
      </c>
      <c r="B865" s="1">
        <f ca="1">IFERROR(__xludf.DUMMYFUNCTION("""COMPUTED_VALUE"""),27.71)</f>
        <v>27.71</v>
      </c>
    </row>
    <row r="866" spans="1:2">
      <c r="A866" s="3">
        <f ca="1">IFERROR(__xludf.DUMMYFUNCTION("""COMPUTED_VALUE"""),39609.6666666666)</f>
        <v>39609.666666666599</v>
      </c>
      <c r="B866" s="1">
        <f ca="1">IFERROR(__xludf.DUMMYFUNCTION("""COMPUTED_VALUE"""),27.89)</f>
        <v>27.89</v>
      </c>
    </row>
    <row r="867" spans="1:2">
      <c r="A867" s="3">
        <f ca="1">IFERROR(__xludf.DUMMYFUNCTION("""COMPUTED_VALUE"""),39610.6666666666)</f>
        <v>39610.666666666599</v>
      </c>
      <c r="B867" s="1">
        <f ca="1">IFERROR(__xludf.DUMMYFUNCTION("""COMPUTED_VALUE"""),27.12)</f>
        <v>27.12</v>
      </c>
    </row>
    <row r="868" spans="1:2">
      <c r="A868" s="3">
        <f ca="1">IFERROR(__xludf.DUMMYFUNCTION("""COMPUTED_VALUE"""),39611.6666666666)</f>
        <v>39611.666666666599</v>
      </c>
      <c r="B868" s="1">
        <f ca="1">IFERROR(__xludf.DUMMYFUNCTION("""COMPUTED_VALUE"""),28.24)</f>
        <v>28.24</v>
      </c>
    </row>
    <row r="869" spans="1:2">
      <c r="A869" s="3">
        <f ca="1">IFERROR(__xludf.DUMMYFUNCTION("""COMPUTED_VALUE"""),39612.6666666666)</f>
        <v>39612.666666666599</v>
      </c>
      <c r="B869" s="1">
        <f ca="1">IFERROR(__xludf.DUMMYFUNCTION("""COMPUTED_VALUE"""),29.07)</f>
        <v>29.07</v>
      </c>
    </row>
    <row r="870" spans="1:2">
      <c r="A870" s="3">
        <f ca="1">IFERROR(__xludf.DUMMYFUNCTION("""COMPUTED_VALUE"""),39615.6666666666)</f>
        <v>39615.666666666599</v>
      </c>
      <c r="B870" s="1">
        <f ca="1">IFERROR(__xludf.DUMMYFUNCTION("""COMPUTED_VALUE"""),28.93)</f>
        <v>28.93</v>
      </c>
    </row>
    <row r="871" spans="1:2">
      <c r="A871" s="3">
        <f ca="1">IFERROR(__xludf.DUMMYFUNCTION("""COMPUTED_VALUE"""),39616.6666666666)</f>
        <v>39616.666666666599</v>
      </c>
      <c r="B871" s="1">
        <f ca="1">IFERROR(__xludf.DUMMYFUNCTION("""COMPUTED_VALUE"""),28.8)</f>
        <v>28.8</v>
      </c>
    </row>
    <row r="872" spans="1:2">
      <c r="A872" s="3">
        <f ca="1">IFERROR(__xludf.DUMMYFUNCTION("""COMPUTED_VALUE"""),39617.6666666666)</f>
        <v>39617.666666666599</v>
      </c>
      <c r="B872" s="1">
        <f ca="1">IFERROR(__xludf.DUMMYFUNCTION("""COMPUTED_VALUE"""),28.46)</f>
        <v>28.46</v>
      </c>
    </row>
    <row r="873" spans="1:2">
      <c r="A873" s="3">
        <f ca="1">IFERROR(__xludf.DUMMYFUNCTION("""COMPUTED_VALUE"""),39618.6666666666)</f>
        <v>39618.666666666599</v>
      </c>
      <c r="B873" s="1">
        <f ca="1">IFERROR(__xludf.DUMMYFUNCTION("""COMPUTED_VALUE"""),28.93)</f>
        <v>28.93</v>
      </c>
    </row>
    <row r="874" spans="1:2">
      <c r="A874" s="3">
        <f ca="1">IFERROR(__xludf.DUMMYFUNCTION("""COMPUTED_VALUE"""),39619.6666666666)</f>
        <v>39619.666666666599</v>
      </c>
      <c r="B874" s="1">
        <f ca="1">IFERROR(__xludf.DUMMYFUNCTION("""COMPUTED_VALUE"""),28.23)</f>
        <v>28.23</v>
      </c>
    </row>
    <row r="875" spans="1:2">
      <c r="A875" s="3">
        <f ca="1">IFERROR(__xludf.DUMMYFUNCTION("""COMPUTED_VALUE"""),39622.6666666666)</f>
        <v>39622.666666666599</v>
      </c>
      <c r="B875" s="1">
        <f ca="1">IFERROR(__xludf.DUMMYFUNCTION("""COMPUTED_VALUE"""),27.97)</f>
        <v>27.97</v>
      </c>
    </row>
    <row r="876" spans="1:2">
      <c r="A876" s="3">
        <f ca="1">IFERROR(__xludf.DUMMYFUNCTION("""COMPUTED_VALUE"""),39623.6666666666)</f>
        <v>39623.666666666599</v>
      </c>
      <c r="B876" s="1">
        <f ca="1">IFERROR(__xludf.DUMMYFUNCTION("""COMPUTED_VALUE"""),27.73)</f>
        <v>27.73</v>
      </c>
    </row>
    <row r="877" spans="1:2">
      <c r="A877" s="3">
        <f ca="1">IFERROR(__xludf.DUMMYFUNCTION("""COMPUTED_VALUE"""),39624.6666666666)</f>
        <v>39624.666666666599</v>
      </c>
      <c r="B877" s="1">
        <f ca="1">IFERROR(__xludf.DUMMYFUNCTION("""COMPUTED_VALUE"""),28.35)</f>
        <v>28.35</v>
      </c>
    </row>
    <row r="878" spans="1:2">
      <c r="A878" s="3">
        <f ca="1">IFERROR(__xludf.DUMMYFUNCTION("""COMPUTED_VALUE"""),39625.6666666666)</f>
        <v>39625.666666666599</v>
      </c>
      <c r="B878" s="1">
        <f ca="1">IFERROR(__xludf.DUMMYFUNCTION("""COMPUTED_VALUE"""),27.75)</f>
        <v>27.75</v>
      </c>
    </row>
    <row r="879" spans="1:2">
      <c r="A879" s="3">
        <f ca="1">IFERROR(__xludf.DUMMYFUNCTION("""COMPUTED_VALUE"""),39626.6666666666)</f>
        <v>39626.666666666599</v>
      </c>
      <c r="B879" s="1">
        <f ca="1">IFERROR(__xludf.DUMMYFUNCTION("""COMPUTED_VALUE"""),27.63)</f>
        <v>27.63</v>
      </c>
    </row>
    <row r="880" spans="1:2">
      <c r="A880" s="3">
        <f ca="1">IFERROR(__xludf.DUMMYFUNCTION("""COMPUTED_VALUE"""),39629.6666666666)</f>
        <v>39629.666666666599</v>
      </c>
      <c r="B880" s="1">
        <f ca="1">IFERROR(__xludf.DUMMYFUNCTION("""COMPUTED_VALUE"""),27.51)</f>
        <v>27.51</v>
      </c>
    </row>
    <row r="881" spans="1:2">
      <c r="A881" s="3">
        <f ca="1">IFERROR(__xludf.DUMMYFUNCTION("""COMPUTED_VALUE"""),39630.6666666666)</f>
        <v>39630.666666666599</v>
      </c>
      <c r="B881" s="1">
        <f ca="1">IFERROR(__xludf.DUMMYFUNCTION("""COMPUTED_VALUE"""),26.87)</f>
        <v>26.87</v>
      </c>
    </row>
    <row r="882" spans="1:2">
      <c r="A882" s="3">
        <f ca="1">IFERROR(__xludf.DUMMYFUNCTION("""COMPUTED_VALUE"""),39631.6666666666)</f>
        <v>39631.666666666599</v>
      </c>
      <c r="B882" s="1">
        <f ca="1">IFERROR(__xludf.DUMMYFUNCTION("""COMPUTED_VALUE"""),25.88)</f>
        <v>25.88</v>
      </c>
    </row>
    <row r="883" spans="1:2">
      <c r="A883" s="3">
        <f ca="1">IFERROR(__xludf.DUMMYFUNCTION("""COMPUTED_VALUE"""),39632.6666666666)</f>
        <v>39632.666666666599</v>
      </c>
      <c r="B883" s="1">
        <f ca="1">IFERROR(__xludf.DUMMYFUNCTION("""COMPUTED_VALUE"""),25.98)</f>
        <v>25.98</v>
      </c>
    </row>
    <row r="884" spans="1:2">
      <c r="A884" s="3">
        <f ca="1">IFERROR(__xludf.DUMMYFUNCTION("""COMPUTED_VALUE"""),39636.6666666666)</f>
        <v>39636.666666666599</v>
      </c>
      <c r="B884" s="1">
        <f ca="1">IFERROR(__xludf.DUMMYFUNCTION("""COMPUTED_VALUE"""),26.03)</f>
        <v>26.03</v>
      </c>
    </row>
    <row r="885" spans="1:2">
      <c r="A885" s="3">
        <f ca="1">IFERROR(__xludf.DUMMYFUNCTION("""COMPUTED_VALUE"""),39637.6666666666)</f>
        <v>39637.666666666599</v>
      </c>
      <c r="B885" s="1">
        <f ca="1">IFERROR(__xludf.DUMMYFUNCTION("""COMPUTED_VALUE"""),25.85)</f>
        <v>25.85</v>
      </c>
    </row>
    <row r="886" spans="1:2">
      <c r="A886" s="3">
        <f ca="1">IFERROR(__xludf.DUMMYFUNCTION("""COMPUTED_VALUE"""),39638.6666666666)</f>
        <v>39638.666666666599</v>
      </c>
      <c r="B886" s="1">
        <f ca="1">IFERROR(__xludf.DUMMYFUNCTION("""COMPUTED_VALUE"""),25.23)</f>
        <v>25.23</v>
      </c>
    </row>
    <row r="887" spans="1:2">
      <c r="A887" s="3">
        <f ca="1">IFERROR(__xludf.DUMMYFUNCTION("""COMPUTED_VALUE"""),39639.6666666666)</f>
        <v>39639.666666666599</v>
      </c>
      <c r="B887" s="1">
        <f ca="1">IFERROR(__xludf.DUMMYFUNCTION("""COMPUTED_VALUE"""),25.45)</f>
        <v>25.45</v>
      </c>
    </row>
    <row r="888" spans="1:2">
      <c r="A888" s="3">
        <f ca="1">IFERROR(__xludf.DUMMYFUNCTION("""COMPUTED_VALUE"""),39640.6666666666)</f>
        <v>39640.666666666599</v>
      </c>
      <c r="B888" s="1">
        <f ca="1">IFERROR(__xludf.DUMMYFUNCTION("""COMPUTED_VALUE"""),25.25)</f>
        <v>25.25</v>
      </c>
    </row>
    <row r="889" spans="1:2">
      <c r="A889" s="3">
        <f ca="1">IFERROR(__xludf.DUMMYFUNCTION("""COMPUTED_VALUE"""),39643.6666666666)</f>
        <v>39643.666666666599</v>
      </c>
      <c r="B889" s="1">
        <f ca="1">IFERROR(__xludf.DUMMYFUNCTION("""COMPUTED_VALUE"""),25.15)</f>
        <v>25.15</v>
      </c>
    </row>
    <row r="890" spans="1:2">
      <c r="A890" s="3">
        <f ca="1">IFERROR(__xludf.DUMMYFUNCTION("""COMPUTED_VALUE"""),39644.6666666666)</f>
        <v>39644.666666666599</v>
      </c>
      <c r="B890" s="1">
        <f ca="1">IFERROR(__xludf.DUMMYFUNCTION("""COMPUTED_VALUE"""),26.15)</f>
        <v>26.15</v>
      </c>
    </row>
    <row r="891" spans="1:2">
      <c r="A891" s="3">
        <f ca="1">IFERROR(__xludf.DUMMYFUNCTION("""COMPUTED_VALUE"""),39645.6666666666)</f>
        <v>39645.666666666599</v>
      </c>
      <c r="B891" s="1">
        <f ca="1">IFERROR(__xludf.DUMMYFUNCTION("""COMPUTED_VALUE"""),27.26)</f>
        <v>27.26</v>
      </c>
    </row>
    <row r="892" spans="1:2">
      <c r="A892" s="3">
        <f ca="1">IFERROR(__xludf.DUMMYFUNCTION("""COMPUTED_VALUE"""),39646.6666666666)</f>
        <v>39646.666666666599</v>
      </c>
      <c r="B892" s="1">
        <f ca="1">IFERROR(__xludf.DUMMYFUNCTION("""COMPUTED_VALUE"""),27.52)</f>
        <v>27.52</v>
      </c>
    </row>
    <row r="893" spans="1:2">
      <c r="A893" s="3">
        <f ca="1">IFERROR(__xludf.DUMMYFUNCTION("""COMPUTED_VALUE"""),39647.6666666666)</f>
        <v>39647.666666666599</v>
      </c>
      <c r="B893" s="1">
        <f ca="1">IFERROR(__xludf.DUMMYFUNCTION("""COMPUTED_VALUE"""),25.86)</f>
        <v>25.86</v>
      </c>
    </row>
    <row r="894" spans="1:2">
      <c r="A894" s="3">
        <f ca="1">IFERROR(__xludf.DUMMYFUNCTION("""COMPUTED_VALUE"""),39650.6666666666)</f>
        <v>39650.666666666599</v>
      </c>
      <c r="B894" s="1">
        <f ca="1">IFERROR(__xludf.DUMMYFUNCTION("""COMPUTED_VALUE"""),25.64)</f>
        <v>25.64</v>
      </c>
    </row>
    <row r="895" spans="1:2">
      <c r="A895" s="3">
        <f ca="1">IFERROR(__xludf.DUMMYFUNCTION("""COMPUTED_VALUE"""),39651.6666666666)</f>
        <v>39651.666666666599</v>
      </c>
      <c r="B895" s="1">
        <f ca="1">IFERROR(__xludf.DUMMYFUNCTION("""COMPUTED_VALUE"""),25.8)</f>
        <v>25.8</v>
      </c>
    </row>
    <row r="896" spans="1:2">
      <c r="A896" s="3">
        <f ca="1">IFERROR(__xludf.DUMMYFUNCTION("""COMPUTED_VALUE"""),39652.6666666666)</f>
        <v>39652.666666666599</v>
      </c>
      <c r="B896" s="1">
        <f ca="1">IFERROR(__xludf.DUMMYFUNCTION("""COMPUTED_VALUE"""),26.43)</f>
        <v>26.43</v>
      </c>
    </row>
    <row r="897" spans="1:2">
      <c r="A897" s="3">
        <f ca="1">IFERROR(__xludf.DUMMYFUNCTION("""COMPUTED_VALUE"""),39653.6666666666)</f>
        <v>39653.666666666599</v>
      </c>
      <c r="B897" s="1">
        <f ca="1">IFERROR(__xludf.DUMMYFUNCTION("""COMPUTED_VALUE"""),25.44)</f>
        <v>25.44</v>
      </c>
    </row>
    <row r="898" spans="1:2">
      <c r="A898" s="3">
        <f ca="1">IFERROR(__xludf.DUMMYFUNCTION("""COMPUTED_VALUE"""),39654.6666666666)</f>
        <v>39654.666666666599</v>
      </c>
      <c r="B898" s="1">
        <f ca="1">IFERROR(__xludf.DUMMYFUNCTION("""COMPUTED_VALUE"""),26.16)</f>
        <v>26.16</v>
      </c>
    </row>
    <row r="899" spans="1:2">
      <c r="A899" s="3">
        <f ca="1">IFERROR(__xludf.DUMMYFUNCTION("""COMPUTED_VALUE"""),39657.6666666666)</f>
        <v>39657.666666666599</v>
      </c>
      <c r="B899" s="1">
        <f ca="1">IFERROR(__xludf.DUMMYFUNCTION("""COMPUTED_VALUE"""),25.5)</f>
        <v>25.5</v>
      </c>
    </row>
    <row r="900" spans="1:2">
      <c r="A900" s="3">
        <f ca="1">IFERROR(__xludf.DUMMYFUNCTION("""COMPUTED_VALUE"""),39658.6666666666)</f>
        <v>39658.666666666599</v>
      </c>
      <c r="B900" s="1">
        <f ca="1">IFERROR(__xludf.DUMMYFUNCTION("""COMPUTED_VALUE"""),26.11)</f>
        <v>26.11</v>
      </c>
    </row>
    <row r="901" spans="1:2">
      <c r="A901" s="3">
        <f ca="1">IFERROR(__xludf.DUMMYFUNCTION("""COMPUTED_VALUE"""),39659.6666666666)</f>
        <v>39659.666666666599</v>
      </c>
      <c r="B901" s="1">
        <f ca="1">IFERROR(__xludf.DUMMYFUNCTION("""COMPUTED_VALUE"""),26.23)</f>
        <v>26.23</v>
      </c>
    </row>
    <row r="902" spans="1:2">
      <c r="A902" s="3">
        <f ca="1">IFERROR(__xludf.DUMMYFUNCTION("""COMPUTED_VALUE"""),39660.6666666666)</f>
        <v>39660.666666666599</v>
      </c>
      <c r="B902" s="1">
        <f ca="1">IFERROR(__xludf.DUMMYFUNCTION("""COMPUTED_VALUE"""),25.72)</f>
        <v>25.72</v>
      </c>
    </row>
    <row r="903" spans="1:2">
      <c r="A903" s="3">
        <f ca="1">IFERROR(__xludf.DUMMYFUNCTION("""COMPUTED_VALUE"""),39661.6666666666)</f>
        <v>39661.666666666599</v>
      </c>
      <c r="B903" s="1">
        <f ca="1">IFERROR(__xludf.DUMMYFUNCTION("""COMPUTED_VALUE"""),25.44)</f>
        <v>25.44</v>
      </c>
    </row>
    <row r="904" spans="1:2">
      <c r="A904" s="3">
        <f ca="1">IFERROR(__xludf.DUMMYFUNCTION("""COMPUTED_VALUE"""),39664.6666666666)</f>
        <v>39664.666666666599</v>
      </c>
      <c r="B904" s="1">
        <f ca="1">IFERROR(__xludf.DUMMYFUNCTION("""COMPUTED_VALUE"""),25.28)</f>
        <v>25.28</v>
      </c>
    </row>
    <row r="905" spans="1:2">
      <c r="A905" s="3">
        <f ca="1">IFERROR(__xludf.DUMMYFUNCTION("""COMPUTED_VALUE"""),39665.6666666666)</f>
        <v>39665.666666666599</v>
      </c>
      <c r="B905" s="1">
        <f ca="1">IFERROR(__xludf.DUMMYFUNCTION("""COMPUTED_VALUE"""),26.21)</f>
        <v>26.21</v>
      </c>
    </row>
    <row r="906" spans="1:2">
      <c r="A906" s="3">
        <f ca="1">IFERROR(__xludf.DUMMYFUNCTION("""COMPUTED_VALUE"""),39666.6666666666)</f>
        <v>39666.666666666599</v>
      </c>
      <c r="B906" s="1">
        <f ca="1">IFERROR(__xludf.DUMMYFUNCTION("""COMPUTED_VALUE"""),27.02)</f>
        <v>27.02</v>
      </c>
    </row>
    <row r="907" spans="1:2">
      <c r="A907" s="3">
        <f ca="1">IFERROR(__xludf.DUMMYFUNCTION("""COMPUTED_VALUE"""),39667.6666666666)</f>
        <v>39667.666666666599</v>
      </c>
      <c r="B907" s="1">
        <f ca="1">IFERROR(__xludf.DUMMYFUNCTION("""COMPUTED_VALUE"""),27.39)</f>
        <v>27.39</v>
      </c>
    </row>
    <row r="908" spans="1:2">
      <c r="A908" s="3">
        <f ca="1">IFERROR(__xludf.DUMMYFUNCTION("""COMPUTED_VALUE"""),39668.6666666666)</f>
        <v>39668.666666666599</v>
      </c>
      <c r="B908" s="1">
        <f ca="1">IFERROR(__xludf.DUMMYFUNCTION("""COMPUTED_VALUE"""),28.13)</f>
        <v>28.13</v>
      </c>
    </row>
    <row r="909" spans="1:2">
      <c r="A909" s="3">
        <f ca="1">IFERROR(__xludf.DUMMYFUNCTION("""COMPUTED_VALUE"""),39671.6666666666)</f>
        <v>39671.666666666599</v>
      </c>
      <c r="B909" s="1">
        <f ca="1">IFERROR(__xludf.DUMMYFUNCTION("""COMPUTED_VALUE"""),27.9)</f>
        <v>27.9</v>
      </c>
    </row>
    <row r="910" spans="1:2">
      <c r="A910" s="3">
        <f ca="1">IFERROR(__xludf.DUMMYFUNCTION("""COMPUTED_VALUE"""),39672.6666666666)</f>
        <v>39672.666666666599</v>
      </c>
      <c r="B910" s="1">
        <f ca="1">IFERROR(__xludf.DUMMYFUNCTION("""COMPUTED_VALUE"""),28.12)</f>
        <v>28.12</v>
      </c>
    </row>
    <row r="911" spans="1:2">
      <c r="A911" s="3">
        <f ca="1">IFERROR(__xludf.DUMMYFUNCTION("""COMPUTED_VALUE"""),39673.6666666666)</f>
        <v>39673.666666666599</v>
      </c>
      <c r="B911" s="1">
        <f ca="1">IFERROR(__xludf.DUMMYFUNCTION("""COMPUTED_VALUE"""),27.91)</f>
        <v>27.91</v>
      </c>
    </row>
    <row r="912" spans="1:2">
      <c r="A912" s="3">
        <f ca="1">IFERROR(__xludf.DUMMYFUNCTION("""COMPUTED_VALUE"""),39674.6666666666)</f>
        <v>39674.666666666599</v>
      </c>
      <c r="B912" s="1">
        <f ca="1">IFERROR(__xludf.DUMMYFUNCTION("""COMPUTED_VALUE"""),27.91)</f>
        <v>27.91</v>
      </c>
    </row>
    <row r="913" spans="1:2">
      <c r="A913" s="3">
        <f ca="1">IFERROR(__xludf.DUMMYFUNCTION("""COMPUTED_VALUE"""),39675.6666666666)</f>
        <v>39675.666666666599</v>
      </c>
      <c r="B913" s="1">
        <f ca="1">IFERROR(__xludf.DUMMYFUNCTION("""COMPUTED_VALUE"""),27.81)</f>
        <v>27.81</v>
      </c>
    </row>
    <row r="914" spans="1:2">
      <c r="A914" s="3">
        <f ca="1">IFERROR(__xludf.DUMMYFUNCTION("""COMPUTED_VALUE"""),39678.6666666666)</f>
        <v>39678.666666666599</v>
      </c>
      <c r="B914" s="1">
        <f ca="1">IFERROR(__xludf.DUMMYFUNCTION("""COMPUTED_VALUE"""),27.69)</f>
        <v>27.69</v>
      </c>
    </row>
    <row r="915" spans="1:2">
      <c r="A915" s="3">
        <f ca="1">IFERROR(__xludf.DUMMYFUNCTION("""COMPUTED_VALUE"""),39679.6666666666)</f>
        <v>39679.666666666599</v>
      </c>
      <c r="B915" s="1">
        <f ca="1">IFERROR(__xludf.DUMMYFUNCTION("""COMPUTED_VALUE"""),27.32)</f>
        <v>27.32</v>
      </c>
    </row>
    <row r="916" spans="1:2">
      <c r="A916" s="3">
        <f ca="1">IFERROR(__xludf.DUMMYFUNCTION("""COMPUTED_VALUE"""),39680.6666666666)</f>
        <v>39680.666666666599</v>
      </c>
      <c r="B916" s="1">
        <f ca="1">IFERROR(__xludf.DUMMYFUNCTION("""COMPUTED_VALUE"""),27.29)</f>
        <v>27.29</v>
      </c>
    </row>
    <row r="917" spans="1:2">
      <c r="A917" s="3">
        <f ca="1">IFERROR(__xludf.DUMMYFUNCTION("""COMPUTED_VALUE"""),39681.6666666666)</f>
        <v>39681.666666666599</v>
      </c>
      <c r="B917" s="1">
        <f ca="1">IFERROR(__xludf.DUMMYFUNCTION("""COMPUTED_VALUE"""),27.18)</f>
        <v>27.18</v>
      </c>
    </row>
    <row r="918" spans="1:2">
      <c r="A918" s="3">
        <f ca="1">IFERROR(__xludf.DUMMYFUNCTION("""COMPUTED_VALUE"""),39682.6666666666)</f>
        <v>39682.666666666599</v>
      </c>
      <c r="B918" s="1">
        <f ca="1">IFERROR(__xludf.DUMMYFUNCTION("""COMPUTED_VALUE"""),27.84)</f>
        <v>27.84</v>
      </c>
    </row>
    <row r="919" spans="1:2">
      <c r="A919" s="3">
        <f ca="1">IFERROR(__xludf.DUMMYFUNCTION("""COMPUTED_VALUE"""),39685.6666666666)</f>
        <v>39685.666666666599</v>
      </c>
      <c r="B919" s="1">
        <f ca="1">IFERROR(__xludf.DUMMYFUNCTION("""COMPUTED_VALUE"""),27.66)</f>
        <v>27.66</v>
      </c>
    </row>
    <row r="920" spans="1:2">
      <c r="A920" s="3">
        <f ca="1">IFERROR(__xludf.DUMMYFUNCTION("""COMPUTED_VALUE"""),39686.6666666666)</f>
        <v>39686.666666666599</v>
      </c>
      <c r="B920" s="1">
        <f ca="1">IFERROR(__xludf.DUMMYFUNCTION("""COMPUTED_VALUE"""),27.27)</f>
        <v>27.27</v>
      </c>
    </row>
    <row r="921" spans="1:2">
      <c r="A921" s="3">
        <f ca="1">IFERROR(__xludf.DUMMYFUNCTION("""COMPUTED_VALUE"""),39687.6666666666)</f>
        <v>39687.666666666599</v>
      </c>
      <c r="B921" s="1">
        <f ca="1">IFERROR(__xludf.DUMMYFUNCTION("""COMPUTED_VALUE"""),27.56)</f>
        <v>27.56</v>
      </c>
    </row>
    <row r="922" spans="1:2">
      <c r="A922" s="3">
        <f ca="1">IFERROR(__xludf.DUMMYFUNCTION("""COMPUTED_VALUE"""),39688.6666666666)</f>
        <v>39688.666666666599</v>
      </c>
      <c r="B922" s="1">
        <f ca="1">IFERROR(__xludf.DUMMYFUNCTION("""COMPUTED_VALUE"""),27.94)</f>
        <v>27.94</v>
      </c>
    </row>
    <row r="923" spans="1:2">
      <c r="A923" s="3">
        <f ca="1">IFERROR(__xludf.DUMMYFUNCTION("""COMPUTED_VALUE"""),39689.6666666666)</f>
        <v>39689.666666666599</v>
      </c>
      <c r="B923" s="1">
        <f ca="1">IFERROR(__xludf.DUMMYFUNCTION("""COMPUTED_VALUE"""),27.29)</f>
        <v>27.29</v>
      </c>
    </row>
    <row r="924" spans="1:2">
      <c r="A924" s="3">
        <f ca="1">IFERROR(__xludf.DUMMYFUNCTION("""COMPUTED_VALUE"""),39693.6666666666)</f>
        <v>39693.666666666599</v>
      </c>
      <c r="B924" s="1">
        <f ca="1">IFERROR(__xludf.DUMMYFUNCTION("""COMPUTED_VALUE"""),27.1)</f>
        <v>27.1</v>
      </c>
    </row>
    <row r="925" spans="1:2">
      <c r="A925" s="3">
        <f ca="1">IFERROR(__xludf.DUMMYFUNCTION("""COMPUTED_VALUE"""),39694.6666666666)</f>
        <v>39694.666666666599</v>
      </c>
      <c r="B925" s="1">
        <f ca="1">IFERROR(__xludf.DUMMYFUNCTION("""COMPUTED_VALUE"""),26.9)</f>
        <v>26.9</v>
      </c>
    </row>
    <row r="926" spans="1:2">
      <c r="A926" s="3">
        <f ca="1">IFERROR(__xludf.DUMMYFUNCTION("""COMPUTED_VALUE"""),39695.6666666666)</f>
        <v>39695.666666666599</v>
      </c>
      <c r="B926" s="1">
        <f ca="1">IFERROR(__xludf.DUMMYFUNCTION("""COMPUTED_VALUE"""),26.35)</f>
        <v>26.35</v>
      </c>
    </row>
    <row r="927" spans="1:2">
      <c r="A927" s="3">
        <f ca="1">IFERROR(__xludf.DUMMYFUNCTION("""COMPUTED_VALUE"""),39696.6666666666)</f>
        <v>39696.666666666599</v>
      </c>
      <c r="B927" s="1">
        <f ca="1">IFERROR(__xludf.DUMMYFUNCTION("""COMPUTED_VALUE"""),25.65)</f>
        <v>25.65</v>
      </c>
    </row>
    <row r="928" spans="1:2">
      <c r="A928" s="3">
        <f ca="1">IFERROR(__xludf.DUMMYFUNCTION("""COMPUTED_VALUE"""),39699.6666666666)</f>
        <v>39699.666666666599</v>
      </c>
      <c r="B928" s="1">
        <f ca="1">IFERROR(__xludf.DUMMYFUNCTION("""COMPUTED_VALUE"""),26.12)</f>
        <v>26.12</v>
      </c>
    </row>
    <row r="929" spans="1:2">
      <c r="A929" s="3">
        <f ca="1">IFERROR(__xludf.DUMMYFUNCTION("""COMPUTED_VALUE"""),39700.6666666666)</f>
        <v>39700.666666666599</v>
      </c>
      <c r="B929" s="1">
        <f ca="1">IFERROR(__xludf.DUMMYFUNCTION("""COMPUTED_VALUE"""),26.1)</f>
        <v>26.1</v>
      </c>
    </row>
    <row r="930" spans="1:2">
      <c r="A930" s="3">
        <f ca="1">IFERROR(__xludf.DUMMYFUNCTION("""COMPUTED_VALUE"""),39701.6666666666)</f>
        <v>39701.666666666599</v>
      </c>
      <c r="B930" s="1">
        <f ca="1">IFERROR(__xludf.DUMMYFUNCTION("""COMPUTED_VALUE"""),26.44)</f>
        <v>26.44</v>
      </c>
    </row>
    <row r="931" spans="1:2">
      <c r="A931" s="3">
        <f ca="1">IFERROR(__xludf.DUMMYFUNCTION("""COMPUTED_VALUE"""),39702.6666666666)</f>
        <v>39702.666666666599</v>
      </c>
      <c r="B931" s="1">
        <f ca="1">IFERROR(__xludf.DUMMYFUNCTION("""COMPUTED_VALUE"""),27.34)</f>
        <v>27.34</v>
      </c>
    </row>
    <row r="932" spans="1:2">
      <c r="A932" s="3">
        <f ca="1">IFERROR(__xludf.DUMMYFUNCTION("""COMPUTED_VALUE"""),39703.6666666666)</f>
        <v>39703.666666666599</v>
      </c>
      <c r="B932" s="1">
        <f ca="1">IFERROR(__xludf.DUMMYFUNCTION("""COMPUTED_VALUE"""),27.62)</f>
        <v>27.62</v>
      </c>
    </row>
    <row r="933" spans="1:2">
      <c r="A933" s="3">
        <f ca="1">IFERROR(__xludf.DUMMYFUNCTION("""COMPUTED_VALUE"""),39706.6666666666)</f>
        <v>39706.666666666599</v>
      </c>
      <c r="B933" s="1">
        <f ca="1">IFERROR(__xludf.DUMMYFUNCTION("""COMPUTED_VALUE"""),26.82)</f>
        <v>26.82</v>
      </c>
    </row>
    <row r="934" spans="1:2">
      <c r="A934" s="3">
        <f ca="1">IFERROR(__xludf.DUMMYFUNCTION("""COMPUTED_VALUE"""),39707.6666666666)</f>
        <v>39707.666666666599</v>
      </c>
      <c r="B934" s="1">
        <f ca="1">IFERROR(__xludf.DUMMYFUNCTION("""COMPUTED_VALUE"""),25.99)</f>
        <v>25.99</v>
      </c>
    </row>
    <row r="935" spans="1:2">
      <c r="A935" s="3">
        <f ca="1">IFERROR(__xludf.DUMMYFUNCTION("""COMPUTED_VALUE"""),39708.6666666666)</f>
        <v>39708.666666666599</v>
      </c>
      <c r="B935" s="1">
        <f ca="1">IFERROR(__xludf.DUMMYFUNCTION("""COMPUTED_VALUE"""),24.57)</f>
        <v>24.57</v>
      </c>
    </row>
    <row r="936" spans="1:2">
      <c r="A936" s="3">
        <f ca="1">IFERROR(__xludf.DUMMYFUNCTION("""COMPUTED_VALUE"""),39709.6666666666)</f>
        <v>39709.666666666599</v>
      </c>
      <c r="B936" s="1">
        <f ca="1">IFERROR(__xludf.DUMMYFUNCTION("""COMPUTED_VALUE"""),25.26)</f>
        <v>25.26</v>
      </c>
    </row>
    <row r="937" spans="1:2">
      <c r="A937" s="3">
        <f ca="1">IFERROR(__xludf.DUMMYFUNCTION("""COMPUTED_VALUE"""),39710.6666666666)</f>
        <v>39710.666666666599</v>
      </c>
      <c r="B937" s="1">
        <f ca="1">IFERROR(__xludf.DUMMYFUNCTION("""COMPUTED_VALUE"""),25.16)</f>
        <v>25.16</v>
      </c>
    </row>
    <row r="938" spans="1:2">
      <c r="A938" s="3">
        <f ca="1">IFERROR(__xludf.DUMMYFUNCTION("""COMPUTED_VALUE"""),39713.6666666666)</f>
        <v>39713.666666666599</v>
      </c>
      <c r="B938" s="1">
        <f ca="1">IFERROR(__xludf.DUMMYFUNCTION("""COMPUTED_VALUE"""),25.4)</f>
        <v>25.4</v>
      </c>
    </row>
    <row r="939" spans="1:2">
      <c r="A939" s="3">
        <f ca="1">IFERROR(__xludf.DUMMYFUNCTION("""COMPUTED_VALUE"""),39714.6666666666)</f>
        <v>39714.666666666599</v>
      </c>
      <c r="B939" s="1">
        <f ca="1">IFERROR(__xludf.DUMMYFUNCTION("""COMPUTED_VALUE"""),25.44)</f>
        <v>25.44</v>
      </c>
    </row>
    <row r="940" spans="1:2">
      <c r="A940" s="3">
        <f ca="1">IFERROR(__xludf.DUMMYFUNCTION("""COMPUTED_VALUE"""),39715.6666666666)</f>
        <v>39715.666666666599</v>
      </c>
      <c r="B940" s="1">
        <f ca="1">IFERROR(__xludf.DUMMYFUNCTION("""COMPUTED_VALUE"""),25.72)</f>
        <v>25.72</v>
      </c>
    </row>
    <row r="941" spans="1:2">
      <c r="A941" s="3">
        <f ca="1">IFERROR(__xludf.DUMMYFUNCTION("""COMPUTED_VALUE"""),39716.6666666666)</f>
        <v>39716.666666666599</v>
      </c>
      <c r="B941" s="1">
        <f ca="1">IFERROR(__xludf.DUMMYFUNCTION("""COMPUTED_VALUE"""),26.61)</f>
        <v>26.61</v>
      </c>
    </row>
    <row r="942" spans="1:2">
      <c r="A942" s="3">
        <f ca="1">IFERROR(__xludf.DUMMYFUNCTION("""COMPUTED_VALUE"""),39717.6666666666)</f>
        <v>39717.666666666599</v>
      </c>
      <c r="B942" s="1">
        <f ca="1">IFERROR(__xludf.DUMMYFUNCTION("""COMPUTED_VALUE"""),27.4)</f>
        <v>27.4</v>
      </c>
    </row>
    <row r="943" spans="1:2">
      <c r="A943" s="3">
        <f ca="1">IFERROR(__xludf.DUMMYFUNCTION("""COMPUTED_VALUE"""),39720.6666666666)</f>
        <v>39720.666666666599</v>
      </c>
      <c r="B943" s="1">
        <f ca="1">IFERROR(__xludf.DUMMYFUNCTION("""COMPUTED_VALUE"""),25.01)</f>
        <v>25.01</v>
      </c>
    </row>
    <row r="944" spans="1:2">
      <c r="A944" s="3">
        <f ca="1">IFERROR(__xludf.DUMMYFUNCTION("""COMPUTED_VALUE"""),39721.6666666666)</f>
        <v>39721.666666666599</v>
      </c>
      <c r="B944" s="1">
        <f ca="1">IFERROR(__xludf.DUMMYFUNCTION("""COMPUTED_VALUE"""),26.69)</f>
        <v>26.69</v>
      </c>
    </row>
    <row r="945" spans="1:2">
      <c r="A945" s="3">
        <f ca="1">IFERROR(__xludf.DUMMYFUNCTION("""COMPUTED_VALUE"""),39722.6666666666)</f>
        <v>39722.666666666599</v>
      </c>
      <c r="B945" s="1">
        <f ca="1">IFERROR(__xludf.DUMMYFUNCTION("""COMPUTED_VALUE"""),26.48)</f>
        <v>26.48</v>
      </c>
    </row>
    <row r="946" spans="1:2">
      <c r="A946" s="3">
        <f ca="1">IFERROR(__xludf.DUMMYFUNCTION("""COMPUTED_VALUE"""),39723.6666666666)</f>
        <v>39723.666666666599</v>
      </c>
      <c r="B946" s="1">
        <f ca="1">IFERROR(__xludf.DUMMYFUNCTION("""COMPUTED_VALUE"""),26.25)</f>
        <v>26.25</v>
      </c>
    </row>
    <row r="947" spans="1:2">
      <c r="A947" s="3">
        <f ca="1">IFERROR(__xludf.DUMMYFUNCTION("""COMPUTED_VALUE"""),39724.6666666666)</f>
        <v>39724.666666666599</v>
      </c>
      <c r="B947" s="1">
        <f ca="1">IFERROR(__xludf.DUMMYFUNCTION("""COMPUTED_VALUE"""),26.32)</f>
        <v>26.32</v>
      </c>
    </row>
    <row r="948" spans="1:2">
      <c r="A948" s="3">
        <f ca="1">IFERROR(__xludf.DUMMYFUNCTION("""COMPUTED_VALUE"""),39727.6666666666)</f>
        <v>39727.666666666599</v>
      </c>
      <c r="B948" s="1">
        <f ca="1">IFERROR(__xludf.DUMMYFUNCTION("""COMPUTED_VALUE"""),24.91)</f>
        <v>24.91</v>
      </c>
    </row>
    <row r="949" spans="1:2">
      <c r="A949" s="3">
        <f ca="1">IFERROR(__xludf.DUMMYFUNCTION("""COMPUTED_VALUE"""),39728.6666666666)</f>
        <v>39728.666666666599</v>
      </c>
      <c r="B949" s="1">
        <f ca="1">IFERROR(__xludf.DUMMYFUNCTION("""COMPUTED_VALUE"""),23.23)</f>
        <v>23.23</v>
      </c>
    </row>
    <row r="950" spans="1:2">
      <c r="A950" s="3">
        <f ca="1">IFERROR(__xludf.DUMMYFUNCTION("""COMPUTED_VALUE"""),39729.6666666666)</f>
        <v>39729.666666666599</v>
      </c>
      <c r="B950" s="1">
        <f ca="1">IFERROR(__xludf.DUMMYFUNCTION("""COMPUTED_VALUE"""),23.01)</f>
        <v>23.01</v>
      </c>
    </row>
    <row r="951" spans="1:2">
      <c r="A951" s="3">
        <f ca="1">IFERROR(__xludf.DUMMYFUNCTION("""COMPUTED_VALUE"""),39730.6666666666)</f>
        <v>39730.666666666599</v>
      </c>
      <c r="B951" s="1">
        <f ca="1">IFERROR(__xludf.DUMMYFUNCTION("""COMPUTED_VALUE"""),22.3)</f>
        <v>22.3</v>
      </c>
    </row>
    <row r="952" spans="1:2">
      <c r="A952" s="3">
        <f ca="1">IFERROR(__xludf.DUMMYFUNCTION("""COMPUTED_VALUE"""),39731.6666666666)</f>
        <v>39731.666666666599</v>
      </c>
      <c r="B952" s="1">
        <f ca="1">IFERROR(__xludf.DUMMYFUNCTION("""COMPUTED_VALUE"""),21.5)</f>
        <v>21.5</v>
      </c>
    </row>
    <row r="953" spans="1:2">
      <c r="A953" s="3">
        <f ca="1">IFERROR(__xludf.DUMMYFUNCTION("""COMPUTED_VALUE"""),39734.6666666666)</f>
        <v>39734.666666666599</v>
      </c>
      <c r="B953" s="1">
        <f ca="1">IFERROR(__xludf.DUMMYFUNCTION("""COMPUTED_VALUE"""),25.5)</f>
        <v>25.5</v>
      </c>
    </row>
    <row r="954" spans="1:2">
      <c r="A954" s="3">
        <f ca="1">IFERROR(__xludf.DUMMYFUNCTION("""COMPUTED_VALUE"""),39735.6666666666)</f>
        <v>39735.666666666599</v>
      </c>
      <c r="B954" s="1">
        <f ca="1">IFERROR(__xludf.DUMMYFUNCTION("""COMPUTED_VALUE"""),24.1)</f>
        <v>24.1</v>
      </c>
    </row>
    <row r="955" spans="1:2">
      <c r="A955" s="3">
        <f ca="1">IFERROR(__xludf.DUMMYFUNCTION("""COMPUTED_VALUE"""),39736.6666666666)</f>
        <v>39736.666666666599</v>
      </c>
      <c r="B955" s="1">
        <f ca="1">IFERROR(__xludf.DUMMYFUNCTION("""COMPUTED_VALUE"""),22.66)</f>
        <v>22.66</v>
      </c>
    </row>
    <row r="956" spans="1:2">
      <c r="A956" s="3">
        <f ca="1">IFERROR(__xludf.DUMMYFUNCTION("""COMPUTED_VALUE"""),39737.6666666666)</f>
        <v>39737.666666666599</v>
      </c>
      <c r="B956" s="1">
        <f ca="1">IFERROR(__xludf.DUMMYFUNCTION("""COMPUTED_VALUE"""),24.19)</f>
        <v>24.19</v>
      </c>
    </row>
    <row r="957" spans="1:2">
      <c r="A957" s="3">
        <f ca="1">IFERROR(__xludf.DUMMYFUNCTION("""COMPUTED_VALUE"""),39738.6666666666)</f>
        <v>39738.666666666599</v>
      </c>
      <c r="B957" s="1">
        <f ca="1">IFERROR(__xludf.DUMMYFUNCTION("""COMPUTED_VALUE"""),23.93)</f>
        <v>23.93</v>
      </c>
    </row>
    <row r="958" spans="1:2">
      <c r="A958" s="3">
        <f ca="1">IFERROR(__xludf.DUMMYFUNCTION("""COMPUTED_VALUE"""),39741.6666666666)</f>
        <v>39741.666666666599</v>
      </c>
      <c r="B958" s="1">
        <f ca="1">IFERROR(__xludf.DUMMYFUNCTION("""COMPUTED_VALUE"""),24.72)</f>
        <v>24.72</v>
      </c>
    </row>
    <row r="959" spans="1:2">
      <c r="A959" s="3">
        <f ca="1">IFERROR(__xludf.DUMMYFUNCTION("""COMPUTED_VALUE"""),39742.6666666666)</f>
        <v>39742.666666666599</v>
      </c>
      <c r="B959" s="1">
        <f ca="1">IFERROR(__xludf.DUMMYFUNCTION("""COMPUTED_VALUE"""),23.36)</f>
        <v>23.36</v>
      </c>
    </row>
    <row r="960" spans="1:2">
      <c r="A960" s="3">
        <f ca="1">IFERROR(__xludf.DUMMYFUNCTION("""COMPUTED_VALUE"""),39743.6666666666)</f>
        <v>39743.666666666599</v>
      </c>
      <c r="B960" s="1">
        <f ca="1">IFERROR(__xludf.DUMMYFUNCTION("""COMPUTED_VALUE"""),21.53)</f>
        <v>21.53</v>
      </c>
    </row>
    <row r="961" spans="1:2">
      <c r="A961" s="3">
        <f ca="1">IFERROR(__xludf.DUMMYFUNCTION("""COMPUTED_VALUE"""),39744.6666666666)</f>
        <v>39744.666666666599</v>
      </c>
      <c r="B961" s="1">
        <f ca="1">IFERROR(__xludf.DUMMYFUNCTION("""COMPUTED_VALUE"""),22.32)</f>
        <v>22.32</v>
      </c>
    </row>
    <row r="962" spans="1:2">
      <c r="A962" s="3">
        <f ca="1">IFERROR(__xludf.DUMMYFUNCTION("""COMPUTED_VALUE"""),39745.6666666666)</f>
        <v>39745.666666666599</v>
      </c>
      <c r="B962" s="1">
        <f ca="1">IFERROR(__xludf.DUMMYFUNCTION("""COMPUTED_VALUE"""),21.96)</f>
        <v>21.96</v>
      </c>
    </row>
    <row r="963" spans="1:2">
      <c r="A963" s="3">
        <f ca="1">IFERROR(__xludf.DUMMYFUNCTION("""COMPUTED_VALUE"""),39748.6666666666)</f>
        <v>39748.666666666599</v>
      </c>
      <c r="B963" s="1">
        <f ca="1">IFERROR(__xludf.DUMMYFUNCTION("""COMPUTED_VALUE"""),21.18)</f>
        <v>21.18</v>
      </c>
    </row>
    <row r="964" spans="1:2">
      <c r="A964" s="3">
        <f ca="1">IFERROR(__xludf.DUMMYFUNCTION("""COMPUTED_VALUE"""),39749.6666666666)</f>
        <v>39749.666666666599</v>
      </c>
      <c r="B964" s="1">
        <f ca="1">IFERROR(__xludf.DUMMYFUNCTION("""COMPUTED_VALUE"""),23.1)</f>
        <v>23.1</v>
      </c>
    </row>
    <row r="965" spans="1:2">
      <c r="A965" s="3">
        <f ca="1">IFERROR(__xludf.DUMMYFUNCTION("""COMPUTED_VALUE"""),39750.6666666666)</f>
        <v>39750.666666666599</v>
      </c>
      <c r="B965" s="1">
        <f ca="1">IFERROR(__xludf.DUMMYFUNCTION("""COMPUTED_VALUE"""),23)</f>
        <v>23</v>
      </c>
    </row>
    <row r="966" spans="1:2">
      <c r="A966" s="3">
        <f ca="1">IFERROR(__xludf.DUMMYFUNCTION("""COMPUTED_VALUE"""),39751.6666666666)</f>
        <v>39751.666666666599</v>
      </c>
      <c r="B966" s="1">
        <f ca="1">IFERROR(__xludf.DUMMYFUNCTION("""COMPUTED_VALUE"""),22.63)</f>
        <v>22.63</v>
      </c>
    </row>
    <row r="967" spans="1:2">
      <c r="A967" s="3">
        <f ca="1">IFERROR(__xludf.DUMMYFUNCTION("""COMPUTED_VALUE"""),39752.6666666666)</f>
        <v>39752.666666666599</v>
      </c>
      <c r="B967" s="1">
        <f ca="1">IFERROR(__xludf.DUMMYFUNCTION("""COMPUTED_VALUE"""),22.33)</f>
        <v>22.33</v>
      </c>
    </row>
    <row r="968" spans="1:2">
      <c r="A968" s="3">
        <f ca="1">IFERROR(__xludf.DUMMYFUNCTION("""COMPUTED_VALUE"""),39755.6666666666)</f>
        <v>39755.666666666599</v>
      </c>
      <c r="B968" s="1">
        <f ca="1">IFERROR(__xludf.DUMMYFUNCTION("""COMPUTED_VALUE"""),22.62)</f>
        <v>22.62</v>
      </c>
    </row>
    <row r="969" spans="1:2">
      <c r="A969" s="3">
        <f ca="1">IFERROR(__xludf.DUMMYFUNCTION("""COMPUTED_VALUE"""),39756.6666666666)</f>
        <v>39756.666666666599</v>
      </c>
      <c r="B969" s="1">
        <f ca="1">IFERROR(__xludf.DUMMYFUNCTION("""COMPUTED_VALUE"""),23.53)</f>
        <v>23.53</v>
      </c>
    </row>
    <row r="970" spans="1:2">
      <c r="A970" s="3">
        <f ca="1">IFERROR(__xludf.DUMMYFUNCTION("""COMPUTED_VALUE"""),39757.6666666666)</f>
        <v>39757.666666666599</v>
      </c>
      <c r="B970" s="1">
        <f ca="1">IFERROR(__xludf.DUMMYFUNCTION("""COMPUTED_VALUE"""),22.08)</f>
        <v>22.08</v>
      </c>
    </row>
    <row r="971" spans="1:2">
      <c r="A971" s="3">
        <f ca="1">IFERROR(__xludf.DUMMYFUNCTION("""COMPUTED_VALUE"""),39758.6666666666)</f>
        <v>39758.666666666599</v>
      </c>
      <c r="B971" s="1">
        <f ca="1">IFERROR(__xludf.DUMMYFUNCTION("""COMPUTED_VALUE"""),20.88)</f>
        <v>20.88</v>
      </c>
    </row>
    <row r="972" spans="1:2">
      <c r="A972" s="3">
        <f ca="1">IFERROR(__xludf.DUMMYFUNCTION("""COMPUTED_VALUE"""),39759.6666666666)</f>
        <v>39759.666666666599</v>
      </c>
      <c r="B972" s="1">
        <f ca="1">IFERROR(__xludf.DUMMYFUNCTION("""COMPUTED_VALUE"""),21.5)</f>
        <v>21.5</v>
      </c>
    </row>
    <row r="973" spans="1:2">
      <c r="A973" s="3">
        <f ca="1">IFERROR(__xludf.DUMMYFUNCTION("""COMPUTED_VALUE"""),39762.6666666666)</f>
        <v>39762.666666666599</v>
      </c>
      <c r="B973" s="1">
        <f ca="1">IFERROR(__xludf.DUMMYFUNCTION("""COMPUTED_VALUE"""),21.3)</f>
        <v>21.3</v>
      </c>
    </row>
    <row r="974" spans="1:2">
      <c r="A974" s="3">
        <f ca="1">IFERROR(__xludf.DUMMYFUNCTION("""COMPUTED_VALUE"""),39763.6666666666)</f>
        <v>39763.666666666599</v>
      </c>
      <c r="B974" s="1">
        <f ca="1">IFERROR(__xludf.DUMMYFUNCTION("""COMPUTED_VALUE"""),21.2)</f>
        <v>21.2</v>
      </c>
    </row>
    <row r="975" spans="1:2">
      <c r="A975" s="3">
        <f ca="1">IFERROR(__xludf.DUMMYFUNCTION("""COMPUTED_VALUE"""),39764.6666666666)</f>
        <v>39764.666666666599</v>
      </c>
      <c r="B975" s="1">
        <f ca="1">IFERROR(__xludf.DUMMYFUNCTION("""COMPUTED_VALUE"""),20.3)</f>
        <v>20.3</v>
      </c>
    </row>
    <row r="976" spans="1:2">
      <c r="A976" s="3">
        <f ca="1">IFERROR(__xludf.DUMMYFUNCTION("""COMPUTED_VALUE"""),39765.6666666666)</f>
        <v>39765.666666666599</v>
      </c>
      <c r="B976" s="1">
        <f ca="1">IFERROR(__xludf.DUMMYFUNCTION("""COMPUTED_VALUE"""),21.25)</f>
        <v>21.25</v>
      </c>
    </row>
    <row r="977" spans="1:2">
      <c r="A977" s="3">
        <f ca="1">IFERROR(__xludf.DUMMYFUNCTION("""COMPUTED_VALUE"""),39766.6666666666)</f>
        <v>39766.666666666599</v>
      </c>
      <c r="B977" s="1">
        <f ca="1">IFERROR(__xludf.DUMMYFUNCTION("""COMPUTED_VALUE"""),20.06)</f>
        <v>20.059999999999999</v>
      </c>
    </row>
    <row r="978" spans="1:2">
      <c r="A978" s="3">
        <f ca="1">IFERROR(__xludf.DUMMYFUNCTION("""COMPUTED_VALUE"""),39769.6666666666)</f>
        <v>39769.666666666599</v>
      </c>
      <c r="B978" s="1">
        <f ca="1">IFERROR(__xludf.DUMMYFUNCTION("""COMPUTED_VALUE"""),19.32)</f>
        <v>19.32</v>
      </c>
    </row>
    <row r="979" spans="1:2">
      <c r="A979" s="3">
        <f ca="1">IFERROR(__xludf.DUMMYFUNCTION("""COMPUTED_VALUE"""),39770.6666666666)</f>
        <v>39770.666666666599</v>
      </c>
      <c r="B979" s="1">
        <f ca="1">IFERROR(__xludf.DUMMYFUNCTION("""COMPUTED_VALUE"""),19.62)</f>
        <v>19.62</v>
      </c>
    </row>
    <row r="980" spans="1:2">
      <c r="A980" s="3">
        <f ca="1">IFERROR(__xludf.DUMMYFUNCTION("""COMPUTED_VALUE"""),39771.6666666666)</f>
        <v>39771.666666666599</v>
      </c>
      <c r="B980" s="1">
        <f ca="1">IFERROR(__xludf.DUMMYFUNCTION("""COMPUTED_VALUE"""),18.29)</f>
        <v>18.29</v>
      </c>
    </row>
    <row r="981" spans="1:2">
      <c r="A981" s="3">
        <f ca="1">IFERROR(__xludf.DUMMYFUNCTION("""COMPUTED_VALUE"""),39772.6666666666)</f>
        <v>39772.666666666599</v>
      </c>
      <c r="B981" s="1">
        <f ca="1">IFERROR(__xludf.DUMMYFUNCTION("""COMPUTED_VALUE"""),17.53)</f>
        <v>17.53</v>
      </c>
    </row>
    <row r="982" spans="1:2">
      <c r="A982" s="3">
        <f ca="1">IFERROR(__xludf.DUMMYFUNCTION("""COMPUTED_VALUE"""),39773.6666666666)</f>
        <v>39773.666666666599</v>
      </c>
      <c r="B982" s="1">
        <f ca="1">IFERROR(__xludf.DUMMYFUNCTION("""COMPUTED_VALUE"""),19.68)</f>
        <v>19.68</v>
      </c>
    </row>
    <row r="983" spans="1:2">
      <c r="A983" s="3">
        <f ca="1">IFERROR(__xludf.DUMMYFUNCTION("""COMPUTED_VALUE"""),39776.6666666666)</f>
        <v>39776.666666666599</v>
      </c>
      <c r="B983" s="1">
        <f ca="1">IFERROR(__xludf.DUMMYFUNCTION("""COMPUTED_VALUE"""),20.69)</f>
        <v>20.69</v>
      </c>
    </row>
    <row r="984" spans="1:2">
      <c r="A984" s="3">
        <f ca="1">IFERROR(__xludf.DUMMYFUNCTION("""COMPUTED_VALUE"""),39777.6666666666)</f>
        <v>39777.666666666599</v>
      </c>
      <c r="B984" s="1">
        <f ca="1">IFERROR(__xludf.DUMMYFUNCTION("""COMPUTED_VALUE"""),19.99)</f>
        <v>19.989999999999998</v>
      </c>
    </row>
    <row r="985" spans="1:2">
      <c r="A985" s="3">
        <f ca="1">IFERROR(__xludf.DUMMYFUNCTION("""COMPUTED_VALUE"""),39778.6666666666)</f>
        <v>39778.666666666599</v>
      </c>
      <c r="B985" s="1">
        <f ca="1">IFERROR(__xludf.DUMMYFUNCTION("""COMPUTED_VALUE"""),20.49)</f>
        <v>20.49</v>
      </c>
    </row>
    <row r="986" spans="1:2">
      <c r="A986" s="3">
        <f ca="1">IFERROR(__xludf.DUMMYFUNCTION("""COMPUTED_VALUE"""),39780.6666666666)</f>
        <v>39780.666666666599</v>
      </c>
      <c r="B986" s="1">
        <f ca="1">IFERROR(__xludf.DUMMYFUNCTION("""COMPUTED_VALUE"""),20.22)</f>
        <v>20.22</v>
      </c>
    </row>
    <row r="987" spans="1:2">
      <c r="A987" s="3">
        <f ca="1">IFERROR(__xludf.DUMMYFUNCTION("""COMPUTED_VALUE"""),39783.6666666666)</f>
        <v>39783.666666666599</v>
      </c>
      <c r="B987" s="1">
        <f ca="1">IFERROR(__xludf.DUMMYFUNCTION("""COMPUTED_VALUE"""),18.61)</f>
        <v>18.61</v>
      </c>
    </row>
    <row r="988" spans="1:2">
      <c r="A988" s="3">
        <f ca="1">IFERROR(__xludf.DUMMYFUNCTION("""COMPUTED_VALUE"""),39784.6666666666)</f>
        <v>39784.666666666599</v>
      </c>
      <c r="B988" s="1">
        <f ca="1">IFERROR(__xludf.DUMMYFUNCTION("""COMPUTED_VALUE"""),19.15)</f>
        <v>19.149999999999999</v>
      </c>
    </row>
    <row r="989" spans="1:2">
      <c r="A989" s="3">
        <f ca="1">IFERROR(__xludf.DUMMYFUNCTION("""COMPUTED_VALUE"""),39785.6666666666)</f>
        <v>39785.666666666599</v>
      </c>
      <c r="B989" s="1">
        <f ca="1">IFERROR(__xludf.DUMMYFUNCTION("""COMPUTED_VALUE"""),19.87)</f>
        <v>19.87</v>
      </c>
    </row>
    <row r="990" spans="1:2">
      <c r="A990" s="3">
        <f ca="1">IFERROR(__xludf.DUMMYFUNCTION("""COMPUTED_VALUE"""),39786.6666666666)</f>
        <v>39786.666666666599</v>
      </c>
      <c r="B990" s="1">
        <f ca="1">IFERROR(__xludf.DUMMYFUNCTION("""COMPUTED_VALUE"""),19.11)</f>
        <v>19.11</v>
      </c>
    </row>
    <row r="991" spans="1:2">
      <c r="A991" s="3">
        <f ca="1">IFERROR(__xludf.DUMMYFUNCTION("""COMPUTED_VALUE"""),39787.6666666666)</f>
        <v>39787.666666666599</v>
      </c>
      <c r="B991" s="1">
        <f ca="1">IFERROR(__xludf.DUMMYFUNCTION("""COMPUTED_VALUE"""),19.87)</f>
        <v>19.87</v>
      </c>
    </row>
    <row r="992" spans="1:2">
      <c r="A992" s="3">
        <f ca="1">IFERROR(__xludf.DUMMYFUNCTION("""COMPUTED_VALUE"""),39790.6666666666)</f>
        <v>39790.666666666599</v>
      </c>
      <c r="B992" s="1">
        <f ca="1">IFERROR(__xludf.DUMMYFUNCTION("""COMPUTED_VALUE"""),21.01)</f>
        <v>21.01</v>
      </c>
    </row>
    <row r="993" spans="1:2">
      <c r="A993" s="3">
        <f ca="1">IFERROR(__xludf.DUMMYFUNCTION("""COMPUTED_VALUE"""),39791.6666666666)</f>
        <v>39791.666666666599</v>
      </c>
      <c r="B993" s="1">
        <f ca="1">IFERROR(__xludf.DUMMYFUNCTION("""COMPUTED_VALUE"""),20.6)</f>
        <v>20.6</v>
      </c>
    </row>
    <row r="994" spans="1:2">
      <c r="A994" s="3">
        <f ca="1">IFERROR(__xludf.DUMMYFUNCTION("""COMPUTED_VALUE"""),39792.6666666666)</f>
        <v>39792.666666666599</v>
      </c>
      <c r="B994" s="1">
        <f ca="1">IFERROR(__xludf.DUMMYFUNCTION("""COMPUTED_VALUE"""),20.61)</f>
        <v>20.61</v>
      </c>
    </row>
    <row r="995" spans="1:2">
      <c r="A995" s="3">
        <f ca="1">IFERROR(__xludf.DUMMYFUNCTION("""COMPUTED_VALUE"""),39793.6666666666)</f>
        <v>39793.666666666599</v>
      </c>
      <c r="B995" s="1">
        <f ca="1">IFERROR(__xludf.DUMMYFUNCTION("""COMPUTED_VALUE"""),19.45)</f>
        <v>19.45</v>
      </c>
    </row>
    <row r="996" spans="1:2">
      <c r="A996" s="3">
        <f ca="1">IFERROR(__xludf.DUMMYFUNCTION("""COMPUTED_VALUE"""),39794.6666666666)</f>
        <v>39794.666666666599</v>
      </c>
      <c r="B996" s="1">
        <f ca="1">IFERROR(__xludf.DUMMYFUNCTION("""COMPUTED_VALUE"""),19.36)</f>
        <v>19.36</v>
      </c>
    </row>
    <row r="997" spans="1:2">
      <c r="A997" s="3">
        <f ca="1">IFERROR(__xludf.DUMMYFUNCTION("""COMPUTED_VALUE"""),39797.6666666666)</f>
        <v>39797.666666666599</v>
      </c>
      <c r="B997" s="1">
        <f ca="1">IFERROR(__xludf.DUMMYFUNCTION("""COMPUTED_VALUE"""),19.04)</f>
        <v>19.04</v>
      </c>
    </row>
    <row r="998" spans="1:2">
      <c r="A998" s="3">
        <f ca="1">IFERROR(__xludf.DUMMYFUNCTION("""COMPUTED_VALUE"""),39798.6666666666)</f>
        <v>39798.666666666599</v>
      </c>
      <c r="B998" s="1">
        <f ca="1">IFERROR(__xludf.DUMMYFUNCTION("""COMPUTED_VALUE"""),20.11)</f>
        <v>20.11</v>
      </c>
    </row>
    <row r="999" spans="1:2">
      <c r="A999" s="3">
        <f ca="1">IFERROR(__xludf.DUMMYFUNCTION("""COMPUTED_VALUE"""),39799.6666666666)</f>
        <v>39799.666666666599</v>
      </c>
      <c r="B999" s="1">
        <f ca="1">IFERROR(__xludf.DUMMYFUNCTION("""COMPUTED_VALUE"""),19.66)</f>
        <v>19.66</v>
      </c>
    </row>
    <row r="1000" spans="1:2">
      <c r="A1000" s="3">
        <f ca="1">IFERROR(__xludf.DUMMYFUNCTION("""COMPUTED_VALUE"""),39800.6666666666)</f>
        <v>39800.666666666599</v>
      </c>
      <c r="B1000" s="1">
        <f ca="1">IFERROR(__xludf.DUMMYFUNCTION("""COMPUTED_VALUE"""),19.3)</f>
        <v>19.3</v>
      </c>
    </row>
    <row r="1001" spans="1:2">
      <c r="A1001" s="3">
        <f ca="1">IFERROR(__xludf.DUMMYFUNCTION("""COMPUTED_VALUE"""),39801.6666666666)</f>
        <v>39801.666666666599</v>
      </c>
      <c r="B1001" s="1">
        <f ca="1">IFERROR(__xludf.DUMMYFUNCTION("""COMPUTED_VALUE"""),19.12)</f>
        <v>19.12</v>
      </c>
    </row>
    <row r="1002" spans="1:2">
      <c r="A1002" s="3">
        <f ca="1">IFERROR(__xludf.DUMMYFUNCTION("""COMPUTED_VALUE"""),39804.6666666666)</f>
        <v>39804.666666666599</v>
      </c>
      <c r="B1002" s="1">
        <f ca="1">IFERROR(__xludf.DUMMYFUNCTION("""COMPUTED_VALUE"""),19.18)</f>
        <v>19.18</v>
      </c>
    </row>
    <row r="1003" spans="1:2">
      <c r="A1003" s="3">
        <f ca="1">IFERROR(__xludf.DUMMYFUNCTION("""COMPUTED_VALUE"""),39805.6666666666)</f>
        <v>39805.666666666599</v>
      </c>
      <c r="B1003" s="1">
        <f ca="1">IFERROR(__xludf.DUMMYFUNCTION("""COMPUTED_VALUE"""),19.28)</f>
        <v>19.28</v>
      </c>
    </row>
    <row r="1004" spans="1:2">
      <c r="A1004" s="3">
        <f ca="1">IFERROR(__xludf.DUMMYFUNCTION("""COMPUTED_VALUE"""),39806.6666666666)</f>
        <v>39806.666666666599</v>
      </c>
      <c r="B1004" s="1">
        <f ca="1">IFERROR(__xludf.DUMMYFUNCTION("""COMPUTED_VALUE"""),19.17)</f>
        <v>19.170000000000002</v>
      </c>
    </row>
    <row r="1005" spans="1:2">
      <c r="A1005" s="3">
        <f ca="1">IFERROR(__xludf.DUMMYFUNCTION("""COMPUTED_VALUE"""),39808.6666666666)</f>
        <v>39808.666666666599</v>
      </c>
      <c r="B1005" s="1">
        <f ca="1">IFERROR(__xludf.DUMMYFUNCTION("""COMPUTED_VALUE"""),19.13)</f>
        <v>19.13</v>
      </c>
    </row>
    <row r="1006" spans="1:2">
      <c r="A1006" s="3">
        <f ca="1">IFERROR(__xludf.DUMMYFUNCTION("""COMPUTED_VALUE"""),39811.6666666666)</f>
        <v>39811.666666666599</v>
      </c>
      <c r="B1006" s="1">
        <f ca="1">IFERROR(__xludf.DUMMYFUNCTION("""COMPUTED_VALUE"""),18.96)</f>
        <v>18.96</v>
      </c>
    </row>
    <row r="1007" spans="1:2">
      <c r="A1007" s="3">
        <f ca="1">IFERROR(__xludf.DUMMYFUNCTION("""COMPUTED_VALUE"""),39812.6666666666)</f>
        <v>39812.666666666599</v>
      </c>
      <c r="B1007" s="1">
        <f ca="1">IFERROR(__xludf.DUMMYFUNCTION("""COMPUTED_VALUE"""),19.34)</f>
        <v>19.34</v>
      </c>
    </row>
    <row r="1008" spans="1:2">
      <c r="A1008" s="3">
        <f ca="1">IFERROR(__xludf.DUMMYFUNCTION("""COMPUTED_VALUE"""),39813.6666666666)</f>
        <v>39813.666666666599</v>
      </c>
      <c r="B1008" s="1">
        <f ca="1">IFERROR(__xludf.DUMMYFUNCTION("""COMPUTED_VALUE"""),19.44)</f>
        <v>19.440000000000001</v>
      </c>
    </row>
    <row r="1009" spans="1:2">
      <c r="A1009" s="3">
        <f ca="1">IFERROR(__xludf.DUMMYFUNCTION("""COMPUTED_VALUE"""),39815.6666666666)</f>
        <v>39815.666666666599</v>
      </c>
      <c r="B1009" s="1">
        <f ca="1">IFERROR(__xludf.DUMMYFUNCTION("""COMPUTED_VALUE"""),20.33)</f>
        <v>20.329999999999998</v>
      </c>
    </row>
    <row r="1010" spans="1:2">
      <c r="A1010" s="3">
        <f ca="1">IFERROR(__xludf.DUMMYFUNCTION("""COMPUTED_VALUE"""),39818.6666666666)</f>
        <v>39818.666666666599</v>
      </c>
      <c r="B1010" s="1">
        <f ca="1">IFERROR(__xludf.DUMMYFUNCTION("""COMPUTED_VALUE"""),20.52)</f>
        <v>20.52</v>
      </c>
    </row>
    <row r="1011" spans="1:2">
      <c r="A1011" s="3">
        <f ca="1">IFERROR(__xludf.DUMMYFUNCTION("""COMPUTED_VALUE"""),39819.6666666666)</f>
        <v>39819.666666666599</v>
      </c>
      <c r="B1011" s="1">
        <f ca="1">IFERROR(__xludf.DUMMYFUNCTION("""COMPUTED_VALUE"""),20.76)</f>
        <v>20.76</v>
      </c>
    </row>
    <row r="1012" spans="1:2">
      <c r="A1012" s="3">
        <f ca="1">IFERROR(__xludf.DUMMYFUNCTION("""COMPUTED_VALUE"""),39820.6666666666)</f>
        <v>39820.666666666599</v>
      </c>
      <c r="B1012" s="1">
        <f ca="1">IFERROR(__xludf.DUMMYFUNCTION("""COMPUTED_VALUE"""),19.51)</f>
        <v>19.510000000000002</v>
      </c>
    </row>
    <row r="1013" spans="1:2">
      <c r="A1013" s="3">
        <f ca="1">IFERROR(__xludf.DUMMYFUNCTION("""COMPUTED_VALUE"""),39821.6666666666)</f>
        <v>39821.666666666599</v>
      </c>
      <c r="B1013" s="1">
        <f ca="1">IFERROR(__xludf.DUMMYFUNCTION("""COMPUTED_VALUE"""),20.12)</f>
        <v>20.12</v>
      </c>
    </row>
    <row r="1014" spans="1:2">
      <c r="A1014" s="3">
        <f ca="1">IFERROR(__xludf.DUMMYFUNCTION("""COMPUTED_VALUE"""),39822.6666666666)</f>
        <v>39822.666666666599</v>
      </c>
      <c r="B1014" s="1">
        <f ca="1">IFERROR(__xludf.DUMMYFUNCTION("""COMPUTED_VALUE"""),19.52)</f>
        <v>19.52</v>
      </c>
    </row>
    <row r="1015" spans="1:2">
      <c r="A1015" s="3">
        <f ca="1">IFERROR(__xludf.DUMMYFUNCTION("""COMPUTED_VALUE"""),39825.6666666666)</f>
        <v>39825.666666666599</v>
      </c>
      <c r="B1015" s="1">
        <f ca="1">IFERROR(__xludf.DUMMYFUNCTION("""COMPUTED_VALUE"""),19.47)</f>
        <v>19.47</v>
      </c>
    </row>
    <row r="1016" spans="1:2">
      <c r="A1016" s="3">
        <f ca="1">IFERROR(__xludf.DUMMYFUNCTION("""COMPUTED_VALUE"""),39826.6666666666)</f>
        <v>39826.666666666599</v>
      </c>
      <c r="B1016" s="1">
        <f ca="1">IFERROR(__xludf.DUMMYFUNCTION("""COMPUTED_VALUE"""),19.82)</f>
        <v>19.82</v>
      </c>
    </row>
    <row r="1017" spans="1:2">
      <c r="A1017" s="3">
        <f ca="1">IFERROR(__xludf.DUMMYFUNCTION("""COMPUTED_VALUE"""),39827.6666666666)</f>
        <v>39827.666666666599</v>
      </c>
      <c r="B1017" s="1">
        <f ca="1">IFERROR(__xludf.DUMMYFUNCTION("""COMPUTED_VALUE"""),19.09)</f>
        <v>19.09</v>
      </c>
    </row>
    <row r="1018" spans="1:2">
      <c r="A1018" s="3">
        <f ca="1">IFERROR(__xludf.DUMMYFUNCTION("""COMPUTED_VALUE"""),39828.6666666666)</f>
        <v>39828.666666666599</v>
      </c>
      <c r="B1018" s="1">
        <f ca="1">IFERROR(__xludf.DUMMYFUNCTION("""COMPUTED_VALUE"""),19.24)</f>
        <v>19.239999999999998</v>
      </c>
    </row>
    <row r="1019" spans="1:2">
      <c r="A1019" s="3">
        <f ca="1">IFERROR(__xludf.DUMMYFUNCTION("""COMPUTED_VALUE"""),39829.6666666666)</f>
        <v>39829.666666666599</v>
      </c>
      <c r="B1019" s="1">
        <f ca="1">IFERROR(__xludf.DUMMYFUNCTION("""COMPUTED_VALUE"""),19.71)</f>
        <v>19.71</v>
      </c>
    </row>
    <row r="1020" spans="1:2">
      <c r="A1020" s="3">
        <f ca="1">IFERROR(__xludf.DUMMYFUNCTION("""COMPUTED_VALUE"""),39833.6666666666)</f>
        <v>39833.666666666599</v>
      </c>
      <c r="B1020" s="1">
        <f ca="1">IFERROR(__xludf.DUMMYFUNCTION("""COMPUTED_VALUE"""),18.48)</f>
        <v>18.48</v>
      </c>
    </row>
    <row r="1021" spans="1:2">
      <c r="A1021" s="3">
        <f ca="1">IFERROR(__xludf.DUMMYFUNCTION("""COMPUTED_VALUE"""),39834.6666666666)</f>
        <v>39834.666666666599</v>
      </c>
      <c r="B1021" s="1">
        <f ca="1">IFERROR(__xludf.DUMMYFUNCTION("""COMPUTED_VALUE"""),19.38)</f>
        <v>19.38</v>
      </c>
    </row>
    <row r="1022" spans="1:2">
      <c r="A1022" s="3">
        <f ca="1">IFERROR(__xludf.DUMMYFUNCTION("""COMPUTED_VALUE"""),39835.6666666666)</f>
        <v>39835.666666666599</v>
      </c>
      <c r="B1022" s="1">
        <f ca="1">IFERROR(__xludf.DUMMYFUNCTION("""COMPUTED_VALUE"""),17.11)</f>
        <v>17.11</v>
      </c>
    </row>
    <row r="1023" spans="1:2">
      <c r="A1023" s="3">
        <f ca="1">IFERROR(__xludf.DUMMYFUNCTION("""COMPUTED_VALUE"""),39836.6666666666)</f>
        <v>39836.666666666599</v>
      </c>
      <c r="B1023" s="1">
        <f ca="1">IFERROR(__xludf.DUMMYFUNCTION("""COMPUTED_VALUE"""),17.2)</f>
        <v>17.2</v>
      </c>
    </row>
    <row r="1024" spans="1:2">
      <c r="A1024" s="3">
        <f ca="1">IFERROR(__xludf.DUMMYFUNCTION("""COMPUTED_VALUE"""),39839.6666666666)</f>
        <v>39839.666666666599</v>
      </c>
      <c r="B1024" s="1">
        <f ca="1">IFERROR(__xludf.DUMMYFUNCTION("""COMPUTED_VALUE"""),17.63)</f>
        <v>17.63</v>
      </c>
    </row>
    <row r="1025" spans="1:2">
      <c r="A1025" s="3">
        <f ca="1">IFERROR(__xludf.DUMMYFUNCTION("""COMPUTED_VALUE"""),39840.6666666666)</f>
        <v>39840.666666666599</v>
      </c>
      <c r="B1025" s="1">
        <f ca="1">IFERROR(__xludf.DUMMYFUNCTION("""COMPUTED_VALUE"""),17.66)</f>
        <v>17.66</v>
      </c>
    </row>
    <row r="1026" spans="1:2">
      <c r="A1026" s="3">
        <f ca="1">IFERROR(__xludf.DUMMYFUNCTION("""COMPUTED_VALUE"""),39841.6666666666)</f>
        <v>39841.666666666599</v>
      </c>
      <c r="B1026" s="1">
        <f ca="1">IFERROR(__xludf.DUMMYFUNCTION("""COMPUTED_VALUE"""),18.04)</f>
        <v>18.04</v>
      </c>
    </row>
    <row r="1027" spans="1:2">
      <c r="A1027" s="3">
        <f ca="1">IFERROR(__xludf.DUMMYFUNCTION("""COMPUTED_VALUE"""),39842.6666666666)</f>
        <v>39842.666666666599</v>
      </c>
      <c r="B1027" s="1">
        <f ca="1">IFERROR(__xludf.DUMMYFUNCTION("""COMPUTED_VALUE"""),17.59)</f>
        <v>17.59</v>
      </c>
    </row>
    <row r="1028" spans="1:2">
      <c r="A1028" s="3">
        <f ca="1">IFERROR(__xludf.DUMMYFUNCTION("""COMPUTED_VALUE"""),39843.6666666666)</f>
        <v>39843.666666666599</v>
      </c>
      <c r="B1028" s="1">
        <f ca="1">IFERROR(__xludf.DUMMYFUNCTION("""COMPUTED_VALUE"""),17.1)</f>
        <v>17.100000000000001</v>
      </c>
    </row>
    <row r="1029" spans="1:2">
      <c r="A1029" s="3">
        <f ca="1">IFERROR(__xludf.DUMMYFUNCTION("""COMPUTED_VALUE"""),39846.6666666666)</f>
        <v>39846.666666666599</v>
      </c>
      <c r="B1029" s="1">
        <f ca="1">IFERROR(__xludf.DUMMYFUNCTION("""COMPUTED_VALUE"""),17.83)</f>
        <v>17.829999999999998</v>
      </c>
    </row>
    <row r="1030" spans="1:2">
      <c r="A1030" s="3">
        <f ca="1">IFERROR(__xludf.DUMMYFUNCTION("""COMPUTED_VALUE"""),39847.6666666666)</f>
        <v>39847.666666666599</v>
      </c>
      <c r="B1030" s="1">
        <f ca="1">IFERROR(__xludf.DUMMYFUNCTION("""COMPUTED_VALUE"""),18.5)</f>
        <v>18.5</v>
      </c>
    </row>
    <row r="1031" spans="1:2">
      <c r="A1031" s="3">
        <f ca="1">IFERROR(__xludf.DUMMYFUNCTION("""COMPUTED_VALUE"""),39848.6666666666)</f>
        <v>39848.666666666599</v>
      </c>
      <c r="B1031" s="1">
        <f ca="1">IFERROR(__xludf.DUMMYFUNCTION("""COMPUTED_VALUE"""),18.63)</f>
        <v>18.63</v>
      </c>
    </row>
    <row r="1032" spans="1:2">
      <c r="A1032" s="3">
        <f ca="1">IFERROR(__xludf.DUMMYFUNCTION("""COMPUTED_VALUE"""),39849.6666666666)</f>
        <v>39849.666666666599</v>
      </c>
      <c r="B1032" s="1">
        <f ca="1">IFERROR(__xludf.DUMMYFUNCTION("""COMPUTED_VALUE"""),19.04)</f>
        <v>19.04</v>
      </c>
    </row>
    <row r="1033" spans="1:2">
      <c r="A1033" s="3">
        <f ca="1">IFERROR(__xludf.DUMMYFUNCTION("""COMPUTED_VALUE"""),39850.6666666666)</f>
        <v>39850.666666666599</v>
      </c>
      <c r="B1033" s="1">
        <f ca="1">IFERROR(__xludf.DUMMYFUNCTION("""COMPUTED_VALUE"""),19.66)</f>
        <v>19.66</v>
      </c>
    </row>
    <row r="1034" spans="1:2">
      <c r="A1034" s="3">
        <f ca="1">IFERROR(__xludf.DUMMYFUNCTION("""COMPUTED_VALUE"""),39853.6666666666)</f>
        <v>39853.666666666599</v>
      </c>
      <c r="B1034" s="1">
        <f ca="1">IFERROR(__xludf.DUMMYFUNCTION("""COMPUTED_VALUE"""),19.44)</f>
        <v>19.440000000000001</v>
      </c>
    </row>
    <row r="1035" spans="1:2">
      <c r="A1035" s="3">
        <f ca="1">IFERROR(__xludf.DUMMYFUNCTION("""COMPUTED_VALUE"""),39854.6666666666)</f>
        <v>39854.666666666599</v>
      </c>
      <c r="B1035" s="1">
        <f ca="1">IFERROR(__xludf.DUMMYFUNCTION("""COMPUTED_VALUE"""),18.8)</f>
        <v>18.8</v>
      </c>
    </row>
    <row r="1036" spans="1:2">
      <c r="A1036" s="3">
        <f ca="1">IFERROR(__xludf.DUMMYFUNCTION("""COMPUTED_VALUE"""),39855.6666666666)</f>
        <v>39855.666666666599</v>
      </c>
      <c r="B1036" s="1">
        <f ca="1">IFERROR(__xludf.DUMMYFUNCTION("""COMPUTED_VALUE"""),19.21)</f>
        <v>19.21</v>
      </c>
    </row>
    <row r="1037" spans="1:2">
      <c r="A1037" s="3">
        <f ca="1">IFERROR(__xludf.DUMMYFUNCTION("""COMPUTED_VALUE"""),39856.6666666666)</f>
        <v>39856.666666666599</v>
      </c>
      <c r="B1037" s="1">
        <f ca="1">IFERROR(__xludf.DUMMYFUNCTION("""COMPUTED_VALUE"""),19.26)</f>
        <v>19.260000000000002</v>
      </c>
    </row>
    <row r="1038" spans="1:2">
      <c r="A1038" s="3">
        <f ca="1">IFERROR(__xludf.DUMMYFUNCTION("""COMPUTED_VALUE"""),39857.6666666666)</f>
        <v>39857.666666666599</v>
      </c>
      <c r="B1038" s="1">
        <f ca="1">IFERROR(__xludf.DUMMYFUNCTION("""COMPUTED_VALUE"""),19.09)</f>
        <v>19.09</v>
      </c>
    </row>
    <row r="1039" spans="1:2">
      <c r="A1039" s="3">
        <f ca="1">IFERROR(__xludf.DUMMYFUNCTION("""COMPUTED_VALUE"""),39861.6666666666)</f>
        <v>39861.666666666599</v>
      </c>
      <c r="B1039" s="1">
        <f ca="1">IFERROR(__xludf.DUMMYFUNCTION("""COMPUTED_VALUE"""),18.09)</f>
        <v>18.09</v>
      </c>
    </row>
    <row r="1040" spans="1:2">
      <c r="A1040" s="3">
        <f ca="1">IFERROR(__xludf.DUMMYFUNCTION("""COMPUTED_VALUE"""),39862.6666666666)</f>
        <v>39862.666666666599</v>
      </c>
      <c r="B1040" s="1">
        <f ca="1">IFERROR(__xludf.DUMMYFUNCTION("""COMPUTED_VALUE"""),18.12)</f>
        <v>18.12</v>
      </c>
    </row>
    <row r="1041" spans="1:2">
      <c r="A1041" s="3">
        <f ca="1">IFERROR(__xludf.DUMMYFUNCTION("""COMPUTED_VALUE"""),39863.6666666666)</f>
        <v>39863.666666666599</v>
      </c>
      <c r="B1041" s="1">
        <f ca="1">IFERROR(__xludf.DUMMYFUNCTION("""COMPUTED_VALUE"""),17.91)</f>
        <v>17.91</v>
      </c>
    </row>
    <row r="1042" spans="1:2">
      <c r="A1042" s="3">
        <f ca="1">IFERROR(__xludf.DUMMYFUNCTION("""COMPUTED_VALUE"""),39864.6666666666)</f>
        <v>39864.666666666599</v>
      </c>
      <c r="B1042" s="1">
        <f ca="1">IFERROR(__xludf.DUMMYFUNCTION("""COMPUTED_VALUE"""),18)</f>
        <v>18</v>
      </c>
    </row>
    <row r="1043" spans="1:2">
      <c r="A1043" s="3">
        <f ca="1">IFERROR(__xludf.DUMMYFUNCTION("""COMPUTED_VALUE"""),39867.6666666666)</f>
        <v>39867.666666666599</v>
      </c>
      <c r="B1043" s="1">
        <f ca="1">IFERROR(__xludf.DUMMYFUNCTION("""COMPUTED_VALUE"""),17.21)</f>
        <v>17.21</v>
      </c>
    </row>
    <row r="1044" spans="1:2">
      <c r="A1044" s="3">
        <f ca="1">IFERROR(__xludf.DUMMYFUNCTION("""COMPUTED_VALUE"""),39868.6666666666)</f>
        <v>39868.666666666599</v>
      </c>
      <c r="B1044" s="1">
        <f ca="1">IFERROR(__xludf.DUMMYFUNCTION("""COMPUTED_VALUE"""),17.17)</f>
        <v>17.170000000000002</v>
      </c>
    </row>
    <row r="1045" spans="1:2">
      <c r="A1045" s="3">
        <f ca="1">IFERROR(__xludf.DUMMYFUNCTION("""COMPUTED_VALUE"""),39869.6666666666)</f>
        <v>39869.666666666599</v>
      </c>
      <c r="B1045" s="1">
        <f ca="1">IFERROR(__xludf.DUMMYFUNCTION("""COMPUTED_VALUE"""),16.96)</f>
        <v>16.96</v>
      </c>
    </row>
    <row r="1046" spans="1:2">
      <c r="A1046" s="3">
        <f ca="1">IFERROR(__xludf.DUMMYFUNCTION("""COMPUTED_VALUE"""),39870.6666666666)</f>
        <v>39870.666666666599</v>
      </c>
      <c r="B1046" s="1">
        <f ca="1">IFERROR(__xludf.DUMMYFUNCTION("""COMPUTED_VALUE"""),16.42)</f>
        <v>16.420000000000002</v>
      </c>
    </row>
    <row r="1047" spans="1:2">
      <c r="A1047" s="3">
        <f ca="1">IFERROR(__xludf.DUMMYFUNCTION("""COMPUTED_VALUE"""),39871.6666666666)</f>
        <v>39871.666666666599</v>
      </c>
      <c r="B1047" s="1">
        <f ca="1">IFERROR(__xludf.DUMMYFUNCTION("""COMPUTED_VALUE"""),16.15)</f>
        <v>16.149999999999999</v>
      </c>
    </row>
    <row r="1048" spans="1:2">
      <c r="A1048" s="3">
        <f ca="1">IFERROR(__xludf.DUMMYFUNCTION("""COMPUTED_VALUE"""),39874.6666666666)</f>
        <v>39874.666666666599</v>
      </c>
      <c r="B1048" s="1">
        <f ca="1">IFERROR(__xludf.DUMMYFUNCTION("""COMPUTED_VALUE"""),15.79)</f>
        <v>15.79</v>
      </c>
    </row>
    <row r="1049" spans="1:2">
      <c r="A1049" s="3">
        <f ca="1">IFERROR(__xludf.DUMMYFUNCTION("""COMPUTED_VALUE"""),39875.6666666666)</f>
        <v>39875.666666666599</v>
      </c>
      <c r="B1049" s="1">
        <f ca="1">IFERROR(__xludf.DUMMYFUNCTION("""COMPUTED_VALUE"""),15.88)</f>
        <v>15.88</v>
      </c>
    </row>
    <row r="1050" spans="1:2">
      <c r="A1050" s="3">
        <f ca="1">IFERROR(__xludf.DUMMYFUNCTION("""COMPUTED_VALUE"""),39876.6666666666)</f>
        <v>39876.666666666599</v>
      </c>
      <c r="B1050" s="1">
        <f ca="1">IFERROR(__xludf.DUMMYFUNCTION("""COMPUTED_VALUE"""),16.12)</f>
        <v>16.12</v>
      </c>
    </row>
    <row r="1051" spans="1:2">
      <c r="A1051" s="3">
        <f ca="1">IFERROR(__xludf.DUMMYFUNCTION("""COMPUTED_VALUE"""),39877.6666666666)</f>
        <v>39877.666666666599</v>
      </c>
      <c r="B1051" s="1">
        <f ca="1">IFERROR(__xludf.DUMMYFUNCTION("""COMPUTED_VALUE"""),15.27)</f>
        <v>15.27</v>
      </c>
    </row>
    <row r="1052" spans="1:2">
      <c r="A1052" s="3">
        <f ca="1">IFERROR(__xludf.DUMMYFUNCTION("""COMPUTED_VALUE"""),39878.6666666666)</f>
        <v>39878.666666666599</v>
      </c>
      <c r="B1052" s="1">
        <f ca="1">IFERROR(__xludf.DUMMYFUNCTION("""COMPUTED_VALUE"""),15.28)</f>
        <v>15.28</v>
      </c>
    </row>
    <row r="1053" spans="1:2">
      <c r="A1053" s="3">
        <f ca="1">IFERROR(__xludf.DUMMYFUNCTION("""COMPUTED_VALUE"""),39881.6666666666)</f>
        <v>39881.666666666599</v>
      </c>
      <c r="B1053" s="1">
        <f ca="1">IFERROR(__xludf.DUMMYFUNCTION("""COMPUTED_VALUE"""),15.15)</f>
        <v>15.15</v>
      </c>
    </row>
    <row r="1054" spans="1:2">
      <c r="A1054" s="3">
        <f ca="1">IFERROR(__xludf.DUMMYFUNCTION("""COMPUTED_VALUE"""),39882.6666666666)</f>
        <v>39882.666666666599</v>
      </c>
      <c r="B1054" s="1">
        <f ca="1">IFERROR(__xludf.DUMMYFUNCTION("""COMPUTED_VALUE"""),16.48)</f>
        <v>16.48</v>
      </c>
    </row>
    <row r="1055" spans="1:2">
      <c r="A1055" s="3">
        <f ca="1">IFERROR(__xludf.DUMMYFUNCTION("""COMPUTED_VALUE"""),39883.6666666666)</f>
        <v>39883.666666666599</v>
      </c>
      <c r="B1055" s="1">
        <f ca="1">IFERROR(__xludf.DUMMYFUNCTION("""COMPUTED_VALUE"""),17.11)</f>
        <v>17.11</v>
      </c>
    </row>
    <row r="1056" spans="1:2">
      <c r="A1056" s="3">
        <f ca="1">IFERROR(__xludf.DUMMYFUNCTION("""COMPUTED_VALUE"""),39884.6666666666)</f>
        <v>39884.666666666599</v>
      </c>
      <c r="B1056" s="1">
        <f ca="1">IFERROR(__xludf.DUMMYFUNCTION("""COMPUTED_VALUE"""),17.01)</f>
        <v>17.010000000000002</v>
      </c>
    </row>
    <row r="1057" spans="1:2">
      <c r="A1057" s="3">
        <f ca="1">IFERROR(__xludf.DUMMYFUNCTION("""COMPUTED_VALUE"""),39885.6666666666)</f>
        <v>39885.666666666599</v>
      </c>
      <c r="B1057" s="1">
        <f ca="1">IFERROR(__xludf.DUMMYFUNCTION("""COMPUTED_VALUE"""),16.65)</f>
        <v>16.649999999999999</v>
      </c>
    </row>
    <row r="1058" spans="1:2">
      <c r="A1058" s="3">
        <f ca="1">IFERROR(__xludf.DUMMYFUNCTION("""COMPUTED_VALUE"""),39888.6666666666)</f>
        <v>39888.666666666599</v>
      </c>
      <c r="B1058" s="1">
        <f ca="1">IFERROR(__xludf.DUMMYFUNCTION("""COMPUTED_VALUE"""),16.25)</f>
        <v>16.25</v>
      </c>
    </row>
    <row r="1059" spans="1:2">
      <c r="A1059" s="3">
        <f ca="1">IFERROR(__xludf.DUMMYFUNCTION("""COMPUTED_VALUE"""),39889.6666666666)</f>
        <v>39889.666666666599</v>
      </c>
      <c r="B1059" s="1">
        <f ca="1">IFERROR(__xludf.DUMMYFUNCTION("""COMPUTED_VALUE"""),16.9)</f>
        <v>16.899999999999999</v>
      </c>
    </row>
    <row r="1060" spans="1:2">
      <c r="A1060" s="3">
        <f ca="1">IFERROR(__xludf.DUMMYFUNCTION("""COMPUTED_VALUE"""),39890.6666666666)</f>
        <v>39890.666666666599</v>
      </c>
      <c r="B1060" s="1">
        <f ca="1">IFERROR(__xludf.DUMMYFUNCTION("""COMPUTED_VALUE"""),16.96)</f>
        <v>16.96</v>
      </c>
    </row>
    <row r="1061" spans="1:2">
      <c r="A1061" s="3">
        <f ca="1">IFERROR(__xludf.DUMMYFUNCTION("""COMPUTED_VALUE"""),39891.6666666666)</f>
        <v>39891.666666666599</v>
      </c>
      <c r="B1061" s="1">
        <f ca="1">IFERROR(__xludf.DUMMYFUNCTION("""COMPUTED_VALUE"""),17.14)</f>
        <v>17.14</v>
      </c>
    </row>
    <row r="1062" spans="1:2">
      <c r="A1062" s="3">
        <f ca="1">IFERROR(__xludf.DUMMYFUNCTION("""COMPUTED_VALUE"""),39892.6666666666)</f>
        <v>39892.666666666599</v>
      </c>
      <c r="B1062" s="1">
        <f ca="1">IFERROR(__xludf.DUMMYFUNCTION("""COMPUTED_VALUE"""),17.06)</f>
        <v>17.059999999999999</v>
      </c>
    </row>
    <row r="1063" spans="1:2">
      <c r="A1063" s="3">
        <f ca="1">IFERROR(__xludf.DUMMYFUNCTION("""COMPUTED_VALUE"""),39895.6666666666)</f>
        <v>39895.666666666599</v>
      </c>
      <c r="B1063" s="1">
        <f ca="1">IFERROR(__xludf.DUMMYFUNCTION("""COMPUTED_VALUE"""),18.33)</f>
        <v>18.329999999999998</v>
      </c>
    </row>
    <row r="1064" spans="1:2">
      <c r="A1064" s="3">
        <f ca="1">IFERROR(__xludf.DUMMYFUNCTION("""COMPUTED_VALUE"""),39896.6666666666)</f>
        <v>39896.666666666599</v>
      </c>
      <c r="B1064" s="1">
        <f ca="1">IFERROR(__xludf.DUMMYFUNCTION("""COMPUTED_VALUE"""),17.93)</f>
        <v>17.93</v>
      </c>
    </row>
    <row r="1065" spans="1:2">
      <c r="A1065" s="3">
        <f ca="1">IFERROR(__xludf.DUMMYFUNCTION("""COMPUTED_VALUE"""),39897.6666666666)</f>
        <v>39897.666666666599</v>
      </c>
      <c r="B1065" s="1">
        <f ca="1">IFERROR(__xludf.DUMMYFUNCTION("""COMPUTED_VALUE"""),17.88)</f>
        <v>17.88</v>
      </c>
    </row>
    <row r="1066" spans="1:2">
      <c r="A1066" s="3">
        <f ca="1">IFERROR(__xludf.DUMMYFUNCTION("""COMPUTED_VALUE"""),39898.6666666666)</f>
        <v>39898.666666666599</v>
      </c>
      <c r="B1066" s="1">
        <f ca="1">IFERROR(__xludf.DUMMYFUNCTION("""COMPUTED_VALUE"""),18.83)</f>
        <v>18.829999999999998</v>
      </c>
    </row>
    <row r="1067" spans="1:2">
      <c r="A1067" s="3">
        <f ca="1">IFERROR(__xludf.DUMMYFUNCTION("""COMPUTED_VALUE"""),39899.6666666666)</f>
        <v>39899.666666666599</v>
      </c>
      <c r="B1067" s="1">
        <f ca="1">IFERROR(__xludf.DUMMYFUNCTION("""COMPUTED_VALUE"""),18.13)</f>
        <v>18.13</v>
      </c>
    </row>
    <row r="1068" spans="1:2">
      <c r="A1068" s="3">
        <f ca="1">IFERROR(__xludf.DUMMYFUNCTION("""COMPUTED_VALUE"""),39902.6666666666)</f>
        <v>39902.666666666599</v>
      </c>
      <c r="B1068" s="1">
        <f ca="1">IFERROR(__xludf.DUMMYFUNCTION("""COMPUTED_VALUE"""),17.48)</f>
        <v>17.48</v>
      </c>
    </row>
    <row r="1069" spans="1:2">
      <c r="A1069" s="3">
        <f ca="1">IFERROR(__xludf.DUMMYFUNCTION("""COMPUTED_VALUE"""),39903.6666666666)</f>
        <v>39903.666666666599</v>
      </c>
      <c r="B1069" s="1">
        <f ca="1">IFERROR(__xludf.DUMMYFUNCTION("""COMPUTED_VALUE"""),18.37)</f>
        <v>18.37</v>
      </c>
    </row>
    <row r="1070" spans="1:2">
      <c r="A1070" s="3">
        <f ca="1">IFERROR(__xludf.DUMMYFUNCTION("""COMPUTED_VALUE"""),39904.6666666666)</f>
        <v>39904.666666666599</v>
      </c>
      <c r="B1070" s="1">
        <f ca="1">IFERROR(__xludf.DUMMYFUNCTION("""COMPUTED_VALUE"""),19.31)</f>
        <v>19.309999999999999</v>
      </c>
    </row>
    <row r="1071" spans="1:2">
      <c r="A1071" s="3">
        <f ca="1">IFERROR(__xludf.DUMMYFUNCTION("""COMPUTED_VALUE"""),39905.6666666666)</f>
        <v>39905.666666666599</v>
      </c>
      <c r="B1071" s="1">
        <f ca="1">IFERROR(__xludf.DUMMYFUNCTION("""COMPUTED_VALUE"""),19.29)</f>
        <v>19.29</v>
      </c>
    </row>
    <row r="1072" spans="1:2">
      <c r="A1072" s="3">
        <f ca="1">IFERROR(__xludf.DUMMYFUNCTION("""COMPUTED_VALUE"""),39906.6666666666)</f>
        <v>39906.666666666599</v>
      </c>
      <c r="B1072" s="1">
        <f ca="1">IFERROR(__xludf.DUMMYFUNCTION("""COMPUTED_VALUE"""),18.75)</f>
        <v>18.75</v>
      </c>
    </row>
    <row r="1073" spans="1:2">
      <c r="A1073" s="3">
        <f ca="1">IFERROR(__xludf.DUMMYFUNCTION("""COMPUTED_VALUE"""),39909.6666666666)</f>
        <v>39909.666666666599</v>
      </c>
      <c r="B1073" s="1">
        <f ca="1">IFERROR(__xludf.DUMMYFUNCTION("""COMPUTED_VALUE"""),18.76)</f>
        <v>18.760000000000002</v>
      </c>
    </row>
    <row r="1074" spans="1:2">
      <c r="A1074" s="3">
        <f ca="1">IFERROR(__xludf.DUMMYFUNCTION("""COMPUTED_VALUE"""),39910.6666666666)</f>
        <v>39910.666666666599</v>
      </c>
      <c r="B1074" s="1">
        <f ca="1">IFERROR(__xludf.DUMMYFUNCTION("""COMPUTED_VALUE"""),18.76)</f>
        <v>18.760000000000002</v>
      </c>
    </row>
    <row r="1075" spans="1:2">
      <c r="A1075" s="3">
        <f ca="1">IFERROR(__xludf.DUMMYFUNCTION("""COMPUTED_VALUE"""),39911.6666666666)</f>
        <v>39911.666666666599</v>
      </c>
      <c r="B1075" s="1">
        <f ca="1">IFERROR(__xludf.DUMMYFUNCTION("""COMPUTED_VALUE"""),19.19)</f>
        <v>19.190000000000001</v>
      </c>
    </row>
    <row r="1076" spans="1:2">
      <c r="A1076" s="3">
        <f ca="1">IFERROR(__xludf.DUMMYFUNCTION("""COMPUTED_VALUE"""),39912.6666666666)</f>
        <v>39912.666666666599</v>
      </c>
      <c r="B1076" s="1">
        <f ca="1">IFERROR(__xludf.DUMMYFUNCTION("""COMPUTED_VALUE"""),19.67)</f>
        <v>19.670000000000002</v>
      </c>
    </row>
    <row r="1077" spans="1:2">
      <c r="A1077" s="3">
        <f ca="1">IFERROR(__xludf.DUMMYFUNCTION("""COMPUTED_VALUE"""),39916.6666666666)</f>
        <v>39916.666666666599</v>
      </c>
      <c r="B1077" s="1">
        <f ca="1">IFERROR(__xludf.DUMMYFUNCTION("""COMPUTED_VALUE"""),19.59)</f>
        <v>19.59</v>
      </c>
    </row>
    <row r="1078" spans="1:2">
      <c r="A1078" s="3">
        <f ca="1">IFERROR(__xludf.DUMMYFUNCTION("""COMPUTED_VALUE"""),39917.6666666666)</f>
        <v>39917.666666666599</v>
      </c>
      <c r="B1078" s="1">
        <f ca="1">IFERROR(__xludf.DUMMYFUNCTION("""COMPUTED_VALUE"""),19.35)</f>
        <v>19.350000000000001</v>
      </c>
    </row>
    <row r="1079" spans="1:2">
      <c r="A1079" s="3">
        <f ca="1">IFERROR(__xludf.DUMMYFUNCTION("""COMPUTED_VALUE"""),39918.6666666666)</f>
        <v>39918.666666666599</v>
      </c>
      <c r="B1079" s="1">
        <f ca="1">IFERROR(__xludf.DUMMYFUNCTION("""COMPUTED_VALUE"""),18.83)</f>
        <v>18.829999999999998</v>
      </c>
    </row>
    <row r="1080" spans="1:2">
      <c r="A1080" s="3">
        <f ca="1">IFERROR(__xludf.DUMMYFUNCTION("""COMPUTED_VALUE"""),39919.6666666666)</f>
        <v>39919.666666666599</v>
      </c>
      <c r="B1080" s="1">
        <f ca="1">IFERROR(__xludf.DUMMYFUNCTION("""COMPUTED_VALUE"""),19.76)</f>
        <v>19.760000000000002</v>
      </c>
    </row>
    <row r="1081" spans="1:2">
      <c r="A1081" s="3">
        <f ca="1">IFERROR(__xludf.DUMMYFUNCTION("""COMPUTED_VALUE"""),39920.6666666666)</f>
        <v>39920.666666666599</v>
      </c>
      <c r="B1081" s="1">
        <f ca="1">IFERROR(__xludf.DUMMYFUNCTION("""COMPUTED_VALUE"""),19.2)</f>
        <v>19.2</v>
      </c>
    </row>
    <row r="1082" spans="1:2">
      <c r="A1082" s="3">
        <f ca="1">IFERROR(__xludf.DUMMYFUNCTION("""COMPUTED_VALUE"""),39923.6666666666)</f>
        <v>39923.666666666599</v>
      </c>
      <c r="B1082" s="1">
        <f ca="1">IFERROR(__xludf.DUMMYFUNCTION("""COMPUTED_VALUE"""),18.61)</f>
        <v>18.61</v>
      </c>
    </row>
    <row r="1083" spans="1:2">
      <c r="A1083" s="3">
        <f ca="1">IFERROR(__xludf.DUMMYFUNCTION("""COMPUTED_VALUE"""),39924.6666666666)</f>
        <v>39924.666666666599</v>
      </c>
      <c r="B1083" s="1">
        <f ca="1">IFERROR(__xludf.DUMMYFUNCTION("""COMPUTED_VALUE"""),18.97)</f>
        <v>18.97</v>
      </c>
    </row>
    <row r="1084" spans="1:2">
      <c r="A1084" s="3">
        <f ca="1">IFERROR(__xludf.DUMMYFUNCTION("""COMPUTED_VALUE"""),39925.6666666666)</f>
        <v>39925.666666666599</v>
      </c>
      <c r="B1084" s="1">
        <f ca="1">IFERROR(__xludf.DUMMYFUNCTION("""COMPUTED_VALUE"""),18.78)</f>
        <v>18.78</v>
      </c>
    </row>
    <row r="1085" spans="1:2">
      <c r="A1085" s="3">
        <f ca="1">IFERROR(__xludf.DUMMYFUNCTION("""COMPUTED_VALUE"""),39926.6666666666)</f>
        <v>39926.666666666599</v>
      </c>
      <c r="B1085" s="1">
        <f ca="1">IFERROR(__xludf.DUMMYFUNCTION("""COMPUTED_VALUE"""),18.92)</f>
        <v>18.920000000000002</v>
      </c>
    </row>
    <row r="1086" spans="1:2">
      <c r="A1086" s="3">
        <f ca="1">IFERROR(__xludf.DUMMYFUNCTION("""COMPUTED_VALUE"""),39927.6666666666)</f>
        <v>39927.666666666599</v>
      </c>
      <c r="B1086" s="1">
        <f ca="1">IFERROR(__xludf.DUMMYFUNCTION("""COMPUTED_VALUE"""),20.91)</f>
        <v>20.91</v>
      </c>
    </row>
    <row r="1087" spans="1:2">
      <c r="A1087" s="3">
        <f ca="1">IFERROR(__xludf.DUMMYFUNCTION("""COMPUTED_VALUE"""),39930.6666666666)</f>
        <v>39930.666666666599</v>
      </c>
      <c r="B1087" s="1">
        <f ca="1">IFERROR(__xludf.DUMMYFUNCTION("""COMPUTED_VALUE"""),20.4)</f>
        <v>20.399999999999999</v>
      </c>
    </row>
    <row r="1088" spans="1:2">
      <c r="A1088" s="3">
        <f ca="1">IFERROR(__xludf.DUMMYFUNCTION("""COMPUTED_VALUE"""),39931.6666666666)</f>
        <v>39931.666666666599</v>
      </c>
      <c r="B1088" s="1">
        <f ca="1">IFERROR(__xludf.DUMMYFUNCTION("""COMPUTED_VALUE"""),19.93)</f>
        <v>19.93</v>
      </c>
    </row>
    <row r="1089" spans="1:2">
      <c r="A1089" s="3">
        <f ca="1">IFERROR(__xludf.DUMMYFUNCTION("""COMPUTED_VALUE"""),39932.6666666666)</f>
        <v>39932.666666666599</v>
      </c>
      <c r="B1089" s="1">
        <f ca="1">IFERROR(__xludf.DUMMYFUNCTION("""COMPUTED_VALUE"""),20.25)</f>
        <v>20.25</v>
      </c>
    </row>
    <row r="1090" spans="1:2">
      <c r="A1090" s="3">
        <f ca="1">IFERROR(__xludf.DUMMYFUNCTION("""COMPUTED_VALUE"""),39933.6666666666)</f>
        <v>39933.666666666599</v>
      </c>
      <c r="B1090" s="1">
        <f ca="1">IFERROR(__xludf.DUMMYFUNCTION("""COMPUTED_VALUE"""),20.26)</f>
        <v>20.260000000000002</v>
      </c>
    </row>
    <row r="1091" spans="1:2">
      <c r="A1091" s="3">
        <f ca="1">IFERROR(__xludf.DUMMYFUNCTION("""COMPUTED_VALUE"""),39934.6666666666)</f>
        <v>39934.666666666599</v>
      </c>
      <c r="B1091" s="1">
        <f ca="1">IFERROR(__xludf.DUMMYFUNCTION("""COMPUTED_VALUE"""),20.24)</f>
        <v>20.239999999999998</v>
      </c>
    </row>
    <row r="1092" spans="1:2">
      <c r="A1092" s="3">
        <f ca="1">IFERROR(__xludf.DUMMYFUNCTION("""COMPUTED_VALUE"""),39937.6666666666)</f>
        <v>39937.666666666599</v>
      </c>
      <c r="B1092" s="1">
        <f ca="1">IFERROR(__xludf.DUMMYFUNCTION("""COMPUTED_VALUE"""),20.19)</f>
        <v>20.190000000000001</v>
      </c>
    </row>
    <row r="1093" spans="1:2">
      <c r="A1093" s="3">
        <f ca="1">IFERROR(__xludf.DUMMYFUNCTION("""COMPUTED_VALUE"""),39938.6666666666)</f>
        <v>39938.666666666599</v>
      </c>
      <c r="B1093" s="1">
        <f ca="1">IFERROR(__xludf.DUMMYFUNCTION("""COMPUTED_VALUE"""),19.79)</f>
        <v>19.79</v>
      </c>
    </row>
    <row r="1094" spans="1:2">
      <c r="A1094" s="3">
        <f ca="1">IFERROR(__xludf.DUMMYFUNCTION("""COMPUTED_VALUE"""),39939.6666666666)</f>
        <v>39939.666666666599</v>
      </c>
      <c r="B1094" s="1">
        <f ca="1">IFERROR(__xludf.DUMMYFUNCTION("""COMPUTED_VALUE"""),19.79)</f>
        <v>19.79</v>
      </c>
    </row>
    <row r="1095" spans="1:2">
      <c r="A1095" s="3">
        <f ca="1">IFERROR(__xludf.DUMMYFUNCTION("""COMPUTED_VALUE"""),39940.6666666666)</f>
        <v>39940.666666666599</v>
      </c>
      <c r="B1095" s="1">
        <f ca="1">IFERROR(__xludf.DUMMYFUNCTION("""COMPUTED_VALUE"""),19.32)</f>
        <v>19.32</v>
      </c>
    </row>
    <row r="1096" spans="1:2">
      <c r="A1096" s="3">
        <f ca="1">IFERROR(__xludf.DUMMYFUNCTION("""COMPUTED_VALUE"""),39941.6666666666)</f>
        <v>39941.666666666599</v>
      </c>
      <c r="B1096" s="1">
        <f ca="1">IFERROR(__xludf.DUMMYFUNCTION("""COMPUTED_VALUE"""),19.42)</f>
        <v>19.420000000000002</v>
      </c>
    </row>
    <row r="1097" spans="1:2">
      <c r="A1097" s="3">
        <f ca="1">IFERROR(__xludf.DUMMYFUNCTION("""COMPUTED_VALUE"""),39944.6666666666)</f>
        <v>39944.666666666599</v>
      </c>
      <c r="B1097" s="1">
        <f ca="1">IFERROR(__xludf.DUMMYFUNCTION("""COMPUTED_VALUE"""),19.32)</f>
        <v>19.32</v>
      </c>
    </row>
    <row r="1098" spans="1:2">
      <c r="A1098" s="3">
        <f ca="1">IFERROR(__xludf.DUMMYFUNCTION("""COMPUTED_VALUE"""),39945.6666666666)</f>
        <v>39945.666666666599</v>
      </c>
      <c r="B1098" s="1">
        <f ca="1">IFERROR(__xludf.DUMMYFUNCTION("""COMPUTED_VALUE"""),19.89)</f>
        <v>19.89</v>
      </c>
    </row>
    <row r="1099" spans="1:2">
      <c r="A1099" s="3">
        <f ca="1">IFERROR(__xludf.DUMMYFUNCTION("""COMPUTED_VALUE"""),39946.6666666666)</f>
        <v>39946.666666666599</v>
      </c>
      <c r="B1099" s="1">
        <f ca="1">IFERROR(__xludf.DUMMYFUNCTION("""COMPUTED_VALUE"""),19.75)</f>
        <v>19.75</v>
      </c>
    </row>
    <row r="1100" spans="1:2">
      <c r="A1100" s="3">
        <f ca="1">IFERROR(__xludf.DUMMYFUNCTION("""COMPUTED_VALUE"""),39947.6666666666)</f>
        <v>39947.666666666599</v>
      </c>
      <c r="B1100" s="1">
        <f ca="1">IFERROR(__xludf.DUMMYFUNCTION("""COMPUTED_VALUE"""),20.06)</f>
        <v>20.059999999999999</v>
      </c>
    </row>
    <row r="1101" spans="1:2">
      <c r="A1101" s="3">
        <f ca="1">IFERROR(__xludf.DUMMYFUNCTION("""COMPUTED_VALUE"""),39948.6666666666)</f>
        <v>39948.666666666599</v>
      </c>
      <c r="B1101" s="1">
        <f ca="1">IFERROR(__xludf.DUMMYFUNCTION("""COMPUTED_VALUE"""),20.22)</f>
        <v>20.22</v>
      </c>
    </row>
    <row r="1102" spans="1:2">
      <c r="A1102" s="3">
        <f ca="1">IFERROR(__xludf.DUMMYFUNCTION("""COMPUTED_VALUE"""),39951.6666666666)</f>
        <v>39951.666666666599</v>
      </c>
      <c r="B1102" s="1">
        <f ca="1">IFERROR(__xludf.DUMMYFUNCTION("""COMPUTED_VALUE"""),20.6)</f>
        <v>20.6</v>
      </c>
    </row>
    <row r="1103" spans="1:2">
      <c r="A1103" s="3">
        <f ca="1">IFERROR(__xludf.DUMMYFUNCTION("""COMPUTED_VALUE"""),39952.6666666666)</f>
        <v>39952.666666666599</v>
      </c>
      <c r="B1103" s="1">
        <f ca="1">IFERROR(__xludf.DUMMYFUNCTION("""COMPUTED_VALUE"""),20.31)</f>
        <v>20.309999999999999</v>
      </c>
    </row>
    <row r="1104" spans="1:2">
      <c r="A1104" s="3">
        <f ca="1">IFERROR(__xludf.DUMMYFUNCTION("""COMPUTED_VALUE"""),39953.6666666666)</f>
        <v>39953.666666666599</v>
      </c>
      <c r="B1104" s="1">
        <f ca="1">IFERROR(__xludf.DUMMYFUNCTION("""COMPUTED_VALUE"""),20.38)</f>
        <v>20.38</v>
      </c>
    </row>
    <row r="1105" spans="1:2">
      <c r="A1105" s="3">
        <f ca="1">IFERROR(__xludf.DUMMYFUNCTION("""COMPUTED_VALUE"""),39954.6666666666)</f>
        <v>39954.666666666599</v>
      </c>
      <c r="B1105" s="1">
        <f ca="1">IFERROR(__xludf.DUMMYFUNCTION("""COMPUTED_VALUE"""),19.82)</f>
        <v>19.82</v>
      </c>
    </row>
    <row r="1106" spans="1:2">
      <c r="A1106" s="3">
        <f ca="1">IFERROR(__xludf.DUMMYFUNCTION("""COMPUTED_VALUE"""),39955.6666666666)</f>
        <v>39955.666666666599</v>
      </c>
      <c r="B1106" s="1">
        <f ca="1">IFERROR(__xludf.DUMMYFUNCTION("""COMPUTED_VALUE"""),19.75)</f>
        <v>19.75</v>
      </c>
    </row>
    <row r="1107" spans="1:2">
      <c r="A1107" s="3">
        <f ca="1">IFERROR(__xludf.DUMMYFUNCTION("""COMPUTED_VALUE"""),39959.6666666666)</f>
        <v>39959.666666666599</v>
      </c>
      <c r="B1107" s="1">
        <f ca="1">IFERROR(__xludf.DUMMYFUNCTION("""COMPUTED_VALUE"""),20.34)</f>
        <v>20.34</v>
      </c>
    </row>
    <row r="1108" spans="1:2">
      <c r="A1108" s="3">
        <f ca="1">IFERROR(__xludf.DUMMYFUNCTION("""COMPUTED_VALUE"""),39960.6666666666)</f>
        <v>39960.666666666599</v>
      </c>
      <c r="B1108" s="1">
        <f ca="1">IFERROR(__xludf.DUMMYFUNCTION("""COMPUTED_VALUE"""),20.13)</f>
        <v>20.13</v>
      </c>
    </row>
    <row r="1109" spans="1:2">
      <c r="A1109" s="3">
        <f ca="1">IFERROR(__xludf.DUMMYFUNCTION("""COMPUTED_VALUE"""),39961.6666666666)</f>
        <v>39961.666666666599</v>
      </c>
      <c r="B1109" s="1">
        <f ca="1">IFERROR(__xludf.DUMMYFUNCTION("""COMPUTED_VALUE"""),20.45)</f>
        <v>20.45</v>
      </c>
    </row>
    <row r="1110" spans="1:2">
      <c r="A1110" s="3">
        <f ca="1">IFERROR(__xludf.DUMMYFUNCTION("""COMPUTED_VALUE"""),39962.6666666666)</f>
        <v>39962.666666666599</v>
      </c>
      <c r="B1110" s="1">
        <f ca="1">IFERROR(__xludf.DUMMYFUNCTION("""COMPUTED_VALUE"""),20.89)</f>
        <v>20.89</v>
      </c>
    </row>
    <row r="1111" spans="1:2">
      <c r="A1111" s="3">
        <f ca="1">IFERROR(__xludf.DUMMYFUNCTION("""COMPUTED_VALUE"""),39965.6666666666)</f>
        <v>39965.666666666599</v>
      </c>
      <c r="B1111" s="1">
        <f ca="1">IFERROR(__xludf.DUMMYFUNCTION("""COMPUTED_VALUE"""),21.4)</f>
        <v>21.4</v>
      </c>
    </row>
    <row r="1112" spans="1:2">
      <c r="A1112" s="3">
        <f ca="1">IFERROR(__xludf.DUMMYFUNCTION("""COMPUTED_VALUE"""),39966.6666666666)</f>
        <v>39966.666666666599</v>
      </c>
      <c r="B1112" s="1">
        <f ca="1">IFERROR(__xludf.DUMMYFUNCTION("""COMPUTED_VALUE"""),21.4)</f>
        <v>21.4</v>
      </c>
    </row>
    <row r="1113" spans="1:2">
      <c r="A1113" s="3">
        <f ca="1">IFERROR(__xludf.DUMMYFUNCTION("""COMPUTED_VALUE"""),39967.6666666666)</f>
        <v>39967.666666666599</v>
      </c>
      <c r="B1113" s="1">
        <f ca="1">IFERROR(__xludf.DUMMYFUNCTION("""COMPUTED_VALUE"""),21.73)</f>
        <v>21.73</v>
      </c>
    </row>
    <row r="1114" spans="1:2">
      <c r="A1114" s="3">
        <f ca="1">IFERROR(__xludf.DUMMYFUNCTION("""COMPUTED_VALUE"""),39968.6666666666)</f>
        <v>39968.666666666599</v>
      </c>
      <c r="B1114" s="1">
        <f ca="1">IFERROR(__xludf.DUMMYFUNCTION("""COMPUTED_VALUE"""),21.83)</f>
        <v>21.83</v>
      </c>
    </row>
    <row r="1115" spans="1:2">
      <c r="A1115" s="3">
        <f ca="1">IFERROR(__xludf.DUMMYFUNCTION("""COMPUTED_VALUE"""),39969.6666666666)</f>
        <v>39969.666666666599</v>
      </c>
      <c r="B1115" s="1">
        <f ca="1">IFERROR(__xludf.DUMMYFUNCTION("""COMPUTED_VALUE"""),22.14)</f>
        <v>22.14</v>
      </c>
    </row>
    <row r="1116" spans="1:2">
      <c r="A1116" s="3">
        <f ca="1">IFERROR(__xludf.DUMMYFUNCTION("""COMPUTED_VALUE"""),39972.6666666666)</f>
        <v>39972.666666666599</v>
      </c>
      <c r="B1116" s="1">
        <f ca="1">IFERROR(__xludf.DUMMYFUNCTION("""COMPUTED_VALUE"""),22.05)</f>
        <v>22.05</v>
      </c>
    </row>
    <row r="1117" spans="1:2">
      <c r="A1117" s="3">
        <f ca="1">IFERROR(__xludf.DUMMYFUNCTION("""COMPUTED_VALUE"""),39973.6666666666)</f>
        <v>39973.666666666599</v>
      </c>
      <c r="B1117" s="1">
        <f ca="1">IFERROR(__xludf.DUMMYFUNCTION("""COMPUTED_VALUE"""),22.08)</f>
        <v>22.08</v>
      </c>
    </row>
    <row r="1118" spans="1:2">
      <c r="A1118" s="3">
        <f ca="1">IFERROR(__xludf.DUMMYFUNCTION("""COMPUTED_VALUE"""),39974.6666666666)</f>
        <v>39974.666666666599</v>
      </c>
      <c r="B1118" s="1">
        <f ca="1">IFERROR(__xludf.DUMMYFUNCTION("""COMPUTED_VALUE"""),22.55)</f>
        <v>22.55</v>
      </c>
    </row>
    <row r="1119" spans="1:2">
      <c r="A1119" s="3">
        <f ca="1">IFERROR(__xludf.DUMMYFUNCTION("""COMPUTED_VALUE"""),39975.6666666666)</f>
        <v>39975.666666666599</v>
      </c>
      <c r="B1119" s="1">
        <f ca="1">IFERROR(__xludf.DUMMYFUNCTION("""COMPUTED_VALUE"""),22.83)</f>
        <v>22.83</v>
      </c>
    </row>
    <row r="1120" spans="1:2">
      <c r="A1120" s="3">
        <f ca="1">IFERROR(__xludf.DUMMYFUNCTION("""COMPUTED_VALUE"""),39976.6666666666)</f>
        <v>39976.666666666599</v>
      </c>
      <c r="B1120" s="1">
        <f ca="1">IFERROR(__xludf.DUMMYFUNCTION("""COMPUTED_VALUE"""),23.33)</f>
        <v>23.33</v>
      </c>
    </row>
    <row r="1121" spans="1:2">
      <c r="A1121" s="3">
        <f ca="1">IFERROR(__xludf.DUMMYFUNCTION("""COMPUTED_VALUE"""),39979.6666666666)</f>
        <v>39979.666666666599</v>
      </c>
      <c r="B1121" s="1">
        <f ca="1">IFERROR(__xludf.DUMMYFUNCTION("""COMPUTED_VALUE"""),23.42)</f>
        <v>23.42</v>
      </c>
    </row>
    <row r="1122" spans="1:2">
      <c r="A1122" s="3">
        <f ca="1">IFERROR(__xludf.DUMMYFUNCTION("""COMPUTED_VALUE"""),39980.6666666666)</f>
        <v>39980.666666666599</v>
      </c>
      <c r="B1122" s="1">
        <f ca="1">IFERROR(__xludf.DUMMYFUNCTION("""COMPUTED_VALUE"""),23.45)</f>
        <v>23.45</v>
      </c>
    </row>
    <row r="1123" spans="1:2">
      <c r="A1123" s="3">
        <f ca="1">IFERROR(__xludf.DUMMYFUNCTION("""COMPUTED_VALUE"""),39981.6666666666)</f>
        <v>39981.666666666599</v>
      </c>
      <c r="B1123" s="1">
        <f ca="1">IFERROR(__xludf.DUMMYFUNCTION("""COMPUTED_VALUE"""),23.68)</f>
        <v>23.68</v>
      </c>
    </row>
    <row r="1124" spans="1:2">
      <c r="A1124" s="3">
        <f ca="1">IFERROR(__xludf.DUMMYFUNCTION("""COMPUTED_VALUE"""),39982.6666666666)</f>
        <v>39982.666666666599</v>
      </c>
      <c r="B1124" s="1">
        <f ca="1">IFERROR(__xludf.DUMMYFUNCTION("""COMPUTED_VALUE"""),23.5)</f>
        <v>23.5</v>
      </c>
    </row>
    <row r="1125" spans="1:2">
      <c r="A1125" s="3">
        <f ca="1">IFERROR(__xludf.DUMMYFUNCTION("""COMPUTED_VALUE"""),39983.6666666666)</f>
        <v>39983.666666666599</v>
      </c>
      <c r="B1125" s="1">
        <f ca="1">IFERROR(__xludf.DUMMYFUNCTION("""COMPUTED_VALUE"""),24.07)</f>
        <v>24.07</v>
      </c>
    </row>
    <row r="1126" spans="1:2">
      <c r="A1126" s="3">
        <f ca="1">IFERROR(__xludf.DUMMYFUNCTION("""COMPUTED_VALUE"""),39986.6666666666)</f>
        <v>39986.666666666599</v>
      </c>
      <c r="B1126" s="1">
        <f ca="1">IFERROR(__xludf.DUMMYFUNCTION("""COMPUTED_VALUE"""),23.28)</f>
        <v>23.28</v>
      </c>
    </row>
    <row r="1127" spans="1:2">
      <c r="A1127" s="3">
        <f ca="1">IFERROR(__xludf.DUMMYFUNCTION("""COMPUTED_VALUE"""),39987.6666666666)</f>
        <v>39987.666666666599</v>
      </c>
      <c r="B1127" s="1">
        <f ca="1">IFERROR(__xludf.DUMMYFUNCTION("""COMPUTED_VALUE"""),23.34)</f>
        <v>23.34</v>
      </c>
    </row>
    <row r="1128" spans="1:2">
      <c r="A1128" s="3">
        <f ca="1">IFERROR(__xludf.DUMMYFUNCTION("""COMPUTED_VALUE"""),39988.6666666666)</f>
        <v>39988.666666666599</v>
      </c>
      <c r="B1128" s="1">
        <f ca="1">IFERROR(__xludf.DUMMYFUNCTION("""COMPUTED_VALUE"""),23.47)</f>
        <v>23.47</v>
      </c>
    </row>
    <row r="1129" spans="1:2">
      <c r="A1129" s="3">
        <f ca="1">IFERROR(__xludf.DUMMYFUNCTION("""COMPUTED_VALUE"""),39989.6666666666)</f>
        <v>39989.666666666599</v>
      </c>
      <c r="B1129" s="1">
        <f ca="1">IFERROR(__xludf.DUMMYFUNCTION("""COMPUTED_VALUE"""),23.79)</f>
        <v>23.79</v>
      </c>
    </row>
    <row r="1130" spans="1:2">
      <c r="A1130" s="3">
        <f ca="1">IFERROR(__xludf.DUMMYFUNCTION("""COMPUTED_VALUE"""),39990.6666666666)</f>
        <v>39990.666666666599</v>
      </c>
      <c r="B1130" s="1">
        <f ca="1">IFERROR(__xludf.DUMMYFUNCTION("""COMPUTED_VALUE"""),23.35)</f>
        <v>23.35</v>
      </c>
    </row>
    <row r="1131" spans="1:2">
      <c r="A1131" s="3">
        <f ca="1">IFERROR(__xludf.DUMMYFUNCTION("""COMPUTED_VALUE"""),39993.6666666666)</f>
        <v>39993.666666666599</v>
      </c>
      <c r="B1131" s="1">
        <f ca="1">IFERROR(__xludf.DUMMYFUNCTION("""COMPUTED_VALUE"""),23.86)</f>
        <v>23.86</v>
      </c>
    </row>
    <row r="1132" spans="1:2">
      <c r="A1132" s="3">
        <f ca="1">IFERROR(__xludf.DUMMYFUNCTION("""COMPUTED_VALUE"""),39994.6666666666)</f>
        <v>39994.666666666599</v>
      </c>
      <c r="B1132" s="1">
        <f ca="1">IFERROR(__xludf.DUMMYFUNCTION("""COMPUTED_VALUE"""),23.77)</f>
        <v>23.77</v>
      </c>
    </row>
    <row r="1133" spans="1:2">
      <c r="A1133" s="3">
        <f ca="1">IFERROR(__xludf.DUMMYFUNCTION("""COMPUTED_VALUE"""),39995.6666666666)</f>
        <v>39995.666666666599</v>
      </c>
      <c r="B1133" s="1">
        <f ca="1">IFERROR(__xludf.DUMMYFUNCTION("""COMPUTED_VALUE"""),24.04)</f>
        <v>24.04</v>
      </c>
    </row>
    <row r="1134" spans="1:2">
      <c r="A1134" s="3">
        <f ca="1">IFERROR(__xludf.DUMMYFUNCTION("""COMPUTED_VALUE"""),39996.6666666666)</f>
        <v>39996.666666666599</v>
      </c>
      <c r="B1134" s="1">
        <f ca="1">IFERROR(__xludf.DUMMYFUNCTION("""COMPUTED_VALUE"""),23.37)</f>
        <v>23.37</v>
      </c>
    </row>
    <row r="1135" spans="1:2">
      <c r="A1135" s="3">
        <f ca="1">IFERROR(__xludf.DUMMYFUNCTION("""COMPUTED_VALUE"""),40000.6666666666)</f>
        <v>40000.666666666599</v>
      </c>
      <c r="B1135" s="1">
        <f ca="1">IFERROR(__xludf.DUMMYFUNCTION("""COMPUTED_VALUE"""),23.2)</f>
        <v>23.2</v>
      </c>
    </row>
    <row r="1136" spans="1:2">
      <c r="A1136" s="3">
        <f ca="1">IFERROR(__xludf.DUMMYFUNCTION("""COMPUTED_VALUE"""),40001.6666666666)</f>
        <v>40001.666666666599</v>
      </c>
      <c r="B1136" s="1">
        <f ca="1">IFERROR(__xludf.DUMMYFUNCTION("""COMPUTED_VALUE"""),22.53)</f>
        <v>22.53</v>
      </c>
    </row>
    <row r="1137" spans="1:2">
      <c r="A1137" s="3">
        <f ca="1">IFERROR(__xludf.DUMMYFUNCTION("""COMPUTED_VALUE"""),40002.6666666666)</f>
        <v>40002.666666666599</v>
      </c>
      <c r="B1137" s="1">
        <f ca="1">IFERROR(__xludf.DUMMYFUNCTION("""COMPUTED_VALUE"""),22.56)</f>
        <v>22.56</v>
      </c>
    </row>
    <row r="1138" spans="1:2">
      <c r="A1138" s="3">
        <f ca="1">IFERROR(__xludf.DUMMYFUNCTION("""COMPUTED_VALUE"""),40003.6666666666)</f>
        <v>40003.666666666599</v>
      </c>
      <c r="B1138" s="1">
        <f ca="1">IFERROR(__xludf.DUMMYFUNCTION("""COMPUTED_VALUE"""),22.44)</f>
        <v>22.44</v>
      </c>
    </row>
    <row r="1139" spans="1:2">
      <c r="A1139" s="3">
        <f ca="1">IFERROR(__xludf.DUMMYFUNCTION("""COMPUTED_VALUE"""),40004.6666666666)</f>
        <v>40004.666666666599</v>
      </c>
      <c r="B1139" s="1">
        <f ca="1">IFERROR(__xludf.DUMMYFUNCTION("""COMPUTED_VALUE"""),22.39)</f>
        <v>22.39</v>
      </c>
    </row>
    <row r="1140" spans="1:2">
      <c r="A1140" s="3">
        <f ca="1">IFERROR(__xludf.DUMMYFUNCTION("""COMPUTED_VALUE"""),40007.6666666666)</f>
        <v>40007.666666666599</v>
      </c>
      <c r="B1140" s="1">
        <f ca="1">IFERROR(__xludf.DUMMYFUNCTION("""COMPUTED_VALUE"""),23.23)</f>
        <v>23.23</v>
      </c>
    </row>
    <row r="1141" spans="1:2">
      <c r="A1141" s="3">
        <f ca="1">IFERROR(__xludf.DUMMYFUNCTION("""COMPUTED_VALUE"""),40008.6666666666)</f>
        <v>40008.666666666599</v>
      </c>
      <c r="B1141" s="1">
        <f ca="1">IFERROR(__xludf.DUMMYFUNCTION("""COMPUTED_VALUE"""),23.11)</f>
        <v>23.11</v>
      </c>
    </row>
    <row r="1142" spans="1:2">
      <c r="A1142" s="3">
        <f ca="1">IFERROR(__xludf.DUMMYFUNCTION("""COMPUTED_VALUE"""),40009.6666666666)</f>
        <v>40009.666666666599</v>
      </c>
      <c r="B1142" s="1">
        <f ca="1">IFERROR(__xludf.DUMMYFUNCTION("""COMPUTED_VALUE"""),24.12)</f>
        <v>24.12</v>
      </c>
    </row>
    <row r="1143" spans="1:2">
      <c r="A1143" s="3">
        <f ca="1">IFERROR(__xludf.DUMMYFUNCTION("""COMPUTED_VALUE"""),40010.6666666666)</f>
        <v>40010.666666666599</v>
      </c>
      <c r="B1143" s="1">
        <f ca="1">IFERROR(__xludf.DUMMYFUNCTION("""COMPUTED_VALUE"""),24.44)</f>
        <v>24.44</v>
      </c>
    </row>
    <row r="1144" spans="1:2">
      <c r="A1144" s="3">
        <f ca="1">IFERROR(__xludf.DUMMYFUNCTION("""COMPUTED_VALUE"""),40011.6666666666)</f>
        <v>40011.666666666599</v>
      </c>
      <c r="B1144" s="1">
        <f ca="1">IFERROR(__xludf.DUMMYFUNCTION("""COMPUTED_VALUE"""),24.29)</f>
        <v>24.29</v>
      </c>
    </row>
    <row r="1145" spans="1:2">
      <c r="A1145" s="3">
        <f ca="1">IFERROR(__xludf.DUMMYFUNCTION("""COMPUTED_VALUE"""),40014.6666666666)</f>
        <v>40014.666666666599</v>
      </c>
      <c r="B1145" s="1">
        <f ca="1">IFERROR(__xludf.DUMMYFUNCTION("""COMPUTED_VALUE"""),24.53)</f>
        <v>24.53</v>
      </c>
    </row>
    <row r="1146" spans="1:2">
      <c r="A1146" s="3">
        <f ca="1">IFERROR(__xludf.DUMMYFUNCTION("""COMPUTED_VALUE"""),40015.6666666666)</f>
        <v>40015.666666666599</v>
      </c>
      <c r="B1146" s="1">
        <f ca="1">IFERROR(__xludf.DUMMYFUNCTION("""COMPUTED_VALUE"""),24.83)</f>
        <v>24.83</v>
      </c>
    </row>
    <row r="1147" spans="1:2">
      <c r="A1147" s="3">
        <f ca="1">IFERROR(__xludf.DUMMYFUNCTION("""COMPUTED_VALUE"""),40016.6666666666)</f>
        <v>40016.666666666599</v>
      </c>
      <c r="B1147" s="1">
        <f ca="1">IFERROR(__xludf.DUMMYFUNCTION("""COMPUTED_VALUE"""),24.8)</f>
        <v>24.8</v>
      </c>
    </row>
    <row r="1148" spans="1:2">
      <c r="A1148" s="3">
        <f ca="1">IFERROR(__xludf.DUMMYFUNCTION("""COMPUTED_VALUE"""),40017.6666666666)</f>
        <v>40017.666666666599</v>
      </c>
      <c r="B1148" s="1">
        <f ca="1">IFERROR(__xludf.DUMMYFUNCTION("""COMPUTED_VALUE"""),25.56)</f>
        <v>25.56</v>
      </c>
    </row>
    <row r="1149" spans="1:2">
      <c r="A1149" s="3">
        <f ca="1">IFERROR(__xludf.DUMMYFUNCTION("""COMPUTED_VALUE"""),40018.6666666666)</f>
        <v>40018.666666666599</v>
      </c>
      <c r="B1149" s="1">
        <f ca="1">IFERROR(__xludf.DUMMYFUNCTION("""COMPUTED_VALUE"""),23.45)</f>
        <v>23.45</v>
      </c>
    </row>
    <row r="1150" spans="1:2">
      <c r="A1150" s="3">
        <f ca="1">IFERROR(__xludf.DUMMYFUNCTION("""COMPUTED_VALUE"""),40021.6666666666)</f>
        <v>40021.666666666599</v>
      </c>
      <c r="B1150" s="1">
        <f ca="1">IFERROR(__xludf.DUMMYFUNCTION("""COMPUTED_VALUE"""),23.11)</f>
        <v>23.11</v>
      </c>
    </row>
    <row r="1151" spans="1:2">
      <c r="A1151" s="3">
        <f ca="1">IFERROR(__xludf.DUMMYFUNCTION("""COMPUTED_VALUE"""),40022.6666666666)</f>
        <v>40022.666666666599</v>
      </c>
      <c r="B1151" s="1">
        <f ca="1">IFERROR(__xludf.DUMMYFUNCTION("""COMPUTED_VALUE"""),23.47)</f>
        <v>23.47</v>
      </c>
    </row>
    <row r="1152" spans="1:2">
      <c r="A1152" s="3">
        <f ca="1">IFERROR(__xludf.DUMMYFUNCTION("""COMPUTED_VALUE"""),40023.6666666666)</f>
        <v>40023.666666666599</v>
      </c>
      <c r="B1152" s="1">
        <f ca="1">IFERROR(__xludf.DUMMYFUNCTION("""COMPUTED_VALUE"""),23.8)</f>
        <v>23.8</v>
      </c>
    </row>
    <row r="1153" spans="1:2">
      <c r="A1153" s="3">
        <f ca="1">IFERROR(__xludf.DUMMYFUNCTION("""COMPUTED_VALUE"""),40024.6666666666)</f>
        <v>40024.666666666599</v>
      </c>
      <c r="B1153" s="1">
        <f ca="1">IFERROR(__xludf.DUMMYFUNCTION("""COMPUTED_VALUE"""),23.81)</f>
        <v>23.81</v>
      </c>
    </row>
    <row r="1154" spans="1:2">
      <c r="A1154" s="3">
        <f ca="1">IFERROR(__xludf.DUMMYFUNCTION("""COMPUTED_VALUE"""),40025.6666666666)</f>
        <v>40025.666666666599</v>
      </c>
      <c r="B1154" s="1">
        <f ca="1">IFERROR(__xludf.DUMMYFUNCTION("""COMPUTED_VALUE"""),23.52)</f>
        <v>23.52</v>
      </c>
    </row>
    <row r="1155" spans="1:2">
      <c r="A1155" s="3">
        <f ca="1">IFERROR(__xludf.DUMMYFUNCTION("""COMPUTED_VALUE"""),40028.6666666666)</f>
        <v>40028.666666666599</v>
      </c>
      <c r="B1155" s="1">
        <f ca="1">IFERROR(__xludf.DUMMYFUNCTION("""COMPUTED_VALUE"""),23.83)</f>
        <v>23.83</v>
      </c>
    </row>
    <row r="1156" spans="1:2">
      <c r="A1156" s="3">
        <f ca="1">IFERROR(__xludf.DUMMYFUNCTION("""COMPUTED_VALUE"""),40029.6666666666)</f>
        <v>40029.666666666599</v>
      </c>
      <c r="B1156" s="1">
        <f ca="1">IFERROR(__xludf.DUMMYFUNCTION("""COMPUTED_VALUE"""),23.77)</f>
        <v>23.77</v>
      </c>
    </row>
    <row r="1157" spans="1:2">
      <c r="A1157" s="3">
        <f ca="1">IFERROR(__xludf.DUMMYFUNCTION("""COMPUTED_VALUE"""),40030.6666666666)</f>
        <v>40030.666666666599</v>
      </c>
      <c r="B1157" s="1">
        <f ca="1">IFERROR(__xludf.DUMMYFUNCTION("""COMPUTED_VALUE"""),23.81)</f>
        <v>23.81</v>
      </c>
    </row>
    <row r="1158" spans="1:2">
      <c r="A1158" s="3">
        <f ca="1">IFERROR(__xludf.DUMMYFUNCTION("""COMPUTED_VALUE"""),40031.6666666666)</f>
        <v>40031.666666666599</v>
      </c>
      <c r="B1158" s="1">
        <f ca="1">IFERROR(__xludf.DUMMYFUNCTION("""COMPUTED_VALUE"""),23.46)</f>
        <v>23.46</v>
      </c>
    </row>
    <row r="1159" spans="1:2">
      <c r="A1159" s="3">
        <f ca="1">IFERROR(__xludf.DUMMYFUNCTION("""COMPUTED_VALUE"""),40032.6666666666)</f>
        <v>40032.666666666599</v>
      </c>
      <c r="B1159" s="1">
        <f ca="1">IFERROR(__xludf.DUMMYFUNCTION("""COMPUTED_VALUE"""),23.56)</f>
        <v>23.56</v>
      </c>
    </row>
    <row r="1160" spans="1:2">
      <c r="A1160" s="3">
        <f ca="1">IFERROR(__xludf.DUMMYFUNCTION("""COMPUTED_VALUE"""),40035.6666666666)</f>
        <v>40035.666666666599</v>
      </c>
      <c r="B1160" s="1">
        <f ca="1">IFERROR(__xludf.DUMMYFUNCTION("""COMPUTED_VALUE"""),23.42)</f>
        <v>23.42</v>
      </c>
    </row>
    <row r="1161" spans="1:2">
      <c r="A1161" s="3">
        <f ca="1">IFERROR(__xludf.DUMMYFUNCTION("""COMPUTED_VALUE"""),40036.6666666666)</f>
        <v>40036.666666666599</v>
      </c>
      <c r="B1161" s="1">
        <f ca="1">IFERROR(__xludf.DUMMYFUNCTION("""COMPUTED_VALUE"""),23.13)</f>
        <v>23.13</v>
      </c>
    </row>
    <row r="1162" spans="1:2">
      <c r="A1162" s="3">
        <f ca="1">IFERROR(__xludf.DUMMYFUNCTION("""COMPUTED_VALUE"""),40037.6666666666)</f>
        <v>40037.666666666599</v>
      </c>
      <c r="B1162" s="1">
        <f ca="1">IFERROR(__xludf.DUMMYFUNCTION("""COMPUTED_VALUE"""),23.53)</f>
        <v>23.53</v>
      </c>
    </row>
    <row r="1163" spans="1:2">
      <c r="A1163" s="3">
        <f ca="1">IFERROR(__xludf.DUMMYFUNCTION("""COMPUTED_VALUE"""),40038.6666666666)</f>
        <v>40038.666666666599</v>
      </c>
      <c r="B1163" s="1">
        <f ca="1">IFERROR(__xludf.DUMMYFUNCTION("""COMPUTED_VALUE"""),23.62)</f>
        <v>23.62</v>
      </c>
    </row>
    <row r="1164" spans="1:2">
      <c r="A1164" s="3">
        <f ca="1">IFERROR(__xludf.DUMMYFUNCTION("""COMPUTED_VALUE"""),40039.6666666666)</f>
        <v>40039.666666666599</v>
      </c>
      <c r="B1164" s="1">
        <f ca="1">IFERROR(__xludf.DUMMYFUNCTION("""COMPUTED_VALUE"""),23.69)</f>
        <v>23.69</v>
      </c>
    </row>
    <row r="1165" spans="1:2">
      <c r="A1165" s="3">
        <f ca="1">IFERROR(__xludf.DUMMYFUNCTION("""COMPUTED_VALUE"""),40042.6666666666)</f>
        <v>40042.666666666599</v>
      </c>
      <c r="B1165" s="1">
        <f ca="1">IFERROR(__xludf.DUMMYFUNCTION("""COMPUTED_VALUE"""),23.25)</f>
        <v>23.25</v>
      </c>
    </row>
    <row r="1166" spans="1:2">
      <c r="A1166" s="3">
        <f ca="1">IFERROR(__xludf.DUMMYFUNCTION("""COMPUTED_VALUE"""),40043.6666666666)</f>
        <v>40043.666666666599</v>
      </c>
      <c r="B1166" s="1">
        <f ca="1">IFERROR(__xludf.DUMMYFUNCTION("""COMPUTED_VALUE"""),23.58)</f>
        <v>23.58</v>
      </c>
    </row>
    <row r="1167" spans="1:2">
      <c r="A1167" s="3">
        <f ca="1">IFERROR(__xludf.DUMMYFUNCTION("""COMPUTED_VALUE"""),40044.6666666666)</f>
        <v>40044.666666666599</v>
      </c>
      <c r="B1167" s="1">
        <f ca="1">IFERROR(__xludf.DUMMYFUNCTION("""COMPUTED_VALUE"""),23.65)</f>
        <v>23.65</v>
      </c>
    </row>
    <row r="1168" spans="1:2">
      <c r="A1168" s="3">
        <f ca="1">IFERROR(__xludf.DUMMYFUNCTION("""COMPUTED_VALUE"""),40045.6666666666)</f>
        <v>40045.666666666599</v>
      </c>
      <c r="B1168" s="1">
        <f ca="1">IFERROR(__xludf.DUMMYFUNCTION("""COMPUTED_VALUE"""),23.67)</f>
        <v>23.67</v>
      </c>
    </row>
    <row r="1169" spans="1:2">
      <c r="A1169" s="3">
        <f ca="1">IFERROR(__xludf.DUMMYFUNCTION("""COMPUTED_VALUE"""),40046.6666666666)</f>
        <v>40046.666666666599</v>
      </c>
      <c r="B1169" s="1">
        <f ca="1">IFERROR(__xludf.DUMMYFUNCTION("""COMPUTED_VALUE"""),24.41)</f>
        <v>24.41</v>
      </c>
    </row>
    <row r="1170" spans="1:2">
      <c r="A1170" s="3">
        <f ca="1">IFERROR(__xludf.DUMMYFUNCTION("""COMPUTED_VALUE"""),40049.6666666666)</f>
        <v>40049.666666666599</v>
      </c>
      <c r="B1170" s="1">
        <f ca="1">IFERROR(__xludf.DUMMYFUNCTION("""COMPUTED_VALUE"""),24.64)</f>
        <v>24.64</v>
      </c>
    </row>
    <row r="1171" spans="1:2">
      <c r="A1171" s="3">
        <f ca="1">IFERROR(__xludf.DUMMYFUNCTION("""COMPUTED_VALUE"""),40050.6666666666)</f>
        <v>40050.666666666599</v>
      </c>
      <c r="B1171" s="1">
        <f ca="1">IFERROR(__xludf.DUMMYFUNCTION("""COMPUTED_VALUE"""),24.64)</f>
        <v>24.64</v>
      </c>
    </row>
    <row r="1172" spans="1:2">
      <c r="A1172" s="3">
        <f ca="1">IFERROR(__xludf.DUMMYFUNCTION("""COMPUTED_VALUE"""),40051.6666666666)</f>
        <v>40051.666666666599</v>
      </c>
      <c r="B1172" s="1">
        <f ca="1">IFERROR(__xludf.DUMMYFUNCTION("""COMPUTED_VALUE"""),24.55)</f>
        <v>24.55</v>
      </c>
    </row>
    <row r="1173" spans="1:2">
      <c r="A1173" s="3">
        <f ca="1">IFERROR(__xludf.DUMMYFUNCTION("""COMPUTED_VALUE"""),40052.6666666666)</f>
        <v>40052.666666666599</v>
      </c>
      <c r="B1173" s="1">
        <f ca="1">IFERROR(__xludf.DUMMYFUNCTION("""COMPUTED_VALUE"""),24.69)</f>
        <v>24.69</v>
      </c>
    </row>
    <row r="1174" spans="1:2">
      <c r="A1174" s="3">
        <f ca="1">IFERROR(__xludf.DUMMYFUNCTION("""COMPUTED_VALUE"""),40053.6666666666)</f>
        <v>40053.666666666599</v>
      </c>
      <c r="B1174" s="1">
        <f ca="1">IFERROR(__xludf.DUMMYFUNCTION("""COMPUTED_VALUE"""),24.68)</f>
        <v>24.68</v>
      </c>
    </row>
    <row r="1175" spans="1:2">
      <c r="A1175" s="3">
        <f ca="1">IFERROR(__xludf.DUMMYFUNCTION("""COMPUTED_VALUE"""),40056.6666666666)</f>
        <v>40056.666666666599</v>
      </c>
      <c r="B1175" s="1">
        <f ca="1">IFERROR(__xludf.DUMMYFUNCTION("""COMPUTED_VALUE"""),24.65)</f>
        <v>24.65</v>
      </c>
    </row>
    <row r="1176" spans="1:2">
      <c r="A1176" s="3">
        <f ca="1">IFERROR(__xludf.DUMMYFUNCTION("""COMPUTED_VALUE"""),40057.6666666666)</f>
        <v>40057.666666666599</v>
      </c>
      <c r="B1176" s="1">
        <f ca="1">IFERROR(__xludf.DUMMYFUNCTION("""COMPUTED_VALUE"""),24)</f>
        <v>24</v>
      </c>
    </row>
    <row r="1177" spans="1:2">
      <c r="A1177" s="3">
        <f ca="1">IFERROR(__xludf.DUMMYFUNCTION("""COMPUTED_VALUE"""),40058.6666666666)</f>
        <v>40058.666666666599</v>
      </c>
      <c r="B1177" s="1">
        <f ca="1">IFERROR(__xludf.DUMMYFUNCTION("""COMPUTED_VALUE"""),23.86)</f>
        <v>23.86</v>
      </c>
    </row>
    <row r="1178" spans="1:2">
      <c r="A1178" s="3">
        <f ca="1">IFERROR(__xludf.DUMMYFUNCTION("""COMPUTED_VALUE"""),40059.6666666666)</f>
        <v>40059.666666666599</v>
      </c>
      <c r="B1178" s="1">
        <f ca="1">IFERROR(__xludf.DUMMYFUNCTION("""COMPUTED_VALUE"""),24.11)</f>
        <v>24.11</v>
      </c>
    </row>
    <row r="1179" spans="1:2">
      <c r="A1179" s="3">
        <f ca="1">IFERROR(__xludf.DUMMYFUNCTION("""COMPUTED_VALUE"""),40060.6666666666)</f>
        <v>40060.666666666599</v>
      </c>
      <c r="B1179" s="1">
        <f ca="1">IFERROR(__xludf.DUMMYFUNCTION("""COMPUTED_VALUE"""),24.62)</f>
        <v>24.62</v>
      </c>
    </row>
    <row r="1180" spans="1:2">
      <c r="A1180" s="3">
        <f ca="1">IFERROR(__xludf.DUMMYFUNCTION("""COMPUTED_VALUE"""),40064.6666666666)</f>
        <v>40064.666666666599</v>
      </c>
      <c r="B1180" s="1">
        <f ca="1">IFERROR(__xludf.DUMMYFUNCTION("""COMPUTED_VALUE"""),24.82)</f>
        <v>24.82</v>
      </c>
    </row>
    <row r="1181" spans="1:2">
      <c r="A1181" s="3">
        <f ca="1">IFERROR(__xludf.DUMMYFUNCTION("""COMPUTED_VALUE"""),40065.6666666666)</f>
        <v>40065.666666666599</v>
      </c>
      <c r="B1181" s="1">
        <f ca="1">IFERROR(__xludf.DUMMYFUNCTION("""COMPUTED_VALUE"""),24.78)</f>
        <v>24.78</v>
      </c>
    </row>
    <row r="1182" spans="1:2">
      <c r="A1182" s="3">
        <f ca="1">IFERROR(__xludf.DUMMYFUNCTION("""COMPUTED_VALUE"""),40066.6666666666)</f>
        <v>40066.666666666599</v>
      </c>
      <c r="B1182" s="1">
        <f ca="1">IFERROR(__xludf.DUMMYFUNCTION("""COMPUTED_VALUE"""),25)</f>
        <v>25</v>
      </c>
    </row>
    <row r="1183" spans="1:2">
      <c r="A1183" s="3">
        <f ca="1">IFERROR(__xludf.DUMMYFUNCTION("""COMPUTED_VALUE"""),40067.6666666666)</f>
        <v>40067.666666666599</v>
      </c>
      <c r="B1183" s="1">
        <f ca="1">IFERROR(__xludf.DUMMYFUNCTION("""COMPUTED_VALUE"""),24.86)</f>
        <v>24.86</v>
      </c>
    </row>
    <row r="1184" spans="1:2">
      <c r="A1184" s="3">
        <f ca="1">IFERROR(__xludf.DUMMYFUNCTION("""COMPUTED_VALUE"""),40070.6666666666)</f>
        <v>40070.666666666599</v>
      </c>
      <c r="B1184" s="1">
        <f ca="1">IFERROR(__xludf.DUMMYFUNCTION("""COMPUTED_VALUE"""),25)</f>
        <v>25</v>
      </c>
    </row>
    <row r="1185" spans="1:2">
      <c r="A1185" s="3">
        <f ca="1">IFERROR(__xludf.DUMMYFUNCTION("""COMPUTED_VALUE"""),40071.6666666666)</f>
        <v>40071.666666666599</v>
      </c>
      <c r="B1185" s="1">
        <f ca="1">IFERROR(__xludf.DUMMYFUNCTION("""COMPUTED_VALUE"""),25.2)</f>
        <v>25.2</v>
      </c>
    </row>
    <row r="1186" spans="1:2">
      <c r="A1186" s="3">
        <f ca="1">IFERROR(__xludf.DUMMYFUNCTION("""COMPUTED_VALUE"""),40072.6666666666)</f>
        <v>40072.666666666599</v>
      </c>
      <c r="B1186" s="1">
        <f ca="1">IFERROR(__xludf.DUMMYFUNCTION("""COMPUTED_VALUE"""),25.2)</f>
        <v>25.2</v>
      </c>
    </row>
    <row r="1187" spans="1:2">
      <c r="A1187" s="3">
        <f ca="1">IFERROR(__xludf.DUMMYFUNCTION("""COMPUTED_VALUE"""),40073.6666666666)</f>
        <v>40073.666666666599</v>
      </c>
      <c r="B1187" s="1">
        <f ca="1">IFERROR(__xludf.DUMMYFUNCTION("""COMPUTED_VALUE"""),25.3)</f>
        <v>25.3</v>
      </c>
    </row>
    <row r="1188" spans="1:2">
      <c r="A1188" s="3">
        <f ca="1">IFERROR(__xludf.DUMMYFUNCTION("""COMPUTED_VALUE"""),40074.6666666666)</f>
        <v>40074.666666666599</v>
      </c>
      <c r="B1188" s="1">
        <f ca="1">IFERROR(__xludf.DUMMYFUNCTION("""COMPUTED_VALUE"""),25.26)</f>
        <v>25.26</v>
      </c>
    </row>
    <row r="1189" spans="1:2">
      <c r="A1189" s="3">
        <f ca="1">IFERROR(__xludf.DUMMYFUNCTION("""COMPUTED_VALUE"""),40077.6666666666)</f>
        <v>40077.666666666599</v>
      </c>
      <c r="B1189" s="1">
        <f ca="1">IFERROR(__xludf.DUMMYFUNCTION("""COMPUTED_VALUE"""),25.3)</f>
        <v>25.3</v>
      </c>
    </row>
    <row r="1190" spans="1:2">
      <c r="A1190" s="3">
        <f ca="1">IFERROR(__xludf.DUMMYFUNCTION("""COMPUTED_VALUE"""),40078.6666666666)</f>
        <v>40078.666666666599</v>
      </c>
      <c r="B1190" s="1">
        <f ca="1">IFERROR(__xludf.DUMMYFUNCTION("""COMPUTED_VALUE"""),25.77)</f>
        <v>25.77</v>
      </c>
    </row>
    <row r="1191" spans="1:2">
      <c r="A1191" s="3">
        <f ca="1">IFERROR(__xludf.DUMMYFUNCTION("""COMPUTED_VALUE"""),40079.6666666666)</f>
        <v>40079.666666666599</v>
      </c>
      <c r="B1191" s="1">
        <f ca="1">IFERROR(__xludf.DUMMYFUNCTION("""COMPUTED_VALUE"""),25.71)</f>
        <v>25.71</v>
      </c>
    </row>
    <row r="1192" spans="1:2">
      <c r="A1192" s="3">
        <f ca="1">IFERROR(__xludf.DUMMYFUNCTION("""COMPUTED_VALUE"""),40080.6666666666)</f>
        <v>40080.666666666599</v>
      </c>
      <c r="B1192" s="1">
        <f ca="1">IFERROR(__xludf.DUMMYFUNCTION("""COMPUTED_VALUE"""),25.94)</f>
        <v>25.94</v>
      </c>
    </row>
    <row r="1193" spans="1:2">
      <c r="A1193" s="3">
        <f ca="1">IFERROR(__xludf.DUMMYFUNCTION("""COMPUTED_VALUE"""),40081.6666666666)</f>
        <v>40081.666666666599</v>
      </c>
      <c r="B1193" s="1">
        <f ca="1">IFERROR(__xludf.DUMMYFUNCTION("""COMPUTED_VALUE"""),25.55)</f>
        <v>25.55</v>
      </c>
    </row>
    <row r="1194" spans="1:2">
      <c r="A1194" s="3">
        <f ca="1">IFERROR(__xludf.DUMMYFUNCTION("""COMPUTED_VALUE"""),40084.6666666666)</f>
        <v>40084.666666666599</v>
      </c>
      <c r="B1194" s="1">
        <f ca="1">IFERROR(__xludf.DUMMYFUNCTION("""COMPUTED_VALUE"""),25.83)</f>
        <v>25.83</v>
      </c>
    </row>
    <row r="1195" spans="1:2">
      <c r="A1195" s="3">
        <f ca="1">IFERROR(__xludf.DUMMYFUNCTION("""COMPUTED_VALUE"""),40085.6666666666)</f>
        <v>40085.666666666599</v>
      </c>
      <c r="B1195" s="1">
        <f ca="1">IFERROR(__xludf.DUMMYFUNCTION("""COMPUTED_VALUE"""),25.75)</f>
        <v>25.75</v>
      </c>
    </row>
    <row r="1196" spans="1:2">
      <c r="A1196" s="3">
        <f ca="1">IFERROR(__xludf.DUMMYFUNCTION("""COMPUTED_VALUE"""),40086.6666666666)</f>
        <v>40086.666666666599</v>
      </c>
      <c r="B1196" s="1">
        <f ca="1">IFERROR(__xludf.DUMMYFUNCTION("""COMPUTED_VALUE"""),25.72)</f>
        <v>25.72</v>
      </c>
    </row>
    <row r="1197" spans="1:2">
      <c r="A1197" s="3">
        <f ca="1">IFERROR(__xludf.DUMMYFUNCTION("""COMPUTED_VALUE"""),40087.6666666666)</f>
        <v>40087.666666666599</v>
      </c>
      <c r="B1197" s="1">
        <f ca="1">IFERROR(__xludf.DUMMYFUNCTION("""COMPUTED_VALUE"""),24.88)</f>
        <v>24.88</v>
      </c>
    </row>
    <row r="1198" spans="1:2">
      <c r="A1198" s="3">
        <f ca="1">IFERROR(__xludf.DUMMYFUNCTION("""COMPUTED_VALUE"""),40088.6666666666)</f>
        <v>40088.666666666599</v>
      </c>
      <c r="B1198" s="1">
        <f ca="1">IFERROR(__xludf.DUMMYFUNCTION("""COMPUTED_VALUE"""),24.96)</f>
        <v>24.96</v>
      </c>
    </row>
    <row r="1199" spans="1:2">
      <c r="A1199" s="3">
        <f ca="1">IFERROR(__xludf.DUMMYFUNCTION("""COMPUTED_VALUE"""),40091.6666666666)</f>
        <v>40091.666666666599</v>
      </c>
      <c r="B1199" s="1">
        <f ca="1">IFERROR(__xludf.DUMMYFUNCTION("""COMPUTED_VALUE"""),24.64)</f>
        <v>24.64</v>
      </c>
    </row>
    <row r="1200" spans="1:2">
      <c r="A1200" s="3">
        <f ca="1">IFERROR(__xludf.DUMMYFUNCTION("""COMPUTED_VALUE"""),40092.6666666666)</f>
        <v>40092.666666666599</v>
      </c>
      <c r="B1200" s="1">
        <f ca="1">IFERROR(__xludf.DUMMYFUNCTION("""COMPUTED_VALUE"""),25.11)</f>
        <v>25.11</v>
      </c>
    </row>
    <row r="1201" spans="1:2">
      <c r="A1201" s="3">
        <f ca="1">IFERROR(__xludf.DUMMYFUNCTION("""COMPUTED_VALUE"""),40093.6666666666)</f>
        <v>40093.666666666599</v>
      </c>
      <c r="B1201" s="1">
        <f ca="1">IFERROR(__xludf.DUMMYFUNCTION("""COMPUTED_VALUE"""),25.1)</f>
        <v>25.1</v>
      </c>
    </row>
    <row r="1202" spans="1:2">
      <c r="A1202" s="3">
        <f ca="1">IFERROR(__xludf.DUMMYFUNCTION("""COMPUTED_VALUE"""),40094.6666666666)</f>
        <v>40094.666666666599</v>
      </c>
      <c r="B1202" s="1">
        <f ca="1">IFERROR(__xludf.DUMMYFUNCTION("""COMPUTED_VALUE"""),25.67)</f>
        <v>25.67</v>
      </c>
    </row>
    <row r="1203" spans="1:2">
      <c r="A1203" s="3">
        <f ca="1">IFERROR(__xludf.DUMMYFUNCTION("""COMPUTED_VALUE"""),40095.6666666666)</f>
        <v>40095.666666666599</v>
      </c>
      <c r="B1203" s="1">
        <f ca="1">IFERROR(__xludf.DUMMYFUNCTION("""COMPUTED_VALUE"""),25.55)</f>
        <v>25.55</v>
      </c>
    </row>
    <row r="1204" spans="1:2">
      <c r="A1204" s="3">
        <f ca="1">IFERROR(__xludf.DUMMYFUNCTION("""COMPUTED_VALUE"""),40098.6666666666)</f>
        <v>40098.666666666599</v>
      </c>
      <c r="B1204" s="1">
        <f ca="1">IFERROR(__xludf.DUMMYFUNCTION("""COMPUTED_VALUE"""),25.72)</f>
        <v>25.72</v>
      </c>
    </row>
    <row r="1205" spans="1:2">
      <c r="A1205" s="3">
        <f ca="1">IFERROR(__xludf.DUMMYFUNCTION("""COMPUTED_VALUE"""),40099.6666666666)</f>
        <v>40099.666666666599</v>
      </c>
      <c r="B1205" s="1">
        <f ca="1">IFERROR(__xludf.DUMMYFUNCTION("""COMPUTED_VALUE"""),25.81)</f>
        <v>25.81</v>
      </c>
    </row>
    <row r="1206" spans="1:2">
      <c r="A1206" s="3">
        <f ca="1">IFERROR(__xludf.DUMMYFUNCTION("""COMPUTED_VALUE"""),40100.6666666666)</f>
        <v>40100.666666666599</v>
      </c>
      <c r="B1206" s="1">
        <f ca="1">IFERROR(__xludf.DUMMYFUNCTION("""COMPUTED_VALUE"""),25.96)</f>
        <v>25.96</v>
      </c>
    </row>
    <row r="1207" spans="1:2">
      <c r="A1207" s="3">
        <f ca="1">IFERROR(__xludf.DUMMYFUNCTION("""COMPUTED_VALUE"""),40101.6666666666)</f>
        <v>40101.666666666599</v>
      </c>
      <c r="B1207" s="1">
        <f ca="1">IFERROR(__xludf.DUMMYFUNCTION("""COMPUTED_VALUE"""),26.71)</f>
        <v>26.71</v>
      </c>
    </row>
    <row r="1208" spans="1:2">
      <c r="A1208" s="3">
        <f ca="1">IFERROR(__xludf.DUMMYFUNCTION("""COMPUTED_VALUE"""),40102.6666666666)</f>
        <v>40102.666666666599</v>
      </c>
      <c r="B1208" s="1">
        <f ca="1">IFERROR(__xludf.DUMMYFUNCTION("""COMPUTED_VALUE"""),26.5)</f>
        <v>26.5</v>
      </c>
    </row>
    <row r="1209" spans="1:2">
      <c r="A1209" s="3">
        <f ca="1">IFERROR(__xludf.DUMMYFUNCTION("""COMPUTED_VALUE"""),40105.6666666666)</f>
        <v>40105.666666666599</v>
      </c>
      <c r="B1209" s="1">
        <f ca="1">IFERROR(__xludf.DUMMYFUNCTION("""COMPUTED_VALUE"""),26.36)</f>
        <v>26.36</v>
      </c>
    </row>
    <row r="1210" spans="1:2">
      <c r="A1210" s="3">
        <f ca="1">IFERROR(__xludf.DUMMYFUNCTION("""COMPUTED_VALUE"""),40106.6666666666)</f>
        <v>40106.666666666599</v>
      </c>
      <c r="B1210" s="1">
        <f ca="1">IFERROR(__xludf.DUMMYFUNCTION("""COMPUTED_VALUE"""),26.37)</f>
        <v>26.37</v>
      </c>
    </row>
    <row r="1211" spans="1:2">
      <c r="A1211" s="3">
        <f ca="1">IFERROR(__xludf.DUMMYFUNCTION("""COMPUTED_VALUE"""),40107.6666666666)</f>
        <v>40107.666666666599</v>
      </c>
      <c r="B1211" s="1">
        <f ca="1">IFERROR(__xludf.DUMMYFUNCTION("""COMPUTED_VALUE"""),26.58)</f>
        <v>26.58</v>
      </c>
    </row>
    <row r="1212" spans="1:2">
      <c r="A1212" s="3">
        <f ca="1">IFERROR(__xludf.DUMMYFUNCTION("""COMPUTED_VALUE"""),40108.6666666666)</f>
        <v>40108.666666666599</v>
      </c>
      <c r="B1212" s="1">
        <f ca="1">IFERROR(__xludf.DUMMYFUNCTION("""COMPUTED_VALUE"""),26.59)</f>
        <v>26.59</v>
      </c>
    </row>
    <row r="1213" spans="1:2">
      <c r="A1213" s="3">
        <f ca="1">IFERROR(__xludf.DUMMYFUNCTION("""COMPUTED_VALUE"""),40109.6666666666)</f>
        <v>40109.666666666599</v>
      </c>
      <c r="B1213" s="1">
        <f ca="1">IFERROR(__xludf.DUMMYFUNCTION("""COMPUTED_VALUE"""),28.02)</f>
        <v>28.02</v>
      </c>
    </row>
    <row r="1214" spans="1:2">
      <c r="A1214" s="3">
        <f ca="1">IFERROR(__xludf.DUMMYFUNCTION("""COMPUTED_VALUE"""),40112.6666666666)</f>
        <v>40112.666666666599</v>
      </c>
      <c r="B1214" s="1">
        <f ca="1">IFERROR(__xludf.DUMMYFUNCTION("""COMPUTED_VALUE"""),28.68)</f>
        <v>28.68</v>
      </c>
    </row>
    <row r="1215" spans="1:2">
      <c r="A1215" s="3">
        <f ca="1">IFERROR(__xludf.DUMMYFUNCTION("""COMPUTED_VALUE"""),40113.6666666666)</f>
        <v>40113.666666666599</v>
      </c>
      <c r="B1215" s="1">
        <f ca="1">IFERROR(__xludf.DUMMYFUNCTION("""COMPUTED_VALUE"""),28.59)</f>
        <v>28.59</v>
      </c>
    </row>
    <row r="1216" spans="1:2">
      <c r="A1216" s="3">
        <f ca="1">IFERROR(__xludf.DUMMYFUNCTION("""COMPUTED_VALUE"""),40114.6666666666)</f>
        <v>40114.666666666599</v>
      </c>
      <c r="B1216" s="1">
        <f ca="1">IFERROR(__xludf.DUMMYFUNCTION("""COMPUTED_VALUE"""),28.02)</f>
        <v>28.02</v>
      </c>
    </row>
    <row r="1217" spans="1:2">
      <c r="A1217" s="3">
        <f ca="1">IFERROR(__xludf.DUMMYFUNCTION("""COMPUTED_VALUE"""),40115.6666666666)</f>
        <v>40115.666666666599</v>
      </c>
      <c r="B1217" s="1">
        <f ca="1">IFERROR(__xludf.DUMMYFUNCTION("""COMPUTED_VALUE"""),28.22)</f>
        <v>28.22</v>
      </c>
    </row>
    <row r="1218" spans="1:2">
      <c r="A1218" s="3">
        <f ca="1">IFERROR(__xludf.DUMMYFUNCTION("""COMPUTED_VALUE"""),40116.6666666666)</f>
        <v>40116.666666666599</v>
      </c>
      <c r="B1218" s="1">
        <f ca="1">IFERROR(__xludf.DUMMYFUNCTION("""COMPUTED_VALUE"""),27.73)</f>
        <v>27.73</v>
      </c>
    </row>
    <row r="1219" spans="1:2">
      <c r="A1219" s="3">
        <f ca="1">IFERROR(__xludf.DUMMYFUNCTION("""COMPUTED_VALUE"""),40119.6666666666)</f>
        <v>40119.666666666599</v>
      </c>
      <c r="B1219" s="1">
        <f ca="1">IFERROR(__xludf.DUMMYFUNCTION("""COMPUTED_VALUE"""),27.88)</f>
        <v>27.88</v>
      </c>
    </row>
    <row r="1220" spans="1:2">
      <c r="A1220" s="3">
        <f ca="1">IFERROR(__xludf.DUMMYFUNCTION("""COMPUTED_VALUE"""),40120.6666666666)</f>
        <v>40120.666666666599</v>
      </c>
      <c r="B1220" s="1">
        <f ca="1">IFERROR(__xludf.DUMMYFUNCTION("""COMPUTED_VALUE"""),27.53)</f>
        <v>27.53</v>
      </c>
    </row>
    <row r="1221" spans="1:2">
      <c r="A1221" s="3">
        <f ca="1">IFERROR(__xludf.DUMMYFUNCTION("""COMPUTED_VALUE"""),40121.6666666666)</f>
        <v>40121.666666666599</v>
      </c>
      <c r="B1221" s="1">
        <f ca="1">IFERROR(__xludf.DUMMYFUNCTION("""COMPUTED_VALUE"""),28.06)</f>
        <v>28.06</v>
      </c>
    </row>
    <row r="1222" spans="1:2">
      <c r="A1222" s="3">
        <f ca="1">IFERROR(__xludf.DUMMYFUNCTION("""COMPUTED_VALUE"""),40122.6666666666)</f>
        <v>40122.666666666599</v>
      </c>
      <c r="B1222" s="1">
        <f ca="1">IFERROR(__xludf.DUMMYFUNCTION("""COMPUTED_VALUE"""),28.47)</f>
        <v>28.47</v>
      </c>
    </row>
    <row r="1223" spans="1:2">
      <c r="A1223" s="3">
        <f ca="1">IFERROR(__xludf.DUMMYFUNCTION("""COMPUTED_VALUE"""),40123.6666666666)</f>
        <v>40123.666666666599</v>
      </c>
      <c r="B1223" s="1">
        <f ca="1">IFERROR(__xludf.DUMMYFUNCTION("""COMPUTED_VALUE"""),28.52)</f>
        <v>28.52</v>
      </c>
    </row>
    <row r="1224" spans="1:2">
      <c r="A1224" s="3">
        <f ca="1">IFERROR(__xludf.DUMMYFUNCTION("""COMPUTED_VALUE"""),40126.6666666666)</f>
        <v>40126.666666666599</v>
      </c>
      <c r="B1224" s="1">
        <f ca="1">IFERROR(__xludf.DUMMYFUNCTION("""COMPUTED_VALUE"""),28.99)</f>
        <v>28.99</v>
      </c>
    </row>
    <row r="1225" spans="1:2">
      <c r="A1225" s="3">
        <f ca="1">IFERROR(__xludf.DUMMYFUNCTION("""COMPUTED_VALUE"""),40127.6666666666)</f>
        <v>40127.666666666599</v>
      </c>
      <c r="B1225" s="1">
        <f ca="1">IFERROR(__xludf.DUMMYFUNCTION("""COMPUTED_VALUE"""),29.01)</f>
        <v>29.01</v>
      </c>
    </row>
    <row r="1226" spans="1:2">
      <c r="A1226" s="3">
        <f ca="1">IFERROR(__xludf.DUMMYFUNCTION("""COMPUTED_VALUE"""),40128.6666666666)</f>
        <v>40128.666666666599</v>
      </c>
      <c r="B1226" s="1">
        <f ca="1">IFERROR(__xludf.DUMMYFUNCTION("""COMPUTED_VALUE"""),29.12)</f>
        <v>29.12</v>
      </c>
    </row>
    <row r="1227" spans="1:2">
      <c r="A1227" s="3">
        <f ca="1">IFERROR(__xludf.DUMMYFUNCTION("""COMPUTED_VALUE"""),40129.6666666666)</f>
        <v>40129.666666666599</v>
      </c>
      <c r="B1227" s="1">
        <f ca="1">IFERROR(__xludf.DUMMYFUNCTION("""COMPUTED_VALUE"""),29.36)</f>
        <v>29.36</v>
      </c>
    </row>
    <row r="1228" spans="1:2">
      <c r="A1228" s="3">
        <f ca="1">IFERROR(__xludf.DUMMYFUNCTION("""COMPUTED_VALUE"""),40130.6666666666)</f>
        <v>40130.666666666599</v>
      </c>
      <c r="B1228" s="1">
        <f ca="1">IFERROR(__xludf.DUMMYFUNCTION("""COMPUTED_VALUE"""),29.63)</f>
        <v>29.63</v>
      </c>
    </row>
    <row r="1229" spans="1:2">
      <c r="A1229" s="3">
        <f ca="1">IFERROR(__xludf.DUMMYFUNCTION("""COMPUTED_VALUE"""),40133.6666666666)</f>
        <v>40133.666666666599</v>
      </c>
      <c r="B1229" s="1">
        <f ca="1">IFERROR(__xludf.DUMMYFUNCTION("""COMPUTED_VALUE"""),29.54)</f>
        <v>29.54</v>
      </c>
    </row>
    <row r="1230" spans="1:2">
      <c r="A1230" s="3">
        <f ca="1">IFERROR(__xludf.DUMMYFUNCTION("""COMPUTED_VALUE"""),40134.6666666666)</f>
        <v>40134.666666666599</v>
      </c>
      <c r="B1230" s="1">
        <f ca="1">IFERROR(__xludf.DUMMYFUNCTION("""COMPUTED_VALUE"""),30)</f>
        <v>30</v>
      </c>
    </row>
    <row r="1231" spans="1:2">
      <c r="A1231" s="3">
        <f ca="1">IFERROR(__xludf.DUMMYFUNCTION("""COMPUTED_VALUE"""),40135.6666666666)</f>
        <v>40135.666666666599</v>
      </c>
      <c r="B1231" s="1">
        <f ca="1">IFERROR(__xludf.DUMMYFUNCTION("""COMPUTED_VALUE"""),30.11)</f>
        <v>30.11</v>
      </c>
    </row>
    <row r="1232" spans="1:2">
      <c r="A1232" s="3">
        <f ca="1">IFERROR(__xludf.DUMMYFUNCTION("""COMPUTED_VALUE"""),40136.6666666666)</f>
        <v>40136.666666666599</v>
      </c>
      <c r="B1232" s="1">
        <f ca="1">IFERROR(__xludf.DUMMYFUNCTION("""COMPUTED_VALUE"""),29.78)</f>
        <v>29.78</v>
      </c>
    </row>
    <row r="1233" spans="1:2">
      <c r="A1233" s="3">
        <f ca="1">IFERROR(__xludf.DUMMYFUNCTION("""COMPUTED_VALUE"""),40137.6666666666)</f>
        <v>40137.666666666599</v>
      </c>
      <c r="B1233" s="1">
        <f ca="1">IFERROR(__xludf.DUMMYFUNCTION("""COMPUTED_VALUE"""),29.62)</f>
        <v>29.62</v>
      </c>
    </row>
    <row r="1234" spans="1:2">
      <c r="A1234" s="3">
        <f ca="1">IFERROR(__xludf.DUMMYFUNCTION("""COMPUTED_VALUE"""),40140.6666666666)</f>
        <v>40140.666666666599</v>
      </c>
      <c r="B1234" s="1">
        <f ca="1">IFERROR(__xludf.DUMMYFUNCTION("""COMPUTED_VALUE"""),29.94)</f>
        <v>29.94</v>
      </c>
    </row>
    <row r="1235" spans="1:2">
      <c r="A1235" s="3">
        <f ca="1">IFERROR(__xludf.DUMMYFUNCTION("""COMPUTED_VALUE"""),40141.6666666666)</f>
        <v>40141.666666666599</v>
      </c>
      <c r="B1235" s="1">
        <f ca="1">IFERROR(__xludf.DUMMYFUNCTION("""COMPUTED_VALUE"""),29.91)</f>
        <v>29.91</v>
      </c>
    </row>
    <row r="1236" spans="1:2">
      <c r="A1236" s="3">
        <f ca="1">IFERROR(__xludf.DUMMYFUNCTION("""COMPUTED_VALUE"""),40142.6666666666)</f>
        <v>40142.666666666599</v>
      </c>
      <c r="B1236" s="1">
        <f ca="1">IFERROR(__xludf.DUMMYFUNCTION("""COMPUTED_VALUE"""),29.79)</f>
        <v>29.79</v>
      </c>
    </row>
    <row r="1237" spans="1:2">
      <c r="A1237" s="3">
        <f ca="1">IFERROR(__xludf.DUMMYFUNCTION("""COMPUTED_VALUE"""),40144.6666666666)</f>
        <v>40144.666666666599</v>
      </c>
      <c r="B1237" s="1">
        <f ca="1">IFERROR(__xludf.DUMMYFUNCTION("""COMPUTED_VALUE"""),29.22)</f>
        <v>29.22</v>
      </c>
    </row>
    <row r="1238" spans="1:2">
      <c r="A1238" s="3">
        <f ca="1">IFERROR(__xludf.DUMMYFUNCTION("""COMPUTED_VALUE"""),40147.6666666666)</f>
        <v>40147.666666666599</v>
      </c>
      <c r="B1238" s="1">
        <f ca="1">IFERROR(__xludf.DUMMYFUNCTION("""COMPUTED_VALUE"""),29.41)</f>
        <v>29.41</v>
      </c>
    </row>
    <row r="1239" spans="1:2">
      <c r="A1239" s="3">
        <f ca="1">IFERROR(__xludf.DUMMYFUNCTION("""COMPUTED_VALUE"""),40148.6666666666)</f>
        <v>40148.666666666599</v>
      </c>
      <c r="B1239" s="1">
        <f ca="1">IFERROR(__xludf.DUMMYFUNCTION("""COMPUTED_VALUE"""),30.01)</f>
        <v>30.01</v>
      </c>
    </row>
    <row r="1240" spans="1:2">
      <c r="A1240" s="3">
        <f ca="1">IFERROR(__xludf.DUMMYFUNCTION("""COMPUTED_VALUE"""),40149.6666666666)</f>
        <v>40149.666666666599</v>
      </c>
      <c r="B1240" s="1">
        <f ca="1">IFERROR(__xludf.DUMMYFUNCTION("""COMPUTED_VALUE"""),29.78)</f>
        <v>29.78</v>
      </c>
    </row>
    <row r="1241" spans="1:2">
      <c r="A1241" s="3">
        <f ca="1">IFERROR(__xludf.DUMMYFUNCTION("""COMPUTED_VALUE"""),40150.6666666666)</f>
        <v>40150.666666666599</v>
      </c>
      <c r="B1241" s="1">
        <f ca="1">IFERROR(__xludf.DUMMYFUNCTION("""COMPUTED_VALUE"""),29.83)</f>
        <v>29.83</v>
      </c>
    </row>
    <row r="1242" spans="1:2">
      <c r="A1242" s="3">
        <f ca="1">IFERROR(__xludf.DUMMYFUNCTION("""COMPUTED_VALUE"""),40151.6666666666)</f>
        <v>40151.666666666599</v>
      </c>
      <c r="B1242" s="1">
        <f ca="1">IFERROR(__xludf.DUMMYFUNCTION("""COMPUTED_VALUE"""),29.98)</f>
        <v>29.98</v>
      </c>
    </row>
    <row r="1243" spans="1:2">
      <c r="A1243" s="3">
        <f ca="1">IFERROR(__xludf.DUMMYFUNCTION("""COMPUTED_VALUE"""),40154.6666666666)</f>
        <v>40154.666666666599</v>
      </c>
      <c r="B1243" s="1">
        <f ca="1">IFERROR(__xludf.DUMMYFUNCTION("""COMPUTED_VALUE"""),29.79)</f>
        <v>29.79</v>
      </c>
    </row>
    <row r="1244" spans="1:2">
      <c r="A1244" s="3">
        <f ca="1">IFERROR(__xludf.DUMMYFUNCTION("""COMPUTED_VALUE"""),40155.6666666666)</f>
        <v>40155.666666666599</v>
      </c>
      <c r="B1244" s="1">
        <f ca="1">IFERROR(__xludf.DUMMYFUNCTION("""COMPUTED_VALUE"""),29.57)</f>
        <v>29.57</v>
      </c>
    </row>
    <row r="1245" spans="1:2">
      <c r="A1245" s="3">
        <f ca="1">IFERROR(__xludf.DUMMYFUNCTION("""COMPUTED_VALUE"""),40156.6666666666)</f>
        <v>40156.666666666599</v>
      </c>
      <c r="B1245" s="1">
        <f ca="1">IFERROR(__xludf.DUMMYFUNCTION("""COMPUTED_VALUE"""),29.71)</f>
        <v>29.71</v>
      </c>
    </row>
    <row r="1246" spans="1:2">
      <c r="A1246" s="3">
        <f ca="1">IFERROR(__xludf.DUMMYFUNCTION("""COMPUTED_VALUE"""),40157.6666666666)</f>
        <v>40157.666666666599</v>
      </c>
      <c r="B1246" s="1">
        <f ca="1">IFERROR(__xludf.DUMMYFUNCTION("""COMPUTED_VALUE"""),29.87)</f>
        <v>29.87</v>
      </c>
    </row>
    <row r="1247" spans="1:2">
      <c r="A1247" s="3">
        <f ca="1">IFERROR(__xludf.DUMMYFUNCTION("""COMPUTED_VALUE"""),40158.6666666666)</f>
        <v>40158.666666666599</v>
      </c>
      <c r="B1247" s="1">
        <f ca="1">IFERROR(__xludf.DUMMYFUNCTION("""COMPUTED_VALUE"""),29.85)</f>
        <v>29.85</v>
      </c>
    </row>
    <row r="1248" spans="1:2">
      <c r="A1248" s="3">
        <f ca="1">IFERROR(__xludf.DUMMYFUNCTION("""COMPUTED_VALUE"""),40161.6666666666)</f>
        <v>40161.666666666599</v>
      </c>
      <c r="B1248" s="1">
        <f ca="1">IFERROR(__xludf.DUMMYFUNCTION("""COMPUTED_VALUE"""),30.11)</f>
        <v>30.11</v>
      </c>
    </row>
    <row r="1249" spans="1:2">
      <c r="A1249" s="3">
        <f ca="1">IFERROR(__xludf.DUMMYFUNCTION("""COMPUTED_VALUE"""),40162.6666666666)</f>
        <v>40162.666666666599</v>
      </c>
      <c r="B1249" s="1">
        <f ca="1">IFERROR(__xludf.DUMMYFUNCTION("""COMPUTED_VALUE"""),30.02)</f>
        <v>30.02</v>
      </c>
    </row>
    <row r="1250" spans="1:2">
      <c r="A1250" s="3">
        <f ca="1">IFERROR(__xludf.DUMMYFUNCTION("""COMPUTED_VALUE"""),40163.6666666666)</f>
        <v>40163.666666666599</v>
      </c>
      <c r="B1250" s="1">
        <f ca="1">IFERROR(__xludf.DUMMYFUNCTION("""COMPUTED_VALUE"""),30.1)</f>
        <v>30.1</v>
      </c>
    </row>
    <row r="1251" spans="1:2">
      <c r="A1251" s="3">
        <f ca="1">IFERROR(__xludf.DUMMYFUNCTION("""COMPUTED_VALUE"""),40164.6666666666)</f>
        <v>40164.666666666599</v>
      </c>
      <c r="B1251" s="1">
        <f ca="1">IFERROR(__xludf.DUMMYFUNCTION("""COMPUTED_VALUE"""),29.6)</f>
        <v>29.6</v>
      </c>
    </row>
    <row r="1252" spans="1:2">
      <c r="A1252" s="3">
        <f ca="1">IFERROR(__xludf.DUMMYFUNCTION("""COMPUTED_VALUE"""),40165.6666666666)</f>
        <v>40165.666666666599</v>
      </c>
      <c r="B1252" s="1">
        <f ca="1">IFERROR(__xludf.DUMMYFUNCTION("""COMPUTED_VALUE"""),30.36)</f>
        <v>30.36</v>
      </c>
    </row>
    <row r="1253" spans="1:2">
      <c r="A1253" s="3">
        <f ca="1">IFERROR(__xludf.DUMMYFUNCTION("""COMPUTED_VALUE"""),40168.6666666666)</f>
        <v>40168.666666666599</v>
      </c>
      <c r="B1253" s="1">
        <f ca="1">IFERROR(__xludf.DUMMYFUNCTION("""COMPUTED_VALUE"""),30.52)</f>
        <v>30.52</v>
      </c>
    </row>
    <row r="1254" spans="1:2">
      <c r="A1254" s="3">
        <f ca="1">IFERROR(__xludf.DUMMYFUNCTION("""COMPUTED_VALUE"""),40169.6666666666)</f>
        <v>40169.666666666599</v>
      </c>
      <c r="B1254" s="1">
        <f ca="1">IFERROR(__xludf.DUMMYFUNCTION("""COMPUTED_VALUE"""),30.82)</f>
        <v>30.82</v>
      </c>
    </row>
    <row r="1255" spans="1:2">
      <c r="A1255" s="3">
        <f ca="1">IFERROR(__xludf.DUMMYFUNCTION("""COMPUTED_VALUE"""),40170.6666666666)</f>
        <v>40170.666666666599</v>
      </c>
      <c r="B1255" s="1">
        <f ca="1">IFERROR(__xludf.DUMMYFUNCTION("""COMPUTED_VALUE"""),30.92)</f>
        <v>30.92</v>
      </c>
    </row>
    <row r="1256" spans="1:2">
      <c r="A1256" s="3">
        <f ca="1">IFERROR(__xludf.DUMMYFUNCTION("""COMPUTED_VALUE"""),40171.6666666666)</f>
        <v>40171.666666666599</v>
      </c>
      <c r="B1256" s="1">
        <f ca="1">IFERROR(__xludf.DUMMYFUNCTION("""COMPUTED_VALUE"""),31)</f>
        <v>31</v>
      </c>
    </row>
    <row r="1257" spans="1:2">
      <c r="A1257" s="3">
        <f ca="1">IFERROR(__xludf.DUMMYFUNCTION("""COMPUTED_VALUE"""),40175.6666666666)</f>
        <v>40175.666666666599</v>
      </c>
      <c r="B1257" s="1">
        <f ca="1">IFERROR(__xludf.DUMMYFUNCTION("""COMPUTED_VALUE"""),31.17)</f>
        <v>31.17</v>
      </c>
    </row>
    <row r="1258" spans="1:2">
      <c r="A1258" s="3">
        <f ca="1">IFERROR(__xludf.DUMMYFUNCTION("""COMPUTED_VALUE"""),40176.6666666666)</f>
        <v>40176.666666666599</v>
      </c>
      <c r="B1258" s="1">
        <f ca="1">IFERROR(__xludf.DUMMYFUNCTION("""COMPUTED_VALUE"""),31.39)</f>
        <v>31.39</v>
      </c>
    </row>
    <row r="1259" spans="1:2">
      <c r="A1259" s="3">
        <f ca="1">IFERROR(__xludf.DUMMYFUNCTION("""COMPUTED_VALUE"""),40177.6666666666)</f>
        <v>40177.666666666599</v>
      </c>
      <c r="B1259" s="1">
        <f ca="1">IFERROR(__xludf.DUMMYFUNCTION("""COMPUTED_VALUE"""),30.96)</f>
        <v>30.96</v>
      </c>
    </row>
    <row r="1260" spans="1:2">
      <c r="A1260" s="3">
        <f ca="1">IFERROR(__xludf.DUMMYFUNCTION("""COMPUTED_VALUE"""),40178.6666666666)</f>
        <v>40178.666666666599</v>
      </c>
      <c r="B1260" s="1">
        <f ca="1">IFERROR(__xludf.DUMMYFUNCTION("""COMPUTED_VALUE"""),30.48)</f>
        <v>30.48</v>
      </c>
    </row>
    <row r="1261" spans="1:2">
      <c r="A1261" s="3">
        <f ca="1">IFERROR(__xludf.DUMMYFUNCTION("""COMPUTED_VALUE"""),40182.6666666666)</f>
        <v>40182.666666666599</v>
      </c>
      <c r="B1261" s="1">
        <f ca="1">IFERROR(__xludf.DUMMYFUNCTION("""COMPUTED_VALUE"""),30.95)</f>
        <v>30.95</v>
      </c>
    </row>
    <row r="1262" spans="1:2">
      <c r="A1262" s="3">
        <f ca="1">IFERROR(__xludf.DUMMYFUNCTION("""COMPUTED_VALUE"""),40183.6666666666)</f>
        <v>40183.666666666599</v>
      </c>
      <c r="B1262" s="1">
        <f ca="1">IFERROR(__xludf.DUMMYFUNCTION("""COMPUTED_VALUE"""),30.96)</f>
        <v>30.96</v>
      </c>
    </row>
    <row r="1263" spans="1:2">
      <c r="A1263" s="3">
        <f ca="1">IFERROR(__xludf.DUMMYFUNCTION("""COMPUTED_VALUE"""),40184.6666666666)</f>
        <v>40184.666666666599</v>
      </c>
      <c r="B1263" s="1">
        <f ca="1">IFERROR(__xludf.DUMMYFUNCTION("""COMPUTED_VALUE"""),30.77)</f>
        <v>30.77</v>
      </c>
    </row>
    <row r="1264" spans="1:2">
      <c r="A1264" s="3">
        <f ca="1">IFERROR(__xludf.DUMMYFUNCTION("""COMPUTED_VALUE"""),40185.6666666666)</f>
        <v>40185.666666666599</v>
      </c>
      <c r="B1264" s="1">
        <f ca="1">IFERROR(__xludf.DUMMYFUNCTION("""COMPUTED_VALUE"""),30.45)</f>
        <v>30.45</v>
      </c>
    </row>
    <row r="1265" spans="1:2">
      <c r="A1265" s="3">
        <f ca="1">IFERROR(__xludf.DUMMYFUNCTION("""COMPUTED_VALUE"""),40186.6666666666)</f>
        <v>40186.666666666599</v>
      </c>
      <c r="B1265" s="1">
        <f ca="1">IFERROR(__xludf.DUMMYFUNCTION("""COMPUTED_VALUE"""),30.66)</f>
        <v>30.66</v>
      </c>
    </row>
    <row r="1266" spans="1:2">
      <c r="A1266" s="3">
        <f ca="1">IFERROR(__xludf.DUMMYFUNCTION("""COMPUTED_VALUE"""),40189.6666666666)</f>
        <v>40189.666666666599</v>
      </c>
      <c r="B1266" s="1">
        <f ca="1">IFERROR(__xludf.DUMMYFUNCTION("""COMPUTED_VALUE"""),30.27)</f>
        <v>30.27</v>
      </c>
    </row>
    <row r="1267" spans="1:2">
      <c r="A1267" s="3">
        <f ca="1">IFERROR(__xludf.DUMMYFUNCTION("""COMPUTED_VALUE"""),40190.6666666666)</f>
        <v>40190.666666666599</v>
      </c>
      <c r="B1267" s="1">
        <f ca="1">IFERROR(__xludf.DUMMYFUNCTION("""COMPUTED_VALUE"""),30.07)</f>
        <v>30.07</v>
      </c>
    </row>
    <row r="1268" spans="1:2">
      <c r="A1268" s="3">
        <f ca="1">IFERROR(__xludf.DUMMYFUNCTION("""COMPUTED_VALUE"""),40191.6666666666)</f>
        <v>40191.666666666599</v>
      </c>
      <c r="B1268" s="1">
        <f ca="1">IFERROR(__xludf.DUMMYFUNCTION("""COMPUTED_VALUE"""),30.35)</f>
        <v>30.35</v>
      </c>
    </row>
    <row r="1269" spans="1:2">
      <c r="A1269" s="3">
        <f ca="1">IFERROR(__xludf.DUMMYFUNCTION("""COMPUTED_VALUE"""),40192.6666666666)</f>
        <v>40192.666666666599</v>
      </c>
      <c r="B1269" s="1">
        <f ca="1">IFERROR(__xludf.DUMMYFUNCTION("""COMPUTED_VALUE"""),30.96)</f>
        <v>30.96</v>
      </c>
    </row>
    <row r="1270" spans="1:2">
      <c r="A1270" s="3">
        <f ca="1">IFERROR(__xludf.DUMMYFUNCTION("""COMPUTED_VALUE"""),40193.6666666666)</f>
        <v>40193.666666666599</v>
      </c>
      <c r="B1270" s="1">
        <f ca="1">IFERROR(__xludf.DUMMYFUNCTION("""COMPUTED_VALUE"""),30.86)</f>
        <v>30.86</v>
      </c>
    </row>
    <row r="1271" spans="1:2">
      <c r="A1271" s="3">
        <f ca="1">IFERROR(__xludf.DUMMYFUNCTION("""COMPUTED_VALUE"""),40197.6666666666)</f>
        <v>40197.666666666599</v>
      </c>
      <c r="B1271" s="1">
        <f ca="1">IFERROR(__xludf.DUMMYFUNCTION("""COMPUTED_VALUE"""),31.1)</f>
        <v>31.1</v>
      </c>
    </row>
    <row r="1272" spans="1:2">
      <c r="A1272" s="3">
        <f ca="1">IFERROR(__xludf.DUMMYFUNCTION("""COMPUTED_VALUE"""),40198.6666666666)</f>
        <v>40198.666666666599</v>
      </c>
      <c r="B1272" s="1">
        <f ca="1">IFERROR(__xludf.DUMMYFUNCTION("""COMPUTED_VALUE"""),30.59)</f>
        <v>30.59</v>
      </c>
    </row>
    <row r="1273" spans="1:2">
      <c r="A1273" s="3">
        <f ca="1">IFERROR(__xludf.DUMMYFUNCTION("""COMPUTED_VALUE"""),40199.6666666666)</f>
        <v>40199.666666666599</v>
      </c>
      <c r="B1273" s="1">
        <f ca="1">IFERROR(__xludf.DUMMYFUNCTION("""COMPUTED_VALUE"""),30.01)</f>
        <v>30.01</v>
      </c>
    </row>
    <row r="1274" spans="1:2">
      <c r="A1274" s="3">
        <f ca="1">IFERROR(__xludf.DUMMYFUNCTION("""COMPUTED_VALUE"""),40200.6666666666)</f>
        <v>40200.666666666599</v>
      </c>
      <c r="B1274" s="1">
        <f ca="1">IFERROR(__xludf.DUMMYFUNCTION("""COMPUTED_VALUE"""),28.96)</f>
        <v>28.96</v>
      </c>
    </row>
    <row r="1275" spans="1:2">
      <c r="A1275" s="3">
        <f ca="1">IFERROR(__xludf.DUMMYFUNCTION("""COMPUTED_VALUE"""),40203.6666666666)</f>
        <v>40203.666666666599</v>
      </c>
      <c r="B1275" s="1">
        <f ca="1">IFERROR(__xludf.DUMMYFUNCTION("""COMPUTED_VALUE"""),29.32)</f>
        <v>29.32</v>
      </c>
    </row>
    <row r="1276" spans="1:2">
      <c r="A1276" s="3">
        <f ca="1">IFERROR(__xludf.DUMMYFUNCTION("""COMPUTED_VALUE"""),40204.6666666666)</f>
        <v>40204.666666666599</v>
      </c>
      <c r="B1276" s="1">
        <f ca="1">IFERROR(__xludf.DUMMYFUNCTION("""COMPUTED_VALUE"""),29.5)</f>
        <v>29.5</v>
      </c>
    </row>
    <row r="1277" spans="1:2">
      <c r="A1277" s="3">
        <f ca="1">IFERROR(__xludf.DUMMYFUNCTION("""COMPUTED_VALUE"""),40205.6666666666)</f>
        <v>40205.666666666599</v>
      </c>
      <c r="B1277" s="1">
        <f ca="1">IFERROR(__xludf.DUMMYFUNCTION("""COMPUTED_VALUE"""),29.67)</f>
        <v>29.67</v>
      </c>
    </row>
    <row r="1278" spans="1:2">
      <c r="A1278" s="3">
        <f ca="1">IFERROR(__xludf.DUMMYFUNCTION("""COMPUTED_VALUE"""),40206.6666666666)</f>
        <v>40206.666666666599</v>
      </c>
      <c r="B1278" s="1">
        <f ca="1">IFERROR(__xludf.DUMMYFUNCTION("""COMPUTED_VALUE"""),29.16)</f>
        <v>29.16</v>
      </c>
    </row>
    <row r="1279" spans="1:2">
      <c r="A1279" s="3">
        <f ca="1">IFERROR(__xludf.DUMMYFUNCTION("""COMPUTED_VALUE"""),40207.6666666666)</f>
        <v>40207.666666666599</v>
      </c>
      <c r="B1279" s="1">
        <f ca="1">IFERROR(__xludf.DUMMYFUNCTION("""COMPUTED_VALUE"""),28.18)</f>
        <v>28.18</v>
      </c>
    </row>
    <row r="1280" spans="1:2">
      <c r="A1280" s="3">
        <f ca="1">IFERROR(__xludf.DUMMYFUNCTION("""COMPUTED_VALUE"""),40210.6666666666)</f>
        <v>40210.666666666599</v>
      </c>
      <c r="B1280" s="1">
        <f ca="1">IFERROR(__xludf.DUMMYFUNCTION("""COMPUTED_VALUE"""),28.41)</f>
        <v>28.41</v>
      </c>
    </row>
    <row r="1281" spans="1:2">
      <c r="A1281" s="3">
        <f ca="1">IFERROR(__xludf.DUMMYFUNCTION("""COMPUTED_VALUE"""),40211.6666666666)</f>
        <v>40211.666666666599</v>
      </c>
      <c r="B1281" s="1">
        <f ca="1">IFERROR(__xludf.DUMMYFUNCTION("""COMPUTED_VALUE"""),28.46)</f>
        <v>28.46</v>
      </c>
    </row>
    <row r="1282" spans="1:2">
      <c r="A1282" s="3">
        <f ca="1">IFERROR(__xludf.DUMMYFUNCTION("""COMPUTED_VALUE"""),40212.6666666666)</f>
        <v>40212.666666666599</v>
      </c>
      <c r="B1282" s="1">
        <f ca="1">IFERROR(__xludf.DUMMYFUNCTION("""COMPUTED_VALUE"""),28.63)</f>
        <v>28.63</v>
      </c>
    </row>
    <row r="1283" spans="1:2">
      <c r="A1283" s="3">
        <f ca="1">IFERROR(__xludf.DUMMYFUNCTION("""COMPUTED_VALUE"""),40213.6666666666)</f>
        <v>40213.666666666599</v>
      </c>
      <c r="B1283" s="1">
        <f ca="1">IFERROR(__xludf.DUMMYFUNCTION("""COMPUTED_VALUE"""),27.84)</f>
        <v>27.84</v>
      </c>
    </row>
    <row r="1284" spans="1:2">
      <c r="A1284" s="3">
        <f ca="1">IFERROR(__xludf.DUMMYFUNCTION("""COMPUTED_VALUE"""),40214.6666666666)</f>
        <v>40214.666666666599</v>
      </c>
      <c r="B1284" s="1">
        <f ca="1">IFERROR(__xludf.DUMMYFUNCTION("""COMPUTED_VALUE"""),28.02)</f>
        <v>28.02</v>
      </c>
    </row>
    <row r="1285" spans="1:2">
      <c r="A1285" s="3">
        <f ca="1">IFERROR(__xludf.DUMMYFUNCTION("""COMPUTED_VALUE"""),40217.6666666666)</f>
        <v>40217.666666666599</v>
      </c>
      <c r="B1285" s="1">
        <f ca="1">IFERROR(__xludf.DUMMYFUNCTION("""COMPUTED_VALUE"""),27.72)</f>
        <v>27.72</v>
      </c>
    </row>
    <row r="1286" spans="1:2">
      <c r="A1286" s="3">
        <f ca="1">IFERROR(__xludf.DUMMYFUNCTION("""COMPUTED_VALUE"""),40218.6666666666)</f>
        <v>40218.666666666599</v>
      </c>
      <c r="B1286" s="1">
        <f ca="1">IFERROR(__xludf.DUMMYFUNCTION("""COMPUTED_VALUE"""),28.01)</f>
        <v>28.01</v>
      </c>
    </row>
    <row r="1287" spans="1:2">
      <c r="A1287" s="3">
        <f ca="1">IFERROR(__xludf.DUMMYFUNCTION("""COMPUTED_VALUE"""),40219.6666666666)</f>
        <v>40219.666666666599</v>
      </c>
      <c r="B1287" s="1">
        <f ca="1">IFERROR(__xludf.DUMMYFUNCTION("""COMPUTED_VALUE"""),27.99)</f>
        <v>27.99</v>
      </c>
    </row>
    <row r="1288" spans="1:2">
      <c r="A1288" s="3">
        <f ca="1">IFERROR(__xludf.DUMMYFUNCTION("""COMPUTED_VALUE"""),40220.6666666666)</f>
        <v>40220.666666666599</v>
      </c>
      <c r="B1288" s="1">
        <f ca="1">IFERROR(__xludf.DUMMYFUNCTION("""COMPUTED_VALUE"""),28.12)</f>
        <v>28.12</v>
      </c>
    </row>
    <row r="1289" spans="1:2">
      <c r="A1289" s="3">
        <f ca="1">IFERROR(__xludf.DUMMYFUNCTION("""COMPUTED_VALUE"""),40221.6666666666)</f>
        <v>40221.666666666599</v>
      </c>
      <c r="B1289" s="1">
        <f ca="1">IFERROR(__xludf.DUMMYFUNCTION("""COMPUTED_VALUE"""),27.93)</f>
        <v>27.93</v>
      </c>
    </row>
    <row r="1290" spans="1:2">
      <c r="A1290" s="3">
        <f ca="1">IFERROR(__xludf.DUMMYFUNCTION("""COMPUTED_VALUE"""),40225.6666666666)</f>
        <v>40225.666666666599</v>
      </c>
      <c r="B1290" s="1">
        <f ca="1">IFERROR(__xludf.DUMMYFUNCTION("""COMPUTED_VALUE"""),28.35)</f>
        <v>28.35</v>
      </c>
    </row>
    <row r="1291" spans="1:2">
      <c r="A1291" s="3">
        <f ca="1">IFERROR(__xludf.DUMMYFUNCTION("""COMPUTED_VALUE"""),40226.6666666666)</f>
        <v>40226.666666666599</v>
      </c>
      <c r="B1291" s="1">
        <f ca="1">IFERROR(__xludf.DUMMYFUNCTION("""COMPUTED_VALUE"""),28.59)</f>
        <v>28.59</v>
      </c>
    </row>
    <row r="1292" spans="1:2">
      <c r="A1292" s="3">
        <f ca="1">IFERROR(__xludf.DUMMYFUNCTION("""COMPUTED_VALUE"""),40227.6666666666)</f>
        <v>40227.666666666599</v>
      </c>
      <c r="B1292" s="1">
        <f ca="1">IFERROR(__xludf.DUMMYFUNCTION("""COMPUTED_VALUE"""),28.97)</f>
        <v>28.97</v>
      </c>
    </row>
    <row r="1293" spans="1:2">
      <c r="A1293" s="3">
        <f ca="1">IFERROR(__xludf.DUMMYFUNCTION("""COMPUTED_VALUE"""),40228.6666666666)</f>
        <v>40228.666666666599</v>
      </c>
      <c r="B1293" s="1">
        <f ca="1">IFERROR(__xludf.DUMMYFUNCTION("""COMPUTED_VALUE"""),28.77)</f>
        <v>28.77</v>
      </c>
    </row>
    <row r="1294" spans="1:2">
      <c r="A1294" s="3">
        <f ca="1">IFERROR(__xludf.DUMMYFUNCTION("""COMPUTED_VALUE"""),40231.6666666666)</f>
        <v>40231.666666666599</v>
      </c>
      <c r="B1294" s="1">
        <f ca="1">IFERROR(__xludf.DUMMYFUNCTION("""COMPUTED_VALUE"""),28.73)</f>
        <v>28.73</v>
      </c>
    </row>
    <row r="1295" spans="1:2">
      <c r="A1295" s="3">
        <f ca="1">IFERROR(__xludf.DUMMYFUNCTION("""COMPUTED_VALUE"""),40232.6666666666)</f>
        <v>40232.666666666599</v>
      </c>
      <c r="B1295" s="1">
        <f ca="1">IFERROR(__xludf.DUMMYFUNCTION("""COMPUTED_VALUE"""),28.33)</f>
        <v>28.33</v>
      </c>
    </row>
    <row r="1296" spans="1:2">
      <c r="A1296" s="3">
        <f ca="1">IFERROR(__xludf.DUMMYFUNCTION("""COMPUTED_VALUE"""),40233.6666666666)</f>
        <v>40233.666666666599</v>
      </c>
      <c r="B1296" s="1">
        <f ca="1">IFERROR(__xludf.DUMMYFUNCTION("""COMPUTED_VALUE"""),28.63)</f>
        <v>28.63</v>
      </c>
    </row>
    <row r="1297" spans="1:2">
      <c r="A1297" s="3">
        <f ca="1">IFERROR(__xludf.DUMMYFUNCTION("""COMPUTED_VALUE"""),40234.6666666666)</f>
        <v>40234.666666666599</v>
      </c>
      <c r="B1297" s="1">
        <f ca="1">IFERROR(__xludf.DUMMYFUNCTION("""COMPUTED_VALUE"""),28.6)</f>
        <v>28.6</v>
      </c>
    </row>
    <row r="1298" spans="1:2">
      <c r="A1298" s="3">
        <f ca="1">IFERROR(__xludf.DUMMYFUNCTION("""COMPUTED_VALUE"""),40235.6666666666)</f>
        <v>40235.666666666599</v>
      </c>
      <c r="B1298" s="1">
        <f ca="1">IFERROR(__xludf.DUMMYFUNCTION("""COMPUTED_VALUE"""),28.67)</f>
        <v>28.67</v>
      </c>
    </row>
    <row r="1299" spans="1:2">
      <c r="A1299" s="3">
        <f ca="1">IFERROR(__xludf.DUMMYFUNCTION("""COMPUTED_VALUE"""),40238.6666666666)</f>
        <v>40238.666666666599</v>
      </c>
      <c r="B1299" s="1">
        <f ca="1">IFERROR(__xludf.DUMMYFUNCTION("""COMPUTED_VALUE"""),29.02)</f>
        <v>29.02</v>
      </c>
    </row>
    <row r="1300" spans="1:2">
      <c r="A1300" s="3">
        <f ca="1">IFERROR(__xludf.DUMMYFUNCTION("""COMPUTED_VALUE"""),40239.6666666666)</f>
        <v>40239.666666666599</v>
      </c>
      <c r="B1300" s="1">
        <f ca="1">IFERROR(__xludf.DUMMYFUNCTION("""COMPUTED_VALUE"""),28.46)</f>
        <v>28.46</v>
      </c>
    </row>
    <row r="1301" spans="1:2">
      <c r="A1301" s="3">
        <f ca="1">IFERROR(__xludf.DUMMYFUNCTION("""COMPUTED_VALUE"""),40240.6666666666)</f>
        <v>40240.666666666599</v>
      </c>
      <c r="B1301" s="1">
        <f ca="1">IFERROR(__xludf.DUMMYFUNCTION("""COMPUTED_VALUE"""),28.46)</f>
        <v>28.46</v>
      </c>
    </row>
    <row r="1302" spans="1:2">
      <c r="A1302" s="3">
        <f ca="1">IFERROR(__xludf.DUMMYFUNCTION("""COMPUTED_VALUE"""),40241.6666666666)</f>
        <v>40241.666666666599</v>
      </c>
      <c r="B1302" s="1">
        <f ca="1">IFERROR(__xludf.DUMMYFUNCTION("""COMPUTED_VALUE"""),28.63)</f>
        <v>28.63</v>
      </c>
    </row>
    <row r="1303" spans="1:2">
      <c r="A1303" s="3">
        <f ca="1">IFERROR(__xludf.DUMMYFUNCTION("""COMPUTED_VALUE"""),40242.6666666666)</f>
        <v>40242.666666666599</v>
      </c>
      <c r="B1303" s="1">
        <f ca="1">IFERROR(__xludf.DUMMYFUNCTION("""COMPUTED_VALUE"""),28.59)</f>
        <v>28.59</v>
      </c>
    </row>
    <row r="1304" spans="1:2">
      <c r="A1304" s="3">
        <f ca="1">IFERROR(__xludf.DUMMYFUNCTION("""COMPUTED_VALUE"""),40245.6666666666)</f>
        <v>40245.666666666599</v>
      </c>
      <c r="B1304" s="1">
        <f ca="1">IFERROR(__xludf.DUMMYFUNCTION("""COMPUTED_VALUE"""),28.63)</f>
        <v>28.63</v>
      </c>
    </row>
    <row r="1305" spans="1:2">
      <c r="A1305" s="3">
        <f ca="1">IFERROR(__xludf.DUMMYFUNCTION("""COMPUTED_VALUE"""),40246.6666666666)</f>
        <v>40246.666666666599</v>
      </c>
      <c r="B1305" s="1">
        <f ca="1">IFERROR(__xludf.DUMMYFUNCTION("""COMPUTED_VALUE"""),28.8)</f>
        <v>28.8</v>
      </c>
    </row>
    <row r="1306" spans="1:2">
      <c r="A1306" s="3">
        <f ca="1">IFERROR(__xludf.DUMMYFUNCTION("""COMPUTED_VALUE"""),40247.6666666666)</f>
        <v>40247.666666666599</v>
      </c>
      <c r="B1306" s="1">
        <f ca="1">IFERROR(__xludf.DUMMYFUNCTION("""COMPUTED_VALUE"""),28.97)</f>
        <v>28.97</v>
      </c>
    </row>
    <row r="1307" spans="1:2">
      <c r="A1307" s="3">
        <f ca="1">IFERROR(__xludf.DUMMYFUNCTION("""COMPUTED_VALUE"""),40248.6666666666)</f>
        <v>40248.666666666599</v>
      </c>
      <c r="B1307" s="1">
        <f ca="1">IFERROR(__xludf.DUMMYFUNCTION("""COMPUTED_VALUE"""),29.18)</f>
        <v>29.18</v>
      </c>
    </row>
    <row r="1308" spans="1:2">
      <c r="A1308" s="3">
        <f ca="1">IFERROR(__xludf.DUMMYFUNCTION("""COMPUTED_VALUE"""),40249.6666666666)</f>
        <v>40249.666666666599</v>
      </c>
      <c r="B1308" s="1">
        <f ca="1">IFERROR(__xludf.DUMMYFUNCTION("""COMPUTED_VALUE"""),29.27)</f>
        <v>29.27</v>
      </c>
    </row>
    <row r="1309" spans="1:2">
      <c r="A1309" s="3">
        <f ca="1">IFERROR(__xludf.DUMMYFUNCTION("""COMPUTED_VALUE"""),40252.6666666666)</f>
        <v>40252.666666666599</v>
      </c>
      <c r="B1309" s="1">
        <f ca="1">IFERROR(__xludf.DUMMYFUNCTION("""COMPUTED_VALUE"""),29.29)</f>
        <v>29.29</v>
      </c>
    </row>
    <row r="1310" spans="1:2">
      <c r="A1310" s="3">
        <f ca="1">IFERROR(__xludf.DUMMYFUNCTION("""COMPUTED_VALUE"""),40253.6666666666)</f>
        <v>40253.666666666599</v>
      </c>
      <c r="B1310" s="1">
        <f ca="1">IFERROR(__xludf.DUMMYFUNCTION("""COMPUTED_VALUE"""),29.37)</f>
        <v>29.37</v>
      </c>
    </row>
    <row r="1311" spans="1:2">
      <c r="A1311" s="3">
        <f ca="1">IFERROR(__xludf.DUMMYFUNCTION("""COMPUTED_VALUE"""),40254.6666666666)</f>
        <v>40254.666666666599</v>
      </c>
      <c r="B1311" s="1">
        <f ca="1">IFERROR(__xludf.DUMMYFUNCTION("""COMPUTED_VALUE"""),29.63)</f>
        <v>29.63</v>
      </c>
    </row>
    <row r="1312" spans="1:2">
      <c r="A1312" s="3">
        <f ca="1">IFERROR(__xludf.DUMMYFUNCTION("""COMPUTED_VALUE"""),40255.6666666666)</f>
        <v>40255.666666666599</v>
      </c>
      <c r="B1312" s="1">
        <f ca="1">IFERROR(__xludf.DUMMYFUNCTION("""COMPUTED_VALUE"""),29.61)</f>
        <v>29.61</v>
      </c>
    </row>
    <row r="1313" spans="1:2">
      <c r="A1313" s="3">
        <f ca="1">IFERROR(__xludf.DUMMYFUNCTION("""COMPUTED_VALUE"""),40256.6666666666)</f>
        <v>40256.666666666599</v>
      </c>
      <c r="B1313" s="1">
        <f ca="1">IFERROR(__xludf.DUMMYFUNCTION("""COMPUTED_VALUE"""),29.59)</f>
        <v>29.59</v>
      </c>
    </row>
    <row r="1314" spans="1:2">
      <c r="A1314" s="3">
        <f ca="1">IFERROR(__xludf.DUMMYFUNCTION("""COMPUTED_VALUE"""),40259.6666666666)</f>
        <v>40259.666666666599</v>
      </c>
      <c r="B1314" s="1">
        <f ca="1">IFERROR(__xludf.DUMMYFUNCTION("""COMPUTED_VALUE"""),29.6)</f>
        <v>29.6</v>
      </c>
    </row>
    <row r="1315" spans="1:2">
      <c r="A1315" s="3">
        <f ca="1">IFERROR(__xludf.DUMMYFUNCTION("""COMPUTED_VALUE"""),40260.6666666666)</f>
        <v>40260.666666666599</v>
      </c>
      <c r="B1315" s="1">
        <f ca="1">IFERROR(__xludf.DUMMYFUNCTION("""COMPUTED_VALUE"""),29.88)</f>
        <v>29.88</v>
      </c>
    </row>
    <row r="1316" spans="1:2">
      <c r="A1316" s="3">
        <f ca="1">IFERROR(__xludf.DUMMYFUNCTION("""COMPUTED_VALUE"""),40261.6666666666)</f>
        <v>40261.666666666599</v>
      </c>
      <c r="B1316" s="1">
        <f ca="1">IFERROR(__xludf.DUMMYFUNCTION("""COMPUTED_VALUE"""),29.65)</f>
        <v>29.65</v>
      </c>
    </row>
    <row r="1317" spans="1:2">
      <c r="A1317" s="3">
        <f ca="1">IFERROR(__xludf.DUMMYFUNCTION("""COMPUTED_VALUE"""),40262.6666666666)</f>
        <v>40262.666666666599</v>
      </c>
      <c r="B1317" s="1">
        <f ca="1">IFERROR(__xludf.DUMMYFUNCTION("""COMPUTED_VALUE"""),30.01)</f>
        <v>30.01</v>
      </c>
    </row>
    <row r="1318" spans="1:2">
      <c r="A1318" s="3">
        <f ca="1">IFERROR(__xludf.DUMMYFUNCTION("""COMPUTED_VALUE"""),40263.6666666666)</f>
        <v>40263.666666666599</v>
      </c>
      <c r="B1318" s="1">
        <f ca="1">IFERROR(__xludf.DUMMYFUNCTION("""COMPUTED_VALUE"""),29.66)</f>
        <v>29.66</v>
      </c>
    </row>
    <row r="1319" spans="1:2">
      <c r="A1319" s="3">
        <f ca="1">IFERROR(__xludf.DUMMYFUNCTION("""COMPUTED_VALUE"""),40266.6666666666)</f>
        <v>40266.666666666599</v>
      </c>
      <c r="B1319" s="1">
        <f ca="1">IFERROR(__xludf.DUMMYFUNCTION("""COMPUTED_VALUE"""),29.59)</f>
        <v>29.59</v>
      </c>
    </row>
    <row r="1320" spans="1:2">
      <c r="A1320" s="3">
        <f ca="1">IFERROR(__xludf.DUMMYFUNCTION("""COMPUTED_VALUE"""),40267.6666666666)</f>
        <v>40267.666666666599</v>
      </c>
      <c r="B1320" s="1">
        <f ca="1">IFERROR(__xludf.DUMMYFUNCTION("""COMPUTED_VALUE"""),29.77)</f>
        <v>29.77</v>
      </c>
    </row>
    <row r="1321" spans="1:2">
      <c r="A1321" s="3">
        <f ca="1">IFERROR(__xludf.DUMMYFUNCTION("""COMPUTED_VALUE"""),40268.6666666666)</f>
        <v>40268.666666666599</v>
      </c>
      <c r="B1321" s="1">
        <f ca="1">IFERROR(__xludf.DUMMYFUNCTION("""COMPUTED_VALUE"""),29.29)</f>
        <v>29.29</v>
      </c>
    </row>
    <row r="1322" spans="1:2">
      <c r="A1322" s="3">
        <f ca="1">IFERROR(__xludf.DUMMYFUNCTION("""COMPUTED_VALUE"""),40269.6666666666)</f>
        <v>40269.666666666599</v>
      </c>
      <c r="B1322" s="1">
        <f ca="1">IFERROR(__xludf.DUMMYFUNCTION("""COMPUTED_VALUE"""),29.16)</f>
        <v>29.16</v>
      </c>
    </row>
    <row r="1323" spans="1:2">
      <c r="A1323" s="3">
        <f ca="1">IFERROR(__xludf.DUMMYFUNCTION("""COMPUTED_VALUE"""),40273.6666666666)</f>
        <v>40273.666666666599</v>
      </c>
      <c r="B1323" s="1">
        <f ca="1">IFERROR(__xludf.DUMMYFUNCTION("""COMPUTED_VALUE"""),29.27)</f>
        <v>29.27</v>
      </c>
    </row>
    <row r="1324" spans="1:2">
      <c r="A1324" s="3">
        <f ca="1">IFERROR(__xludf.DUMMYFUNCTION("""COMPUTED_VALUE"""),40274.6666666666)</f>
        <v>40274.666666666599</v>
      </c>
      <c r="B1324" s="1">
        <f ca="1">IFERROR(__xludf.DUMMYFUNCTION("""COMPUTED_VALUE"""),29.32)</f>
        <v>29.32</v>
      </c>
    </row>
    <row r="1325" spans="1:2">
      <c r="A1325" s="3">
        <f ca="1">IFERROR(__xludf.DUMMYFUNCTION("""COMPUTED_VALUE"""),40275.6666666666)</f>
        <v>40275.666666666599</v>
      </c>
      <c r="B1325" s="1">
        <f ca="1">IFERROR(__xludf.DUMMYFUNCTION("""COMPUTED_VALUE"""),29.35)</f>
        <v>29.35</v>
      </c>
    </row>
    <row r="1326" spans="1:2">
      <c r="A1326" s="3">
        <f ca="1">IFERROR(__xludf.DUMMYFUNCTION("""COMPUTED_VALUE"""),40276.6666666666)</f>
        <v>40276.666666666599</v>
      </c>
      <c r="B1326" s="1">
        <f ca="1">IFERROR(__xludf.DUMMYFUNCTION("""COMPUTED_VALUE"""),29.92)</f>
        <v>29.92</v>
      </c>
    </row>
    <row r="1327" spans="1:2">
      <c r="A1327" s="3">
        <f ca="1">IFERROR(__xludf.DUMMYFUNCTION("""COMPUTED_VALUE"""),40277.6666666666)</f>
        <v>40277.666666666599</v>
      </c>
      <c r="B1327" s="1">
        <f ca="1">IFERROR(__xludf.DUMMYFUNCTION("""COMPUTED_VALUE"""),30.34)</f>
        <v>30.34</v>
      </c>
    </row>
    <row r="1328" spans="1:2">
      <c r="A1328" s="3">
        <f ca="1">IFERROR(__xludf.DUMMYFUNCTION("""COMPUTED_VALUE"""),40280.6666666666)</f>
        <v>40280.666666666599</v>
      </c>
      <c r="B1328" s="1">
        <f ca="1">IFERROR(__xludf.DUMMYFUNCTION("""COMPUTED_VALUE"""),30.32)</f>
        <v>30.32</v>
      </c>
    </row>
    <row r="1329" spans="1:2">
      <c r="A1329" s="3">
        <f ca="1">IFERROR(__xludf.DUMMYFUNCTION("""COMPUTED_VALUE"""),40281.6666666666)</f>
        <v>40281.666666666599</v>
      </c>
      <c r="B1329" s="1">
        <f ca="1">IFERROR(__xludf.DUMMYFUNCTION("""COMPUTED_VALUE"""),30.45)</f>
        <v>30.45</v>
      </c>
    </row>
    <row r="1330" spans="1:2">
      <c r="A1330" s="3">
        <f ca="1">IFERROR(__xludf.DUMMYFUNCTION("""COMPUTED_VALUE"""),40282.6666666666)</f>
        <v>40282.666666666599</v>
      </c>
      <c r="B1330" s="1">
        <f ca="1">IFERROR(__xludf.DUMMYFUNCTION("""COMPUTED_VALUE"""),30.82)</f>
        <v>30.82</v>
      </c>
    </row>
    <row r="1331" spans="1:2">
      <c r="A1331" s="3">
        <f ca="1">IFERROR(__xludf.DUMMYFUNCTION("""COMPUTED_VALUE"""),40283.6666666666)</f>
        <v>40283.666666666599</v>
      </c>
      <c r="B1331" s="1">
        <f ca="1">IFERROR(__xludf.DUMMYFUNCTION("""COMPUTED_VALUE"""),30.87)</f>
        <v>30.87</v>
      </c>
    </row>
    <row r="1332" spans="1:2">
      <c r="A1332" s="3">
        <f ca="1">IFERROR(__xludf.DUMMYFUNCTION("""COMPUTED_VALUE"""),40284.6666666666)</f>
        <v>40284.666666666599</v>
      </c>
      <c r="B1332" s="1">
        <f ca="1">IFERROR(__xludf.DUMMYFUNCTION("""COMPUTED_VALUE"""),30.67)</f>
        <v>30.67</v>
      </c>
    </row>
    <row r="1333" spans="1:2">
      <c r="A1333" s="3">
        <f ca="1">IFERROR(__xludf.DUMMYFUNCTION("""COMPUTED_VALUE"""),40287.6666666666)</f>
        <v>40287.666666666599</v>
      </c>
      <c r="B1333" s="1">
        <f ca="1">IFERROR(__xludf.DUMMYFUNCTION("""COMPUTED_VALUE"""),31.04)</f>
        <v>31.04</v>
      </c>
    </row>
    <row r="1334" spans="1:2">
      <c r="A1334" s="3">
        <f ca="1">IFERROR(__xludf.DUMMYFUNCTION("""COMPUTED_VALUE"""),40288.6666666666)</f>
        <v>40288.666666666599</v>
      </c>
      <c r="B1334" s="1">
        <f ca="1">IFERROR(__xludf.DUMMYFUNCTION("""COMPUTED_VALUE"""),31.36)</f>
        <v>31.36</v>
      </c>
    </row>
    <row r="1335" spans="1:2">
      <c r="A1335" s="3">
        <f ca="1">IFERROR(__xludf.DUMMYFUNCTION("""COMPUTED_VALUE"""),40289.6666666666)</f>
        <v>40289.666666666599</v>
      </c>
      <c r="B1335" s="1">
        <f ca="1">IFERROR(__xludf.DUMMYFUNCTION("""COMPUTED_VALUE"""),31.33)</f>
        <v>31.33</v>
      </c>
    </row>
    <row r="1336" spans="1:2">
      <c r="A1336" s="3">
        <f ca="1">IFERROR(__xludf.DUMMYFUNCTION("""COMPUTED_VALUE"""),40290.6666666666)</f>
        <v>40290.666666666599</v>
      </c>
      <c r="B1336" s="1">
        <f ca="1">IFERROR(__xludf.DUMMYFUNCTION("""COMPUTED_VALUE"""),31.39)</f>
        <v>31.39</v>
      </c>
    </row>
    <row r="1337" spans="1:2">
      <c r="A1337" s="3">
        <f ca="1">IFERROR(__xludf.DUMMYFUNCTION("""COMPUTED_VALUE"""),40291.6666666666)</f>
        <v>40291.666666666599</v>
      </c>
      <c r="B1337" s="1">
        <f ca="1">IFERROR(__xludf.DUMMYFUNCTION("""COMPUTED_VALUE"""),30.96)</f>
        <v>30.96</v>
      </c>
    </row>
    <row r="1338" spans="1:2">
      <c r="A1338" s="3">
        <f ca="1">IFERROR(__xludf.DUMMYFUNCTION("""COMPUTED_VALUE"""),40294.6666666666)</f>
        <v>40294.666666666599</v>
      </c>
      <c r="B1338" s="1">
        <f ca="1">IFERROR(__xludf.DUMMYFUNCTION("""COMPUTED_VALUE"""),31.11)</f>
        <v>31.11</v>
      </c>
    </row>
    <row r="1339" spans="1:2">
      <c r="A1339" s="3">
        <f ca="1">IFERROR(__xludf.DUMMYFUNCTION("""COMPUTED_VALUE"""),40295.6666666666)</f>
        <v>40295.666666666599</v>
      </c>
      <c r="B1339" s="1">
        <f ca="1">IFERROR(__xludf.DUMMYFUNCTION("""COMPUTED_VALUE"""),30.85)</f>
        <v>30.85</v>
      </c>
    </row>
    <row r="1340" spans="1:2">
      <c r="A1340" s="3">
        <f ca="1">IFERROR(__xludf.DUMMYFUNCTION("""COMPUTED_VALUE"""),40296.6666666666)</f>
        <v>40296.666666666599</v>
      </c>
      <c r="B1340" s="1">
        <f ca="1">IFERROR(__xludf.DUMMYFUNCTION("""COMPUTED_VALUE"""),30.91)</f>
        <v>30.91</v>
      </c>
    </row>
    <row r="1341" spans="1:2">
      <c r="A1341" s="3">
        <f ca="1">IFERROR(__xludf.DUMMYFUNCTION("""COMPUTED_VALUE"""),40297.6666666666)</f>
        <v>40297.666666666599</v>
      </c>
      <c r="B1341" s="1">
        <f ca="1">IFERROR(__xludf.DUMMYFUNCTION("""COMPUTED_VALUE"""),31)</f>
        <v>31</v>
      </c>
    </row>
    <row r="1342" spans="1:2">
      <c r="A1342" s="3">
        <f ca="1">IFERROR(__xludf.DUMMYFUNCTION("""COMPUTED_VALUE"""),40298.6666666666)</f>
        <v>40298.666666666599</v>
      </c>
      <c r="B1342" s="1">
        <f ca="1">IFERROR(__xludf.DUMMYFUNCTION("""COMPUTED_VALUE"""),30.54)</f>
        <v>30.54</v>
      </c>
    </row>
    <row r="1343" spans="1:2">
      <c r="A1343" s="3">
        <f ca="1">IFERROR(__xludf.DUMMYFUNCTION("""COMPUTED_VALUE"""),40301.6666666666)</f>
        <v>40301.666666666599</v>
      </c>
      <c r="B1343" s="1">
        <f ca="1">IFERROR(__xludf.DUMMYFUNCTION("""COMPUTED_VALUE"""),30.86)</f>
        <v>30.86</v>
      </c>
    </row>
    <row r="1344" spans="1:2">
      <c r="A1344" s="3">
        <f ca="1">IFERROR(__xludf.DUMMYFUNCTION("""COMPUTED_VALUE"""),40302.6666666666)</f>
        <v>40302.666666666599</v>
      </c>
      <c r="B1344" s="1">
        <f ca="1">IFERROR(__xludf.DUMMYFUNCTION("""COMPUTED_VALUE"""),30.13)</f>
        <v>30.13</v>
      </c>
    </row>
    <row r="1345" spans="1:2">
      <c r="A1345" s="3">
        <f ca="1">IFERROR(__xludf.DUMMYFUNCTION("""COMPUTED_VALUE"""),40303.6666666666)</f>
        <v>40303.666666666599</v>
      </c>
      <c r="B1345" s="1">
        <f ca="1">IFERROR(__xludf.DUMMYFUNCTION("""COMPUTED_VALUE"""),29.85)</f>
        <v>29.85</v>
      </c>
    </row>
    <row r="1346" spans="1:2">
      <c r="A1346" s="3">
        <f ca="1">IFERROR(__xludf.DUMMYFUNCTION("""COMPUTED_VALUE"""),40304.6666666666)</f>
        <v>40304.666666666599</v>
      </c>
      <c r="B1346" s="1">
        <f ca="1">IFERROR(__xludf.DUMMYFUNCTION("""COMPUTED_VALUE"""),28.98)</f>
        <v>28.98</v>
      </c>
    </row>
    <row r="1347" spans="1:2">
      <c r="A1347" s="3">
        <f ca="1">IFERROR(__xludf.DUMMYFUNCTION("""COMPUTED_VALUE"""),40305.6666666666)</f>
        <v>40305.666666666599</v>
      </c>
      <c r="B1347" s="1">
        <f ca="1">IFERROR(__xludf.DUMMYFUNCTION("""COMPUTED_VALUE"""),28.21)</f>
        <v>28.21</v>
      </c>
    </row>
    <row r="1348" spans="1:2">
      <c r="A1348" s="3">
        <f ca="1">IFERROR(__xludf.DUMMYFUNCTION("""COMPUTED_VALUE"""),40308.6666666666)</f>
        <v>40308.666666666599</v>
      </c>
      <c r="B1348" s="1">
        <f ca="1">IFERROR(__xludf.DUMMYFUNCTION("""COMPUTED_VALUE"""),28.94)</f>
        <v>28.94</v>
      </c>
    </row>
    <row r="1349" spans="1:2">
      <c r="A1349" s="3">
        <f ca="1">IFERROR(__xludf.DUMMYFUNCTION("""COMPUTED_VALUE"""),40309.6666666666)</f>
        <v>40309.666666666599</v>
      </c>
      <c r="B1349" s="1">
        <f ca="1">IFERROR(__xludf.DUMMYFUNCTION("""COMPUTED_VALUE"""),28.88)</f>
        <v>28.88</v>
      </c>
    </row>
    <row r="1350" spans="1:2">
      <c r="A1350" s="3">
        <f ca="1">IFERROR(__xludf.DUMMYFUNCTION("""COMPUTED_VALUE"""),40310.6666666666)</f>
        <v>40310.666666666599</v>
      </c>
      <c r="B1350" s="1">
        <f ca="1">IFERROR(__xludf.DUMMYFUNCTION("""COMPUTED_VALUE"""),29.44)</f>
        <v>29.44</v>
      </c>
    </row>
    <row r="1351" spans="1:2">
      <c r="A1351" s="3">
        <f ca="1">IFERROR(__xludf.DUMMYFUNCTION("""COMPUTED_VALUE"""),40311.6666666666)</f>
        <v>40311.666666666599</v>
      </c>
      <c r="B1351" s="1">
        <f ca="1">IFERROR(__xludf.DUMMYFUNCTION("""COMPUTED_VALUE"""),29.24)</f>
        <v>29.24</v>
      </c>
    </row>
    <row r="1352" spans="1:2">
      <c r="A1352" s="3">
        <f ca="1">IFERROR(__xludf.DUMMYFUNCTION("""COMPUTED_VALUE"""),40312.6666666666)</f>
        <v>40312.666666666599</v>
      </c>
      <c r="B1352" s="1">
        <f ca="1">IFERROR(__xludf.DUMMYFUNCTION("""COMPUTED_VALUE"""),28.93)</f>
        <v>28.93</v>
      </c>
    </row>
    <row r="1353" spans="1:2">
      <c r="A1353" s="3">
        <f ca="1">IFERROR(__xludf.DUMMYFUNCTION("""COMPUTED_VALUE"""),40315.6666666666)</f>
        <v>40315.666666666599</v>
      </c>
      <c r="B1353" s="1">
        <f ca="1">IFERROR(__xludf.DUMMYFUNCTION("""COMPUTED_VALUE"""),28.94)</f>
        <v>28.94</v>
      </c>
    </row>
    <row r="1354" spans="1:2">
      <c r="A1354" s="3">
        <f ca="1">IFERROR(__xludf.DUMMYFUNCTION("""COMPUTED_VALUE"""),40316.6666666666)</f>
        <v>40316.666666666599</v>
      </c>
      <c r="B1354" s="1">
        <f ca="1">IFERROR(__xludf.DUMMYFUNCTION("""COMPUTED_VALUE"""),28.6)</f>
        <v>28.6</v>
      </c>
    </row>
    <row r="1355" spans="1:2">
      <c r="A1355" s="3">
        <f ca="1">IFERROR(__xludf.DUMMYFUNCTION("""COMPUTED_VALUE"""),40317.6666666666)</f>
        <v>40317.666666666599</v>
      </c>
      <c r="B1355" s="1">
        <f ca="1">IFERROR(__xludf.DUMMYFUNCTION("""COMPUTED_VALUE"""),28.24)</f>
        <v>28.24</v>
      </c>
    </row>
    <row r="1356" spans="1:2">
      <c r="A1356" s="3">
        <f ca="1">IFERROR(__xludf.DUMMYFUNCTION("""COMPUTED_VALUE"""),40318.6666666666)</f>
        <v>40318.666666666599</v>
      </c>
      <c r="B1356" s="1">
        <f ca="1">IFERROR(__xludf.DUMMYFUNCTION("""COMPUTED_VALUE"""),27.11)</f>
        <v>27.11</v>
      </c>
    </row>
    <row r="1357" spans="1:2">
      <c r="A1357" s="3">
        <f ca="1">IFERROR(__xludf.DUMMYFUNCTION("""COMPUTED_VALUE"""),40319.6666666666)</f>
        <v>40319.666666666599</v>
      </c>
      <c r="B1357" s="1">
        <f ca="1">IFERROR(__xludf.DUMMYFUNCTION("""COMPUTED_VALUE"""),26.84)</f>
        <v>26.84</v>
      </c>
    </row>
    <row r="1358" spans="1:2">
      <c r="A1358" s="3">
        <f ca="1">IFERROR(__xludf.DUMMYFUNCTION("""COMPUTED_VALUE"""),40322.6666666666)</f>
        <v>40322.666666666599</v>
      </c>
      <c r="B1358" s="1">
        <f ca="1">IFERROR(__xludf.DUMMYFUNCTION("""COMPUTED_VALUE"""),26.27)</f>
        <v>26.27</v>
      </c>
    </row>
    <row r="1359" spans="1:2">
      <c r="A1359" s="3">
        <f ca="1">IFERROR(__xludf.DUMMYFUNCTION("""COMPUTED_VALUE"""),40323.6666666666)</f>
        <v>40323.666666666599</v>
      </c>
      <c r="B1359" s="1">
        <f ca="1">IFERROR(__xludf.DUMMYFUNCTION("""COMPUTED_VALUE"""),26.07)</f>
        <v>26.07</v>
      </c>
    </row>
    <row r="1360" spans="1:2">
      <c r="A1360" s="3">
        <f ca="1">IFERROR(__xludf.DUMMYFUNCTION("""COMPUTED_VALUE"""),40324.6666666666)</f>
        <v>40324.666666666599</v>
      </c>
      <c r="B1360" s="1">
        <f ca="1">IFERROR(__xludf.DUMMYFUNCTION("""COMPUTED_VALUE"""),25.01)</f>
        <v>25.01</v>
      </c>
    </row>
    <row r="1361" spans="1:2">
      <c r="A1361" s="3">
        <f ca="1">IFERROR(__xludf.DUMMYFUNCTION("""COMPUTED_VALUE"""),40325.6666666666)</f>
        <v>40325.666666666599</v>
      </c>
      <c r="B1361" s="1">
        <f ca="1">IFERROR(__xludf.DUMMYFUNCTION("""COMPUTED_VALUE"""),26)</f>
        <v>26</v>
      </c>
    </row>
    <row r="1362" spans="1:2">
      <c r="A1362" s="3">
        <f ca="1">IFERROR(__xludf.DUMMYFUNCTION("""COMPUTED_VALUE"""),40326.6666666666)</f>
        <v>40326.666666666599</v>
      </c>
      <c r="B1362" s="1">
        <f ca="1">IFERROR(__xludf.DUMMYFUNCTION("""COMPUTED_VALUE"""),25.8)</f>
        <v>25.8</v>
      </c>
    </row>
    <row r="1363" spans="1:2">
      <c r="A1363" s="3">
        <f ca="1">IFERROR(__xludf.DUMMYFUNCTION("""COMPUTED_VALUE"""),40330.6666666666)</f>
        <v>40330.666666666599</v>
      </c>
      <c r="B1363" s="1">
        <f ca="1">IFERROR(__xludf.DUMMYFUNCTION("""COMPUTED_VALUE"""),25.89)</f>
        <v>25.89</v>
      </c>
    </row>
    <row r="1364" spans="1:2">
      <c r="A1364" s="3">
        <f ca="1">IFERROR(__xludf.DUMMYFUNCTION("""COMPUTED_VALUE"""),40331.6666666666)</f>
        <v>40331.666666666599</v>
      </c>
      <c r="B1364" s="1">
        <f ca="1">IFERROR(__xludf.DUMMYFUNCTION("""COMPUTED_VALUE"""),26.46)</f>
        <v>26.46</v>
      </c>
    </row>
    <row r="1365" spans="1:2">
      <c r="A1365" s="3">
        <f ca="1">IFERROR(__xludf.DUMMYFUNCTION("""COMPUTED_VALUE"""),40332.6666666666)</f>
        <v>40332.666666666599</v>
      </c>
      <c r="B1365" s="1">
        <f ca="1">IFERROR(__xludf.DUMMYFUNCTION("""COMPUTED_VALUE"""),26.86)</f>
        <v>26.86</v>
      </c>
    </row>
    <row r="1366" spans="1:2">
      <c r="A1366" s="3">
        <f ca="1">IFERROR(__xludf.DUMMYFUNCTION("""COMPUTED_VALUE"""),40333.6666666666)</f>
        <v>40333.666666666599</v>
      </c>
      <c r="B1366" s="1">
        <f ca="1">IFERROR(__xludf.DUMMYFUNCTION("""COMPUTED_VALUE"""),25.79)</f>
        <v>25.79</v>
      </c>
    </row>
    <row r="1367" spans="1:2">
      <c r="A1367" s="3">
        <f ca="1">IFERROR(__xludf.DUMMYFUNCTION("""COMPUTED_VALUE"""),40336.6666666666)</f>
        <v>40336.666666666599</v>
      </c>
      <c r="B1367" s="1">
        <f ca="1">IFERROR(__xludf.DUMMYFUNCTION("""COMPUTED_VALUE"""),25.29)</f>
        <v>25.29</v>
      </c>
    </row>
    <row r="1368" spans="1:2">
      <c r="A1368" s="3">
        <f ca="1">IFERROR(__xludf.DUMMYFUNCTION("""COMPUTED_VALUE"""),40337.6666666666)</f>
        <v>40337.666666666599</v>
      </c>
      <c r="B1368" s="1">
        <f ca="1">IFERROR(__xludf.DUMMYFUNCTION("""COMPUTED_VALUE"""),25.11)</f>
        <v>25.11</v>
      </c>
    </row>
    <row r="1369" spans="1:2">
      <c r="A1369" s="3">
        <f ca="1">IFERROR(__xludf.DUMMYFUNCTION("""COMPUTED_VALUE"""),40338.6666666666)</f>
        <v>40338.666666666599</v>
      </c>
      <c r="B1369" s="1">
        <f ca="1">IFERROR(__xludf.DUMMYFUNCTION("""COMPUTED_VALUE"""),24.79)</f>
        <v>24.79</v>
      </c>
    </row>
    <row r="1370" spans="1:2">
      <c r="A1370" s="3">
        <f ca="1">IFERROR(__xludf.DUMMYFUNCTION("""COMPUTED_VALUE"""),40339.6666666666)</f>
        <v>40339.666666666599</v>
      </c>
      <c r="B1370" s="1">
        <f ca="1">IFERROR(__xludf.DUMMYFUNCTION("""COMPUTED_VALUE"""),25)</f>
        <v>25</v>
      </c>
    </row>
    <row r="1371" spans="1:2">
      <c r="A1371" s="3">
        <f ca="1">IFERROR(__xludf.DUMMYFUNCTION("""COMPUTED_VALUE"""),40340.6666666666)</f>
        <v>40340.666666666599</v>
      </c>
      <c r="B1371" s="1">
        <f ca="1">IFERROR(__xludf.DUMMYFUNCTION("""COMPUTED_VALUE"""),25.66)</f>
        <v>25.66</v>
      </c>
    </row>
    <row r="1372" spans="1:2">
      <c r="A1372" s="3">
        <f ca="1">IFERROR(__xludf.DUMMYFUNCTION("""COMPUTED_VALUE"""),40343.6666666666)</f>
        <v>40343.666666666599</v>
      </c>
      <c r="B1372" s="1">
        <f ca="1">IFERROR(__xludf.DUMMYFUNCTION("""COMPUTED_VALUE"""),25.5)</f>
        <v>25.5</v>
      </c>
    </row>
    <row r="1373" spans="1:2">
      <c r="A1373" s="3">
        <f ca="1">IFERROR(__xludf.DUMMYFUNCTION("""COMPUTED_VALUE"""),40344.6666666666)</f>
        <v>40344.666666666599</v>
      </c>
      <c r="B1373" s="1">
        <f ca="1">IFERROR(__xludf.DUMMYFUNCTION("""COMPUTED_VALUE"""),26.58)</f>
        <v>26.58</v>
      </c>
    </row>
    <row r="1374" spans="1:2">
      <c r="A1374" s="3">
        <f ca="1">IFERROR(__xludf.DUMMYFUNCTION("""COMPUTED_VALUE"""),40345.6666666666)</f>
        <v>40345.666666666599</v>
      </c>
      <c r="B1374" s="1">
        <f ca="1">IFERROR(__xludf.DUMMYFUNCTION("""COMPUTED_VALUE"""),26.32)</f>
        <v>26.32</v>
      </c>
    </row>
    <row r="1375" spans="1:2">
      <c r="A1375" s="3">
        <f ca="1">IFERROR(__xludf.DUMMYFUNCTION("""COMPUTED_VALUE"""),40346.6666666666)</f>
        <v>40346.666666666599</v>
      </c>
      <c r="B1375" s="1">
        <f ca="1">IFERROR(__xludf.DUMMYFUNCTION("""COMPUTED_VALUE"""),26.37)</f>
        <v>26.37</v>
      </c>
    </row>
    <row r="1376" spans="1:2">
      <c r="A1376" s="3">
        <f ca="1">IFERROR(__xludf.DUMMYFUNCTION("""COMPUTED_VALUE"""),40347.6666666666)</f>
        <v>40347.666666666599</v>
      </c>
      <c r="B1376" s="1">
        <f ca="1">IFERROR(__xludf.DUMMYFUNCTION("""COMPUTED_VALUE"""),26.44)</f>
        <v>26.44</v>
      </c>
    </row>
    <row r="1377" spans="1:2">
      <c r="A1377" s="3">
        <f ca="1">IFERROR(__xludf.DUMMYFUNCTION("""COMPUTED_VALUE"""),40350.6666666666)</f>
        <v>40350.666666666599</v>
      </c>
      <c r="B1377" s="1">
        <f ca="1">IFERROR(__xludf.DUMMYFUNCTION("""COMPUTED_VALUE"""),25.95)</f>
        <v>25.95</v>
      </c>
    </row>
    <row r="1378" spans="1:2">
      <c r="A1378" s="3">
        <f ca="1">IFERROR(__xludf.DUMMYFUNCTION("""COMPUTED_VALUE"""),40351.6666666666)</f>
        <v>40351.666666666599</v>
      </c>
      <c r="B1378" s="1">
        <f ca="1">IFERROR(__xludf.DUMMYFUNCTION("""COMPUTED_VALUE"""),25.77)</f>
        <v>25.77</v>
      </c>
    </row>
    <row r="1379" spans="1:2">
      <c r="A1379" s="3">
        <f ca="1">IFERROR(__xludf.DUMMYFUNCTION("""COMPUTED_VALUE"""),40352.6666666666)</f>
        <v>40352.666666666599</v>
      </c>
      <c r="B1379" s="1">
        <f ca="1">IFERROR(__xludf.DUMMYFUNCTION("""COMPUTED_VALUE"""),25.31)</f>
        <v>25.31</v>
      </c>
    </row>
    <row r="1380" spans="1:2">
      <c r="A1380" s="3">
        <f ca="1">IFERROR(__xludf.DUMMYFUNCTION("""COMPUTED_VALUE"""),40353.6666666666)</f>
        <v>40353.666666666599</v>
      </c>
      <c r="B1380" s="1">
        <f ca="1">IFERROR(__xludf.DUMMYFUNCTION("""COMPUTED_VALUE"""),25)</f>
        <v>25</v>
      </c>
    </row>
    <row r="1381" spans="1:2">
      <c r="A1381" s="3">
        <f ca="1">IFERROR(__xludf.DUMMYFUNCTION("""COMPUTED_VALUE"""),40354.6666666666)</f>
        <v>40354.666666666599</v>
      </c>
      <c r="B1381" s="1">
        <f ca="1">IFERROR(__xludf.DUMMYFUNCTION("""COMPUTED_VALUE"""),24.53)</f>
        <v>24.53</v>
      </c>
    </row>
    <row r="1382" spans="1:2">
      <c r="A1382" s="3">
        <f ca="1">IFERROR(__xludf.DUMMYFUNCTION("""COMPUTED_VALUE"""),40357.6666666666)</f>
        <v>40357.666666666599</v>
      </c>
      <c r="B1382" s="1">
        <f ca="1">IFERROR(__xludf.DUMMYFUNCTION("""COMPUTED_VALUE"""),24.31)</f>
        <v>24.31</v>
      </c>
    </row>
    <row r="1383" spans="1:2">
      <c r="A1383" s="3">
        <f ca="1">IFERROR(__xludf.DUMMYFUNCTION("""COMPUTED_VALUE"""),40358.6666666666)</f>
        <v>40358.666666666599</v>
      </c>
      <c r="B1383" s="1">
        <f ca="1">IFERROR(__xludf.DUMMYFUNCTION("""COMPUTED_VALUE"""),23.31)</f>
        <v>23.31</v>
      </c>
    </row>
    <row r="1384" spans="1:2">
      <c r="A1384" s="3">
        <f ca="1">IFERROR(__xludf.DUMMYFUNCTION("""COMPUTED_VALUE"""),40359.6666666666)</f>
        <v>40359.666666666599</v>
      </c>
      <c r="B1384" s="1">
        <f ca="1">IFERROR(__xludf.DUMMYFUNCTION("""COMPUTED_VALUE"""),23.01)</f>
        <v>23.01</v>
      </c>
    </row>
    <row r="1385" spans="1:2">
      <c r="A1385" s="3">
        <f ca="1">IFERROR(__xludf.DUMMYFUNCTION("""COMPUTED_VALUE"""),40360.6666666666)</f>
        <v>40360.666666666599</v>
      </c>
      <c r="B1385" s="1">
        <f ca="1">IFERROR(__xludf.DUMMYFUNCTION("""COMPUTED_VALUE"""),23.16)</f>
        <v>23.16</v>
      </c>
    </row>
    <row r="1386" spans="1:2">
      <c r="A1386" s="3">
        <f ca="1">IFERROR(__xludf.DUMMYFUNCTION("""COMPUTED_VALUE"""),40361.6666666666)</f>
        <v>40361.666666666599</v>
      </c>
      <c r="B1386" s="1">
        <f ca="1">IFERROR(__xludf.DUMMYFUNCTION("""COMPUTED_VALUE"""),23.27)</f>
        <v>23.27</v>
      </c>
    </row>
    <row r="1387" spans="1:2">
      <c r="A1387" s="3">
        <f ca="1">IFERROR(__xludf.DUMMYFUNCTION("""COMPUTED_VALUE"""),40365.6666666666)</f>
        <v>40365.666666666599</v>
      </c>
      <c r="B1387" s="1">
        <f ca="1">IFERROR(__xludf.DUMMYFUNCTION("""COMPUTED_VALUE"""),23.82)</f>
        <v>23.82</v>
      </c>
    </row>
    <row r="1388" spans="1:2">
      <c r="A1388" s="3">
        <f ca="1">IFERROR(__xludf.DUMMYFUNCTION("""COMPUTED_VALUE"""),40366.6666666666)</f>
        <v>40366.666666666599</v>
      </c>
      <c r="B1388" s="1">
        <f ca="1">IFERROR(__xludf.DUMMYFUNCTION("""COMPUTED_VALUE"""),24.3)</f>
        <v>24.3</v>
      </c>
    </row>
    <row r="1389" spans="1:2">
      <c r="A1389" s="3">
        <f ca="1">IFERROR(__xludf.DUMMYFUNCTION("""COMPUTED_VALUE"""),40367.6666666666)</f>
        <v>40367.666666666599</v>
      </c>
      <c r="B1389" s="1">
        <f ca="1">IFERROR(__xludf.DUMMYFUNCTION("""COMPUTED_VALUE"""),24.41)</f>
        <v>24.41</v>
      </c>
    </row>
    <row r="1390" spans="1:2">
      <c r="A1390" s="3">
        <f ca="1">IFERROR(__xludf.DUMMYFUNCTION("""COMPUTED_VALUE"""),40368.6666666666)</f>
        <v>40368.666666666599</v>
      </c>
      <c r="B1390" s="1">
        <f ca="1">IFERROR(__xludf.DUMMYFUNCTION("""COMPUTED_VALUE"""),24.27)</f>
        <v>24.27</v>
      </c>
    </row>
    <row r="1391" spans="1:2">
      <c r="A1391" s="3">
        <f ca="1">IFERROR(__xludf.DUMMYFUNCTION("""COMPUTED_VALUE"""),40371.6666666666)</f>
        <v>40371.666666666599</v>
      </c>
      <c r="B1391" s="1">
        <f ca="1">IFERROR(__xludf.DUMMYFUNCTION("""COMPUTED_VALUE"""),24.83)</f>
        <v>24.83</v>
      </c>
    </row>
    <row r="1392" spans="1:2">
      <c r="A1392" s="3">
        <f ca="1">IFERROR(__xludf.DUMMYFUNCTION("""COMPUTED_VALUE"""),40372.6666666666)</f>
        <v>40372.666666666599</v>
      </c>
      <c r="B1392" s="1">
        <f ca="1">IFERROR(__xludf.DUMMYFUNCTION("""COMPUTED_VALUE"""),25.13)</f>
        <v>25.13</v>
      </c>
    </row>
    <row r="1393" spans="1:2">
      <c r="A1393" s="3">
        <f ca="1">IFERROR(__xludf.DUMMYFUNCTION("""COMPUTED_VALUE"""),40373.6666666666)</f>
        <v>40373.666666666599</v>
      </c>
      <c r="B1393" s="1">
        <f ca="1">IFERROR(__xludf.DUMMYFUNCTION("""COMPUTED_VALUE"""),25.44)</f>
        <v>25.44</v>
      </c>
    </row>
    <row r="1394" spans="1:2">
      <c r="A1394" s="3">
        <f ca="1">IFERROR(__xludf.DUMMYFUNCTION("""COMPUTED_VALUE"""),40374.6666666666)</f>
        <v>40374.666666666599</v>
      </c>
      <c r="B1394" s="1">
        <f ca="1">IFERROR(__xludf.DUMMYFUNCTION("""COMPUTED_VALUE"""),25.51)</f>
        <v>25.51</v>
      </c>
    </row>
    <row r="1395" spans="1:2">
      <c r="A1395" s="3">
        <f ca="1">IFERROR(__xludf.DUMMYFUNCTION("""COMPUTED_VALUE"""),40375.6666666666)</f>
        <v>40375.666666666599</v>
      </c>
      <c r="B1395" s="1">
        <f ca="1">IFERROR(__xludf.DUMMYFUNCTION("""COMPUTED_VALUE"""),24.89)</f>
        <v>24.89</v>
      </c>
    </row>
    <row r="1396" spans="1:2">
      <c r="A1396" s="3">
        <f ca="1">IFERROR(__xludf.DUMMYFUNCTION("""COMPUTED_VALUE"""),40378.6666666666)</f>
        <v>40378.666666666599</v>
      </c>
      <c r="B1396" s="1">
        <f ca="1">IFERROR(__xludf.DUMMYFUNCTION("""COMPUTED_VALUE"""),25.23)</f>
        <v>25.23</v>
      </c>
    </row>
    <row r="1397" spans="1:2">
      <c r="A1397" s="3">
        <f ca="1">IFERROR(__xludf.DUMMYFUNCTION("""COMPUTED_VALUE"""),40379.6666666666)</f>
        <v>40379.666666666599</v>
      </c>
      <c r="B1397" s="1">
        <f ca="1">IFERROR(__xludf.DUMMYFUNCTION("""COMPUTED_VALUE"""),25.48)</f>
        <v>25.48</v>
      </c>
    </row>
    <row r="1398" spans="1:2">
      <c r="A1398" s="3">
        <f ca="1">IFERROR(__xludf.DUMMYFUNCTION("""COMPUTED_VALUE"""),40380.6666666666)</f>
        <v>40380.666666666599</v>
      </c>
      <c r="B1398" s="1">
        <f ca="1">IFERROR(__xludf.DUMMYFUNCTION("""COMPUTED_VALUE"""),25.12)</f>
        <v>25.12</v>
      </c>
    </row>
    <row r="1399" spans="1:2">
      <c r="A1399" s="3">
        <f ca="1">IFERROR(__xludf.DUMMYFUNCTION("""COMPUTED_VALUE"""),40381.6666666666)</f>
        <v>40381.666666666599</v>
      </c>
      <c r="B1399" s="1">
        <f ca="1">IFERROR(__xludf.DUMMYFUNCTION("""COMPUTED_VALUE"""),25.84)</f>
        <v>25.84</v>
      </c>
    </row>
    <row r="1400" spans="1:2">
      <c r="A1400" s="3">
        <f ca="1">IFERROR(__xludf.DUMMYFUNCTION("""COMPUTED_VALUE"""),40382.6666666666)</f>
        <v>40382.666666666599</v>
      </c>
      <c r="B1400" s="1">
        <f ca="1">IFERROR(__xludf.DUMMYFUNCTION("""COMPUTED_VALUE"""),25.81)</f>
        <v>25.81</v>
      </c>
    </row>
    <row r="1401" spans="1:2">
      <c r="A1401" s="3">
        <f ca="1">IFERROR(__xludf.DUMMYFUNCTION("""COMPUTED_VALUE"""),40385.6666666666)</f>
        <v>40385.666666666599</v>
      </c>
      <c r="B1401" s="1">
        <f ca="1">IFERROR(__xludf.DUMMYFUNCTION("""COMPUTED_VALUE"""),26.1)</f>
        <v>26.1</v>
      </c>
    </row>
    <row r="1402" spans="1:2">
      <c r="A1402" s="3">
        <f ca="1">IFERROR(__xludf.DUMMYFUNCTION("""COMPUTED_VALUE"""),40386.6666666666)</f>
        <v>40386.666666666599</v>
      </c>
      <c r="B1402" s="1">
        <f ca="1">IFERROR(__xludf.DUMMYFUNCTION("""COMPUTED_VALUE"""),26.16)</f>
        <v>26.16</v>
      </c>
    </row>
    <row r="1403" spans="1:2">
      <c r="A1403" s="3">
        <f ca="1">IFERROR(__xludf.DUMMYFUNCTION("""COMPUTED_VALUE"""),40387.6666666666)</f>
        <v>40387.666666666599</v>
      </c>
      <c r="B1403" s="1">
        <f ca="1">IFERROR(__xludf.DUMMYFUNCTION("""COMPUTED_VALUE"""),25.95)</f>
        <v>25.95</v>
      </c>
    </row>
    <row r="1404" spans="1:2">
      <c r="A1404" s="3">
        <f ca="1">IFERROR(__xludf.DUMMYFUNCTION("""COMPUTED_VALUE"""),40388.6666666666)</f>
        <v>40388.666666666599</v>
      </c>
      <c r="B1404" s="1">
        <f ca="1">IFERROR(__xludf.DUMMYFUNCTION("""COMPUTED_VALUE"""),26.03)</f>
        <v>26.03</v>
      </c>
    </row>
    <row r="1405" spans="1:2">
      <c r="A1405" s="3">
        <f ca="1">IFERROR(__xludf.DUMMYFUNCTION("""COMPUTED_VALUE"""),40389.6666666666)</f>
        <v>40389.666666666599</v>
      </c>
      <c r="B1405" s="1">
        <f ca="1">IFERROR(__xludf.DUMMYFUNCTION("""COMPUTED_VALUE"""),25.81)</f>
        <v>25.81</v>
      </c>
    </row>
    <row r="1406" spans="1:2">
      <c r="A1406" s="3">
        <f ca="1">IFERROR(__xludf.DUMMYFUNCTION("""COMPUTED_VALUE"""),40392.6666666666)</f>
        <v>40392.666666666599</v>
      </c>
      <c r="B1406" s="1">
        <f ca="1">IFERROR(__xludf.DUMMYFUNCTION("""COMPUTED_VALUE"""),26.33)</f>
        <v>26.33</v>
      </c>
    </row>
    <row r="1407" spans="1:2">
      <c r="A1407" s="3">
        <f ca="1">IFERROR(__xludf.DUMMYFUNCTION("""COMPUTED_VALUE"""),40393.6666666666)</f>
        <v>40393.666666666599</v>
      </c>
      <c r="B1407" s="1">
        <f ca="1">IFERROR(__xludf.DUMMYFUNCTION("""COMPUTED_VALUE"""),26.16)</f>
        <v>26.16</v>
      </c>
    </row>
    <row r="1408" spans="1:2">
      <c r="A1408" s="3">
        <f ca="1">IFERROR(__xludf.DUMMYFUNCTION("""COMPUTED_VALUE"""),40394.6666666666)</f>
        <v>40394.666666666599</v>
      </c>
      <c r="B1408" s="1">
        <f ca="1">IFERROR(__xludf.DUMMYFUNCTION("""COMPUTED_VALUE"""),25.73)</f>
        <v>25.73</v>
      </c>
    </row>
    <row r="1409" spans="1:2">
      <c r="A1409" s="3">
        <f ca="1">IFERROR(__xludf.DUMMYFUNCTION("""COMPUTED_VALUE"""),40395.6666666666)</f>
        <v>40395.666666666599</v>
      </c>
      <c r="B1409" s="1">
        <f ca="1">IFERROR(__xludf.DUMMYFUNCTION("""COMPUTED_VALUE"""),25.37)</f>
        <v>25.37</v>
      </c>
    </row>
    <row r="1410" spans="1:2">
      <c r="A1410" s="3">
        <f ca="1">IFERROR(__xludf.DUMMYFUNCTION("""COMPUTED_VALUE"""),40396.6666666666)</f>
        <v>40396.666666666599</v>
      </c>
      <c r="B1410" s="1">
        <f ca="1">IFERROR(__xludf.DUMMYFUNCTION("""COMPUTED_VALUE"""),25.55)</f>
        <v>25.55</v>
      </c>
    </row>
    <row r="1411" spans="1:2">
      <c r="A1411" s="3">
        <f ca="1">IFERROR(__xludf.DUMMYFUNCTION("""COMPUTED_VALUE"""),40399.6666666666)</f>
        <v>40399.666666666599</v>
      </c>
      <c r="B1411" s="1">
        <f ca="1">IFERROR(__xludf.DUMMYFUNCTION("""COMPUTED_VALUE"""),25.61)</f>
        <v>25.61</v>
      </c>
    </row>
    <row r="1412" spans="1:2">
      <c r="A1412" s="3">
        <f ca="1">IFERROR(__xludf.DUMMYFUNCTION("""COMPUTED_VALUE"""),40400.6666666666)</f>
        <v>40400.666666666599</v>
      </c>
      <c r="B1412" s="1">
        <f ca="1">IFERROR(__xludf.DUMMYFUNCTION("""COMPUTED_VALUE"""),25.07)</f>
        <v>25.07</v>
      </c>
    </row>
    <row r="1413" spans="1:2">
      <c r="A1413" s="3">
        <f ca="1">IFERROR(__xludf.DUMMYFUNCTION("""COMPUTED_VALUE"""),40401.6666666666)</f>
        <v>40401.666666666599</v>
      </c>
      <c r="B1413" s="1">
        <f ca="1">IFERROR(__xludf.DUMMYFUNCTION("""COMPUTED_VALUE"""),24.86)</f>
        <v>24.86</v>
      </c>
    </row>
    <row r="1414" spans="1:2">
      <c r="A1414" s="3">
        <f ca="1">IFERROR(__xludf.DUMMYFUNCTION("""COMPUTED_VALUE"""),40402.6666666666)</f>
        <v>40402.666666666599</v>
      </c>
      <c r="B1414" s="1">
        <f ca="1">IFERROR(__xludf.DUMMYFUNCTION("""COMPUTED_VALUE"""),24.49)</f>
        <v>24.49</v>
      </c>
    </row>
    <row r="1415" spans="1:2">
      <c r="A1415" s="3">
        <f ca="1">IFERROR(__xludf.DUMMYFUNCTION("""COMPUTED_VALUE"""),40403.6666666666)</f>
        <v>40403.666666666599</v>
      </c>
      <c r="B1415" s="1">
        <f ca="1">IFERROR(__xludf.DUMMYFUNCTION("""COMPUTED_VALUE"""),24.4)</f>
        <v>24.4</v>
      </c>
    </row>
    <row r="1416" spans="1:2">
      <c r="A1416" s="3">
        <f ca="1">IFERROR(__xludf.DUMMYFUNCTION("""COMPUTED_VALUE"""),40406.6666666666)</f>
        <v>40406.666666666599</v>
      </c>
      <c r="B1416" s="1">
        <f ca="1">IFERROR(__xludf.DUMMYFUNCTION("""COMPUTED_VALUE"""),24.5)</f>
        <v>24.5</v>
      </c>
    </row>
    <row r="1417" spans="1:2">
      <c r="A1417" s="3">
        <f ca="1">IFERROR(__xludf.DUMMYFUNCTION("""COMPUTED_VALUE"""),40407.6666666666)</f>
        <v>40407.666666666599</v>
      </c>
      <c r="B1417" s="1">
        <f ca="1">IFERROR(__xludf.DUMMYFUNCTION("""COMPUTED_VALUE"""),24.71)</f>
        <v>24.71</v>
      </c>
    </row>
    <row r="1418" spans="1:2">
      <c r="A1418" s="3">
        <f ca="1">IFERROR(__xludf.DUMMYFUNCTION("""COMPUTED_VALUE"""),40408.6666666666)</f>
        <v>40408.666666666599</v>
      </c>
      <c r="B1418" s="1">
        <f ca="1">IFERROR(__xludf.DUMMYFUNCTION("""COMPUTED_VALUE"""),24.82)</f>
        <v>24.82</v>
      </c>
    </row>
    <row r="1419" spans="1:2">
      <c r="A1419" s="3">
        <f ca="1">IFERROR(__xludf.DUMMYFUNCTION("""COMPUTED_VALUE"""),40409.6666666666)</f>
        <v>40409.666666666599</v>
      </c>
      <c r="B1419" s="1">
        <f ca="1">IFERROR(__xludf.DUMMYFUNCTION("""COMPUTED_VALUE"""),24.44)</f>
        <v>24.44</v>
      </c>
    </row>
    <row r="1420" spans="1:2">
      <c r="A1420" s="3">
        <f ca="1">IFERROR(__xludf.DUMMYFUNCTION("""COMPUTED_VALUE"""),40410.6666666666)</f>
        <v>40410.666666666599</v>
      </c>
      <c r="B1420" s="1">
        <f ca="1">IFERROR(__xludf.DUMMYFUNCTION("""COMPUTED_VALUE"""),24.23)</f>
        <v>24.23</v>
      </c>
    </row>
    <row r="1421" spans="1:2">
      <c r="A1421" s="3">
        <f ca="1">IFERROR(__xludf.DUMMYFUNCTION("""COMPUTED_VALUE"""),40413.6666666666)</f>
        <v>40413.666666666599</v>
      </c>
      <c r="B1421" s="1">
        <f ca="1">IFERROR(__xludf.DUMMYFUNCTION("""COMPUTED_VALUE"""),24.28)</f>
        <v>24.28</v>
      </c>
    </row>
    <row r="1422" spans="1:2">
      <c r="A1422" s="3">
        <f ca="1">IFERROR(__xludf.DUMMYFUNCTION("""COMPUTED_VALUE"""),40414.6666666666)</f>
        <v>40414.666666666599</v>
      </c>
      <c r="B1422" s="1">
        <f ca="1">IFERROR(__xludf.DUMMYFUNCTION("""COMPUTED_VALUE"""),24.04)</f>
        <v>24.04</v>
      </c>
    </row>
    <row r="1423" spans="1:2">
      <c r="A1423" s="3">
        <f ca="1">IFERROR(__xludf.DUMMYFUNCTION("""COMPUTED_VALUE"""),40415.6666666666)</f>
        <v>40415.666666666599</v>
      </c>
      <c r="B1423" s="1">
        <f ca="1">IFERROR(__xludf.DUMMYFUNCTION("""COMPUTED_VALUE"""),24.1)</f>
        <v>24.1</v>
      </c>
    </row>
    <row r="1424" spans="1:2">
      <c r="A1424" s="3">
        <f ca="1">IFERROR(__xludf.DUMMYFUNCTION("""COMPUTED_VALUE"""),40416.6666666666)</f>
        <v>40416.666666666599</v>
      </c>
      <c r="B1424" s="1">
        <f ca="1">IFERROR(__xludf.DUMMYFUNCTION("""COMPUTED_VALUE"""),23.82)</f>
        <v>23.82</v>
      </c>
    </row>
    <row r="1425" spans="1:2">
      <c r="A1425" s="3">
        <f ca="1">IFERROR(__xludf.DUMMYFUNCTION("""COMPUTED_VALUE"""),40417.6666666666)</f>
        <v>40417.666666666599</v>
      </c>
      <c r="B1425" s="1">
        <f ca="1">IFERROR(__xludf.DUMMYFUNCTION("""COMPUTED_VALUE"""),23.93)</f>
        <v>23.93</v>
      </c>
    </row>
    <row r="1426" spans="1:2">
      <c r="A1426" s="3">
        <f ca="1">IFERROR(__xludf.DUMMYFUNCTION("""COMPUTED_VALUE"""),40420.6666666666)</f>
        <v>40420.666666666599</v>
      </c>
      <c r="B1426" s="1">
        <f ca="1">IFERROR(__xludf.DUMMYFUNCTION("""COMPUTED_VALUE"""),23.64)</f>
        <v>23.64</v>
      </c>
    </row>
    <row r="1427" spans="1:2">
      <c r="A1427" s="3">
        <f ca="1">IFERROR(__xludf.DUMMYFUNCTION("""COMPUTED_VALUE"""),40421.6666666666)</f>
        <v>40421.666666666599</v>
      </c>
      <c r="B1427" s="1">
        <f ca="1">IFERROR(__xludf.DUMMYFUNCTION("""COMPUTED_VALUE"""),23.47)</f>
        <v>23.47</v>
      </c>
    </row>
    <row r="1428" spans="1:2">
      <c r="A1428" s="3">
        <f ca="1">IFERROR(__xludf.DUMMYFUNCTION("""COMPUTED_VALUE"""),40422.6666666666)</f>
        <v>40422.666666666599</v>
      </c>
      <c r="B1428" s="1">
        <f ca="1">IFERROR(__xludf.DUMMYFUNCTION("""COMPUTED_VALUE"""),23.9)</f>
        <v>23.9</v>
      </c>
    </row>
    <row r="1429" spans="1:2">
      <c r="A1429" s="3">
        <f ca="1">IFERROR(__xludf.DUMMYFUNCTION("""COMPUTED_VALUE"""),40423.6666666666)</f>
        <v>40423.666666666599</v>
      </c>
      <c r="B1429" s="1">
        <f ca="1">IFERROR(__xludf.DUMMYFUNCTION("""COMPUTED_VALUE"""),23.94)</f>
        <v>23.94</v>
      </c>
    </row>
    <row r="1430" spans="1:2">
      <c r="A1430" s="3">
        <f ca="1">IFERROR(__xludf.DUMMYFUNCTION("""COMPUTED_VALUE"""),40424.6666666666)</f>
        <v>40424.666666666599</v>
      </c>
      <c r="B1430" s="1">
        <f ca="1">IFERROR(__xludf.DUMMYFUNCTION("""COMPUTED_VALUE"""),24.29)</f>
        <v>24.29</v>
      </c>
    </row>
    <row r="1431" spans="1:2">
      <c r="A1431" s="3">
        <f ca="1">IFERROR(__xludf.DUMMYFUNCTION("""COMPUTED_VALUE"""),40428.6666666666)</f>
        <v>40428.666666666599</v>
      </c>
      <c r="B1431" s="1">
        <f ca="1">IFERROR(__xludf.DUMMYFUNCTION("""COMPUTED_VALUE"""),23.96)</f>
        <v>23.96</v>
      </c>
    </row>
    <row r="1432" spans="1:2">
      <c r="A1432" s="3">
        <f ca="1">IFERROR(__xludf.DUMMYFUNCTION("""COMPUTED_VALUE"""),40429.6666666666)</f>
        <v>40429.666666666599</v>
      </c>
      <c r="B1432" s="1">
        <f ca="1">IFERROR(__xludf.DUMMYFUNCTION("""COMPUTED_VALUE"""),23.93)</f>
        <v>23.93</v>
      </c>
    </row>
    <row r="1433" spans="1:2">
      <c r="A1433" s="3">
        <f ca="1">IFERROR(__xludf.DUMMYFUNCTION("""COMPUTED_VALUE"""),40430.6666666666)</f>
        <v>40430.666666666599</v>
      </c>
      <c r="B1433" s="1">
        <f ca="1">IFERROR(__xludf.DUMMYFUNCTION("""COMPUTED_VALUE"""),24.01)</f>
        <v>24.01</v>
      </c>
    </row>
    <row r="1434" spans="1:2">
      <c r="A1434" s="3">
        <f ca="1">IFERROR(__xludf.DUMMYFUNCTION("""COMPUTED_VALUE"""),40431.6666666666)</f>
        <v>40431.666666666599</v>
      </c>
      <c r="B1434" s="1">
        <f ca="1">IFERROR(__xludf.DUMMYFUNCTION("""COMPUTED_VALUE"""),23.85)</f>
        <v>23.85</v>
      </c>
    </row>
    <row r="1435" spans="1:2">
      <c r="A1435" s="3">
        <f ca="1">IFERROR(__xludf.DUMMYFUNCTION("""COMPUTED_VALUE"""),40434.6666666666)</f>
        <v>40434.666666666599</v>
      </c>
      <c r="B1435" s="1">
        <f ca="1">IFERROR(__xludf.DUMMYFUNCTION("""COMPUTED_VALUE"""),25.11)</f>
        <v>25.11</v>
      </c>
    </row>
    <row r="1436" spans="1:2">
      <c r="A1436" s="3">
        <f ca="1">IFERROR(__xludf.DUMMYFUNCTION("""COMPUTED_VALUE"""),40435.6666666666)</f>
        <v>40435.666666666599</v>
      </c>
      <c r="B1436" s="1">
        <f ca="1">IFERROR(__xludf.DUMMYFUNCTION("""COMPUTED_VALUE"""),25.03)</f>
        <v>25.03</v>
      </c>
    </row>
    <row r="1437" spans="1:2">
      <c r="A1437" s="3">
        <f ca="1">IFERROR(__xludf.DUMMYFUNCTION("""COMPUTED_VALUE"""),40436.6666666666)</f>
        <v>40436.666666666599</v>
      </c>
      <c r="B1437" s="1">
        <f ca="1">IFERROR(__xludf.DUMMYFUNCTION("""COMPUTED_VALUE"""),25.12)</f>
        <v>25.12</v>
      </c>
    </row>
    <row r="1438" spans="1:2">
      <c r="A1438" s="3">
        <f ca="1">IFERROR(__xludf.DUMMYFUNCTION("""COMPUTED_VALUE"""),40437.6666666666)</f>
        <v>40437.666666666599</v>
      </c>
      <c r="B1438" s="1">
        <f ca="1">IFERROR(__xludf.DUMMYFUNCTION("""COMPUTED_VALUE"""),25.33)</f>
        <v>25.33</v>
      </c>
    </row>
    <row r="1439" spans="1:2">
      <c r="A1439" s="3">
        <f ca="1">IFERROR(__xludf.DUMMYFUNCTION("""COMPUTED_VALUE"""),40438.6666666666)</f>
        <v>40438.666666666599</v>
      </c>
      <c r="B1439" s="1">
        <f ca="1">IFERROR(__xludf.DUMMYFUNCTION("""COMPUTED_VALUE"""),25.22)</f>
        <v>25.22</v>
      </c>
    </row>
    <row r="1440" spans="1:2">
      <c r="A1440" s="3">
        <f ca="1">IFERROR(__xludf.DUMMYFUNCTION("""COMPUTED_VALUE"""),40441.6666666666)</f>
        <v>40441.666666666599</v>
      </c>
      <c r="B1440" s="1">
        <f ca="1">IFERROR(__xludf.DUMMYFUNCTION("""COMPUTED_VALUE"""),25.43)</f>
        <v>25.43</v>
      </c>
    </row>
    <row r="1441" spans="1:2">
      <c r="A1441" s="3">
        <f ca="1">IFERROR(__xludf.DUMMYFUNCTION("""COMPUTED_VALUE"""),40442.6666666666)</f>
        <v>40442.666666666599</v>
      </c>
      <c r="B1441" s="1">
        <f ca="1">IFERROR(__xludf.DUMMYFUNCTION("""COMPUTED_VALUE"""),25.15)</f>
        <v>25.15</v>
      </c>
    </row>
    <row r="1442" spans="1:2">
      <c r="A1442" s="3">
        <f ca="1">IFERROR(__xludf.DUMMYFUNCTION("""COMPUTED_VALUE"""),40443.6666666666)</f>
        <v>40443.666666666599</v>
      </c>
      <c r="B1442" s="1">
        <f ca="1">IFERROR(__xludf.DUMMYFUNCTION("""COMPUTED_VALUE"""),24.61)</f>
        <v>24.61</v>
      </c>
    </row>
    <row r="1443" spans="1:2">
      <c r="A1443" s="3">
        <f ca="1">IFERROR(__xludf.DUMMYFUNCTION("""COMPUTED_VALUE"""),40444.6666666666)</f>
        <v>40444.666666666599</v>
      </c>
      <c r="B1443" s="1">
        <f ca="1">IFERROR(__xludf.DUMMYFUNCTION("""COMPUTED_VALUE"""),24.43)</f>
        <v>24.43</v>
      </c>
    </row>
    <row r="1444" spans="1:2">
      <c r="A1444" s="3">
        <f ca="1">IFERROR(__xludf.DUMMYFUNCTION("""COMPUTED_VALUE"""),40445.6666666666)</f>
        <v>40445.666666666599</v>
      </c>
      <c r="B1444" s="1">
        <f ca="1">IFERROR(__xludf.DUMMYFUNCTION("""COMPUTED_VALUE"""),24.78)</f>
        <v>24.78</v>
      </c>
    </row>
    <row r="1445" spans="1:2">
      <c r="A1445" s="3">
        <f ca="1">IFERROR(__xludf.DUMMYFUNCTION("""COMPUTED_VALUE"""),40448.6666666666)</f>
        <v>40448.666666666599</v>
      </c>
      <c r="B1445" s="1">
        <f ca="1">IFERROR(__xludf.DUMMYFUNCTION("""COMPUTED_VALUE"""),24.73)</f>
        <v>24.73</v>
      </c>
    </row>
    <row r="1446" spans="1:2">
      <c r="A1446" s="3">
        <f ca="1">IFERROR(__xludf.DUMMYFUNCTION("""COMPUTED_VALUE"""),40449.6666666666)</f>
        <v>40449.666666666599</v>
      </c>
      <c r="B1446" s="1">
        <f ca="1">IFERROR(__xludf.DUMMYFUNCTION("""COMPUTED_VALUE"""),24.68)</f>
        <v>24.68</v>
      </c>
    </row>
    <row r="1447" spans="1:2">
      <c r="A1447" s="3">
        <f ca="1">IFERROR(__xludf.DUMMYFUNCTION("""COMPUTED_VALUE"""),40450.6666666666)</f>
        <v>40450.666666666599</v>
      </c>
      <c r="B1447" s="1">
        <f ca="1">IFERROR(__xludf.DUMMYFUNCTION("""COMPUTED_VALUE"""),24.5)</f>
        <v>24.5</v>
      </c>
    </row>
    <row r="1448" spans="1:2">
      <c r="A1448" s="3">
        <f ca="1">IFERROR(__xludf.DUMMYFUNCTION("""COMPUTED_VALUE"""),40451.6666666666)</f>
        <v>40451.666666666599</v>
      </c>
      <c r="B1448" s="1">
        <f ca="1">IFERROR(__xludf.DUMMYFUNCTION("""COMPUTED_VALUE"""),24.49)</f>
        <v>24.49</v>
      </c>
    </row>
    <row r="1449" spans="1:2">
      <c r="A1449" s="3">
        <f ca="1">IFERROR(__xludf.DUMMYFUNCTION("""COMPUTED_VALUE"""),40452.6666666666)</f>
        <v>40452.666666666599</v>
      </c>
      <c r="B1449" s="1">
        <f ca="1">IFERROR(__xludf.DUMMYFUNCTION("""COMPUTED_VALUE"""),24.38)</f>
        <v>24.38</v>
      </c>
    </row>
    <row r="1450" spans="1:2">
      <c r="A1450" s="3">
        <f ca="1">IFERROR(__xludf.DUMMYFUNCTION("""COMPUTED_VALUE"""),40455.6666666666)</f>
        <v>40455.666666666599</v>
      </c>
      <c r="B1450" s="1">
        <f ca="1">IFERROR(__xludf.DUMMYFUNCTION("""COMPUTED_VALUE"""),23.91)</f>
        <v>23.91</v>
      </c>
    </row>
    <row r="1451" spans="1:2">
      <c r="A1451" s="3">
        <f ca="1">IFERROR(__xludf.DUMMYFUNCTION("""COMPUTED_VALUE"""),40456.6666666666)</f>
        <v>40456.666666666599</v>
      </c>
      <c r="B1451" s="1">
        <f ca="1">IFERROR(__xludf.DUMMYFUNCTION("""COMPUTED_VALUE"""),24.35)</f>
        <v>24.35</v>
      </c>
    </row>
    <row r="1452" spans="1:2">
      <c r="A1452" s="3">
        <f ca="1">IFERROR(__xludf.DUMMYFUNCTION("""COMPUTED_VALUE"""),40457.6666666666)</f>
        <v>40457.666666666599</v>
      </c>
      <c r="B1452" s="1">
        <f ca="1">IFERROR(__xludf.DUMMYFUNCTION("""COMPUTED_VALUE"""),24.33)</f>
        <v>24.33</v>
      </c>
    </row>
    <row r="1453" spans="1:2">
      <c r="A1453" s="3">
        <f ca="1">IFERROR(__xludf.DUMMYFUNCTION("""COMPUTED_VALUE"""),40458.6666666666)</f>
        <v>40458.666666666599</v>
      </c>
      <c r="B1453" s="1">
        <f ca="1">IFERROR(__xludf.DUMMYFUNCTION("""COMPUTED_VALUE"""),24.53)</f>
        <v>24.53</v>
      </c>
    </row>
    <row r="1454" spans="1:2">
      <c r="A1454" s="3">
        <f ca="1">IFERROR(__xludf.DUMMYFUNCTION("""COMPUTED_VALUE"""),40459.6666666666)</f>
        <v>40459.666666666599</v>
      </c>
      <c r="B1454" s="1">
        <f ca="1">IFERROR(__xludf.DUMMYFUNCTION("""COMPUTED_VALUE"""),24.57)</f>
        <v>24.57</v>
      </c>
    </row>
    <row r="1455" spans="1:2">
      <c r="A1455" s="3">
        <f ca="1">IFERROR(__xludf.DUMMYFUNCTION("""COMPUTED_VALUE"""),40462.6666666666)</f>
        <v>40462.666666666599</v>
      </c>
      <c r="B1455" s="1">
        <f ca="1">IFERROR(__xludf.DUMMYFUNCTION("""COMPUTED_VALUE"""),24.59)</f>
        <v>24.59</v>
      </c>
    </row>
    <row r="1456" spans="1:2">
      <c r="A1456" s="3">
        <f ca="1">IFERROR(__xludf.DUMMYFUNCTION("""COMPUTED_VALUE"""),40463.6666666666)</f>
        <v>40463.666666666599</v>
      </c>
      <c r="B1456" s="1">
        <f ca="1">IFERROR(__xludf.DUMMYFUNCTION("""COMPUTED_VALUE"""),24.83)</f>
        <v>24.83</v>
      </c>
    </row>
    <row r="1457" spans="1:2">
      <c r="A1457" s="3">
        <f ca="1">IFERROR(__xludf.DUMMYFUNCTION("""COMPUTED_VALUE"""),40464.6666666666)</f>
        <v>40464.666666666599</v>
      </c>
      <c r="B1457" s="1">
        <f ca="1">IFERROR(__xludf.DUMMYFUNCTION("""COMPUTED_VALUE"""),25.34)</f>
        <v>25.34</v>
      </c>
    </row>
    <row r="1458" spans="1:2">
      <c r="A1458" s="3">
        <f ca="1">IFERROR(__xludf.DUMMYFUNCTION("""COMPUTED_VALUE"""),40465.6666666666)</f>
        <v>40465.666666666599</v>
      </c>
      <c r="B1458" s="1">
        <f ca="1">IFERROR(__xludf.DUMMYFUNCTION("""COMPUTED_VALUE"""),25.23)</f>
        <v>25.23</v>
      </c>
    </row>
    <row r="1459" spans="1:2">
      <c r="A1459" s="3">
        <f ca="1">IFERROR(__xludf.DUMMYFUNCTION("""COMPUTED_VALUE"""),40466.6666666666)</f>
        <v>40466.666666666599</v>
      </c>
      <c r="B1459" s="1">
        <f ca="1">IFERROR(__xludf.DUMMYFUNCTION("""COMPUTED_VALUE"""),25.54)</f>
        <v>25.54</v>
      </c>
    </row>
    <row r="1460" spans="1:2">
      <c r="A1460" s="3">
        <f ca="1">IFERROR(__xludf.DUMMYFUNCTION("""COMPUTED_VALUE"""),40469.6666666666)</f>
        <v>40469.666666666599</v>
      </c>
      <c r="B1460" s="1">
        <f ca="1">IFERROR(__xludf.DUMMYFUNCTION("""COMPUTED_VALUE"""),25.82)</f>
        <v>25.82</v>
      </c>
    </row>
    <row r="1461" spans="1:2">
      <c r="A1461" s="3">
        <f ca="1">IFERROR(__xludf.DUMMYFUNCTION("""COMPUTED_VALUE"""),40470.6666666666)</f>
        <v>40470.666666666599</v>
      </c>
      <c r="B1461" s="1">
        <f ca="1">IFERROR(__xludf.DUMMYFUNCTION("""COMPUTED_VALUE"""),25.1)</f>
        <v>25.1</v>
      </c>
    </row>
    <row r="1462" spans="1:2">
      <c r="A1462" s="3">
        <f ca="1">IFERROR(__xludf.DUMMYFUNCTION("""COMPUTED_VALUE"""),40471.6666666666)</f>
        <v>40471.666666666599</v>
      </c>
      <c r="B1462" s="1">
        <f ca="1">IFERROR(__xludf.DUMMYFUNCTION("""COMPUTED_VALUE"""),25.31)</f>
        <v>25.31</v>
      </c>
    </row>
    <row r="1463" spans="1:2">
      <c r="A1463" s="3">
        <f ca="1">IFERROR(__xludf.DUMMYFUNCTION("""COMPUTED_VALUE"""),40472.6666666666)</f>
        <v>40472.666666666599</v>
      </c>
      <c r="B1463" s="1">
        <f ca="1">IFERROR(__xludf.DUMMYFUNCTION("""COMPUTED_VALUE"""),25.42)</f>
        <v>25.42</v>
      </c>
    </row>
    <row r="1464" spans="1:2">
      <c r="A1464" s="3">
        <f ca="1">IFERROR(__xludf.DUMMYFUNCTION("""COMPUTED_VALUE"""),40473.6666666666)</f>
        <v>40473.666666666599</v>
      </c>
      <c r="B1464" s="1">
        <f ca="1">IFERROR(__xludf.DUMMYFUNCTION("""COMPUTED_VALUE"""),25.38)</f>
        <v>25.38</v>
      </c>
    </row>
    <row r="1465" spans="1:2">
      <c r="A1465" s="3">
        <f ca="1">IFERROR(__xludf.DUMMYFUNCTION("""COMPUTED_VALUE"""),40476.6666666666)</f>
        <v>40476.666666666599</v>
      </c>
      <c r="B1465" s="1">
        <f ca="1">IFERROR(__xludf.DUMMYFUNCTION("""COMPUTED_VALUE"""),25.19)</f>
        <v>25.19</v>
      </c>
    </row>
    <row r="1466" spans="1:2">
      <c r="A1466" s="3">
        <f ca="1">IFERROR(__xludf.DUMMYFUNCTION("""COMPUTED_VALUE"""),40477.6666666666)</f>
        <v>40477.666666666599</v>
      </c>
      <c r="B1466" s="1">
        <f ca="1">IFERROR(__xludf.DUMMYFUNCTION("""COMPUTED_VALUE"""),25.9)</f>
        <v>25.9</v>
      </c>
    </row>
    <row r="1467" spans="1:2">
      <c r="A1467" s="3">
        <f ca="1">IFERROR(__xludf.DUMMYFUNCTION("""COMPUTED_VALUE"""),40478.6666666666)</f>
        <v>40478.666666666599</v>
      </c>
      <c r="B1467" s="1">
        <f ca="1">IFERROR(__xludf.DUMMYFUNCTION("""COMPUTED_VALUE"""),26.05)</f>
        <v>26.05</v>
      </c>
    </row>
    <row r="1468" spans="1:2">
      <c r="A1468" s="3">
        <f ca="1">IFERROR(__xludf.DUMMYFUNCTION("""COMPUTED_VALUE"""),40479.6666666666)</f>
        <v>40479.666666666599</v>
      </c>
      <c r="B1468" s="1">
        <f ca="1">IFERROR(__xludf.DUMMYFUNCTION("""COMPUTED_VALUE"""),26.28)</f>
        <v>26.28</v>
      </c>
    </row>
    <row r="1469" spans="1:2">
      <c r="A1469" s="3">
        <f ca="1">IFERROR(__xludf.DUMMYFUNCTION("""COMPUTED_VALUE"""),40480.6666666666)</f>
        <v>40480.666666666599</v>
      </c>
      <c r="B1469" s="1">
        <f ca="1">IFERROR(__xludf.DUMMYFUNCTION("""COMPUTED_VALUE"""),26.67)</f>
        <v>26.67</v>
      </c>
    </row>
    <row r="1470" spans="1:2">
      <c r="A1470" s="3">
        <f ca="1">IFERROR(__xludf.DUMMYFUNCTION("""COMPUTED_VALUE"""),40483.6666666666)</f>
        <v>40483.666666666599</v>
      </c>
      <c r="B1470" s="1">
        <f ca="1">IFERROR(__xludf.DUMMYFUNCTION("""COMPUTED_VALUE"""),26.95)</f>
        <v>26.95</v>
      </c>
    </row>
    <row r="1471" spans="1:2">
      <c r="A1471" s="3">
        <f ca="1">IFERROR(__xludf.DUMMYFUNCTION("""COMPUTED_VALUE"""),40484.6666666666)</f>
        <v>40484.666666666599</v>
      </c>
      <c r="B1471" s="1">
        <f ca="1">IFERROR(__xludf.DUMMYFUNCTION("""COMPUTED_VALUE"""),27.39)</f>
        <v>27.39</v>
      </c>
    </row>
    <row r="1472" spans="1:2">
      <c r="A1472" s="3">
        <f ca="1">IFERROR(__xludf.DUMMYFUNCTION("""COMPUTED_VALUE"""),40485.6666666666)</f>
        <v>40485.666666666599</v>
      </c>
      <c r="B1472" s="1">
        <f ca="1">IFERROR(__xludf.DUMMYFUNCTION("""COMPUTED_VALUE"""),27.03)</f>
        <v>27.03</v>
      </c>
    </row>
    <row r="1473" spans="1:2">
      <c r="A1473" s="3">
        <f ca="1">IFERROR(__xludf.DUMMYFUNCTION("""COMPUTED_VALUE"""),40486.6666666666)</f>
        <v>40486.666666666599</v>
      </c>
      <c r="B1473" s="1">
        <f ca="1">IFERROR(__xludf.DUMMYFUNCTION("""COMPUTED_VALUE"""),27.14)</f>
        <v>27.14</v>
      </c>
    </row>
    <row r="1474" spans="1:2">
      <c r="A1474" s="3">
        <f ca="1">IFERROR(__xludf.DUMMYFUNCTION("""COMPUTED_VALUE"""),40487.6666666666)</f>
        <v>40487.666666666599</v>
      </c>
      <c r="B1474" s="1">
        <f ca="1">IFERROR(__xludf.DUMMYFUNCTION("""COMPUTED_VALUE"""),26.85)</f>
        <v>26.85</v>
      </c>
    </row>
    <row r="1475" spans="1:2">
      <c r="A1475" s="3">
        <f ca="1">IFERROR(__xludf.DUMMYFUNCTION("""COMPUTED_VALUE"""),40490.6666666666)</f>
        <v>40490.666666666599</v>
      </c>
      <c r="B1475" s="1">
        <f ca="1">IFERROR(__xludf.DUMMYFUNCTION("""COMPUTED_VALUE"""),26.81)</f>
        <v>26.81</v>
      </c>
    </row>
    <row r="1476" spans="1:2">
      <c r="A1476" s="3">
        <f ca="1">IFERROR(__xludf.DUMMYFUNCTION("""COMPUTED_VALUE"""),40491.6666666666)</f>
        <v>40491.666666666599</v>
      </c>
      <c r="B1476" s="1">
        <f ca="1">IFERROR(__xludf.DUMMYFUNCTION("""COMPUTED_VALUE"""),26.95)</f>
        <v>26.95</v>
      </c>
    </row>
    <row r="1477" spans="1:2">
      <c r="A1477" s="3">
        <f ca="1">IFERROR(__xludf.DUMMYFUNCTION("""COMPUTED_VALUE"""),40492.6666666666)</f>
        <v>40492.666666666599</v>
      </c>
      <c r="B1477" s="1">
        <f ca="1">IFERROR(__xludf.DUMMYFUNCTION("""COMPUTED_VALUE"""),26.94)</f>
        <v>26.94</v>
      </c>
    </row>
    <row r="1478" spans="1:2">
      <c r="A1478" s="3">
        <f ca="1">IFERROR(__xludf.DUMMYFUNCTION("""COMPUTED_VALUE"""),40493.6666666666)</f>
        <v>40493.666666666599</v>
      </c>
      <c r="B1478" s="1">
        <f ca="1">IFERROR(__xludf.DUMMYFUNCTION("""COMPUTED_VALUE"""),26.68)</f>
        <v>26.68</v>
      </c>
    </row>
    <row r="1479" spans="1:2">
      <c r="A1479" s="3">
        <f ca="1">IFERROR(__xludf.DUMMYFUNCTION("""COMPUTED_VALUE"""),40494.6666666666)</f>
        <v>40494.666666666599</v>
      </c>
      <c r="B1479" s="1">
        <f ca="1">IFERROR(__xludf.DUMMYFUNCTION("""COMPUTED_VALUE"""),26.27)</f>
        <v>26.27</v>
      </c>
    </row>
    <row r="1480" spans="1:2">
      <c r="A1480" s="3">
        <f ca="1">IFERROR(__xludf.DUMMYFUNCTION("""COMPUTED_VALUE"""),40497.6666666666)</f>
        <v>40497.666666666599</v>
      </c>
      <c r="B1480" s="1">
        <f ca="1">IFERROR(__xludf.DUMMYFUNCTION("""COMPUTED_VALUE"""),26.2)</f>
        <v>26.2</v>
      </c>
    </row>
    <row r="1481" spans="1:2">
      <c r="A1481" s="3">
        <f ca="1">IFERROR(__xludf.DUMMYFUNCTION("""COMPUTED_VALUE"""),40498.6666666666)</f>
        <v>40498.666666666599</v>
      </c>
      <c r="B1481" s="1">
        <f ca="1">IFERROR(__xludf.DUMMYFUNCTION("""COMPUTED_VALUE"""),25.81)</f>
        <v>25.81</v>
      </c>
    </row>
    <row r="1482" spans="1:2">
      <c r="A1482" s="3">
        <f ca="1">IFERROR(__xludf.DUMMYFUNCTION("""COMPUTED_VALUE"""),40499.6666666666)</f>
        <v>40499.666666666599</v>
      </c>
      <c r="B1482" s="1">
        <f ca="1">IFERROR(__xludf.DUMMYFUNCTION("""COMPUTED_VALUE"""),25.57)</f>
        <v>25.57</v>
      </c>
    </row>
    <row r="1483" spans="1:2">
      <c r="A1483" s="3">
        <f ca="1">IFERROR(__xludf.DUMMYFUNCTION("""COMPUTED_VALUE"""),40500.6666666666)</f>
        <v>40500.666666666599</v>
      </c>
      <c r="B1483" s="1">
        <f ca="1">IFERROR(__xludf.DUMMYFUNCTION("""COMPUTED_VALUE"""),25.84)</f>
        <v>25.84</v>
      </c>
    </row>
    <row r="1484" spans="1:2">
      <c r="A1484" s="3">
        <f ca="1">IFERROR(__xludf.DUMMYFUNCTION("""COMPUTED_VALUE"""),40501.6666666666)</f>
        <v>40501.666666666599</v>
      </c>
      <c r="B1484" s="1">
        <f ca="1">IFERROR(__xludf.DUMMYFUNCTION("""COMPUTED_VALUE"""),25.69)</f>
        <v>25.69</v>
      </c>
    </row>
    <row r="1485" spans="1:2">
      <c r="A1485" s="3">
        <f ca="1">IFERROR(__xludf.DUMMYFUNCTION("""COMPUTED_VALUE"""),40504.6666666666)</f>
        <v>40504.666666666599</v>
      </c>
      <c r="B1485" s="1">
        <f ca="1">IFERROR(__xludf.DUMMYFUNCTION("""COMPUTED_VALUE"""),25.73)</f>
        <v>25.73</v>
      </c>
    </row>
    <row r="1486" spans="1:2">
      <c r="A1486" s="3">
        <f ca="1">IFERROR(__xludf.DUMMYFUNCTION("""COMPUTED_VALUE"""),40505.6666666666)</f>
        <v>40505.666666666599</v>
      </c>
      <c r="B1486" s="1">
        <f ca="1">IFERROR(__xludf.DUMMYFUNCTION("""COMPUTED_VALUE"""),25.12)</f>
        <v>25.12</v>
      </c>
    </row>
    <row r="1487" spans="1:2">
      <c r="A1487" s="3">
        <f ca="1">IFERROR(__xludf.DUMMYFUNCTION("""COMPUTED_VALUE"""),40506.6666666666)</f>
        <v>40506.666666666599</v>
      </c>
      <c r="B1487" s="1">
        <f ca="1">IFERROR(__xludf.DUMMYFUNCTION("""COMPUTED_VALUE"""),25.37)</f>
        <v>25.37</v>
      </c>
    </row>
    <row r="1488" spans="1:2">
      <c r="A1488" s="3">
        <f ca="1">IFERROR(__xludf.DUMMYFUNCTION("""COMPUTED_VALUE"""),40508.6666666666)</f>
        <v>40508.666666666599</v>
      </c>
      <c r="B1488" s="1">
        <f ca="1">IFERROR(__xludf.DUMMYFUNCTION("""COMPUTED_VALUE"""),25.25)</f>
        <v>25.25</v>
      </c>
    </row>
    <row r="1489" spans="1:2">
      <c r="A1489" s="3">
        <f ca="1">IFERROR(__xludf.DUMMYFUNCTION("""COMPUTED_VALUE"""),40511.6666666666)</f>
        <v>40511.666666666599</v>
      </c>
      <c r="B1489" s="1">
        <f ca="1">IFERROR(__xludf.DUMMYFUNCTION("""COMPUTED_VALUE"""),25.31)</f>
        <v>25.31</v>
      </c>
    </row>
    <row r="1490" spans="1:2">
      <c r="A1490" s="3">
        <f ca="1">IFERROR(__xludf.DUMMYFUNCTION("""COMPUTED_VALUE"""),40512.6666666666)</f>
        <v>40512.666666666599</v>
      </c>
      <c r="B1490" s="1">
        <f ca="1">IFERROR(__xludf.DUMMYFUNCTION("""COMPUTED_VALUE"""),25.26)</f>
        <v>25.26</v>
      </c>
    </row>
    <row r="1491" spans="1:2">
      <c r="A1491" s="3">
        <f ca="1">IFERROR(__xludf.DUMMYFUNCTION("""COMPUTED_VALUE"""),40513.6666666666)</f>
        <v>40513.666666666599</v>
      </c>
      <c r="B1491" s="1">
        <f ca="1">IFERROR(__xludf.DUMMYFUNCTION("""COMPUTED_VALUE"""),26.04)</f>
        <v>26.04</v>
      </c>
    </row>
    <row r="1492" spans="1:2">
      <c r="A1492" s="3">
        <f ca="1">IFERROR(__xludf.DUMMYFUNCTION("""COMPUTED_VALUE"""),40514.6666666666)</f>
        <v>40514.666666666599</v>
      </c>
      <c r="B1492" s="1">
        <f ca="1">IFERROR(__xludf.DUMMYFUNCTION("""COMPUTED_VALUE"""),26.89)</f>
        <v>26.89</v>
      </c>
    </row>
    <row r="1493" spans="1:2">
      <c r="A1493" s="3">
        <f ca="1">IFERROR(__xludf.DUMMYFUNCTION("""COMPUTED_VALUE"""),40515.6666666666)</f>
        <v>40515.666666666599</v>
      </c>
      <c r="B1493" s="1">
        <f ca="1">IFERROR(__xludf.DUMMYFUNCTION("""COMPUTED_VALUE"""),27.02)</f>
        <v>27.02</v>
      </c>
    </row>
    <row r="1494" spans="1:2">
      <c r="A1494" s="3">
        <f ca="1">IFERROR(__xludf.DUMMYFUNCTION("""COMPUTED_VALUE"""),40518.6666666666)</f>
        <v>40518.666666666599</v>
      </c>
      <c r="B1494" s="1">
        <f ca="1">IFERROR(__xludf.DUMMYFUNCTION("""COMPUTED_VALUE"""),26.84)</f>
        <v>26.84</v>
      </c>
    </row>
    <row r="1495" spans="1:2">
      <c r="A1495" s="3">
        <f ca="1">IFERROR(__xludf.DUMMYFUNCTION("""COMPUTED_VALUE"""),40519.6666666666)</f>
        <v>40519.666666666599</v>
      </c>
      <c r="B1495" s="1">
        <f ca="1">IFERROR(__xludf.DUMMYFUNCTION("""COMPUTED_VALUE"""),26.87)</f>
        <v>26.87</v>
      </c>
    </row>
    <row r="1496" spans="1:2">
      <c r="A1496" s="3">
        <f ca="1">IFERROR(__xludf.DUMMYFUNCTION("""COMPUTED_VALUE"""),40520.6666666666)</f>
        <v>40520.666666666599</v>
      </c>
      <c r="B1496" s="1">
        <f ca="1">IFERROR(__xludf.DUMMYFUNCTION("""COMPUTED_VALUE"""),27.23)</f>
        <v>27.23</v>
      </c>
    </row>
    <row r="1497" spans="1:2">
      <c r="A1497" s="3">
        <f ca="1">IFERROR(__xludf.DUMMYFUNCTION("""COMPUTED_VALUE"""),40521.6666666666)</f>
        <v>40521.666666666599</v>
      </c>
      <c r="B1497" s="1">
        <f ca="1">IFERROR(__xludf.DUMMYFUNCTION("""COMPUTED_VALUE"""),27.08)</f>
        <v>27.08</v>
      </c>
    </row>
    <row r="1498" spans="1:2">
      <c r="A1498" s="3">
        <f ca="1">IFERROR(__xludf.DUMMYFUNCTION("""COMPUTED_VALUE"""),40522.6666666666)</f>
        <v>40522.666666666599</v>
      </c>
      <c r="B1498" s="1">
        <f ca="1">IFERROR(__xludf.DUMMYFUNCTION("""COMPUTED_VALUE"""),27.34)</f>
        <v>27.34</v>
      </c>
    </row>
    <row r="1499" spans="1:2">
      <c r="A1499" s="3">
        <f ca="1">IFERROR(__xludf.DUMMYFUNCTION("""COMPUTED_VALUE"""),40525.6666666666)</f>
        <v>40525.666666666599</v>
      </c>
      <c r="B1499" s="1">
        <f ca="1">IFERROR(__xludf.DUMMYFUNCTION("""COMPUTED_VALUE"""),27.25)</f>
        <v>27.25</v>
      </c>
    </row>
    <row r="1500" spans="1:2">
      <c r="A1500" s="3">
        <f ca="1">IFERROR(__xludf.DUMMYFUNCTION("""COMPUTED_VALUE"""),40526.6666666666)</f>
        <v>40526.666666666599</v>
      </c>
      <c r="B1500" s="1">
        <f ca="1">IFERROR(__xludf.DUMMYFUNCTION("""COMPUTED_VALUE"""),27.62)</f>
        <v>27.62</v>
      </c>
    </row>
    <row r="1501" spans="1:2">
      <c r="A1501" s="3">
        <f ca="1">IFERROR(__xludf.DUMMYFUNCTION("""COMPUTED_VALUE"""),40527.6666666666)</f>
        <v>40527.666666666599</v>
      </c>
      <c r="B1501" s="1">
        <f ca="1">IFERROR(__xludf.DUMMYFUNCTION("""COMPUTED_VALUE"""),27.85)</f>
        <v>27.85</v>
      </c>
    </row>
    <row r="1502" spans="1:2">
      <c r="A1502" s="3">
        <f ca="1">IFERROR(__xludf.DUMMYFUNCTION("""COMPUTED_VALUE"""),40528.6666666666)</f>
        <v>40528.666666666599</v>
      </c>
      <c r="B1502" s="1">
        <f ca="1">IFERROR(__xludf.DUMMYFUNCTION("""COMPUTED_VALUE"""),27.99)</f>
        <v>27.99</v>
      </c>
    </row>
    <row r="1503" spans="1:2">
      <c r="A1503" s="3">
        <f ca="1">IFERROR(__xludf.DUMMYFUNCTION("""COMPUTED_VALUE"""),40529.6666666666)</f>
        <v>40529.666666666599</v>
      </c>
      <c r="B1503" s="1">
        <f ca="1">IFERROR(__xludf.DUMMYFUNCTION("""COMPUTED_VALUE"""),27.9)</f>
        <v>27.9</v>
      </c>
    </row>
    <row r="1504" spans="1:2">
      <c r="A1504" s="3">
        <f ca="1">IFERROR(__xludf.DUMMYFUNCTION("""COMPUTED_VALUE"""),40532.6666666666)</f>
        <v>40532.666666666599</v>
      </c>
      <c r="B1504" s="1">
        <f ca="1">IFERROR(__xludf.DUMMYFUNCTION("""COMPUTED_VALUE"""),27.81)</f>
        <v>27.81</v>
      </c>
    </row>
    <row r="1505" spans="1:2">
      <c r="A1505" s="3">
        <f ca="1">IFERROR(__xludf.DUMMYFUNCTION("""COMPUTED_VALUE"""),40533.6666666666)</f>
        <v>40533.666666666599</v>
      </c>
      <c r="B1505" s="1">
        <f ca="1">IFERROR(__xludf.DUMMYFUNCTION("""COMPUTED_VALUE"""),28.07)</f>
        <v>28.07</v>
      </c>
    </row>
    <row r="1506" spans="1:2">
      <c r="A1506" s="3">
        <f ca="1">IFERROR(__xludf.DUMMYFUNCTION("""COMPUTED_VALUE"""),40534.6666666666)</f>
        <v>40534.666666666599</v>
      </c>
      <c r="B1506" s="1">
        <f ca="1">IFERROR(__xludf.DUMMYFUNCTION("""COMPUTED_VALUE"""),28.19)</f>
        <v>28.19</v>
      </c>
    </row>
    <row r="1507" spans="1:2">
      <c r="A1507" s="3">
        <f ca="1">IFERROR(__xludf.DUMMYFUNCTION("""COMPUTED_VALUE"""),40535.6666666666)</f>
        <v>40535.666666666599</v>
      </c>
      <c r="B1507" s="1">
        <f ca="1">IFERROR(__xludf.DUMMYFUNCTION("""COMPUTED_VALUE"""),28.3)</f>
        <v>28.3</v>
      </c>
    </row>
    <row r="1508" spans="1:2">
      <c r="A1508" s="3">
        <f ca="1">IFERROR(__xludf.DUMMYFUNCTION("""COMPUTED_VALUE"""),40539.6666666666)</f>
        <v>40539.666666666599</v>
      </c>
      <c r="B1508" s="1">
        <f ca="1">IFERROR(__xludf.DUMMYFUNCTION("""COMPUTED_VALUE"""),28.07)</f>
        <v>28.07</v>
      </c>
    </row>
    <row r="1509" spans="1:2">
      <c r="A1509" s="3">
        <f ca="1">IFERROR(__xludf.DUMMYFUNCTION("""COMPUTED_VALUE"""),40540.6666666666)</f>
        <v>40540.666666666599</v>
      </c>
      <c r="B1509" s="1">
        <f ca="1">IFERROR(__xludf.DUMMYFUNCTION("""COMPUTED_VALUE"""),28.01)</f>
        <v>28.01</v>
      </c>
    </row>
    <row r="1510" spans="1:2">
      <c r="A1510" s="3">
        <f ca="1">IFERROR(__xludf.DUMMYFUNCTION("""COMPUTED_VALUE"""),40541.6666666666)</f>
        <v>40541.666666666599</v>
      </c>
      <c r="B1510" s="1">
        <f ca="1">IFERROR(__xludf.DUMMYFUNCTION("""COMPUTED_VALUE"""),27.97)</f>
        <v>27.97</v>
      </c>
    </row>
    <row r="1511" spans="1:2">
      <c r="A1511" s="3">
        <f ca="1">IFERROR(__xludf.DUMMYFUNCTION("""COMPUTED_VALUE"""),40542.6666666666)</f>
        <v>40542.666666666599</v>
      </c>
      <c r="B1511" s="1">
        <f ca="1">IFERROR(__xludf.DUMMYFUNCTION("""COMPUTED_VALUE"""),27.85)</f>
        <v>27.85</v>
      </c>
    </row>
    <row r="1512" spans="1:2">
      <c r="A1512" s="3">
        <f ca="1">IFERROR(__xludf.DUMMYFUNCTION("""COMPUTED_VALUE"""),40543.6666666666)</f>
        <v>40543.666666666599</v>
      </c>
      <c r="B1512" s="1">
        <f ca="1">IFERROR(__xludf.DUMMYFUNCTION("""COMPUTED_VALUE"""),27.91)</f>
        <v>27.91</v>
      </c>
    </row>
    <row r="1513" spans="1:2">
      <c r="A1513" s="3">
        <f ca="1">IFERROR(__xludf.DUMMYFUNCTION("""COMPUTED_VALUE"""),40546.6666666666)</f>
        <v>40546.666666666599</v>
      </c>
      <c r="B1513" s="1">
        <f ca="1">IFERROR(__xludf.DUMMYFUNCTION("""COMPUTED_VALUE"""),27.98)</f>
        <v>27.98</v>
      </c>
    </row>
    <row r="1514" spans="1:2">
      <c r="A1514" s="3">
        <f ca="1">IFERROR(__xludf.DUMMYFUNCTION("""COMPUTED_VALUE"""),40547.6666666666)</f>
        <v>40547.666666666599</v>
      </c>
      <c r="B1514" s="1">
        <f ca="1">IFERROR(__xludf.DUMMYFUNCTION("""COMPUTED_VALUE"""),28.09)</f>
        <v>28.09</v>
      </c>
    </row>
    <row r="1515" spans="1:2">
      <c r="A1515" s="3">
        <f ca="1">IFERROR(__xludf.DUMMYFUNCTION("""COMPUTED_VALUE"""),40548.6666666666)</f>
        <v>40548.666666666599</v>
      </c>
      <c r="B1515" s="1">
        <f ca="1">IFERROR(__xludf.DUMMYFUNCTION("""COMPUTED_VALUE"""),28)</f>
        <v>28</v>
      </c>
    </row>
    <row r="1516" spans="1:2">
      <c r="A1516" s="3">
        <f ca="1">IFERROR(__xludf.DUMMYFUNCTION("""COMPUTED_VALUE"""),40549.6666666666)</f>
        <v>40549.666666666599</v>
      </c>
      <c r="B1516" s="1">
        <f ca="1">IFERROR(__xludf.DUMMYFUNCTION("""COMPUTED_VALUE"""),28.82)</f>
        <v>28.82</v>
      </c>
    </row>
    <row r="1517" spans="1:2">
      <c r="A1517" s="3">
        <f ca="1">IFERROR(__xludf.DUMMYFUNCTION("""COMPUTED_VALUE"""),40550.6666666666)</f>
        <v>40550.666666666599</v>
      </c>
      <c r="B1517" s="1">
        <f ca="1">IFERROR(__xludf.DUMMYFUNCTION("""COMPUTED_VALUE"""),28.6)</f>
        <v>28.6</v>
      </c>
    </row>
    <row r="1518" spans="1:2">
      <c r="A1518" s="3">
        <f ca="1">IFERROR(__xludf.DUMMYFUNCTION("""COMPUTED_VALUE"""),40553.6666666666)</f>
        <v>40553.666666666599</v>
      </c>
      <c r="B1518" s="1">
        <f ca="1">IFERROR(__xludf.DUMMYFUNCTION("""COMPUTED_VALUE"""),28.22)</f>
        <v>28.22</v>
      </c>
    </row>
    <row r="1519" spans="1:2">
      <c r="A1519" s="3">
        <f ca="1">IFERROR(__xludf.DUMMYFUNCTION("""COMPUTED_VALUE"""),40554.6666666666)</f>
        <v>40554.666666666599</v>
      </c>
      <c r="B1519" s="1">
        <f ca="1">IFERROR(__xludf.DUMMYFUNCTION("""COMPUTED_VALUE"""),28.11)</f>
        <v>28.11</v>
      </c>
    </row>
    <row r="1520" spans="1:2">
      <c r="A1520" s="3">
        <f ca="1">IFERROR(__xludf.DUMMYFUNCTION("""COMPUTED_VALUE"""),40555.6666666666)</f>
        <v>40555.666666666599</v>
      </c>
      <c r="B1520" s="1">
        <f ca="1">IFERROR(__xludf.DUMMYFUNCTION("""COMPUTED_VALUE"""),28.55)</f>
        <v>28.55</v>
      </c>
    </row>
    <row r="1521" spans="1:2">
      <c r="A1521" s="3">
        <f ca="1">IFERROR(__xludf.DUMMYFUNCTION("""COMPUTED_VALUE"""),40556.6666666666)</f>
        <v>40556.666666666599</v>
      </c>
      <c r="B1521" s="1">
        <f ca="1">IFERROR(__xludf.DUMMYFUNCTION("""COMPUTED_VALUE"""),28.19)</f>
        <v>28.19</v>
      </c>
    </row>
    <row r="1522" spans="1:2">
      <c r="A1522" s="3">
        <f ca="1">IFERROR(__xludf.DUMMYFUNCTION("""COMPUTED_VALUE"""),40557.6666666666)</f>
        <v>40557.666666666599</v>
      </c>
      <c r="B1522" s="1">
        <f ca="1">IFERROR(__xludf.DUMMYFUNCTION("""COMPUTED_VALUE"""),28.3)</f>
        <v>28.3</v>
      </c>
    </row>
    <row r="1523" spans="1:2">
      <c r="A1523" s="3">
        <f ca="1">IFERROR(__xludf.DUMMYFUNCTION("""COMPUTED_VALUE"""),40561.6666666666)</f>
        <v>40561.666666666599</v>
      </c>
      <c r="B1523" s="1">
        <f ca="1">IFERROR(__xludf.DUMMYFUNCTION("""COMPUTED_VALUE"""),28.66)</f>
        <v>28.66</v>
      </c>
    </row>
    <row r="1524" spans="1:2">
      <c r="A1524" s="3">
        <f ca="1">IFERROR(__xludf.DUMMYFUNCTION("""COMPUTED_VALUE"""),40562.6666666666)</f>
        <v>40562.666666666599</v>
      </c>
      <c r="B1524" s="1">
        <f ca="1">IFERROR(__xludf.DUMMYFUNCTION("""COMPUTED_VALUE"""),28.47)</f>
        <v>28.47</v>
      </c>
    </row>
    <row r="1525" spans="1:2">
      <c r="A1525" s="3">
        <f ca="1">IFERROR(__xludf.DUMMYFUNCTION("""COMPUTED_VALUE"""),40563.6666666666)</f>
        <v>40563.666666666599</v>
      </c>
      <c r="B1525" s="1">
        <f ca="1">IFERROR(__xludf.DUMMYFUNCTION("""COMPUTED_VALUE"""),28.35)</f>
        <v>28.35</v>
      </c>
    </row>
    <row r="1526" spans="1:2">
      <c r="A1526" s="3">
        <f ca="1">IFERROR(__xludf.DUMMYFUNCTION("""COMPUTED_VALUE"""),40564.6666666666)</f>
        <v>40564.666666666599</v>
      </c>
      <c r="B1526" s="1">
        <f ca="1">IFERROR(__xludf.DUMMYFUNCTION("""COMPUTED_VALUE"""),28.02)</f>
        <v>28.02</v>
      </c>
    </row>
    <row r="1527" spans="1:2">
      <c r="A1527" s="3">
        <f ca="1">IFERROR(__xludf.DUMMYFUNCTION("""COMPUTED_VALUE"""),40567.6666666666)</f>
        <v>40567.666666666599</v>
      </c>
      <c r="B1527" s="1">
        <f ca="1">IFERROR(__xludf.DUMMYFUNCTION("""COMPUTED_VALUE"""),28.38)</f>
        <v>28.38</v>
      </c>
    </row>
    <row r="1528" spans="1:2">
      <c r="A1528" s="3">
        <f ca="1">IFERROR(__xludf.DUMMYFUNCTION("""COMPUTED_VALUE"""),40568.6666666666)</f>
        <v>40568.666666666599</v>
      </c>
      <c r="B1528" s="1">
        <f ca="1">IFERROR(__xludf.DUMMYFUNCTION("""COMPUTED_VALUE"""),28.45)</f>
        <v>28.45</v>
      </c>
    </row>
    <row r="1529" spans="1:2">
      <c r="A1529" s="3">
        <f ca="1">IFERROR(__xludf.DUMMYFUNCTION("""COMPUTED_VALUE"""),40569.6666666666)</f>
        <v>40569.666666666599</v>
      </c>
      <c r="B1529" s="1">
        <f ca="1">IFERROR(__xludf.DUMMYFUNCTION("""COMPUTED_VALUE"""),28.78)</f>
        <v>28.78</v>
      </c>
    </row>
    <row r="1530" spans="1:2">
      <c r="A1530" s="3">
        <f ca="1">IFERROR(__xludf.DUMMYFUNCTION("""COMPUTED_VALUE"""),40570.6666666666)</f>
        <v>40570.666666666599</v>
      </c>
      <c r="B1530" s="1">
        <f ca="1">IFERROR(__xludf.DUMMYFUNCTION("""COMPUTED_VALUE"""),28.87)</f>
        <v>28.87</v>
      </c>
    </row>
    <row r="1531" spans="1:2">
      <c r="A1531" s="3">
        <f ca="1">IFERROR(__xludf.DUMMYFUNCTION("""COMPUTED_VALUE"""),40571.6666666666)</f>
        <v>40571.666666666599</v>
      </c>
      <c r="B1531" s="1">
        <f ca="1">IFERROR(__xludf.DUMMYFUNCTION("""COMPUTED_VALUE"""),27.75)</f>
        <v>27.75</v>
      </c>
    </row>
    <row r="1532" spans="1:2">
      <c r="A1532" s="3">
        <f ca="1">IFERROR(__xludf.DUMMYFUNCTION("""COMPUTED_VALUE"""),40574.6666666666)</f>
        <v>40574.666666666599</v>
      </c>
      <c r="B1532" s="1">
        <f ca="1">IFERROR(__xludf.DUMMYFUNCTION("""COMPUTED_VALUE"""),27.73)</f>
        <v>27.73</v>
      </c>
    </row>
    <row r="1533" spans="1:2">
      <c r="A1533" s="3">
        <f ca="1">IFERROR(__xludf.DUMMYFUNCTION("""COMPUTED_VALUE"""),40575.6666666666)</f>
        <v>40575.666666666599</v>
      </c>
      <c r="B1533" s="1">
        <f ca="1">IFERROR(__xludf.DUMMYFUNCTION("""COMPUTED_VALUE"""),27.99)</f>
        <v>27.99</v>
      </c>
    </row>
    <row r="1534" spans="1:2">
      <c r="A1534" s="3">
        <f ca="1">IFERROR(__xludf.DUMMYFUNCTION("""COMPUTED_VALUE"""),40576.6666666666)</f>
        <v>40576.666666666599</v>
      </c>
      <c r="B1534" s="1">
        <f ca="1">IFERROR(__xludf.DUMMYFUNCTION("""COMPUTED_VALUE"""),27.94)</f>
        <v>27.94</v>
      </c>
    </row>
    <row r="1535" spans="1:2">
      <c r="A1535" s="3">
        <f ca="1">IFERROR(__xludf.DUMMYFUNCTION("""COMPUTED_VALUE"""),40577.6666666666)</f>
        <v>40577.666666666599</v>
      </c>
      <c r="B1535" s="1">
        <f ca="1">IFERROR(__xludf.DUMMYFUNCTION("""COMPUTED_VALUE"""),27.65)</f>
        <v>27.65</v>
      </c>
    </row>
    <row r="1536" spans="1:2">
      <c r="A1536" s="3">
        <f ca="1">IFERROR(__xludf.DUMMYFUNCTION("""COMPUTED_VALUE"""),40578.6666666666)</f>
        <v>40578.666666666599</v>
      </c>
      <c r="B1536" s="1">
        <f ca="1">IFERROR(__xludf.DUMMYFUNCTION("""COMPUTED_VALUE"""),27.77)</f>
        <v>27.77</v>
      </c>
    </row>
    <row r="1537" spans="1:2">
      <c r="A1537" s="3">
        <f ca="1">IFERROR(__xludf.DUMMYFUNCTION("""COMPUTED_VALUE"""),40581.6666666666)</f>
        <v>40581.666666666599</v>
      </c>
      <c r="B1537" s="1">
        <f ca="1">IFERROR(__xludf.DUMMYFUNCTION("""COMPUTED_VALUE"""),28.2)</f>
        <v>28.2</v>
      </c>
    </row>
    <row r="1538" spans="1:2">
      <c r="A1538" s="3">
        <f ca="1">IFERROR(__xludf.DUMMYFUNCTION("""COMPUTED_VALUE"""),40582.6666666666)</f>
        <v>40582.666666666599</v>
      </c>
      <c r="B1538" s="1">
        <f ca="1">IFERROR(__xludf.DUMMYFUNCTION("""COMPUTED_VALUE"""),28.28)</f>
        <v>28.28</v>
      </c>
    </row>
    <row r="1539" spans="1:2">
      <c r="A1539" s="3">
        <f ca="1">IFERROR(__xludf.DUMMYFUNCTION("""COMPUTED_VALUE"""),40583.6666666666)</f>
        <v>40583.666666666599</v>
      </c>
      <c r="B1539" s="1">
        <f ca="1">IFERROR(__xludf.DUMMYFUNCTION("""COMPUTED_VALUE"""),27.97)</f>
        <v>27.97</v>
      </c>
    </row>
    <row r="1540" spans="1:2">
      <c r="A1540" s="3">
        <f ca="1">IFERROR(__xludf.DUMMYFUNCTION("""COMPUTED_VALUE"""),40584.6666666666)</f>
        <v>40584.666666666599</v>
      </c>
      <c r="B1540" s="1">
        <f ca="1">IFERROR(__xludf.DUMMYFUNCTION("""COMPUTED_VALUE"""),27.5)</f>
        <v>27.5</v>
      </c>
    </row>
    <row r="1541" spans="1:2">
      <c r="A1541" s="3">
        <f ca="1">IFERROR(__xludf.DUMMYFUNCTION("""COMPUTED_VALUE"""),40585.6666666666)</f>
        <v>40585.666666666599</v>
      </c>
      <c r="B1541" s="1">
        <f ca="1">IFERROR(__xludf.DUMMYFUNCTION("""COMPUTED_VALUE"""),27.25)</f>
        <v>27.25</v>
      </c>
    </row>
    <row r="1542" spans="1:2">
      <c r="A1542" s="3">
        <f ca="1">IFERROR(__xludf.DUMMYFUNCTION("""COMPUTED_VALUE"""),40588.6666666666)</f>
        <v>40588.666666666599</v>
      </c>
      <c r="B1542" s="1">
        <f ca="1">IFERROR(__xludf.DUMMYFUNCTION("""COMPUTED_VALUE"""),27.23)</f>
        <v>27.23</v>
      </c>
    </row>
    <row r="1543" spans="1:2">
      <c r="A1543" s="3">
        <f ca="1">IFERROR(__xludf.DUMMYFUNCTION("""COMPUTED_VALUE"""),40589.6666666666)</f>
        <v>40589.666666666599</v>
      </c>
      <c r="B1543" s="1">
        <f ca="1">IFERROR(__xludf.DUMMYFUNCTION("""COMPUTED_VALUE"""),26.96)</f>
        <v>26.96</v>
      </c>
    </row>
    <row r="1544" spans="1:2">
      <c r="A1544" s="3">
        <f ca="1">IFERROR(__xludf.DUMMYFUNCTION("""COMPUTED_VALUE"""),40590.6666666666)</f>
        <v>40590.666666666599</v>
      </c>
      <c r="B1544" s="1">
        <f ca="1">IFERROR(__xludf.DUMMYFUNCTION("""COMPUTED_VALUE"""),27.02)</f>
        <v>27.02</v>
      </c>
    </row>
    <row r="1545" spans="1:2">
      <c r="A1545" s="3">
        <f ca="1">IFERROR(__xludf.DUMMYFUNCTION("""COMPUTED_VALUE"""),40591.6666666666)</f>
        <v>40591.666666666599</v>
      </c>
      <c r="B1545" s="1">
        <f ca="1">IFERROR(__xludf.DUMMYFUNCTION("""COMPUTED_VALUE"""),27.21)</f>
        <v>27.21</v>
      </c>
    </row>
    <row r="1546" spans="1:2">
      <c r="A1546" s="3">
        <f ca="1">IFERROR(__xludf.DUMMYFUNCTION("""COMPUTED_VALUE"""),40592.6666666666)</f>
        <v>40592.666666666599</v>
      </c>
      <c r="B1546" s="1">
        <f ca="1">IFERROR(__xludf.DUMMYFUNCTION("""COMPUTED_VALUE"""),27.06)</f>
        <v>27.06</v>
      </c>
    </row>
    <row r="1547" spans="1:2">
      <c r="A1547" s="3">
        <f ca="1">IFERROR(__xludf.DUMMYFUNCTION("""COMPUTED_VALUE"""),40596.6666666666)</f>
        <v>40596.666666666599</v>
      </c>
      <c r="B1547" s="1">
        <f ca="1">IFERROR(__xludf.DUMMYFUNCTION("""COMPUTED_VALUE"""),26.59)</f>
        <v>26.59</v>
      </c>
    </row>
    <row r="1548" spans="1:2">
      <c r="A1548" s="3">
        <f ca="1">IFERROR(__xludf.DUMMYFUNCTION("""COMPUTED_VALUE"""),40597.6666666666)</f>
        <v>40597.666666666599</v>
      </c>
      <c r="B1548" s="1">
        <f ca="1">IFERROR(__xludf.DUMMYFUNCTION("""COMPUTED_VALUE"""),26.59)</f>
        <v>26.59</v>
      </c>
    </row>
    <row r="1549" spans="1:2">
      <c r="A1549" s="3">
        <f ca="1">IFERROR(__xludf.DUMMYFUNCTION("""COMPUTED_VALUE"""),40598.6666666666)</f>
        <v>40598.666666666599</v>
      </c>
      <c r="B1549" s="1">
        <f ca="1">IFERROR(__xludf.DUMMYFUNCTION("""COMPUTED_VALUE"""),26.77)</f>
        <v>26.77</v>
      </c>
    </row>
    <row r="1550" spans="1:2">
      <c r="A1550" s="3">
        <f ca="1">IFERROR(__xludf.DUMMYFUNCTION("""COMPUTED_VALUE"""),40599.6666666666)</f>
        <v>40599.666666666599</v>
      </c>
      <c r="B1550" s="1">
        <f ca="1">IFERROR(__xludf.DUMMYFUNCTION("""COMPUTED_VALUE"""),26.55)</f>
        <v>26.55</v>
      </c>
    </row>
    <row r="1551" spans="1:2">
      <c r="A1551" s="3">
        <f ca="1">IFERROR(__xludf.DUMMYFUNCTION("""COMPUTED_VALUE"""),40602.6666666666)</f>
        <v>40602.666666666599</v>
      </c>
      <c r="B1551" s="1">
        <f ca="1">IFERROR(__xludf.DUMMYFUNCTION("""COMPUTED_VALUE"""),26.58)</f>
        <v>26.58</v>
      </c>
    </row>
    <row r="1552" spans="1:2">
      <c r="A1552" s="3">
        <f ca="1">IFERROR(__xludf.DUMMYFUNCTION("""COMPUTED_VALUE"""),40603.6666666666)</f>
        <v>40603.666666666599</v>
      </c>
      <c r="B1552" s="1">
        <f ca="1">IFERROR(__xludf.DUMMYFUNCTION("""COMPUTED_VALUE"""),26.16)</f>
        <v>26.16</v>
      </c>
    </row>
    <row r="1553" spans="1:2">
      <c r="A1553" s="3">
        <f ca="1">IFERROR(__xludf.DUMMYFUNCTION("""COMPUTED_VALUE"""),40604.6666666666)</f>
        <v>40604.666666666599</v>
      </c>
      <c r="B1553" s="1">
        <f ca="1">IFERROR(__xludf.DUMMYFUNCTION("""COMPUTED_VALUE"""),26.08)</f>
        <v>26.08</v>
      </c>
    </row>
    <row r="1554" spans="1:2">
      <c r="A1554" s="3">
        <f ca="1">IFERROR(__xludf.DUMMYFUNCTION("""COMPUTED_VALUE"""),40605.6666666666)</f>
        <v>40605.666666666599</v>
      </c>
      <c r="B1554" s="1">
        <f ca="1">IFERROR(__xludf.DUMMYFUNCTION("""COMPUTED_VALUE"""),26.2)</f>
        <v>26.2</v>
      </c>
    </row>
    <row r="1555" spans="1:2">
      <c r="A1555" s="3">
        <f ca="1">IFERROR(__xludf.DUMMYFUNCTION("""COMPUTED_VALUE"""),40606.6666666666)</f>
        <v>40606.666666666599</v>
      </c>
      <c r="B1555" s="1">
        <f ca="1">IFERROR(__xludf.DUMMYFUNCTION("""COMPUTED_VALUE"""),25.95)</f>
        <v>25.95</v>
      </c>
    </row>
    <row r="1556" spans="1:2">
      <c r="A1556" s="3">
        <f ca="1">IFERROR(__xludf.DUMMYFUNCTION("""COMPUTED_VALUE"""),40609.6666666666)</f>
        <v>40609.666666666599</v>
      </c>
      <c r="B1556" s="1">
        <f ca="1">IFERROR(__xludf.DUMMYFUNCTION("""COMPUTED_VALUE"""),25.72)</f>
        <v>25.72</v>
      </c>
    </row>
    <row r="1557" spans="1:2">
      <c r="A1557" s="3">
        <f ca="1">IFERROR(__xludf.DUMMYFUNCTION("""COMPUTED_VALUE"""),40610.6666666666)</f>
        <v>40610.666666666599</v>
      </c>
      <c r="B1557" s="1">
        <f ca="1">IFERROR(__xludf.DUMMYFUNCTION("""COMPUTED_VALUE"""),25.91)</f>
        <v>25.91</v>
      </c>
    </row>
    <row r="1558" spans="1:2">
      <c r="A1558" s="3">
        <f ca="1">IFERROR(__xludf.DUMMYFUNCTION("""COMPUTED_VALUE"""),40611.6666666666)</f>
        <v>40611.666666666599</v>
      </c>
      <c r="B1558" s="1">
        <f ca="1">IFERROR(__xludf.DUMMYFUNCTION("""COMPUTED_VALUE"""),25.89)</f>
        <v>25.89</v>
      </c>
    </row>
    <row r="1559" spans="1:2">
      <c r="A1559" s="3">
        <f ca="1">IFERROR(__xludf.DUMMYFUNCTION("""COMPUTED_VALUE"""),40612.6666666666)</f>
        <v>40612.666666666599</v>
      </c>
      <c r="B1559" s="1">
        <f ca="1">IFERROR(__xludf.DUMMYFUNCTION("""COMPUTED_VALUE"""),25.41)</f>
        <v>25.41</v>
      </c>
    </row>
    <row r="1560" spans="1:2">
      <c r="A1560" s="3">
        <f ca="1">IFERROR(__xludf.DUMMYFUNCTION("""COMPUTED_VALUE"""),40613.6666666666)</f>
        <v>40613.666666666599</v>
      </c>
      <c r="B1560" s="1">
        <f ca="1">IFERROR(__xludf.DUMMYFUNCTION("""COMPUTED_VALUE"""),25.68)</f>
        <v>25.68</v>
      </c>
    </row>
    <row r="1561" spans="1:2">
      <c r="A1561" s="3">
        <f ca="1">IFERROR(__xludf.DUMMYFUNCTION("""COMPUTED_VALUE"""),40616.6666666666)</f>
        <v>40616.666666666599</v>
      </c>
      <c r="B1561" s="1">
        <f ca="1">IFERROR(__xludf.DUMMYFUNCTION("""COMPUTED_VALUE"""),25.69)</f>
        <v>25.69</v>
      </c>
    </row>
    <row r="1562" spans="1:2">
      <c r="A1562" s="3">
        <f ca="1">IFERROR(__xludf.DUMMYFUNCTION("""COMPUTED_VALUE"""),40617.6666666666)</f>
        <v>40617.666666666599</v>
      </c>
      <c r="B1562" s="1">
        <f ca="1">IFERROR(__xludf.DUMMYFUNCTION("""COMPUTED_VALUE"""),25.39)</f>
        <v>25.39</v>
      </c>
    </row>
    <row r="1563" spans="1:2">
      <c r="A1563" s="3">
        <f ca="1">IFERROR(__xludf.DUMMYFUNCTION("""COMPUTED_VALUE"""),40618.6666666666)</f>
        <v>40618.666666666599</v>
      </c>
      <c r="B1563" s="1">
        <f ca="1">IFERROR(__xludf.DUMMYFUNCTION("""COMPUTED_VALUE"""),24.79)</f>
        <v>24.79</v>
      </c>
    </row>
    <row r="1564" spans="1:2">
      <c r="A1564" s="3">
        <f ca="1">IFERROR(__xludf.DUMMYFUNCTION("""COMPUTED_VALUE"""),40619.6666666666)</f>
        <v>40619.666666666599</v>
      </c>
      <c r="B1564" s="1">
        <f ca="1">IFERROR(__xludf.DUMMYFUNCTION("""COMPUTED_VALUE"""),24.78)</f>
        <v>24.78</v>
      </c>
    </row>
    <row r="1565" spans="1:2">
      <c r="A1565" s="3">
        <f ca="1">IFERROR(__xludf.DUMMYFUNCTION("""COMPUTED_VALUE"""),40620.6666666666)</f>
        <v>40620.666666666599</v>
      </c>
      <c r="B1565" s="1">
        <f ca="1">IFERROR(__xludf.DUMMYFUNCTION("""COMPUTED_VALUE"""),24.8)</f>
        <v>24.8</v>
      </c>
    </row>
    <row r="1566" spans="1:2">
      <c r="A1566" s="3">
        <f ca="1">IFERROR(__xludf.DUMMYFUNCTION("""COMPUTED_VALUE"""),40623.6666666666)</f>
        <v>40623.666666666599</v>
      </c>
      <c r="B1566" s="1">
        <f ca="1">IFERROR(__xludf.DUMMYFUNCTION("""COMPUTED_VALUE"""),25.33)</f>
        <v>25.33</v>
      </c>
    </row>
    <row r="1567" spans="1:2">
      <c r="A1567" s="3">
        <f ca="1">IFERROR(__xludf.DUMMYFUNCTION("""COMPUTED_VALUE"""),40624.6666666666)</f>
        <v>40624.666666666599</v>
      </c>
      <c r="B1567" s="1">
        <f ca="1">IFERROR(__xludf.DUMMYFUNCTION("""COMPUTED_VALUE"""),25.3)</f>
        <v>25.3</v>
      </c>
    </row>
    <row r="1568" spans="1:2">
      <c r="A1568" s="3">
        <f ca="1">IFERROR(__xludf.DUMMYFUNCTION("""COMPUTED_VALUE"""),40625.6666666666)</f>
        <v>40625.666666666599</v>
      </c>
      <c r="B1568" s="1">
        <f ca="1">IFERROR(__xludf.DUMMYFUNCTION("""COMPUTED_VALUE"""),25.54)</f>
        <v>25.54</v>
      </c>
    </row>
    <row r="1569" spans="1:2">
      <c r="A1569" s="3">
        <f ca="1">IFERROR(__xludf.DUMMYFUNCTION("""COMPUTED_VALUE"""),40626.6666666666)</f>
        <v>40626.666666666599</v>
      </c>
      <c r="B1569" s="1">
        <f ca="1">IFERROR(__xludf.DUMMYFUNCTION("""COMPUTED_VALUE"""),25.81)</f>
        <v>25.81</v>
      </c>
    </row>
    <row r="1570" spans="1:2">
      <c r="A1570" s="3">
        <f ca="1">IFERROR(__xludf.DUMMYFUNCTION("""COMPUTED_VALUE"""),40627.6666666666)</f>
        <v>40627.666666666599</v>
      </c>
      <c r="B1570" s="1">
        <f ca="1">IFERROR(__xludf.DUMMYFUNCTION("""COMPUTED_VALUE"""),25.62)</f>
        <v>25.62</v>
      </c>
    </row>
    <row r="1571" spans="1:2">
      <c r="A1571" s="3">
        <f ca="1">IFERROR(__xludf.DUMMYFUNCTION("""COMPUTED_VALUE"""),40630.6666666666)</f>
        <v>40630.666666666599</v>
      </c>
      <c r="B1571" s="1">
        <f ca="1">IFERROR(__xludf.DUMMYFUNCTION("""COMPUTED_VALUE"""),25.41)</f>
        <v>25.41</v>
      </c>
    </row>
    <row r="1572" spans="1:2">
      <c r="A1572" s="3">
        <f ca="1">IFERROR(__xludf.DUMMYFUNCTION("""COMPUTED_VALUE"""),40631.6666666666)</f>
        <v>40631.666666666599</v>
      </c>
      <c r="B1572" s="1">
        <f ca="1">IFERROR(__xludf.DUMMYFUNCTION("""COMPUTED_VALUE"""),25.49)</f>
        <v>25.49</v>
      </c>
    </row>
    <row r="1573" spans="1:2">
      <c r="A1573" s="3">
        <f ca="1">IFERROR(__xludf.DUMMYFUNCTION("""COMPUTED_VALUE"""),40632.6666666666)</f>
        <v>40632.666666666599</v>
      </c>
      <c r="B1573" s="1">
        <f ca="1">IFERROR(__xludf.DUMMYFUNCTION("""COMPUTED_VALUE"""),25.61)</f>
        <v>25.61</v>
      </c>
    </row>
    <row r="1574" spans="1:2">
      <c r="A1574" s="3">
        <f ca="1">IFERROR(__xludf.DUMMYFUNCTION("""COMPUTED_VALUE"""),40633.6666666666)</f>
        <v>40633.666666666599</v>
      </c>
      <c r="B1574" s="1">
        <f ca="1">IFERROR(__xludf.DUMMYFUNCTION("""COMPUTED_VALUE"""),25.39)</f>
        <v>25.39</v>
      </c>
    </row>
    <row r="1575" spans="1:2">
      <c r="A1575" s="3">
        <f ca="1">IFERROR(__xludf.DUMMYFUNCTION("""COMPUTED_VALUE"""),40634.6666666666)</f>
        <v>40634.666666666599</v>
      </c>
      <c r="B1575" s="1">
        <f ca="1">IFERROR(__xludf.DUMMYFUNCTION("""COMPUTED_VALUE"""),25.48)</f>
        <v>25.48</v>
      </c>
    </row>
    <row r="1576" spans="1:2">
      <c r="A1576" s="3">
        <f ca="1">IFERROR(__xludf.DUMMYFUNCTION("""COMPUTED_VALUE"""),40637.6666666666)</f>
        <v>40637.666666666599</v>
      </c>
      <c r="B1576" s="1">
        <f ca="1">IFERROR(__xludf.DUMMYFUNCTION("""COMPUTED_VALUE"""),25.55)</f>
        <v>25.55</v>
      </c>
    </row>
    <row r="1577" spans="1:2">
      <c r="A1577" s="3">
        <f ca="1">IFERROR(__xludf.DUMMYFUNCTION("""COMPUTED_VALUE"""),40638.6666666666)</f>
        <v>40638.666666666599</v>
      </c>
      <c r="B1577" s="1">
        <f ca="1">IFERROR(__xludf.DUMMYFUNCTION("""COMPUTED_VALUE"""),25.78)</f>
        <v>25.78</v>
      </c>
    </row>
    <row r="1578" spans="1:2">
      <c r="A1578" s="3">
        <f ca="1">IFERROR(__xludf.DUMMYFUNCTION("""COMPUTED_VALUE"""),40639.6666666666)</f>
        <v>40639.666666666599</v>
      </c>
      <c r="B1578" s="1">
        <f ca="1">IFERROR(__xludf.DUMMYFUNCTION("""COMPUTED_VALUE"""),26.15)</f>
        <v>26.15</v>
      </c>
    </row>
    <row r="1579" spans="1:2">
      <c r="A1579" s="3">
        <f ca="1">IFERROR(__xludf.DUMMYFUNCTION("""COMPUTED_VALUE"""),40640.6666666666)</f>
        <v>40640.666666666599</v>
      </c>
      <c r="B1579" s="1">
        <f ca="1">IFERROR(__xludf.DUMMYFUNCTION("""COMPUTED_VALUE"""),26.2)</f>
        <v>26.2</v>
      </c>
    </row>
    <row r="1580" spans="1:2">
      <c r="A1580" s="3">
        <f ca="1">IFERROR(__xludf.DUMMYFUNCTION("""COMPUTED_VALUE"""),40641.6666666666)</f>
        <v>40641.666666666599</v>
      </c>
      <c r="B1580" s="1">
        <f ca="1">IFERROR(__xludf.DUMMYFUNCTION("""COMPUTED_VALUE"""),26.07)</f>
        <v>26.07</v>
      </c>
    </row>
    <row r="1581" spans="1:2">
      <c r="A1581" s="3">
        <f ca="1">IFERROR(__xludf.DUMMYFUNCTION("""COMPUTED_VALUE"""),40644.6666666666)</f>
        <v>40644.666666666599</v>
      </c>
      <c r="B1581" s="1">
        <f ca="1">IFERROR(__xludf.DUMMYFUNCTION("""COMPUTED_VALUE"""),25.98)</f>
        <v>25.98</v>
      </c>
    </row>
    <row r="1582" spans="1:2">
      <c r="A1582" s="3">
        <f ca="1">IFERROR(__xludf.DUMMYFUNCTION("""COMPUTED_VALUE"""),40645.6666666666)</f>
        <v>40645.666666666599</v>
      </c>
      <c r="B1582" s="1">
        <f ca="1">IFERROR(__xludf.DUMMYFUNCTION("""COMPUTED_VALUE"""),25.64)</f>
        <v>25.64</v>
      </c>
    </row>
    <row r="1583" spans="1:2">
      <c r="A1583" s="3">
        <f ca="1">IFERROR(__xludf.DUMMYFUNCTION("""COMPUTED_VALUE"""),40646.6666666666)</f>
        <v>40646.666666666599</v>
      </c>
      <c r="B1583" s="1">
        <f ca="1">IFERROR(__xludf.DUMMYFUNCTION("""COMPUTED_VALUE"""),25.63)</f>
        <v>25.63</v>
      </c>
    </row>
    <row r="1584" spans="1:2">
      <c r="A1584" s="3">
        <f ca="1">IFERROR(__xludf.DUMMYFUNCTION("""COMPUTED_VALUE"""),40647.6666666666)</f>
        <v>40647.666666666599</v>
      </c>
      <c r="B1584" s="1">
        <f ca="1">IFERROR(__xludf.DUMMYFUNCTION("""COMPUTED_VALUE"""),25.42)</f>
        <v>25.42</v>
      </c>
    </row>
    <row r="1585" spans="1:2">
      <c r="A1585" s="3">
        <f ca="1">IFERROR(__xludf.DUMMYFUNCTION("""COMPUTED_VALUE"""),40648.6666666666)</f>
        <v>40648.666666666599</v>
      </c>
      <c r="B1585" s="1">
        <f ca="1">IFERROR(__xludf.DUMMYFUNCTION("""COMPUTED_VALUE"""),25.37)</f>
        <v>25.37</v>
      </c>
    </row>
    <row r="1586" spans="1:2">
      <c r="A1586" s="3">
        <f ca="1">IFERROR(__xludf.DUMMYFUNCTION("""COMPUTED_VALUE"""),40651.6666666666)</f>
        <v>40651.666666666599</v>
      </c>
      <c r="B1586" s="1">
        <f ca="1">IFERROR(__xludf.DUMMYFUNCTION("""COMPUTED_VALUE"""),25.08)</f>
        <v>25.08</v>
      </c>
    </row>
    <row r="1587" spans="1:2">
      <c r="A1587" s="3">
        <f ca="1">IFERROR(__xludf.DUMMYFUNCTION("""COMPUTED_VALUE"""),40652.6666666666)</f>
        <v>40652.666666666599</v>
      </c>
      <c r="B1587" s="1">
        <f ca="1">IFERROR(__xludf.DUMMYFUNCTION("""COMPUTED_VALUE"""),25.15)</f>
        <v>25.15</v>
      </c>
    </row>
    <row r="1588" spans="1:2">
      <c r="A1588" s="3">
        <f ca="1">IFERROR(__xludf.DUMMYFUNCTION("""COMPUTED_VALUE"""),40653.6666666666)</f>
        <v>40653.666666666599</v>
      </c>
      <c r="B1588" s="1">
        <f ca="1">IFERROR(__xludf.DUMMYFUNCTION("""COMPUTED_VALUE"""),25.76)</f>
        <v>25.76</v>
      </c>
    </row>
    <row r="1589" spans="1:2">
      <c r="A1589" s="3">
        <f ca="1">IFERROR(__xludf.DUMMYFUNCTION("""COMPUTED_VALUE"""),40654.6666666666)</f>
        <v>40654.666666666599</v>
      </c>
      <c r="B1589" s="1">
        <f ca="1">IFERROR(__xludf.DUMMYFUNCTION("""COMPUTED_VALUE"""),25.52)</f>
        <v>25.52</v>
      </c>
    </row>
    <row r="1590" spans="1:2">
      <c r="A1590" s="3">
        <f ca="1">IFERROR(__xludf.DUMMYFUNCTION("""COMPUTED_VALUE"""),40658.6666666666)</f>
        <v>40658.666666666599</v>
      </c>
      <c r="B1590" s="1">
        <f ca="1">IFERROR(__xludf.DUMMYFUNCTION("""COMPUTED_VALUE"""),25.61)</f>
        <v>25.61</v>
      </c>
    </row>
    <row r="1591" spans="1:2">
      <c r="A1591" s="3">
        <f ca="1">IFERROR(__xludf.DUMMYFUNCTION("""COMPUTED_VALUE"""),40659.6666666666)</f>
        <v>40659.666666666599</v>
      </c>
      <c r="B1591" s="1">
        <f ca="1">IFERROR(__xludf.DUMMYFUNCTION("""COMPUTED_VALUE"""),26.19)</f>
        <v>26.19</v>
      </c>
    </row>
    <row r="1592" spans="1:2">
      <c r="A1592" s="3">
        <f ca="1">IFERROR(__xludf.DUMMYFUNCTION("""COMPUTED_VALUE"""),40660.6666666666)</f>
        <v>40660.666666666599</v>
      </c>
      <c r="B1592" s="1">
        <f ca="1">IFERROR(__xludf.DUMMYFUNCTION("""COMPUTED_VALUE"""),26.38)</f>
        <v>26.38</v>
      </c>
    </row>
    <row r="1593" spans="1:2">
      <c r="A1593" s="3">
        <f ca="1">IFERROR(__xludf.DUMMYFUNCTION("""COMPUTED_VALUE"""),40661.6666666666)</f>
        <v>40661.666666666599</v>
      </c>
      <c r="B1593" s="1">
        <f ca="1">IFERROR(__xludf.DUMMYFUNCTION("""COMPUTED_VALUE"""),26.71)</f>
        <v>26.71</v>
      </c>
    </row>
    <row r="1594" spans="1:2">
      <c r="A1594" s="3">
        <f ca="1">IFERROR(__xludf.DUMMYFUNCTION("""COMPUTED_VALUE"""),40662.6666666666)</f>
        <v>40662.666666666599</v>
      </c>
      <c r="B1594" s="1">
        <f ca="1">IFERROR(__xludf.DUMMYFUNCTION("""COMPUTED_VALUE"""),25.92)</f>
        <v>25.92</v>
      </c>
    </row>
    <row r="1595" spans="1:2">
      <c r="A1595" s="3">
        <f ca="1">IFERROR(__xludf.DUMMYFUNCTION("""COMPUTED_VALUE"""),40665.6666666666)</f>
        <v>40665.666666666599</v>
      </c>
      <c r="B1595" s="1">
        <f ca="1">IFERROR(__xludf.DUMMYFUNCTION("""COMPUTED_VALUE"""),25.66)</f>
        <v>25.66</v>
      </c>
    </row>
    <row r="1596" spans="1:2">
      <c r="A1596" s="3">
        <f ca="1">IFERROR(__xludf.DUMMYFUNCTION("""COMPUTED_VALUE"""),40666.6666666666)</f>
        <v>40666.666666666599</v>
      </c>
      <c r="B1596" s="1">
        <f ca="1">IFERROR(__xludf.DUMMYFUNCTION("""COMPUTED_VALUE"""),25.81)</f>
        <v>25.81</v>
      </c>
    </row>
    <row r="1597" spans="1:2">
      <c r="A1597" s="3">
        <f ca="1">IFERROR(__xludf.DUMMYFUNCTION("""COMPUTED_VALUE"""),40667.6666666666)</f>
        <v>40667.666666666599</v>
      </c>
      <c r="B1597" s="1">
        <f ca="1">IFERROR(__xludf.DUMMYFUNCTION("""COMPUTED_VALUE"""),26.06)</f>
        <v>26.06</v>
      </c>
    </row>
    <row r="1598" spans="1:2">
      <c r="A1598" s="3">
        <f ca="1">IFERROR(__xludf.DUMMYFUNCTION("""COMPUTED_VALUE"""),40668.6666666666)</f>
        <v>40668.666666666599</v>
      </c>
      <c r="B1598" s="1">
        <f ca="1">IFERROR(__xludf.DUMMYFUNCTION("""COMPUTED_VALUE"""),25.79)</f>
        <v>25.79</v>
      </c>
    </row>
    <row r="1599" spans="1:2">
      <c r="A1599" s="3">
        <f ca="1">IFERROR(__xludf.DUMMYFUNCTION("""COMPUTED_VALUE"""),40669.6666666666)</f>
        <v>40669.666666666599</v>
      </c>
      <c r="B1599" s="1">
        <f ca="1">IFERROR(__xludf.DUMMYFUNCTION("""COMPUTED_VALUE"""),25.87)</f>
        <v>25.87</v>
      </c>
    </row>
    <row r="1600" spans="1:2">
      <c r="A1600" s="3">
        <f ca="1">IFERROR(__xludf.DUMMYFUNCTION("""COMPUTED_VALUE"""),40672.6666666666)</f>
        <v>40672.666666666599</v>
      </c>
      <c r="B1600" s="1">
        <f ca="1">IFERROR(__xludf.DUMMYFUNCTION("""COMPUTED_VALUE"""),25.83)</f>
        <v>25.83</v>
      </c>
    </row>
    <row r="1601" spans="1:2">
      <c r="A1601" s="3">
        <f ca="1">IFERROR(__xludf.DUMMYFUNCTION("""COMPUTED_VALUE"""),40673.6666666666)</f>
        <v>40673.666666666599</v>
      </c>
      <c r="B1601" s="1">
        <f ca="1">IFERROR(__xludf.DUMMYFUNCTION("""COMPUTED_VALUE"""),25.67)</f>
        <v>25.67</v>
      </c>
    </row>
    <row r="1602" spans="1:2">
      <c r="A1602" s="3">
        <f ca="1">IFERROR(__xludf.DUMMYFUNCTION("""COMPUTED_VALUE"""),40674.6666666666)</f>
        <v>40674.666666666599</v>
      </c>
      <c r="B1602" s="1">
        <f ca="1">IFERROR(__xludf.DUMMYFUNCTION("""COMPUTED_VALUE"""),25.36)</f>
        <v>25.36</v>
      </c>
    </row>
    <row r="1603" spans="1:2">
      <c r="A1603" s="3">
        <f ca="1">IFERROR(__xludf.DUMMYFUNCTION("""COMPUTED_VALUE"""),40675.6666666666)</f>
        <v>40675.666666666599</v>
      </c>
      <c r="B1603" s="1">
        <f ca="1">IFERROR(__xludf.DUMMYFUNCTION("""COMPUTED_VALUE"""),25.32)</f>
        <v>25.32</v>
      </c>
    </row>
    <row r="1604" spans="1:2">
      <c r="A1604" s="3">
        <f ca="1">IFERROR(__xludf.DUMMYFUNCTION("""COMPUTED_VALUE"""),40676.6666666666)</f>
        <v>40676.666666666599</v>
      </c>
      <c r="B1604" s="1">
        <f ca="1">IFERROR(__xludf.DUMMYFUNCTION("""COMPUTED_VALUE"""),25.03)</f>
        <v>25.03</v>
      </c>
    </row>
    <row r="1605" spans="1:2">
      <c r="A1605" s="3">
        <f ca="1">IFERROR(__xludf.DUMMYFUNCTION("""COMPUTED_VALUE"""),40679.6666666666)</f>
        <v>40679.666666666599</v>
      </c>
      <c r="B1605" s="1">
        <f ca="1">IFERROR(__xludf.DUMMYFUNCTION("""COMPUTED_VALUE"""),24.57)</f>
        <v>24.57</v>
      </c>
    </row>
    <row r="1606" spans="1:2">
      <c r="A1606" s="3">
        <f ca="1">IFERROR(__xludf.DUMMYFUNCTION("""COMPUTED_VALUE"""),40680.6666666666)</f>
        <v>40680.666666666599</v>
      </c>
      <c r="B1606" s="1">
        <f ca="1">IFERROR(__xludf.DUMMYFUNCTION("""COMPUTED_VALUE"""),24.52)</f>
        <v>24.52</v>
      </c>
    </row>
    <row r="1607" spans="1:2">
      <c r="A1607" s="3">
        <f ca="1">IFERROR(__xludf.DUMMYFUNCTION("""COMPUTED_VALUE"""),40681.6666666666)</f>
        <v>40681.666666666599</v>
      </c>
      <c r="B1607" s="1">
        <f ca="1">IFERROR(__xludf.DUMMYFUNCTION("""COMPUTED_VALUE"""),24.69)</f>
        <v>24.69</v>
      </c>
    </row>
    <row r="1608" spans="1:2">
      <c r="A1608" s="3">
        <f ca="1">IFERROR(__xludf.DUMMYFUNCTION("""COMPUTED_VALUE"""),40682.6666666666)</f>
        <v>40682.666666666599</v>
      </c>
      <c r="B1608" s="1">
        <f ca="1">IFERROR(__xludf.DUMMYFUNCTION("""COMPUTED_VALUE"""),24.72)</f>
        <v>24.72</v>
      </c>
    </row>
    <row r="1609" spans="1:2">
      <c r="A1609" s="3">
        <f ca="1">IFERROR(__xludf.DUMMYFUNCTION("""COMPUTED_VALUE"""),40683.6666666666)</f>
        <v>40683.666666666599</v>
      </c>
      <c r="B1609" s="1">
        <f ca="1">IFERROR(__xludf.DUMMYFUNCTION("""COMPUTED_VALUE"""),24.49)</f>
        <v>24.49</v>
      </c>
    </row>
    <row r="1610" spans="1:2">
      <c r="A1610" s="3">
        <f ca="1">IFERROR(__xludf.DUMMYFUNCTION("""COMPUTED_VALUE"""),40686.6666666666)</f>
        <v>40686.666666666599</v>
      </c>
      <c r="B1610" s="1">
        <f ca="1">IFERROR(__xludf.DUMMYFUNCTION("""COMPUTED_VALUE"""),24.17)</f>
        <v>24.17</v>
      </c>
    </row>
    <row r="1611" spans="1:2">
      <c r="A1611" s="3">
        <f ca="1">IFERROR(__xludf.DUMMYFUNCTION("""COMPUTED_VALUE"""),40687.6666666666)</f>
        <v>40687.666666666599</v>
      </c>
      <c r="B1611" s="1">
        <f ca="1">IFERROR(__xludf.DUMMYFUNCTION("""COMPUTED_VALUE"""),24.15)</f>
        <v>24.15</v>
      </c>
    </row>
    <row r="1612" spans="1:2">
      <c r="A1612" s="3">
        <f ca="1">IFERROR(__xludf.DUMMYFUNCTION("""COMPUTED_VALUE"""),40688.6666666666)</f>
        <v>40688.666666666599</v>
      </c>
      <c r="B1612" s="1">
        <f ca="1">IFERROR(__xludf.DUMMYFUNCTION("""COMPUTED_VALUE"""),24.19)</f>
        <v>24.19</v>
      </c>
    </row>
    <row r="1613" spans="1:2">
      <c r="A1613" s="3">
        <f ca="1">IFERROR(__xludf.DUMMYFUNCTION("""COMPUTED_VALUE"""),40689.6666666666)</f>
        <v>40689.666666666599</v>
      </c>
      <c r="B1613" s="1">
        <f ca="1">IFERROR(__xludf.DUMMYFUNCTION("""COMPUTED_VALUE"""),24.67)</f>
        <v>24.67</v>
      </c>
    </row>
    <row r="1614" spans="1:2">
      <c r="A1614" s="3">
        <f ca="1">IFERROR(__xludf.DUMMYFUNCTION("""COMPUTED_VALUE"""),40690.6666666666)</f>
        <v>40690.666666666599</v>
      </c>
      <c r="B1614" s="1">
        <f ca="1">IFERROR(__xludf.DUMMYFUNCTION("""COMPUTED_VALUE"""),24.76)</f>
        <v>24.76</v>
      </c>
    </row>
    <row r="1615" spans="1:2">
      <c r="A1615" s="3">
        <f ca="1">IFERROR(__xludf.DUMMYFUNCTION("""COMPUTED_VALUE"""),40694.6666666666)</f>
        <v>40694.666666666599</v>
      </c>
      <c r="B1615" s="1">
        <f ca="1">IFERROR(__xludf.DUMMYFUNCTION("""COMPUTED_VALUE"""),25.01)</f>
        <v>25.01</v>
      </c>
    </row>
    <row r="1616" spans="1:2">
      <c r="A1616" s="3">
        <f ca="1">IFERROR(__xludf.DUMMYFUNCTION("""COMPUTED_VALUE"""),40695.6666666666)</f>
        <v>40695.666666666599</v>
      </c>
      <c r="B1616" s="1">
        <f ca="1">IFERROR(__xludf.DUMMYFUNCTION("""COMPUTED_VALUE"""),24.43)</f>
        <v>24.43</v>
      </c>
    </row>
    <row r="1617" spans="1:2">
      <c r="A1617" s="3">
        <f ca="1">IFERROR(__xludf.DUMMYFUNCTION("""COMPUTED_VALUE"""),40696.6666666666)</f>
        <v>40696.666666666599</v>
      </c>
      <c r="B1617" s="1">
        <f ca="1">IFERROR(__xludf.DUMMYFUNCTION("""COMPUTED_VALUE"""),24.22)</f>
        <v>24.22</v>
      </c>
    </row>
    <row r="1618" spans="1:2">
      <c r="A1618" s="3">
        <f ca="1">IFERROR(__xludf.DUMMYFUNCTION("""COMPUTED_VALUE"""),40697.6666666666)</f>
        <v>40697.666666666599</v>
      </c>
      <c r="B1618" s="1">
        <f ca="1">IFERROR(__xludf.DUMMYFUNCTION("""COMPUTED_VALUE"""),23.91)</f>
        <v>23.91</v>
      </c>
    </row>
    <row r="1619" spans="1:2">
      <c r="A1619" s="3">
        <f ca="1">IFERROR(__xludf.DUMMYFUNCTION("""COMPUTED_VALUE"""),40700.6666666666)</f>
        <v>40700.666666666599</v>
      </c>
      <c r="B1619" s="1">
        <f ca="1">IFERROR(__xludf.DUMMYFUNCTION("""COMPUTED_VALUE"""),24.01)</f>
        <v>24.01</v>
      </c>
    </row>
    <row r="1620" spans="1:2">
      <c r="A1620" s="3">
        <f ca="1">IFERROR(__xludf.DUMMYFUNCTION("""COMPUTED_VALUE"""),40701.6666666666)</f>
        <v>40701.666666666599</v>
      </c>
      <c r="B1620" s="1">
        <f ca="1">IFERROR(__xludf.DUMMYFUNCTION("""COMPUTED_VALUE"""),24.06)</f>
        <v>24.06</v>
      </c>
    </row>
    <row r="1621" spans="1:2">
      <c r="A1621" s="3">
        <f ca="1">IFERROR(__xludf.DUMMYFUNCTION("""COMPUTED_VALUE"""),40702.6666666666)</f>
        <v>40702.666666666599</v>
      </c>
      <c r="B1621" s="1">
        <f ca="1">IFERROR(__xludf.DUMMYFUNCTION("""COMPUTED_VALUE"""),23.94)</f>
        <v>23.94</v>
      </c>
    </row>
    <row r="1622" spans="1:2">
      <c r="A1622" s="3">
        <f ca="1">IFERROR(__xludf.DUMMYFUNCTION("""COMPUTED_VALUE"""),40703.6666666666)</f>
        <v>40703.666666666599</v>
      </c>
      <c r="B1622" s="1">
        <f ca="1">IFERROR(__xludf.DUMMYFUNCTION("""COMPUTED_VALUE"""),23.96)</f>
        <v>23.96</v>
      </c>
    </row>
    <row r="1623" spans="1:2">
      <c r="A1623" s="3">
        <f ca="1">IFERROR(__xludf.DUMMYFUNCTION("""COMPUTED_VALUE"""),40704.6666666666)</f>
        <v>40704.666666666599</v>
      </c>
      <c r="B1623" s="1">
        <f ca="1">IFERROR(__xludf.DUMMYFUNCTION("""COMPUTED_VALUE"""),23.71)</f>
        <v>23.71</v>
      </c>
    </row>
    <row r="1624" spans="1:2">
      <c r="A1624" s="3">
        <f ca="1">IFERROR(__xludf.DUMMYFUNCTION("""COMPUTED_VALUE"""),40707.6666666666)</f>
        <v>40707.666666666599</v>
      </c>
      <c r="B1624" s="1">
        <f ca="1">IFERROR(__xludf.DUMMYFUNCTION("""COMPUTED_VALUE"""),24.04)</f>
        <v>24.04</v>
      </c>
    </row>
    <row r="1625" spans="1:2">
      <c r="A1625" s="3">
        <f ca="1">IFERROR(__xludf.DUMMYFUNCTION("""COMPUTED_VALUE"""),40708.6666666666)</f>
        <v>40708.666666666599</v>
      </c>
      <c r="B1625" s="1">
        <f ca="1">IFERROR(__xludf.DUMMYFUNCTION("""COMPUTED_VALUE"""),24.22)</f>
        <v>24.22</v>
      </c>
    </row>
    <row r="1626" spans="1:2">
      <c r="A1626" s="3">
        <f ca="1">IFERROR(__xludf.DUMMYFUNCTION("""COMPUTED_VALUE"""),40709.6666666666)</f>
        <v>40709.666666666599</v>
      </c>
      <c r="B1626" s="1">
        <f ca="1">IFERROR(__xludf.DUMMYFUNCTION("""COMPUTED_VALUE"""),23.74)</f>
        <v>23.74</v>
      </c>
    </row>
    <row r="1627" spans="1:2">
      <c r="A1627" s="3">
        <f ca="1">IFERROR(__xludf.DUMMYFUNCTION("""COMPUTED_VALUE"""),40710.6666666666)</f>
        <v>40710.666666666599</v>
      </c>
      <c r="B1627" s="1">
        <f ca="1">IFERROR(__xludf.DUMMYFUNCTION("""COMPUTED_VALUE"""),24)</f>
        <v>24</v>
      </c>
    </row>
    <row r="1628" spans="1:2">
      <c r="A1628" s="3">
        <f ca="1">IFERROR(__xludf.DUMMYFUNCTION("""COMPUTED_VALUE"""),40711.6666666666)</f>
        <v>40711.666666666599</v>
      </c>
      <c r="B1628" s="1">
        <f ca="1">IFERROR(__xludf.DUMMYFUNCTION("""COMPUTED_VALUE"""),24.26)</f>
        <v>24.26</v>
      </c>
    </row>
    <row r="1629" spans="1:2">
      <c r="A1629" s="3">
        <f ca="1">IFERROR(__xludf.DUMMYFUNCTION("""COMPUTED_VALUE"""),40714.6666666666)</f>
        <v>40714.666666666599</v>
      </c>
      <c r="B1629" s="1">
        <f ca="1">IFERROR(__xludf.DUMMYFUNCTION("""COMPUTED_VALUE"""),24.47)</f>
        <v>24.47</v>
      </c>
    </row>
    <row r="1630" spans="1:2">
      <c r="A1630" s="3">
        <f ca="1">IFERROR(__xludf.DUMMYFUNCTION("""COMPUTED_VALUE"""),40715.6666666666)</f>
        <v>40715.666666666599</v>
      </c>
      <c r="B1630" s="1">
        <f ca="1">IFERROR(__xludf.DUMMYFUNCTION("""COMPUTED_VALUE"""),24.76)</f>
        <v>24.76</v>
      </c>
    </row>
    <row r="1631" spans="1:2">
      <c r="A1631" s="3">
        <f ca="1">IFERROR(__xludf.DUMMYFUNCTION("""COMPUTED_VALUE"""),40716.6666666666)</f>
        <v>40716.666666666599</v>
      </c>
      <c r="B1631" s="1">
        <f ca="1">IFERROR(__xludf.DUMMYFUNCTION("""COMPUTED_VALUE"""),24.65)</f>
        <v>24.65</v>
      </c>
    </row>
    <row r="1632" spans="1:2">
      <c r="A1632" s="3">
        <f ca="1">IFERROR(__xludf.DUMMYFUNCTION("""COMPUTED_VALUE"""),40717.6666666666)</f>
        <v>40717.666666666599</v>
      </c>
      <c r="B1632" s="1">
        <f ca="1">IFERROR(__xludf.DUMMYFUNCTION("""COMPUTED_VALUE"""),24.63)</f>
        <v>24.63</v>
      </c>
    </row>
    <row r="1633" spans="1:2">
      <c r="A1633" s="3">
        <f ca="1">IFERROR(__xludf.DUMMYFUNCTION("""COMPUTED_VALUE"""),40718.6666666666)</f>
        <v>40718.666666666599</v>
      </c>
      <c r="B1633" s="1">
        <f ca="1">IFERROR(__xludf.DUMMYFUNCTION("""COMPUTED_VALUE"""),24.3)</f>
        <v>24.3</v>
      </c>
    </row>
    <row r="1634" spans="1:2">
      <c r="A1634" s="3">
        <f ca="1">IFERROR(__xludf.DUMMYFUNCTION("""COMPUTED_VALUE"""),40721.6666666666)</f>
        <v>40721.666666666599</v>
      </c>
      <c r="B1634" s="1">
        <f ca="1">IFERROR(__xludf.DUMMYFUNCTION("""COMPUTED_VALUE"""),25.2)</f>
        <v>25.2</v>
      </c>
    </row>
    <row r="1635" spans="1:2">
      <c r="A1635" s="3">
        <f ca="1">IFERROR(__xludf.DUMMYFUNCTION("""COMPUTED_VALUE"""),40722.6666666666)</f>
        <v>40722.666666666599</v>
      </c>
      <c r="B1635" s="1">
        <f ca="1">IFERROR(__xludf.DUMMYFUNCTION("""COMPUTED_VALUE"""),25.8)</f>
        <v>25.8</v>
      </c>
    </row>
    <row r="1636" spans="1:2">
      <c r="A1636" s="3">
        <f ca="1">IFERROR(__xludf.DUMMYFUNCTION("""COMPUTED_VALUE"""),40723.6666666666)</f>
        <v>40723.666666666599</v>
      </c>
      <c r="B1636" s="1">
        <f ca="1">IFERROR(__xludf.DUMMYFUNCTION("""COMPUTED_VALUE"""),25.62)</f>
        <v>25.62</v>
      </c>
    </row>
    <row r="1637" spans="1:2">
      <c r="A1637" s="3">
        <f ca="1">IFERROR(__xludf.DUMMYFUNCTION("""COMPUTED_VALUE"""),40724.6666666666)</f>
        <v>40724.666666666599</v>
      </c>
      <c r="B1637" s="1">
        <f ca="1">IFERROR(__xludf.DUMMYFUNCTION("""COMPUTED_VALUE"""),26)</f>
        <v>26</v>
      </c>
    </row>
    <row r="1638" spans="1:2">
      <c r="A1638" s="3">
        <f ca="1">IFERROR(__xludf.DUMMYFUNCTION("""COMPUTED_VALUE"""),40725.6666666666)</f>
        <v>40725.666666666599</v>
      </c>
      <c r="B1638" s="1">
        <f ca="1">IFERROR(__xludf.DUMMYFUNCTION("""COMPUTED_VALUE"""),26.02)</f>
        <v>26.02</v>
      </c>
    </row>
    <row r="1639" spans="1:2">
      <c r="A1639" s="3">
        <f ca="1">IFERROR(__xludf.DUMMYFUNCTION("""COMPUTED_VALUE"""),40729.6666666666)</f>
        <v>40729.666666666599</v>
      </c>
      <c r="B1639" s="1">
        <f ca="1">IFERROR(__xludf.DUMMYFUNCTION("""COMPUTED_VALUE"""),26.03)</f>
        <v>26.03</v>
      </c>
    </row>
    <row r="1640" spans="1:2">
      <c r="A1640" s="3">
        <f ca="1">IFERROR(__xludf.DUMMYFUNCTION("""COMPUTED_VALUE"""),40730.6666666666)</f>
        <v>40730.666666666599</v>
      </c>
      <c r="B1640" s="1">
        <f ca="1">IFERROR(__xludf.DUMMYFUNCTION("""COMPUTED_VALUE"""),26.33)</f>
        <v>26.33</v>
      </c>
    </row>
    <row r="1641" spans="1:2">
      <c r="A1641" s="3">
        <f ca="1">IFERROR(__xludf.DUMMYFUNCTION("""COMPUTED_VALUE"""),40731.6666666666)</f>
        <v>40731.666666666599</v>
      </c>
      <c r="B1641" s="1">
        <f ca="1">IFERROR(__xludf.DUMMYFUNCTION("""COMPUTED_VALUE"""),26.77)</f>
        <v>26.77</v>
      </c>
    </row>
    <row r="1642" spans="1:2">
      <c r="A1642" s="3">
        <f ca="1">IFERROR(__xludf.DUMMYFUNCTION("""COMPUTED_VALUE"""),40732.6666666666)</f>
        <v>40732.666666666599</v>
      </c>
      <c r="B1642" s="1">
        <f ca="1">IFERROR(__xludf.DUMMYFUNCTION("""COMPUTED_VALUE"""),26.92)</f>
        <v>26.92</v>
      </c>
    </row>
    <row r="1643" spans="1:2">
      <c r="A1643" s="3">
        <f ca="1">IFERROR(__xludf.DUMMYFUNCTION("""COMPUTED_VALUE"""),40735.6666666666)</f>
        <v>40735.666666666599</v>
      </c>
      <c r="B1643" s="1">
        <f ca="1">IFERROR(__xludf.DUMMYFUNCTION("""COMPUTED_VALUE"""),26.63)</f>
        <v>26.63</v>
      </c>
    </row>
    <row r="1644" spans="1:2">
      <c r="A1644" s="3">
        <f ca="1">IFERROR(__xludf.DUMMYFUNCTION("""COMPUTED_VALUE"""),40736.6666666666)</f>
        <v>40736.666666666599</v>
      </c>
      <c r="B1644" s="1">
        <f ca="1">IFERROR(__xludf.DUMMYFUNCTION("""COMPUTED_VALUE"""),26.54)</f>
        <v>26.54</v>
      </c>
    </row>
    <row r="1645" spans="1:2">
      <c r="A1645" s="3">
        <f ca="1">IFERROR(__xludf.DUMMYFUNCTION("""COMPUTED_VALUE"""),40737.6666666666)</f>
        <v>40737.666666666599</v>
      </c>
      <c r="B1645" s="1">
        <f ca="1">IFERROR(__xludf.DUMMYFUNCTION("""COMPUTED_VALUE"""),26.63)</f>
        <v>26.63</v>
      </c>
    </row>
    <row r="1646" spans="1:2">
      <c r="A1646" s="3">
        <f ca="1">IFERROR(__xludf.DUMMYFUNCTION("""COMPUTED_VALUE"""),40738.6666666666)</f>
        <v>40738.666666666599</v>
      </c>
      <c r="B1646" s="1">
        <f ca="1">IFERROR(__xludf.DUMMYFUNCTION("""COMPUTED_VALUE"""),26.47)</f>
        <v>26.47</v>
      </c>
    </row>
    <row r="1647" spans="1:2">
      <c r="A1647" s="3">
        <f ca="1">IFERROR(__xludf.DUMMYFUNCTION("""COMPUTED_VALUE"""),40739.6666666666)</f>
        <v>40739.666666666599</v>
      </c>
      <c r="B1647" s="1">
        <f ca="1">IFERROR(__xludf.DUMMYFUNCTION("""COMPUTED_VALUE"""),26.78)</f>
        <v>26.78</v>
      </c>
    </row>
    <row r="1648" spans="1:2">
      <c r="A1648" s="3">
        <f ca="1">IFERROR(__xludf.DUMMYFUNCTION("""COMPUTED_VALUE"""),40742.6666666666)</f>
        <v>40742.666666666599</v>
      </c>
      <c r="B1648" s="1">
        <f ca="1">IFERROR(__xludf.DUMMYFUNCTION("""COMPUTED_VALUE"""),26.59)</f>
        <v>26.59</v>
      </c>
    </row>
    <row r="1649" spans="1:2">
      <c r="A1649" s="3">
        <f ca="1">IFERROR(__xludf.DUMMYFUNCTION("""COMPUTED_VALUE"""),40743.6666666666)</f>
        <v>40743.666666666599</v>
      </c>
      <c r="B1649" s="1">
        <f ca="1">IFERROR(__xludf.DUMMYFUNCTION("""COMPUTED_VALUE"""),27.54)</f>
        <v>27.54</v>
      </c>
    </row>
    <row r="1650" spans="1:2">
      <c r="A1650" s="3">
        <f ca="1">IFERROR(__xludf.DUMMYFUNCTION("""COMPUTED_VALUE"""),40744.6666666666)</f>
        <v>40744.666666666599</v>
      </c>
      <c r="B1650" s="1">
        <f ca="1">IFERROR(__xludf.DUMMYFUNCTION("""COMPUTED_VALUE"""),27.06)</f>
        <v>27.06</v>
      </c>
    </row>
    <row r="1651" spans="1:2">
      <c r="A1651" s="3">
        <f ca="1">IFERROR(__xludf.DUMMYFUNCTION("""COMPUTED_VALUE"""),40745.6666666666)</f>
        <v>40745.666666666599</v>
      </c>
      <c r="B1651" s="1">
        <f ca="1">IFERROR(__xludf.DUMMYFUNCTION("""COMPUTED_VALUE"""),27.1)</f>
        <v>27.1</v>
      </c>
    </row>
    <row r="1652" spans="1:2">
      <c r="A1652" s="3">
        <f ca="1">IFERROR(__xludf.DUMMYFUNCTION("""COMPUTED_VALUE"""),40746.6666666666)</f>
        <v>40746.666666666599</v>
      </c>
      <c r="B1652" s="1">
        <f ca="1">IFERROR(__xludf.DUMMYFUNCTION("""COMPUTED_VALUE"""),27.53)</f>
        <v>27.53</v>
      </c>
    </row>
    <row r="1653" spans="1:2">
      <c r="A1653" s="3">
        <f ca="1">IFERROR(__xludf.DUMMYFUNCTION("""COMPUTED_VALUE"""),40749.6666666666)</f>
        <v>40749.666666666599</v>
      </c>
      <c r="B1653" s="1">
        <f ca="1">IFERROR(__xludf.DUMMYFUNCTION("""COMPUTED_VALUE"""),27.91)</f>
        <v>27.91</v>
      </c>
    </row>
    <row r="1654" spans="1:2">
      <c r="A1654" s="3">
        <f ca="1">IFERROR(__xludf.DUMMYFUNCTION("""COMPUTED_VALUE"""),40750.6666666666)</f>
        <v>40750.666666666599</v>
      </c>
      <c r="B1654" s="1">
        <f ca="1">IFERROR(__xludf.DUMMYFUNCTION("""COMPUTED_VALUE"""),28.08)</f>
        <v>28.08</v>
      </c>
    </row>
    <row r="1655" spans="1:2">
      <c r="A1655" s="3">
        <f ca="1">IFERROR(__xludf.DUMMYFUNCTION("""COMPUTED_VALUE"""),40751.6666666666)</f>
        <v>40751.666666666599</v>
      </c>
      <c r="B1655" s="1">
        <f ca="1">IFERROR(__xludf.DUMMYFUNCTION("""COMPUTED_VALUE"""),27.33)</f>
        <v>27.33</v>
      </c>
    </row>
    <row r="1656" spans="1:2">
      <c r="A1656" s="3">
        <f ca="1">IFERROR(__xludf.DUMMYFUNCTION("""COMPUTED_VALUE"""),40752.6666666666)</f>
        <v>40752.666666666599</v>
      </c>
      <c r="B1656" s="1">
        <f ca="1">IFERROR(__xludf.DUMMYFUNCTION("""COMPUTED_VALUE"""),27.72)</f>
        <v>27.72</v>
      </c>
    </row>
    <row r="1657" spans="1:2">
      <c r="A1657" s="3">
        <f ca="1">IFERROR(__xludf.DUMMYFUNCTION("""COMPUTED_VALUE"""),40753.6666666666)</f>
        <v>40753.666666666599</v>
      </c>
      <c r="B1657" s="1">
        <f ca="1">IFERROR(__xludf.DUMMYFUNCTION("""COMPUTED_VALUE"""),27.4)</f>
        <v>27.4</v>
      </c>
    </row>
    <row r="1658" spans="1:2">
      <c r="A1658" s="3">
        <f ca="1">IFERROR(__xludf.DUMMYFUNCTION("""COMPUTED_VALUE"""),40756.6666666666)</f>
        <v>40756.666666666599</v>
      </c>
      <c r="B1658" s="1">
        <f ca="1">IFERROR(__xludf.DUMMYFUNCTION("""COMPUTED_VALUE"""),27.27)</f>
        <v>27.27</v>
      </c>
    </row>
    <row r="1659" spans="1:2">
      <c r="A1659" s="3">
        <f ca="1">IFERROR(__xludf.DUMMYFUNCTION("""COMPUTED_VALUE"""),40757.6666666666)</f>
        <v>40757.666666666599</v>
      </c>
      <c r="B1659" s="1">
        <f ca="1">IFERROR(__xludf.DUMMYFUNCTION("""COMPUTED_VALUE"""),26.8)</f>
        <v>26.8</v>
      </c>
    </row>
    <row r="1660" spans="1:2">
      <c r="A1660" s="3">
        <f ca="1">IFERROR(__xludf.DUMMYFUNCTION("""COMPUTED_VALUE"""),40758.6666666666)</f>
        <v>40758.666666666599</v>
      </c>
      <c r="B1660" s="1">
        <f ca="1">IFERROR(__xludf.DUMMYFUNCTION("""COMPUTED_VALUE"""),26.92)</f>
        <v>26.92</v>
      </c>
    </row>
    <row r="1661" spans="1:2">
      <c r="A1661" s="3">
        <f ca="1">IFERROR(__xludf.DUMMYFUNCTION("""COMPUTED_VALUE"""),40759.6666666666)</f>
        <v>40759.666666666599</v>
      </c>
      <c r="B1661" s="1">
        <f ca="1">IFERROR(__xludf.DUMMYFUNCTION("""COMPUTED_VALUE"""),25.94)</f>
        <v>25.94</v>
      </c>
    </row>
    <row r="1662" spans="1:2">
      <c r="A1662" s="3">
        <f ca="1">IFERROR(__xludf.DUMMYFUNCTION("""COMPUTED_VALUE"""),40760.6666666666)</f>
        <v>40760.666666666599</v>
      </c>
      <c r="B1662" s="1">
        <f ca="1">IFERROR(__xludf.DUMMYFUNCTION("""COMPUTED_VALUE"""),25.68)</f>
        <v>25.68</v>
      </c>
    </row>
    <row r="1663" spans="1:2">
      <c r="A1663" s="3">
        <f ca="1">IFERROR(__xludf.DUMMYFUNCTION("""COMPUTED_VALUE"""),40763.6666666666)</f>
        <v>40763.666666666599</v>
      </c>
      <c r="B1663" s="1">
        <f ca="1">IFERROR(__xludf.DUMMYFUNCTION("""COMPUTED_VALUE"""),24.48)</f>
        <v>24.48</v>
      </c>
    </row>
    <row r="1664" spans="1:2">
      <c r="A1664" s="3">
        <f ca="1">IFERROR(__xludf.DUMMYFUNCTION("""COMPUTED_VALUE"""),40764.6666666666)</f>
        <v>40764.666666666599</v>
      </c>
      <c r="B1664" s="1">
        <f ca="1">IFERROR(__xludf.DUMMYFUNCTION("""COMPUTED_VALUE"""),25.58)</f>
        <v>25.58</v>
      </c>
    </row>
    <row r="1665" spans="1:2">
      <c r="A1665" s="3">
        <f ca="1">IFERROR(__xludf.DUMMYFUNCTION("""COMPUTED_VALUE"""),40765.6666666666)</f>
        <v>40765.666666666599</v>
      </c>
      <c r="B1665" s="1">
        <f ca="1">IFERROR(__xludf.DUMMYFUNCTION("""COMPUTED_VALUE"""),24.2)</f>
        <v>24.2</v>
      </c>
    </row>
    <row r="1666" spans="1:2">
      <c r="A1666" s="3">
        <f ca="1">IFERROR(__xludf.DUMMYFUNCTION("""COMPUTED_VALUE"""),40766.6666666666)</f>
        <v>40766.666666666599</v>
      </c>
      <c r="B1666" s="1">
        <f ca="1">IFERROR(__xludf.DUMMYFUNCTION("""COMPUTED_VALUE"""),25.19)</f>
        <v>25.19</v>
      </c>
    </row>
    <row r="1667" spans="1:2">
      <c r="A1667" s="3">
        <f ca="1">IFERROR(__xludf.DUMMYFUNCTION("""COMPUTED_VALUE"""),40767.6666666666)</f>
        <v>40767.666666666599</v>
      </c>
      <c r="B1667" s="1">
        <f ca="1">IFERROR(__xludf.DUMMYFUNCTION("""COMPUTED_VALUE"""),25.1)</f>
        <v>25.1</v>
      </c>
    </row>
    <row r="1668" spans="1:2">
      <c r="A1668" s="3">
        <f ca="1">IFERROR(__xludf.DUMMYFUNCTION("""COMPUTED_VALUE"""),40770.6666666666)</f>
        <v>40770.666666666599</v>
      </c>
      <c r="B1668" s="1">
        <f ca="1">IFERROR(__xludf.DUMMYFUNCTION("""COMPUTED_VALUE"""),25.51)</f>
        <v>25.51</v>
      </c>
    </row>
    <row r="1669" spans="1:2">
      <c r="A1669" s="3">
        <f ca="1">IFERROR(__xludf.DUMMYFUNCTION("""COMPUTED_VALUE"""),40771.6666666666)</f>
        <v>40771.666666666599</v>
      </c>
      <c r="B1669" s="1">
        <f ca="1">IFERROR(__xludf.DUMMYFUNCTION("""COMPUTED_VALUE"""),25.35)</f>
        <v>25.35</v>
      </c>
    </row>
    <row r="1670" spans="1:2">
      <c r="A1670" s="3">
        <f ca="1">IFERROR(__xludf.DUMMYFUNCTION("""COMPUTED_VALUE"""),40772.6666666666)</f>
        <v>40772.666666666599</v>
      </c>
      <c r="B1670" s="1">
        <f ca="1">IFERROR(__xludf.DUMMYFUNCTION("""COMPUTED_VALUE"""),25.25)</f>
        <v>25.25</v>
      </c>
    </row>
    <row r="1671" spans="1:2">
      <c r="A1671" s="3">
        <f ca="1">IFERROR(__xludf.DUMMYFUNCTION("""COMPUTED_VALUE"""),40773.6666666666)</f>
        <v>40773.666666666599</v>
      </c>
      <c r="B1671" s="1">
        <f ca="1">IFERROR(__xludf.DUMMYFUNCTION("""COMPUTED_VALUE"""),24.67)</f>
        <v>24.67</v>
      </c>
    </row>
    <row r="1672" spans="1:2">
      <c r="A1672" s="3">
        <f ca="1">IFERROR(__xludf.DUMMYFUNCTION("""COMPUTED_VALUE"""),40774.6666666666)</f>
        <v>40774.666666666599</v>
      </c>
      <c r="B1672" s="1">
        <f ca="1">IFERROR(__xludf.DUMMYFUNCTION("""COMPUTED_VALUE"""),24.05)</f>
        <v>24.05</v>
      </c>
    </row>
    <row r="1673" spans="1:2">
      <c r="A1673" s="3">
        <f ca="1">IFERROR(__xludf.DUMMYFUNCTION("""COMPUTED_VALUE"""),40777.6666666666)</f>
        <v>40777.666666666599</v>
      </c>
      <c r="B1673" s="1">
        <f ca="1">IFERROR(__xludf.DUMMYFUNCTION("""COMPUTED_VALUE"""),23.98)</f>
        <v>23.98</v>
      </c>
    </row>
    <row r="1674" spans="1:2">
      <c r="A1674" s="3">
        <f ca="1">IFERROR(__xludf.DUMMYFUNCTION("""COMPUTED_VALUE"""),40778.6666666666)</f>
        <v>40778.666666666599</v>
      </c>
      <c r="B1674" s="1">
        <f ca="1">IFERROR(__xludf.DUMMYFUNCTION("""COMPUTED_VALUE"""),24.72)</f>
        <v>24.72</v>
      </c>
    </row>
    <row r="1675" spans="1:2">
      <c r="A1675" s="3">
        <f ca="1">IFERROR(__xludf.DUMMYFUNCTION("""COMPUTED_VALUE"""),40779.6666666666)</f>
        <v>40779.666666666599</v>
      </c>
      <c r="B1675" s="1">
        <f ca="1">IFERROR(__xludf.DUMMYFUNCTION("""COMPUTED_VALUE"""),24.9)</f>
        <v>24.9</v>
      </c>
    </row>
    <row r="1676" spans="1:2">
      <c r="A1676" s="3">
        <f ca="1">IFERROR(__xludf.DUMMYFUNCTION("""COMPUTED_VALUE"""),40780.6666666666)</f>
        <v>40780.666666666599</v>
      </c>
      <c r="B1676" s="1">
        <f ca="1">IFERROR(__xludf.DUMMYFUNCTION("""COMPUTED_VALUE"""),24.57)</f>
        <v>24.57</v>
      </c>
    </row>
    <row r="1677" spans="1:2">
      <c r="A1677" s="3">
        <f ca="1">IFERROR(__xludf.DUMMYFUNCTION("""COMPUTED_VALUE"""),40781.6666666666)</f>
        <v>40781.666666666599</v>
      </c>
      <c r="B1677" s="1">
        <f ca="1">IFERROR(__xludf.DUMMYFUNCTION("""COMPUTED_VALUE"""),25.25)</f>
        <v>25.25</v>
      </c>
    </row>
    <row r="1678" spans="1:2">
      <c r="A1678" s="3">
        <f ca="1">IFERROR(__xludf.DUMMYFUNCTION("""COMPUTED_VALUE"""),40784.6666666666)</f>
        <v>40784.666666666599</v>
      </c>
      <c r="B1678" s="1">
        <f ca="1">IFERROR(__xludf.DUMMYFUNCTION("""COMPUTED_VALUE"""),25.84)</f>
        <v>25.84</v>
      </c>
    </row>
    <row r="1679" spans="1:2">
      <c r="A1679" s="3">
        <f ca="1">IFERROR(__xludf.DUMMYFUNCTION("""COMPUTED_VALUE"""),40785.6666666666)</f>
        <v>40785.666666666599</v>
      </c>
      <c r="B1679" s="1">
        <f ca="1">IFERROR(__xludf.DUMMYFUNCTION("""COMPUTED_VALUE"""),26.23)</f>
        <v>26.23</v>
      </c>
    </row>
    <row r="1680" spans="1:2">
      <c r="A1680" s="3">
        <f ca="1">IFERROR(__xludf.DUMMYFUNCTION("""COMPUTED_VALUE"""),40786.6666666666)</f>
        <v>40786.666666666599</v>
      </c>
      <c r="B1680" s="1">
        <f ca="1">IFERROR(__xludf.DUMMYFUNCTION("""COMPUTED_VALUE"""),26.6)</f>
        <v>26.6</v>
      </c>
    </row>
    <row r="1681" spans="1:2">
      <c r="A1681" s="3">
        <f ca="1">IFERROR(__xludf.DUMMYFUNCTION("""COMPUTED_VALUE"""),40787.6666666666)</f>
        <v>40787.666666666599</v>
      </c>
      <c r="B1681" s="1">
        <f ca="1">IFERROR(__xludf.DUMMYFUNCTION("""COMPUTED_VALUE"""),26.21)</f>
        <v>26.21</v>
      </c>
    </row>
    <row r="1682" spans="1:2">
      <c r="A1682" s="3">
        <f ca="1">IFERROR(__xludf.DUMMYFUNCTION("""COMPUTED_VALUE"""),40788.6666666666)</f>
        <v>40788.666666666599</v>
      </c>
      <c r="B1682" s="1">
        <f ca="1">IFERROR(__xludf.DUMMYFUNCTION("""COMPUTED_VALUE"""),25.8)</f>
        <v>25.8</v>
      </c>
    </row>
    <row r="1683" spans="1:2">
      <c r="A1683" s="3">
        <f ca="1">IFERROR(__xludf.DUMMYFUNCTION("""COMPUTED_VALUE"""),40792.6666666666)</f>
        <v>40792.666666666599</v>
      </c>
      <c r="B1683" s="1">
        <f ca="1">IFERROR(__xludf.DUMMYFUNCTION("""COMPUTED_VALUE"""),25.51)</f>
        <v>25.51</v>
      </c>
    </row>
    <row r="1684" spans="1:2">
      <c r="A1684" s="3">
        <f ca="1">IFERROR(__xludf.DUMMYFUNCTION("""COMPUTED_VALUE"""),40793.6666666666)</f>
        <v>40793.666666666599</v>
      </c>
      <c r="B1684" s="1">
        <f ca="1">IFERROR(__xludf.DUMMYFUNCTION("""COMPUTED_VALUE"""),26)</f>
        <v>26</v>
      </c>
    </row>
    <row r="1685" spans="1:2">
      <c r="A1685" s="3">
        <f ca="1">IFERROR(__xludf.DUMMYFUNCTION("""COMPUTED_VALUE"""),40794.6666666666)</f>
        <v>40794.666666666599</v>
      </c>
      <c r="B1685" s="1">
        <f ca="1">IFERROR(__xludf.DUMMYFUNCTION("""COMPUTED_VALUE"""),26.22)</f>
        <v>26.22</v>
      </c>
    </row>
    <row r="1686" spans="1:2">
      <c r="A1686" s="3">
        <f ca="1">IFERROR(__xludf.DUMMYFUNCTION("""COMPUTED_VALUE"""),40795.6666666666)</f>
        <v>40795.666666666599</v>
      </c>
      <c r="B1686" s="1">
        <f ca="1">IFERROR(__xludf.DUMMYFUNCTION("""COMPUTED_VALUE"""),25.74)</f>
        <v>25.74</v>
      </c>
    </row>
    <row r="1687" spans="1:2">
      <c r="A1687" s="3">
        <f ca="1">IFERROR(__xludf.DUMMYFUNCTION("""COMPUTED_VALUE"""),40798.6666666666)</f>
        <v>40798.666666666599</v>
      </c>
      <c r="B1687" s="1">
        <f ca="1">IFERROR(__xludf.DUMMYFUNCTION("""COMPUTED_VALUE"""),25.89)</f>
        <v>25.89</v>
      </c>
    </row>
    <row r="1688" spans="1:2">
      <c r="A1688" s="3">
        <f ca="1">IFERROR(__xludf.DUMMYFUNCTION("""COMPUTED_VALUE"""),40799.6666666666)</f>
        <v>40799.666666666599</v>
      </c>
      <c r="B1688" s="1">
        <f ca="1">IFERROR(__xludf.DUMMYFUNCTION("""COMPUTED_VALUE"""),26.04)</f>
        <v>26.04</v>
      </c>
    </row>
    <row r="1689" spans="1:2">
      <c r="A1689" s="3">
        <f ca="1">IFERROR(__xludf.DUMMYFUNCTION("""COMPUTED_VALUE"""),40800.6666666666)</f>
        <v>40800.666666666599</v>
      </c>
      <c r="B1689" s="1">
        <f ca="1">IFERROR(__xludf.DUMMYFUNCTION("""COMPUTED_VALUE"""),26.5)</f>
        <v>26.5</v>
      </c>
    </row>
    <row r="1690" spans="1:2">
      <c r="A1690" s="3">
        <f ca="1">IFERROR(__xludf.DUMMYFUNCTION("""COMPUTED_VALUE"""),40801.6666666666)</f>
        <v>40801.666666666599</v>
      </c>
      <c r="B1690" s="1">
        <f ca="1">IFERROR(__xludf.DUMMYFUNCTION("""COMPUTED_VALUE"""),26.99)</f>
        <v>26.99</v>
      </c>
    </row>
    <row r="1691" spans="1:2">
      <c r="A1691" s="3">
        <f ca="1">IFERROR(__xludf.DUMMYFUNCTION("""COMPUTED_VALUE"""),40802.6666666666)</f>
        <v>40802.666666666599</v>
      </c>
      <c r="B1691" s="1">
        <f ca="1">IFERROR(__xludf.DUMMYFUNCTION("""COMPUTED_VALUE"""),27.12)</f>
        <v>27.12</v>
      </c>
    </row>
    <row r="1692" spans="1:2">
      <c r="A1692" s="3">
        <f ca="1">IFERROR(__xludf.DUMMYFUNCTION("""COMPUTED_VALUE"""),40805.6666666666)</f>
        <v>40805.666666666599</v>
      </c>
      <c r="B1692" s="1">
        <f ca="1">IFERROR(__xludf.DUMMYFUNCTION("""COMPUTED_VALUE"""),27.21)</f>
        <v>27.21</v>
      </c>
    </row>
    <row r="1693" spans="1:2">
      <c r="A1693" s="3">
        <f ca="1">IFERROR(__xludf.DUMMYFUNCTION("""COMPUTED_VALUE"""),40806.6666666666)</f>
        <v>40806.666666666599</v>
      </c>
      <c r="B1693" s="1">
        <f ca="1">IFERROR(__xludf.DUMMYFUNCTION("""COMPUTED_VALUE"""),26.98)</f>
        <v>26.98</v>
      </c>
    </row>
    <row r="1694" spans="1:2">
      <c r="A1694" s="3">
        <f ca="1">IFERROR(__xludf.DUMMYFUNCTION("""COMPUTED_VALUE"""),40807.6666666666)</f>
        <v>40807.666666666599</v>
      </c>
      <c r="B1694" s="1">
        <f ca="1">IFERROR(__xludf.DUMMYFUNCTION("""COMPUTED_VALUE"""),25.99)</f>
        <v>25.99</v>
      </c>
    </row>
    <row r="1695" spans="1:2">
      <c r="A1695" s="3">
        <f ca="1">IFERROR(__xludf.DUMMYFUNCTION("""COMPUTED_VALUE"""),40808.6666666666)</f>
        <v>40808.666666666599</v>
      </c>
      <c r="B1695" s="1">
        <f ca="1">IFERROR(__xludf.DUMMYFUNCTION("""COMPUTED_VALUE"""),25.06)</f>
        <v>25.06</v>
      </c>
    </row>
    <row r="1696" spans="1:2">
      <c r="A1696" s="3">
        <f ca="1">IFERROR(__xludf.DUMMYFUNCTION("""COMPUTED_VALUE"""),40809.6666666666)</f>
        <v>40809.666666666599</v>
      </c>
      <c r="B1696" s="1">
        <f ca="1">IFERROR(__xludf.DUMMYFUNCTION("""COMPUTED_VALUE"""),25.06)</f>
        <v>25.06</v>
      </c>
    </row>
    <row r="1697" spans="1:2">
      <c r="A1697" s="3">
        <f ca="1">IFERROR(__xludf.DUMMYFUNCTION("""COMPUTED_VALUE"""),40812.6666666666)</f>
        <v>40812.666666666599</v>
      </c>
      <c r="B1697" s="1">
        <f ca="1">IFERROR(__xludf.DUMMYFUNCTION("""COMPUTED_VALUE"""),25.44)</f>
        <v>25.44</v>
      </c>
    </row>
    <row r="1698" spans="1:2">
      <c r="A1698" s="3">
        <f ca="1">IFERROR(__xludf.DUMMYFUNCTION("""COMPUTED_VALUE"""),40813.6666666666)</f>
        <v>40813.666666666599</v>
      </c>
      <c r="B1698" s="1">
        <f ca="1">IFERROR(__xludf.DUMMYFUNCTION("""COMPUTED_VALUE"""),25.67)</f>
        <v>25.67</v>
      </c>
    </row>
    <row r="1699" spans="1:2">
      <c r="A1699" s="3">
        <f ca="1">IFERROR(__xludf.DUMMYFUNCTION("""COMPUTED_VALUE"""),40814.6666666666)</f>
        <v>40814.666666666599</v>
      </c>
      <c r="B1699" s="1">
        <f ca="1">IFERROR(__xludf.DUMMYFUNCTION("""COMPUTED_VALUE"""),25.58)</f>
        <v>25.58</v>
      </c>
    </row>
    <row r="1700" spans="1:2">
      <c r="A1700" s="3">
        <f ca="1">IFERROR(__xludf.DUMMYFUNCTION("""COMPUTED_VALUE"""),40815.6666666666)</f>
        <v>40815.666666666599</v>
      </c>
      <c r="B1700" s="1">
        <f ca="1">IFERROR(__xludf.DUMMYFUNCTION("""COMPUTED_VALUE"""),25.45)</f>
        <v>25.45</v>
      </c>
    </row>
    <row r="1701" spans="1:2">
      <c r="A1701" s="3">
        <f ca="1">IFERROR(__xludf.DUMMYFUNCTION("""COMPUTED_VALUE"""),40816.6666666666)</f>
        <v>40816.666666666599</v>
      </c>
      <c r="B1701" s="1">
        <f ca="1">IFERROR(__xludf.DUMMYFUNCTION("""COMPUTED_VALUE"""),24.89)</f>
        <v>24.89</v>
      </c>
    </row>
    <row r="1702" spans="1:2">
      <c r="A1702" s="3">
        <f ca="1">IFERROR(__xludf.DUMMYFUNCTION("""COMPUTED_VALUE"""),40819.6666666666)</f>
        <v>40819.666666666599</v>
      </c>
      <c r="B1702" s="1">
        <f ca="1">IFERROR(__xludf.DUMMYFUNCTION("""COMPUTED_VALUE"""),24.53)</f>
        <v>24.53</v>
      </c>
    </row>
    <row r="1703" spans="1:2">
      <c r="A1703" s="3">
        <f ca="1">IFERROR(__xludf.DUMMYFUNCTION("""COMPUTED_VALUE"""),40820.6666666666)</f>
        <v>40820.666666666599</v>
      </c>
      <c r="B1703" s="1">
        <f ca="1">IFERROR(__xludf.DUMMYFUNCTION("""COMPUTED_VALUE"""),25.34)</f>
        <v>25.34</v>
      </c>
    </row>
    <row r="1704" spans="1:2">
      <c r="A1704" s="3">
        <f ca="1">IFERROR(__xludf.DUMMYFUNCTION("""COMPUTED_VALUE"""),40821.6666666666)</f>
        <v>40821.666666666599</v>
      </c>
      <c r="B1704" s="1">
        <f ca="1">IFERROR(__xludf.DUMMYFUNCTION("""COMPUTED_VALUE"""),25.89)</f>
        <v>25.89</v>
      </c>
    </row>
    <row r="1705" spans="1:2">
      <c r="A1705" s="3">
        <f ca="1">IFERROR(__xludf.DUMMYFUNCTION("""COMPUTED_VALUE"""),40822.6666666666)</f>
        <v>40822.666666666599</v>
      </c>
      <c r="B1705" s="1">
        <f ca="1">IFERROR(__xludf.DUMMYFUNCTION("""COMPUTED_VALUE"""),26.34)</f>
        <v>26.34</v>
      </c>
    </row>
    <row r="1706" spans="1:2">
      <c r="A1706" s="3">
        <f ca="1">IFERROR(__xludf.DUMMYFUNCTION("""COMPUTED_VALUE"""),40823.6666666666)</f>
        <v>40823.666666666599</v>
      </c>
      <c r="B1706" s="1">
        <f ca="1">IFERROR(__xludf.DUMMYFUNCTION("""COMPUTED_VALUE"""),26.25)</f>
        <v>26.25</v>
      </c>
    </row>
    <row r="1707" spans="1:2">
      <c r="A1707" s="3">
        <f ca="1">IFERROR(__xludf.DUMMYFUNCTION("""COMPUTED_VALUE"""),40826.6666666666)</f>
        <v>40826.666666666599</v>
      </c>
      <c r="B1707" s="1">
        <f ca="1">IFERROR(__xludf.DUMMYFUNCTION("""COMPUTED_VALUE"""),26.94)</f>
        <v>26.94</v>
      </c>
    </row>
    <row r="1708" spans="1:2">
      <c r="A1708" s="3">
        <f ca="1">IFERROR(__xludf.DUMMYFUNCTION("""COMPUTED_VALUE"""),40827.6666666666)</f>
        <v>40827.666666666599</v>
      </c>
      <c r="B1708" s="1">
        <f ca="1">IFERROR(__xludf.DUMMYFUNCTION("""COMPUTED_VALUE"""),27)</f>
        <v>27</v>
      </c>
    </row>
    <row r="1709" spans="1:2">
      <c r="A1709" s="3">
        <f ca="1">IFERROR(__xludf.DUMMYFUNCTION("""COMPUTED_VALUE"""),40828.6666666666)</f>
        <v>40828.666666666599</v>
      </c>
      <c r="B1709" s="1">
        <f ca="1">IFERROR(__xludf.DUMMYFUNCTION("""COMPUTED_VALUE"""),26.96)</f>
        <v>26.96</v>
      </c>
    </row>
    <row r="1710" spans="1:2">
      <c r="A1710" s="3">
        <f ca="1">IFERROR(__xludf.DUMMYFUNCTION("""COMPUTED_VALUE"""),40829.6666666666)</f>
        <v>40829.666666666599</v>
      </c>
      <c r="B1710" s="1">
        <f ca="1">IFERROR(__xludf.DUMMYFUNCTION("""COMPUTED_VALUE"""),27.18)</f>
        <v>27.18</v>
      </c>
    </row>
    <row r="1711" spans="1:2">
      <c r="A1711" s="3">
        <f ca="1">IFERROR(__xludf.DUMMYFUNCTION("""COMPUTED_VALUE"""),40830.6666666666)</f>
        <v>40830.666666666599</v>
      </c>
      <c r="B1711" s="1">
        <f ca="1">IFERROR(__xludf.DUMMYFUNCTION("""COMPUTED_VALUE"""),27.27)</f>
        <v>27.27</v>
      </c>
    </row>
    <row r="1712" spans="1:2">
      <c r="A1712" s="3">
        <f ca="1">IFERROR(__xludf.DUMMYFUNCTION("""COMPUTED_VALUE"""),40833.6666666666)</f>
        <v>40833.666666666599</v>
      </c>
      <c r="B1712" s="1">
        <f ca="1">IFERROR(__xludf.DUMMYFUNCTION("""COMPUTED_VALUE"""),26.98)</f>
        <v>26.98</v>
      </c>
    </row>
    <row r="1713" spans="1:2">
      <c r="A1713" s="3">
        <f ca="1">IFERROR(__xludf.DUMMYFUNCTION("""COMPUTED_VALUE"""),40834.6666666666)</f>
        <v>40834.666666666599</v>
      </c>
      <c r="B1713" s="1">
        <f ca="1">IFERROR(__xludf.DUMMYFUNCTION("""COMPUTED_VALUE"""),27.31)</f>
        <v>27.31</v>
      </c>
    </row>
    <row r="1714" spans="1:2">
      <c r="A1714" s="3">
        <f ca="1">IFERROR(__xludf.DUMMYFUNCTION("""COMPUTED_VALUE"""),40835.6666666666)</f>
        <v>40835.666666666599</v>
      </c>
      <c r="B1714" s="1">
        <f ca="1">IFERROR(__xludf.DUMMYFUNCTION("""COMPUTED_VALUE"""),27.13)</f>
        <v>27.13</v>
      </c>
    </row>
    <row r="1715" spans="1:2">
      <c r="A1715" s="3">
        <f ca="1">IFERROR(__xludf.DUMMYFUNCTION("""COMPUTED_VALUE"""),40836.6666666666)</f>
        <v>40836.666666666599</v>
      </c>
      <c r="B1715" s="1">
        <f ca="1">IFERROR(__xludf.DUMMYFUNCTION("""COMPUTED_VALUE"""),27.04)</f>
        <v>27.04</v>
      </c>
    </row>
    <row r="1716" spans="1:2">
      <c r="A1716" s="3">
        <f ca="1">IFERROR(__xludf.DUMMYFUNCTION("""COMPUTED_VALUE"""),40837.6666666666)</f>
        <v>40837.666666666599</v>
      </c>
      <c r="B1716" s="1">
        <f ca="1">IFERROR(__xludf.DUMMYFUNCTION("""COMPUTED_VALUE"""),27.16)</f>
        <v>27.16</v>
      </c>
    </row>
    <row r="1717" spans="1:2">
      <c r="A1717" s="3">
        <f ca="1">IFERROR(__xludf.DUMMYFUNCTION("""COMPUTED_VALUE"""),40840.6666666666)</f>
        <v>40840.666666666599</v>
      </c>
      <c r="B1717" s="1">
        <f ca="1">IFERROR(__xludf.DUMMYFUNCTION("""COMPUTED_VALUE"""),27.19)</f>
        <v>27.19</v>
      </c>
    </row>
    <row r="1718" spans="1:2">
      <c r="A1718" s="3">
        <f ca="1">IFERROR(__xludf.DUMMYFUNCTION("""COMPUTED_VALUE"""),40841.6666666666)</f>
        <v>40841.666666666599</v>
      </c>
      <c r="B1718" s="1">
        <f ca="1">IFERROR(__xludf.DUMMYFUNCTION("""COMPUTED_VALUE"""),26.81)</f>
        <v>26.81</v>
      </c>
    </row>
    <row r="1719" spans="1:2">
      <c r="A1719" s="3">
        <f ca="1">IFERROR(__xludf.DUMMYFUNCTION("""COMPUTED_VALUE"""),40842.6666666666)</f>
        <v>40842.666666666599</v>
      </c>
      <c r="B1719" s="1">
        <f ca="1">IFERROR(__xludf.DUMMYFUNCTION("""COMPUTED_VALUE"""),26.59)</f>
        <v>26.59</v>
      </c>
    </row>
    <row r="1720" spans="1:2">
      <c r="A1720" s="3">
        <f ca="1">IFERROR(__xludf.DUMMYFUNCTION("""COMPUTED_VALUE"""),40843.6666666666)</f>
        <v>40843.666666666599</v>
      </c>
      <c r="B1720" s="1">
        <f ca="1">IFERROR(__xludf.DUMMYFUNCTION("""COMPUTED_VALUE"""),27.25)</f>
        <v>27.25</v>
      </c>
    </row>
    <row r="1721" spans="1:2">
      <c r="A1721" s="3">
        <f ca="1">IFERROR(__xludf.DUMMYFUNCTION("""COMPUTED_VALUE"""),40844.6666666666)</f>
        <v>40844.666666666599</v>
      </c>
      <c r="B1721" s="1">
        <f ca="1">IFERROR(__xludf.DUMMYFUNCTION("""COMPUTED_VALUE"""),26.98)</f>
        <v>26.98</v>
      </c>
    </row>
    <row r="1722" spans="1:2">
      <c r="A1722" s="3">
        <f ca="1">IFERROR(__xludf.DUMMYFUNCTION("""COMPUTED_VALUE"""),40847.6666666666)</f>
        <v>40847.666666666599</v>
      </c>
      <c r="B1722" s="1">
        <f ca="1">IFERROR(__xludf.DUMMYFUNCTION("""COMPUTED_VALUE"""),26.63)</f>
        <v>26.63</v>
      </c>
    </row>
    <row r="1723" spans="1:2">
      <c r="A1723" s="3">
        <f ca="1">IFERROR(__xludf.DUMMYFUNCTION("""COMPUTED_VALUE"""),40848.6666666666)</f>
        <v>40848.666666666599</v>
      </c>
      <c r="B1723" s="1">
        <f ca="1">IFERROR(__xludf.DUMMYFUNCTION("""COMPUTED_VALUE"""),25.99)</f>
        <v>25.99</v>
      </c>
    </row>
    <row r="1724" spans="1:2">
      <c r="A1724" s="3">
        <f ca="1">IFERROR(__xludf.DUMMYFUNCTION("""COMPUTED_VALUE"""),40849.6666666666)</f>
        <v>40849.666666666599</v>
      </c>
      <c r="B1724" s="1">
        <f ca="1">IFERROR(__xludf.DUMMYFUNCTION("""COMPUTED_VALUE"""),26.01)</f>
        <v>26.01</v>
      </c>
    </row>
    <row r="1725" spans="1:2">
      <c r="A1725" s="3">
        <f ca="1">IFERROR(__xludf.DUMMYFUNCTION("""COMPUTED_VALUE"""),40850.6666666666)</f>
        <v>40850.666666666599</v>
      </c>
      <c r="B1725" s="1">
        <f ca="1">IFERROR(__xludf.DUMMYFUNCTION("""COMPUTED_VALUE"""),26.53)</f>
        <v>26.53</v>
      </c>
    </row>
    <row r="1726" spans="1:2">
      <c r="A1726" s="3">
        <f ca="1">IFERROR(__xludf.DUMMYFUNCTION("""COMPUTED_VALUE"""),40851.6666666666)</f>
        <v>40851.666666666599</v>
      </c>
      <c r="B1726" s="1">
        <f ca="1">IFERROR(__xludf.DUMMYFUNCTION("""COMPUTED_VALUE"""),26.25)</f>
        <v>26.25</v>
      </c>
    </row>
    <row r="1727" spans="1:2">
      <c r="A1727" s="3">
        <f ca="1">IFERROR(__xludf.DUMMYFUNCTION("""COMPUTED_VALUE"""),40854.6666666666)</f>
        <v>40854.666666666599</v>
      </c>
      <c r="B1727" s="1">
        <f ca="1">IFERROR(__xludf.DUMMYFUNCTION("""COMPUTED_VALUE"""),26.8)</f>
        <v>26.8</v>
      </c>
    </row>
    <row r="1728" spans="1:2">
      <c r="A1728" s="3">
        <f ca="1">IFERROR(__xludf.DUMMYFUNCTION("""COMPUTED_VALUE"""),40855.6666666666)</f>
        <v>40855.666666666599</v>
      </c>
      <c r="B1728" s="1">
        <f ca="1">IFERROR(__xludf.DUMMYFUNCTION("""COMPUTED_VALUE"""),27.16)</f>
        <v>27.16</v>
      </c>
    </row>
    <row r="1729" spans="1:2">
      <c r="A1729" s="3">
        <f ca="1">IFERROR(__xludf.DUMMYFUNCTION("""COMPUTED_VALUE"""),40856.6666666666)</f>
        <v>40856.666666666599</v>
      </c>
      <c r="B1729" s="1">
        <f ca="1">IFERROR(__xludf.DUMMYFUNCTION("""COMPUTED_VALUE"""),26.2)</f>
        <v>26.2</v>
      </c>
    </row>
    <row r="1730" spans="1:2">
      <c r="A1730" s="3">
        <f ca="1">IFERROR(__xludf.DUMMYFUNCTION("""COMPUTED_VALUE"""),40857.6666666666)</f>
        <v>40857.666666666599</v>
      </c>
      <c r="B1730" s="1">
        <f ca="1">IFERROR(__xludf.DUMMYFUNCTION("""COMPUTED_VALUE"""),26.28)</f>
        <v>26.28</v>
      </c>
    </row>
    <row r="1731" spans="1:2">
      <c r="A1731" s="3">
        <f ca="1">IFERROR(__xludf.DUMMYFUNCTION("""COMPUTED_VALUE"""),40858.6666666666)</f>
        <v>40858.666666666599</v>
      </c>
      <c r="B1731" s="1">
        <f ca="1">IFERROR(__xludf.DUMMYFUNCTION("""COMPUTED_VALUE"""),26.91)</f>
        <v>26.91</v>
      </c>
    </row>
    <row r="1732" spans="1:2">
      <c r="A1732" s="3">
        <f ca="1">IFERROR(__xludf.DUMMYFUNCTION("""COMPUTED_VALUE"""),40861.6666666666)</f>
        <v>40861.666666666599</v>
      </c>
      <c r="B1732" s="1">
        <f ca="1">IFERROR(__xludf.DUMMYFUNCTION("""COMPUTED_VALUE"""),26.76)</f>
        <v>26.76</v>
      </c>
    </row>
    <row r="1733" spans="1:2">
      <c r="A1733" s="3">
        <f ca="1">IFERROR(__xludf.DUMMYFUNCTION("""COMPUTED_VALUE"""),40862.6666666666)</f>
        <v>40862.666666666599</v>
      </c>
      <c r="B1733" s="1">
        <f ca="1">IFERROR(__xludf.DUMMYFUNCTION("""COMPUTED_VALUE"""),26.74)</f>
        <v>26.74</v>
      </c>
    </row>
    <row r="1734" spans="1:2">
      <c r="A1734" s="3">
        <f ca="1">IFERROR(__xludf.DUMMYFUNCTION("""COMPUTED_VALUE"""),40863.6666666666)</f>
        <v>40863.666666666599</v>
      </c>
      <c r="B1734" s="1">
        <f ca="1">IFERROR(__xludf.DUMMYFUNCTION("""COMPUTED_VALUE"""),26.07)</f>
        <v>26.07</v>
      </c>
    </row>
    <row r="1735" spans="1:2">
      <c r="A1735" s="3">
        <f ca="1">IFERROR(__xludf.DUMMYFUNCTION("""COMPUTED_VALUE"""),40864.6666666666)</f>
        <v>40864.666666666599</v>
      </c>
      <c r="B1735" s="1">
        <f ca="1">IFERROR(__xludf.DUMMYFUNCTION("""COMPUTED_VALUE"""),25.54)</f>
        <v>25.54</v>
      </c>
    </row>
    <row r="1736" spans="1:2">
      <c r="A1736" s="3">
        <f ca="1">IFERROR(__xludf.DUMMYFUNCTION("""COMPUTED_VALUE"""),40865.6666666666)</f>
        <v>40865.666666666599</v>
      </c>
      <c r="B1736" s="1">
        <f ca="1">IFERROR(__xludf.DUMMYFUNCTION("""COMPUTED_VALUE"""),25.3)</f>
        <v>25.3</v>
      </c>
    </row>
    <row r="1737" spans="1:2">
      <c r="A1737" s="3">
        <f ca="1">IFERROR(__xludf.DUMMYFUNCTION("""COMPUTED_VALUE"""),40868.6666666666)</f>
        <v>40868.666666666599</v>
      </c>
      <c r="B1737" s="1">
        <f ca="1">IFERROR(__xludf.DUMMYFUNCTION("""COMPUTED_VALUE"""),25)</f>
        <v>25</v>
      </c>
    </row>
    <row r="1738" spans="1:2">
      <c r="A1738" s="3">
        <f ca="1">IFERROR(__xludf.DUMMYFUNCTION("""COMPUTED_VALUE"""),40869.6666666666)</f>
        <v>40869.666666666599</v>
      </c>
      <c r="B1738" s="1">
        <f ca="1">IFERROR(__xludf.DUMMYFUNCTION("""COMPUTED_VALUE"""),24.79)</f>
        <v>24.79</v>
      </c>
    </row>
    <row r="1739" spans="1:2">
      <c r="A1739" s="3">
        <f ca="1">IFERROR(__xludf.DUMMYFUNCTION("""COMPUTED_VALUE"""),40870.6666666666)</f>
        <v>40870.666666666599</v>
      </c>
      <c r="B1739" s="1">
        <f ca="1">IFERROR(__xludf.DUMMYFUNCTION("""COMPUTED_VALUE"""),24.47)</f>
        <v>24.47</v>
      </c>
    </row>
    <row r="1740" spans="1:2">
      <c r="A1740" s="3">
        <f ca="1">IFERROR(__xludf.DUMMYFUNCTION("""COMPUTED_VALUE"""),40872.6666666666)</f>
        <v>40872.666666666599</v>
      </c>
      <c r="B1740" s="1">
        <f ca="1">IFERROR(__xludf.DUMMYFUNCTION("""COMPUTED_VALUE"""),24.3)</f>
        <v>24.3</v>
      </c>
    </row>
    <row r="1741" spans="1:2">
      <c r="A1741" s="3">
        <f ca="1">IFERROR(__xludf.DUMMYFUNCTION("""COMPUTED_VALUE"""),40875.6666666666)</f>
        <v>40875.666666666599</v>
      </c>
      <c r="B1741" s="1">
        <f ca="1">IFERROR(__xludf.DUMMYFUNCTION("""COMPUTED_VALUE"""),24.87)</f>
        <v>24.87</v>
      </c>
    </row>
    <row r="1742" spans="1:2">
      <c r="A1742" s="3">
        <f ca="1">IFERROR(__xludf.DUMMYFUNCTION("""COMPUTED_VALUE"""),40876.6666666666)</f>
        <v>40876.666666666599</v>
      </c>
      <c r="B1742" s="1">
        <f ca="1">IFERROR(__xludf.DUMMYFUNCTION("""COMPUTED_VALUE"""),24.84)</f>
        <v>24.84</v>
      </c>
    </row>
    <row r="1743" spans="1:2">
      <c r="A1743" s="3">
        <f ca="1">IFERROR(__xludf.DUMMYFUNCTION("""COMPUTED_VALUE"""),40877.6666666666)</f>
        <v>40877.666666666599</v>
      </c>
      <c r="B1743" s="1">
        <f ca="1">IFERROR(__xludf.DUMMYFUNCTION("""COMPUTED_VALUE"""),25.58)</f>
        <v>25.58</v>
      </c>
    </row>
    <row r="1744" spans="1:2">
      <c r="A1744" s="3">
        <f ca="1">IFERROR(__xludf.DUMMYFUNCTION("""COMPUTED_VALUE"""),40878.6666666666)</f>
        <v>40878.666666666599</v>
      </c>
      <c r="B1744" s="1">
        <f ca="1">IFERROR(__xludf.DUMMYFUNCTION("""COMPUTED_VALUE"""),25.28)</f>
        <v>25.28</v>
      </c>
    </row>
    <row r="1745" spans="1:2">
      <c r="A1745" s="3">
        <f ca="1">IFERROR(__xludf.DUMMYFUNCTION("""COMPUTED_VALUE"""),40879.6666666666)</f>
        <v>40879.666666666599</v>
      </c>
      <c r="B1745" s="1">
        <f ca="1">IFERROR(__xludf.DUMMYFUNCTION("""COMPUTED_VALUE"""),25.22)</f>
        <v>25.22</v>
      </c>
    </row>
    <row r="1746" spans="1:2">
      <c r="A1746" s="3">
        <f ca="1">IFERROR(__xludf.DUMMYFUNCTION("""COMPUTED_VALUE"""),40882.6666666666)</f>
        <v>40882.666666666599</v>
      </c>
      <c r="B1746" s="1">
        <f ca="1">IFERROR(__xludf.DUMMYFUNCTION("""COMPUTED_VALUE"""),25.7)</f>
        <v>25.7</v>
      </c>
    </row>
    <row r="1747" spans="1:2">
      <c r="A1747" s="3">
        <f ca="1">IFERROR(__xludf.DUMMYFUNCTION("""COMPUTED_VALUE"""),40883.6666666666)</f>
        <v>40883.666666666599</v>
      </c>
      <c r="B1747" s="1">
        <f ca="1">IFERROR(__xludf.DUMMYFUNCTION("""COMPUTED_VALUE"""),25.66)</f>
        <v>25.66</v>
      </c>
    </row>
    <row r="1748" spans="1:2">
      <c r="A1748" s="3">
        <f ca="1">IFERROR(__xludf.DUMMYFUNCTION("""COMPUTED_VALUE"""),40884.6666666666)</f>
        <v>40884.666666666599</v>
      </c>
      <c r="B1748" s="1">
        <f ca="1">IFERROR(__xludf.DUMMYFUNCTION("""COMPUTED_VALUE"""),25.6)</f>
        <v>25.6</v>
      </c>
    </row>
    <row r="1749" spans="1:2">
      <c r="A1749" s="3">
        <f ca="1">IFERROR(__xludf.DUMMYFUNCTION("""COMPUTED_VALUE"""),40885.6666666666)</f>
        <v>40885.666666666599</v>
      </c>
      <c r="B1749" s="1">
        <f ca="1">IFERROR(__xludf.DUMMYFUNCTION("""COMPUTED_VALUE"""),25.4)</f>
        <v>25.4</v>
      </c>
    </row>
    <row r="1750" spans="1:2">
      <c r="A1750" s="3">
        <f ca="1">IFERROR(__xludf.DUMMYFUNCTION("""COMPUTED_VALUE"""),40886.6666666666)</f>
        <v>40886.666666666599</v>
      </c>
      <c r="B1750" s="1">
        <f ca="1">IFERROR(__xludf.DUMMYFUNCTION("""COMPUTED_VALUE"""),25.7)</f>
        <v>25.7</v>
      </c>
    </row>
    <row r="1751" spans="1:2">
      <c r="A1751" s="3">
        <f ca="1">IFERROR(__xludf.DUMMYFUNCTION("""COMPUTED_VALUE"""),40889.6666666666)</f>
        <v>40889.666666666599</v>
      </c>
      <c r="B1751" s="1">
        <f ca="1">IFERROR(__xludf.DUMMYFUNCTION("""COMPUTED_VALUE"""),25.51)</f>
        <v>25.51</v>
      </c>
    </row>
    <row r="1752" spans="1:2">
      <c r="A1752" s="3">
        <f ca="1">IFERROR(__xludf.DUMMYFUNCTION("""COMPUTED_VALUE"""),40890.6666666666)</f>
        <v>40890.666666666599</v>
      </c>
      <c r="B1752" s="1">
        <f ca="1">IFERROR(__xludf.DUMMYFUNCTION("""COMPUTED_VALUE"""),25.76)</f>
        <v>25.76</v>
      </c>
    </row>
    <row r="1753" spans="1:2">
      <c r="A1753" s="3">
        <f ca="1">IFERROR(__xludf.DUMMYFUNCTION("""COMPUTED_VALUE"""),40891.6666666666)</f>
        <v>40891.666666666599</v>
      </c>
      <c r="B1753" s="1">
        <f ca="1">IFERROR(__xludf.DUMMYFUNCTION("""COMPUTED_VALUE"""),25.59)</f>
        <v>25.59</v>
      </c>
    </row>
    <row r="1754" spans="1:2">
      <c r="A1754" s="3">
        <f ca="1">IFERROR(__xludf.DUMMYFUNCTION("""COMPUTED_VALUE"""),40892.6666666666)</f>
        <v>40892.666666666599</v>
      </c>
      <c r="B1754" s="1">
        <f ca="1">IFERROR(__xludf.DUMMYFUNCTION("""COMPUTED_VALUE"""),25.56)</f>
        <v>25.56</v>
      </c>
    </row>
    <row r="1755" spans="1:2">
      <c r="A1755" s="3">
        <f ca="1">IFERROR(__xludf.DUMMYFUNCTION("""COMPUTED_VALUE"""),40893.6666666666)</f>
        <v>40893.666666666599</v>
      </c>
      <c r="B1755" s="1">
        <f ca="1">IFERROR(__xludf.DUMMYFUNCTION("""COMPUTED_VALUE"""),26)</f>
        <v>26</v>
      </c>
    </row>
    <row r="1756" spans="1:2">
      <c r="A1756" s="3">
        <f ca="1">IFERROR(__xludf.DUMMYFUNCTION("""COMPUTED_VALUE"""),40896.6666666666)</f>
        <v>40896.666666666599</v>
      </c>
      <c r="B1756" s="1">
        <f ca="1">IFERROR(__xludf.DUMMYFUNCTION("""COMPUTED_VALUE"""),25.53)</f>
        <v>25.53</v>
      </c>
    </row>
    <row r="1757" spans="1:2">
      <c r="A1757" s="3">
        <f ca="1">IFERROR(__xludf.DUMMYFUNCTION("""COMPUTED_VALUE"""),40897.6666666666)</f>
        <v>40897.666666666599</v>
      </c>
      <c r="B1757" s="1">
        <f ca="1">IFERROR(__xludf.DUMMYFUNCTION("""COMPUTED_VALUE"""),26.03)</f>
        <v>26.03</v>
      </c>
    </row>
    <row r="1758" spans="1:2">
      <c r="A1758" s="3">
        <f ca="1">IFERROR(__xludf.DUMMYFUNCTION("""COMPUTED_VALUE"""),40898.6666666666)</f>
        <v>40898.666666666599</v>
      </c>
      <c r="B1758" s="1">
        <f ca="1">IFERROR(__xludf.DUMMYFUNCTION("""COMPUTED_VALUE"""),25.76)</f>
        <v>25.76</v>
      </c>
    </row>
    <row r="1759" spans="1:2">
      <c r="A1759" s="3">
        <f ca="1">IFERROR(__xludf.DUMMYFUNCTION("""COMPUTED_VALUE"""),40899.6666666666)</f>
        <v>40899.666666666599</v>
      </c>
      <c r="B1759" s="1">
        <f ca="1">IFERROR(__xludf.DUMMYFUNCTION("""COMPUTED_VALUE"""),25.81)</f>
        <v>25.81</v>
      </c>
    </row>
    <row r="1760" spans="1:2">
      <c r="A1760" s="3">
        <f ca="1">IFERROR(__xludf.DUMMYFUNCTION("""COMPUTED_VALUE"""),40900.6666666666)</f>
        <v>40900.666666666599</v>
      </c>
      <c r="B1760" s="1">
        <f ca="1">IFERROR(__xludf.DUMMYFUNCTION("""COMPUTED_VALUE"""),26.03)</f>
        <v>26.03</v>
      </c>
    </row>
    <row r="1761" spans="1:2">
      <c r="A1761" s="3">
        <f ca="1">IFERROR(__xludf.DUMMYFUNCTION("""COMPUTED_VALUE"""),40904.6666666666)</f>
        <v>40904.666666666599</v>
      </c>
      <c r="B1761" s="1">
        <f ca="1">IFERROR(__xludf.DUMMYFUNCTION("""COMPUTED_VALUE"""),26.04)</f>
        <v>26.04</v>
      </c>
    </row>
    <row r="1762" spans="1:2">
      <c r="A1762" s="3">
        <f ca="1">IFERROR(__xludf.DUMMYFUNCTION("""COMPUTED_VALUE"""),40905.6666666666)</f>
        <v>40905.666666666599</v>
      </c>
      <c r="B1762" s="1">
        <f ca="1">IFERROR(__xludf.DUMMYFUNCTION("""COMPUTED_VALUE"""),25.82)</f>
        <v>25.82</v>
      </c>
    </row>
    <row r="1763" spans="1:2">
      <c r="A1763" s="3">
        <f ca="1">IFERROR(__xludf.DUMMYFUNCTION("""COMPUTED_VALUE"""),40906.6666666666)</f>
        <v>40906.666666666599</v>
      </c>
      <c r="B1763" s="1">
        <f ca="1">IFERROR(__xludf.DUMMYFUNCTION("""COMPUTED_VALUE"""),26.02)</f>
        <v>26.02</v>
      </c>
    </row>
    <row r="1764" spans="1:2">
      <c r="A1764" s="3">
        <f ca="1">IFERROR(__xludf.DUMMYFUNCTION("""COMPUTED_VALUE"""),40907.6666666666)</f>
        <v>40907.666666666599</v>
      </c>
      <c r="B1764" s="1">
        <f ca="1">IFERROR(__xludf.DUMMYFUNCTION("""COMPUTED_VALUE"""),25.96)</f>
        <v>25.96</v>
      </c>
    </row>
    <row r="1765" spans="1:2">
      <c r="A1765" s="3">
        <f ca="1">IFERROR(__xludf.DUMMYFUNCTION("""COMPUTED_VALUE"""),40911.6666666666)</f>
        <v>40911.666666666599</v>
      </c>
      <c r="B1765" s="1">
        <f ca="1">IFERROR(__xludf.DUMMYFUNCTION("""COMPUTED_VALUE"""),26.77)</f>
        <v>26.77</v>
      </c>
    </row>
    <row r="1766" spans="1:2">
      <c r="A1766" s="3">
        <f ca="1">IFERROR(__xludf.DUMMYFUNCTION("""COMPUTED_VALUE"""),40912.6666666666)</f>
        <v>40912.666666666599</v>
      </c>
      <c r="B1766" s="1">
        <f ca="1">IFERROR(__xludf.DUMMYFUNCTION("""COMPUTED_VALUE"""),27.4)</f>
        <v>27.4</v>
      </c>
    </row>
    <row r="1767" spans="1:2">
      <c r="A1767" s="3">
        <f ca="1">IFERROR(__xludf.DUMMYFUNCTION("""COMPUTED_VALUE"""),40913.6666666666)</f>
        <v>40913.666666666599</v>
      </c>
      <c r="B1767" s="1">
        <f ca="1">IFERROR(__xludf.DUMMYFUNCTION("""COMPUTED_VALUE"""),27.68)</f>
        <v>27.68</v>
      </c>
    </row>
    <row r="1768" spans="1:2">
      <c r="A1768" s="3">
        <f ca="1">IFERROR(__xludf.DUMMYFUNCTION("""COMPUTED_VALUE"""),40914.6666666666)</f>
        <v>40914.666666666599</v>
      </c>
      <c r="B1768" s="1">
        <f ca="1">IFERROR(__xludf.DUMMYFUNCTION("""COMPUTED_VALUE"""),28.11)</f>
        <v>28.11</v>
      </c>
    </row>
    <row r="1769" spans="1:2">
      <c r="A1769" s="3">
        <f ca="1">IFERROR(__xludf.DUMMYFUNCTION("""COMPUTED_VALUE"""),40917.6666666666)</f>
        <v>40917.666666666599</v>
      </c>
      <c r="B1769" s="1">
        <f ca="1">IFERROR(__xludf.DUMMYFUNCTION("""COMPUTED_VALUE"""),27.74)</f>
        <v>27.74</v>
      </c>
    </row>
    <row r="1770" spans="1:2">
      <c r="A1770" s="3">
        <f ca="1">IFERROR(__xludf.DUMMYFUNCTION("""COMPUTED_VALUE"""),40918.6666666666)</f>
        <v>40918.666666666599</v>
      </c>
      <c r="B1770" s="1">
        <f ca="1">IFERROR(__xludf.DUMMYFUNCTION("""COMPUTED_VALUE"""),27.84)</f>
        <v>27.84</v>
      </c>
    </row>
    <row r="1771" spans="1:2">
      <c r="A1771" s="3">
        <f ca="1">IFERROR(__xludf.DUMMYFUNCTION("""COMPUTED_VALUE"""),40919.6666666666)</f>
        <v>40919.666666666599</v>
      </c>
      <c r="B1771" s="1">
        <f ca="1">IFERROR(__xludf.DUMMYFUNCTION("""COMPUTED_VALUE"""),27.72)</f>
        <v>27.72</v>
      </c>
    </row>
    <row r="1772" spans="1:2">
      <c r="A1772" s="3">
        <f ca="1">IFERROR(__xludf.DUMMYFUNCTION("""COMPUTED_VALUE"""),40920.6666666666)</f>
        <v>40920.666666666599</v>
      </c>
      <c r="B1772" s="1">
        <f ca="1">IFERROR(__xludf.DUMMYFUNCTION("""COMPUTED_VALUE"""),28)</f>
        <v>28</v>
      </c>
    </row>
    <row r="1773" spans="1:2">
      <c r="A1773" s="3">
        <f ca="1">IFERROR(__xludf.DUMMYFUNCTION("""COMPUTED_VALUE"""),40921.6666666666)</f>
        <v>40921.666666666599</v>
      </c>
      <c r="B1773" s="1">
        <f ca="1">IFERROR(__xludf.DUMMYFUNCTION("""COMPUTED_VALUE"""),28.25)</f>
        <v>28.25</v>
      </c>
    </row>
    <row r="1774" spans="1:2">
      <c r="A1774" s="3">
        <f ca="1">IFERROR(__xludf.DUMMYFUNCTION("""COMPUTED_VALUE"""),40925.6666666666)</f>
        <v>40925.666666666599</v>
      </c>
      <c r="B1774" s="1">
        <f ca="1">IFERROR(__xludf.DUMMYFUNCTION("""COMPUTED_VALUE"""),28.26)</f>
        <v>28.26</v>
      </c>
    </row>
    <row r="1775" spans="1:2">
      <c r="A1775" s="3">
        <f ca="1">IFERROR(__xludf.DUMMYFUNCTION("""COMPUTED_VALUE"""),40926.6666666666)</f>
        <v>40926.666666666599</v>
      </c>
      <c r="B1775" s="1">
        <f ca="1">IFERROR(__xludf.DUMMYFUNCTION("""COMPUTED_VALUE"""),28.23)</f>
        <v>28.23</v>
      </c>
    </row>
    <row r="1776" spans="1:2">
      <c r="A1776" s="3">
        <f ca="1">IFERROR(__xludf.DUMMYFUNCTION("""COMPUTED_VALUE"""),40927.6666666666)</f>
        <v>40927.666666666599</v>
      </c>
      <c r="B1776" s="1">
        <f ca="1">IFERROR(__xludf.DUMMYFUNCTION("""COMPUTED_VALUE"""),28.12)</f>
        <v>28.12</v>
      </c>
    </row>
    <row r="1777" spans="1:2">
      <c r="A1777" s="3">
        <f ca="1">IFERROR(__xludf.DUMMYFUNCTION("""COMPUTED_VALUE"""),40928.6666666666)</f>
        <v>40928.666666666599</v>
      </c>
      <c r="B1777" s="1">
        <f ca="1">IFERROR(__xludf.DUMMYFUNCTION("""COMPUTED_VALUE"""),29.71)</f>
        <v>29.71</v>
      </c>
    </row>
    <row r="1778" spans="1:2">
      <c r="A1778" s="3">
        <f ca="1">IFERROR(__xludf.DUMMYFUNCTION("""COMPUTED_VALUE"""),40931.6666666666)</f>
        <v>40931.666666666599</v>
      </c>
      <c r="B1778" s="1">
        <f ca="1">IFERROR(__xludf.DUMMYFUNCTION("""COMPUTED_VALUE"""),29.73)</f>
        <v>29.73</v>
      </c>
    </row>
    <row r="1779" spans="1:2">
      <c r="A1779" s="3">
        <f ca="1">IFERROR(__xludf.DUMMYFUNCTION("""COMPUTED_VALUE"""),40932.6666666666)</f>
        <v>40932.666666666599</v>
      </c>
      <c r="B1779" s="1">
        <f ca="1">IFERROR(__xludf.DUMMYFUNCTION("""COMPUTED_VALUE"""),29.34)</f>
        <v>29.34</v>
      </c>
    </row>
    <row r="1780" spans="1:2">
      <c r="A1780" s="3">
        <f ca="1">IFERROR(__xludf.DUMMYFUNCTION("""COMPUTED_VALUE"""),40933.6666666666)</f>
        <v>40933.666666666599</v>
      </c>
      <c r="B1780" s="1">
        <f ca="1">IFERROR(__xludf.DUMMYFUNCTION("""COMPUTED_VALUE"""),29.56)</f>
        <v>29.56</v>
      </c>
    </row>
    <row r="1781" spans="1:2">
      <c r="A1781" s="3">
        <f ca="1">IFERROR(__xludf.DUMMYFUNCTION("""COMPUTED_VALUE"""),40934.6666666666)</f>
        <v>40934.666666666599</v>
      </c>
      <c r="B1781" s="1">
        <f ca="1">IFERROR(__xludf.DUMMYFUNCTION("""COMPUTED_VALUE"""),29.5)</f>
        <v>29.5</v>
      </c>
    </row>
    <row r="1782" spans="1:2">
      <c r="A1782" s="3">
        <f ca="1">IFERROR(__xludf.DUMMYFUNCTION("""COMPUTED_VALUE"""),40935.6666666666)</f>
        <v>40935.666666666599</v>
      </c>
      <c r="B1782" s="1">
        <f ca="1">IFERROR(__xludf.DUMMYFUNCTION("""COMPUTED_VALUE"""),29.23)</f>
        <v>29.23</v>
      </c>
    </row>
    <row r="1783" spans="1:2">
      <c r="A1783" s="3">
        <f ca="1">IFERROR(__xludf.DUMMYFUNCTION("""COMPUTED_VALUE"""),40938.6666666666)</f>
        <v>40938.666666666599</v>
      </c>
      <c r="B1783" s="1">
        <f ca="1">IFERROR(__xludf.DUMMYFUNCTION("""COMPUTED_VALUE"""),29.61)</f>
        <v>29.61</v>
      </c>
    </row>
    <row r="1784" spans="1:2">
      <c r="A1784" s="3">
        <f ca="1">IFERROR(__xludf.DUMMYFUNCTION("""COMPUTED_VALUE"""),40939.6666666666)</f>
        <v>40939.666666666599</v>
      </c>
      <c r="B1784" s="1">
        <f ca="1">IFERROR(__xludf.DUMMYFUNCTION("""COMPUTED_VALUE"""),29.53)</f>
        <v>29.53</v>
      </c>
    </row>
    <row r="1785" spans="1:2">
      <c r="A1785" s="3">
        <f ca="1">IFERROR(__xludf.DUMMYFUNCTION("""COMPUTED_VALUE"""),40940.6666666666)</f>
        <v>40940.666666666599</v>
      </c>
      <c r="B1785" s="1">
        <f ca="1">IFERROR(__xludf.DUMMYFUNCTION("""COMPUTED_VALUE"""),29.89)</f>
        <v>29.89</v>
      </c>
    </row>
    <row r="1786" spans="1:2">
      <c r="A1786" s="3">
        <f ca="1">IFERROR(__xludf.DUMMYFUNCTION("""COMPUTED_VALUE"""),40941.6666666666)</f>
        <v>40941.666666666599</v>
      </c>
      <c r="B1786" s="1">
        <f ca="1">IFERROR(__xludf.DUMMYFUNCTION("""COMPUTED_VALUE"""),29.95)</f>
        <v>29.95</v>
      </c>
    </row>
    <row r="1787" spans="1:2">
      <c r="A1787" s="3">
        <f ca="1">IFERROR(__xludf.DUMMYFUNCTION("""COMPUTED_VALUE"""),40942.6666666666)</f>
        <v>40942.666666666599</v>
      </c>
      <c r="B1787" s="1">
        <f ca="1">IFERROR(__xludf.DUMMYFUNCTION("""COMPUTED_VALUE"""),30.24)</f>
        <v>30.24</v>
      </c>
    </row>
    <row r="1788" spans="1:2">
      <c r="A1788" s="3">
        <f ca="1">IFERROR(__xludf.DUMMYFUNCTION("""COMPUTED_VALUE"""),40945.6666666666)</f>
        <v>40945.666666666599</v>
      </c>
      <c r="B1788" s="1">
        <f ca="1">IFERROR(__xludf.DUMMYFUNCTION("""COMPUTED_VALUE"""),30.2)</f>
        <v>30.2</v>
      </c>
    </row>
    <row r="1789" spans="1:2">
      <c r="A1789" s="3">
        <f ca="1">IFERROR(__xludf.DUMMYFUNCTION("""COMPUTED_VALUE"""),40946.6666666666)</f>
        <v>40946.666666666599</v>
      </c>
      <c r="B1789" s="1">
        <f ca="1">IFERROR(__xludf.DUMMYFUNCTION("""COMPUTED_VALUE"""),30.35)</f>
        <v>30.35</v>
      </c>
    </row>
    <row r="1790" spans="1:2">
      <c r="A1790" s="3">
        <f ca="1">IFERROR(__xludf.DUMMYFUNCTION("""COMPUTED_VALUE"""),40947.6666666666)</f>
        <v>40947.666666666599</v>
      </c>
      <c r="B1790" s="1">
        <f ca="1">IFERROR(__xludf.DUMMYFUNCTION("""COMPUTED_VALUE"""),30.66)</f>
        <v>30.66</v>
      </c>
    </row>
    <row r="1791" spans="1:2">
      <c r="A1791" s="3">
        <f ca="1">IFERROR(__xludf.DUMMYFUNCTION("""COMPUTED_VALUE"""),40948.6666666666)</f>
        <v>40948.666666666599</v>
      </c>
      <c r="B1791" s="1">
        <f ca="1">IFERROR(__xludf.DUMMYFUNCTION("""COMPUTED_VALUE"""),30.77)</f>
        <v>30.77</v>
      </c>
    </row>
    <row r="1792" spans="1:2">
      <c r="A1792" s="3">
        <f ca="1">IFERROR(__xludf.DUMMYFUNCTION("""COMPUTED_VALUE"""),40949.6666666666)</f>
        <v>40949.666666666599</v>
      </c>
      <c r="B1792" s="1">
        <f ca="1">IFERROR(__xludf.DUMMYFUNCTION("""COMPUTED_VALUE"""),30.5)</f>
        <v>30.5</v>
      </c>
    </row>
    <row r="1793" spans="1:2">
      <c r="A1793" s="3">
        <f ca="1">IFERROR(__xludf.DUMMYFUNCTION("""COMPUTED_VALUE"""),40952.6666666666)</f>
        <v>40952.666666666599</v>
      </c>
      <c r="B1793" s="1">
        <f ca="1">IFERROR(__xludf.DUMMYFUNCTION("""COMPUTED_VALUE"""),30.58)</f>
        <v>30.58</v>
      </c>
    </row>
    <row r="1794" spans="1:2">
      <c r="A1794" s="3">
        <f ca="1">IFERROR(__xludf.DUMMYFUNCTION("""COMPUTED_VALUE"""),40953.6666666666)</f>
        <v>40953.666666666599</v>
      </c>
      <c r="B1794" s="1">
        <f ca="1">IFERROR(__xludf.DUMMYFUNCTION("""COMPUTED_VALUE"""),30.25)</f>
        <v>30.25</v>
      </c>
    </row>
    <row r="1795" spans="1:2">
      <c r="A1795" s="3">
        <f ca="1">IFERROR(__xludf.DUMMYFUNCTION("""COMPUTED_VALUE"""),40954.6666666666)</f>
        <v>40954.666666666599</v>
      </c>
      <c r="B1795" s="1">
        <f ca="1">IFERROR(__xludf.DUMMYFUNCTION("""COMPUTED_VALUE"""),30.05)</f>
        <v>30.05</v>
      </c>
    </row>
    <row r="1796" spans="1:2">
      <c r="A1796" s="3">
        <f ca="1">IFERROR(__xludf.DUMMYFUNCTION("""COMPUTED_VALUE"""),40955.6666666666)</f>
        <v>40955.666666666599</v>
      </c>
      <c r="B1796" s="1">
        <f ca="1">IFERROR(__xludf.DUMMYFUNCTION("""COMPUTED_VALUE"""),31.29)</f>
        <v>31.29</v>
      </c>
    </row>
    <row r="1797" spans="1:2">
      <c r="A1797" s="3">
        <f ca="1">IFERROR(__xludf.DUMMYFUNCTION("""COMPUTED_VALUE"""),40956.6666666666)</f>
        <v>40956.666666666599</v>
      </c>
      <c r="B1797" s="1">
        <f ca="1">IFERROR(__xludf.DUMMYFUNCTION("""COMPUTED_VALUE"""),31.25)</f>
        <v>31.25</v>
      </c>
    </row>
    <row r="1798" spans="1:2">
      <c r="A1798" s="3">
        <f ca="1">IFERROR(__xludf.DUMMYFUNCTION("""COMPUTED_VALUE"""),40960.6666666666)</f>
        <v>40960.666666666599</v>
      </c>
      <c r="B1798" s="1">
        <f ca="1">IFERROR(__xludf.DUMMYFUNCTION("""COMPUTED_VALUE"""),31.44)</f>
        <v>31.44</v>
      </c>
    </row>
    <row r="1799" spans="1:2">
      <c r="A1799" s="3">
        <f ca="1">IFERROR(__xludf.DUMMYFUNCTION("""COMPUTED_VALUE"""),40961.6666666666)</f>
        <v>40961.666666666599</v>
      </c>
      <c r="B1799" s="1">
        <f ca="1">IFERROR(__xludf.DUMMYFUNCTION("""COMPUTED_VALUE"""),31.27)</f>
        <v>31.27</v>
      </c>
    </row>
    <row r="1800" spans="1:2">
      <c r="A1800" s="3">
        <f ca="1">IFERROR(__xludf.DUMMYFUNCTION("""COMPUTED_VALUE"""),40962.6666666666)</f>
        <v>40962.666666666599</v>
      </c>
      <c r="B1800" s="1">
        <f ca="1">IFERROR(__xludf.DUMMYFUNCTION("""COMPUTED_VALUE"""),31.37)</f>
        <v>31.37</v>
      </c>
    </row>
    <row r="1801" spans="1:2">
      <c r="A1801" s="3">
        <f ca="1">IFERROR(__xludf.DUMMYFUNCTION("""COMPUTED_VALUE"""),40963.6666666666)</f>
        <v>40963.666666666599</v>
      </c>
      <c r="B1801" s="1">
        <f ca="1">IFERROR(__xludf.DUMMYFUNCTION("""COMPUTED_VALUE"""),31.48)</f>
        <v>31.48</v>
      </c>
    </row>
    <row r="1802" spans="1:2">
      <c r="A1802" s="3">
        <f ca="1">IFERROR(__xludf.DUMMYFUNCTION("""COMPUTED_VALUE"""),40966.6666666666)</f>
        <v>40966.666666666599</v>
      </c>
      <c r="B1802" s="1">
        <f ca="1">IFERROR(__xludf.DUMMYFUNCTION("""COMPUTED_VALUE"""),31.35)</f>
        <v>31.35</v>
      </c>
    </row>
    <row r="1803" spans="1:2">
      <c r="A1803" s="3">
        <f ca="1">IFERROR(__xludf.DUMMYFUNCTION("""COMPUTED_VALUE"""),40967.6666666666)</f>
        <v>40967.666666666599</v>
      </c>
      <c r="B1803" s="1">
        <f ca="1">IFERROR(__xludf.DUMMYFUNCTION("""COMPUTED_VALUE"""),31.87)</f>
        <v>31.87</v>
      </c>
    </row>
    <row r="1804" spans="1:2">
      <c r="A1804" s="3">
        <f ca="1">IFERROR(__xludf.DUMMYFUNCTION("""COMPUTED_VALUE"""),40968.6666666666)</f>
        <v>40968.666666666599</v>
      </c>
      <c r="B1804" s="1">
        <f ca="1">IFERROR(__xludf.DUMMYFUNCTION("""COMPUTED_VALUE"""),31.74)</f>
        <v>31.74</v>
      </c>
    </row>
    <row r="1805" spans="1:2">
      <c r="A1805" s="3">
        <f ca="1">IFERROR(__xludf.DUMMYFUNCTION("""COMPUTED_VALUE"""),40969.6666666666)</f>
        <v>40969.666666666599</v>
      </c>
      <c r="B1805" s="1">
        <f ca="1">IFERROR(__xludf.DUMMYFUNCTION("""COMPUTED_VALUE"""),32.29)</f>
        <v>32.29</v>
      </c>
    </row>
    <row r="1806" spans="1:2">
      <c r="A1806" s="3">
        <f ca="1">IFERROR(__xludf.DUMMYFUNCTION("""COMPUTED_VALUE"""),40970.6666666666)</f>
        <v>40970.666666666599</v>
      </c>
      <c r="B1806" s="1">
        <f ca="1">IFERROR(__xludf.DUMMYFUNCTION("""COMPUTED_VALUE"""),32.08)</f>
        <v>32.08</v>
      </c>
    </row>
    <row r="1807" spans="1:2">
      <c r="A1807" s="3">
        <f ca="1">IFERROR(__xludf.DUMMYFUNCTION("""COMPUTED_VALUE"""),40973.6666666666)</f>
        <v>40973.666666666599</v>
      </c>
      <c r="B1807" s="1">
        <f ca="1">IFERROR(__xludf.DUMMYFUNCTION("""COMPUTED_VALUE"""),31.8)</f>
        <v>31.8</v>
      </c>
    </row>
    <row r="1808" spans="1:2">
      <c r="A1808" s="3">
        <f ca="1">IFERROR(__xludf.DUMMYFUNCTION("""COMPUTED_VALUE"""),40974.6666666666)</f>
        <v>40974.666666666599</v>
      </c>
      <c r="B1808" s="1">
        <f ca="1">IFERROR(__xludf.DUMMYFUNCTION("""COMPUTED_VALUE"""),31.56)</f>
        <v>31.56</v>
      </c>
    </row>
    <row r="1809" spans="1:2">
      <c r="A1809" s="3">
        <f ca="1">IFERROR(__xludf.DUMMYFUNCTION("""COMPUTED_VALUE"""),40975.6666666666)</f>
        <v>40975.666666666599</v>
      </c>
      <c r="B1809" s="1">
        <f ca="1">IFERROR(__xludf.DUMMYFUNCTION("""COMPUTED_VALUE"""),31.84)</f>
        <v>31.84</v>
      </c>
    </row>
    <row r="1810" spans="1:2">
      <c r="A1810" s="3">
        <f ca="1">IFERROR(__xludf.DUMMYFUNCTION("""COMPUTED_VALUE"""),40976.6666666666)</f>
        <v>40976.666666666599</v>
      </c>
      <c r="B1810" s="1">
        <f ca="1">IFERROR(__xludf.DUMMYFUNCTION("""COMPUTED_VALUE"""),32.01)</f>
        <v>32.01</v>
      </c>
    </row>
    <row r="1811" spans="1:2">
      <c r="A1811" s="3">
        <f ca="1">IFERROR(__xludf.DUMMYFUNCTION("""COMPUTED_VALUE"""),40977.6666666666)</f>
        <v>40977.666666666599</v>
      </c>
      <c r="B1811" s="1">
        <f ca="1">IFERROR(__xludf.DUMMYFUNCTION("""COMPUTED_VALUE"""),31.99)</f>
        <v>31.99</v>
      </c>
    </row>
    <row r="1812" spans="1:2">
      <c r="A1812" s="3">
        <f ca="1">IFERROR(__xludf.DUMMYFUNCTION("""COMPUTED_VALUE"""),40980.6666666666)</f>
        <v>40980.666666666599</v>
      </c>
      <c r="B1812" s="1">
        <f ca="1">IFERROR(__xludf.DUMMYFUNCTION("""COMPUTED_VALUE"""),32.04)</f>
        <v>32.04</v>
      </c>
    </row>
    <row r="1813" spans="1:2">
      <c r="A1813" s="3">
        <f ca="1">IFERROR(__xludf.DUMMYFUNCTION("""COMPUTED_VALUE"""),40981.6666666666)</f>
        <v>40981.666666666599</v>
      </c>
      <c r="B1813" s="1">
        <f ca="1">IFERROR(__xludf.DUMMYFUNCTION("""COMPUTED_VALUE"""),32.67)</f>
        <v>32.67</v>
      </c>
    </row>
    <row r="1814" spans="1:2">
      <c r="A1814" s="3">
        <f ca="1">IFERROR(__xludf.DUMMYFUNCTION("""COMPUTED_VALUE"""),40982.6666666666)</f>
        <v>40982.666666666599</v>
      </c>
      <c r="B1814" s="1">
        <f ca="1">IFERROR(__xludf.DUMMYFUNCTION("""COMPUTED_VALUE"""),32.77)</f>
        <v>32.770000000000003</v>
      </c>
    </row>
    <row r="1815" spans="1:2">
      <c r="A1815" s="3">
        <f ca="1">IFERROR(__xludf.DUMMYFUNCTION("""COMPUTED_VALUE"""),40983.6666666666)</f>
        <v>40983.666666666599</v>
      </c>
      <c r="B1815" s="1">
        <f ca="1">IFERROR(__xludf.DUMMYFUNCTION("""COMPUTED_VALUE"""),32.85)</f>
        <v>32.85</v>
      </c>
    </row>
    <row r="1816" spans="1:2">
      <c r="A1816" s="3">
        <f ca="1">IFERROR(__xludf.DUMMYFUNCTION("""COMPUTED_VALUE"""),40984.6666666666)</f>
        <v>40984.666666666599</v>
      </c>
      <c r="B1816" s="1">
        <f ca="1">IFERROR(__xludf.DUMMYFUNCTION("""COMPUTED_VALUE"""),32.6)</f>
        <v>32.6</v>
      </c>
    </row>
    <row r="1817" spans="1:2">
      <c r="A1817" s="3">
        <f ca="1">IFERROR(__xludf.DUMMYFUNCTION("""COMPUTED_VALUE"""),40987.6666666666)</f>
        <v>40987.666666666599</v>
      </c>
      <c r="B1817" s="1">
        <f ca="1">IFERROR(__xludf.DUMMYFUNCTION("""COMPUTED_VALUE"""),32.2)</f>
        <v>32.200000000000003</v>
      </c>
    </row>
    <row r="1818" spans="1:2">
      <c r="A1818" s="3">
        <f ca="1">IFERROR(__xludf.DUMMYFUNCTION("""COMPUTED_VALUE"""),40988.6666666666)</f>
        <v>40988.666666666599</v>
      </c>
      <c r="B1818" s="1">
        <f ca="1">IFERROR(__xludf.DUMMYFUNCTION("""COMPUTED_VALUE"""),31.99)</f>
        <v>31.99</v>
      </c>
    </row>
    <row r="1819" spans="1:2">
      <c r="A1819" s="3">
        <f ca="1">IFERROR(__xludf.DUMMYFUNCTION("""COMPUTED_VALUE"""),40989.6666666666)</f>
        <v>40989.666666666599</v>
      </c>
      <c r="B1819" s="1">
        <f ca="1">IFERROR(__xludf.DUMMYFUNCTION("""COMPUTED_VALUE"""),31.91)</f>
        <v>31.91</v>
      </c>
    </row>
    <row r="1820" spans="1:2">
      <c r="A1820" s="3">
        <f ca="1">IFERROR(__xludf.DUMMYFUNCTION("""COMPUTED_VALUE"""),40990.6666666666)</f>
        <v>40990.666666666599</v>
      </c>
      <c r="B1820" s="1">
        <f ca="1">IFERROR(__xludf.DUMMYFUNCTION("""COMPUTED_VALUE"""),32)</f>
        <v>32</v>
      </c>
    </row>
    <row r="1821" spans="1:2">
      <c r="A1821" s="3">
        <f ca="1">IFERROR(__xludf.DUMMYFUNCTION("""COMPUTED_VALUE"""),40991.6666666666)</f>
        <v>40991.666666666599</v>
      </c>
      <c r="B1821" s="1">
        <f ca="1">IFERROR(__xludf.DUMMYFUNCTION("""COMPUTED_VALUE"""),32.01)</f>
        <v>32.01</v>
      </c>
    </row>
    <row r="1822" spans="1:2">
      <c r="A1822" s="3">
        <f ca="1">IFERROR(__xludf.DUMMYFUNCTION("""COMPUTED_VALUE"""),40994.6666666666)</f>
        <v>40994.666666666599</v>
      </c>
      <c r="B1822" s="1">
        <f ca="1">IFERROR(__xludf.DUMMYFUNCTION("""COMPUTED_VALUE"""),32.59)</f>
        <v>32.590000000000003</v>
      </c>
    </row>
    <row r="1823" spans="1:2">
      <c r="A1823" s="3">
        <f ca="1">IFERROR(__xludf.DUMMYFUNCTION("""COMPUTED_VALUE"""),40995.6666666666)</f>
        <v>40995.666666666599</v>
      </c>
      <c r="B1823" s="1">
        <f ca="1">IFERROR(__xludf.DUMMYFUNCTION("""COMPUTED_VALUE"""),32.52)</f>
        <v>32.520000000000003</v>
      </c>
    </row>
    <row r="1824" spans="1:2">
      <c r="A1824" s="3">
        <f ca="1">IFERROR(__xludf.DUMMYFUNCTION("""COMPUTED_VALUE"""),40996.6666666666)</f>
        <v>40996.666666666599</v>
      </c>
      <c r="B1824" s="1">
        <f ca="1">IFERROR(__xludf.DUMMYFUNCTION("""COMPUTED_VALUE"""),32.19)</f>
        <v>32.19</v>
      </c>
    </row>
    <row r="1825" spans="1:2">
      <c r="A1825" s="3">
        <f ca="1">IFERROR(__xludf.DUMMYFUNCTION("""COMPUTED_VALUE"""),40997.6666666666)</f>
        <v>40997.666666666599</v>
      </c>
      <c r="B1825" s="1">
        <f ca="1">IFERROR(__xludf.DUMMYFUNCTION("""COMPUTED_VALUE"""),32.12)</f>
        <v>32.119999999999997</v>
      </c>
    </row>
    <row r="1826" spans="1:2">
      <c r="A1826" s="3">
        <f ca="1">IFERROR(__xludf.DUMMYFUNCTION("""COMPUTED_VALUE"""),40998.6666666666)</f>
        <v>40998.666666666599</v>
      </c>
      <c r="B1826" s="1">
        <f ca="1">IFERROR(__xludf.DUMMYFUNCTION("""COMPUTED_VALUE"""),32.26)</f>
        <v>32.26</v>
      </c>
    </row>
    <row r="1827" spans="1:2">
      <c r="A1827" s="3">
        <f ca="1">IFERROR(__xludf.DUMMYFUNCTION("""COMPUTED_VALUE"""),41001.6666666666)</f>
        <v>41001.666666666599</v>
      </c>
      <c r="B1827" s="1">
        <f ca="1">IFERROR(__xludf.DUMMYFUNCTION("""COMPUTED_VALUE"""),32.29)</f>
        <v>32.29</v>
      </c>
    </row>
    <row r="1828" spans="1:2">
      <c r="A1828" s="3">
        <f ca="1">IFERROR(__xludf.DUMMYFUNCTION("""COMPUTED_VALUE"""),41002.6666666666)</f>
        <v>41002.666666666599</v>
      </c>
      <c r="B1828" s="1">
        <f ca="1">IFERROR(__xludf.DUMMYFUNCTION("""COMPUTED_VALUE"""),31.94)</f>
        <v>31.94</v>
      </c>
    </row>
    <row r="1829" spans="1:2">
      <c r="A1829" s="3">
        <f ca="1">IFERROR(__xludf.DUMMYFUNCTION("""COMPUTED_VALUE"""),41003.6666666666)</f>
        <v>41003.666666666599</v>
      </c>
      <c r="B1829" s="1">
        <f ca="1">IFERROR(__xludf.DUMMYFUNCTION("""COMPUTED_VALUE"""),31.21)</f>
        <v>31.21</v>
      </c>
    </row>
    <row r="1830" spans="1:2">
      <c r="A1830" s="3">
        <f ca="1">IFERROR(__xludf.DUMMYFUNCTION("""COMPUTED_VALUE"""),41004.6666666666)</f>
        <v>41004.666666666599</v>
      </c>
      <c r="B1830" s="1">
        <f ca="1">IFERROR(__xludf.DUMMYFUNCTION("""COMPUTED_VALUE"""),31.52)</f>
        <v>31.52</v>
      </c>
    </row>
    <row r="1831" spans="1:2">
      <c r="A1831" s="3">
        <f ca="1">IFERROR(__xludf.DUMMYFUNCTION("""COMPUTED_VALUE"""),41008.6666666666)</f>
        <v>41008.666666666599</v>
      </c>
      <c r="B1831" s="1">
        <f ca="1">IFERROR(__xludf.DUMMYFUNCTION("""COMPUTED_VALUE"""),31.1)</f>
        <v>31.1</v>
      </c>
    </row>
    <row r="1832" spans="1:2">
      <c r="A1832" s="3">
        <f ca="1">IFERROR(__xludf.DUMMYFUNCTION("""COMPUTED_VALUE"""),41009.6666666666)</f>
        <v>41009.666666666599</v>
      </c>
      <c r="B1832" s="1">
        <f ca="1">IFERROR(__xludf.DUMMYFUNCTION("""COMPUTED_VALUE"""),30.47)</f>
        <v>30.47</v>
      </c>
    </row>
    <row r="1833" spans="1:2">
      <c r="A1833" s="3">
        <f ca="1">IFERROR(__xludf.DUMMYFUNCTION("""COMPUTED_VALUE"""),41010.6666666666)</f>
        <v>41010.666666666599</v>
      </c>
      <c r="B1833" s="1">
        <f ca="1">IFERROR(__xludf.DUMMYFUNCTION("""COMPUTED_VALUE"""),30.35)</f>
        <v>30.35</v>
      </c>
    </row>
    <row r="1834" spans="1:2">
      <c r="A1834" s="3">
        <f ca="1">IFERROR(__xludf.DUMMYFUNCTION("""COMPUTED_VALUE"""),41011.6666666666)</f>
        <v>41011.666666666599</v>
      </c>
      <c r="B1834" s="1">
        <f ca="1">IFERROR(__xludf.DUMMYFUNCTION("""COMPUTED_VALUE"""),30.98)</f>
        <v>30.98</v>
      </c>
    </row>
    <row r="1835" spans="1:2">
      <c r="A1835" s="3">
        <f ca="1">IFERROR(__xludf.DUMMYFUNCTION("""COMPUTED_VALUE"""),41012.6666666666)</f>
        <v>41012.666666666599</v>
      </c>
      <c r="B1835" s="1">
        <f ca="1">IFERROR(__xludf.DUMMYFUNCTION("""COMPUTED_VALUE"""),30.81)</f>
        <v>30.81</v>
      </c>
    </row>
    <row r="1836" spans="1:2">
      <c r="A1836" s="3">
        <f ca="1">IFERROR(__xludf.DUMMYFUNCTION("""COMPUTED_VALUE"""),41015.6666666666)</f>
        <v>41015.666666666599</v>
      </c>
      <c r="B1836" s="1">
        <f ca="1">IFERROR(__xludf.DUMMYFUNCTION("""COMPUTED_VALUE"""),31.08)</f>
        <v>31.08</v>
      </c>
    </row>
    <row r="1837" spans="1:2">
      <c r="A1837" s="3">
        <f ca="1">IFERROR(__xludf.DUMMYFUNCTION("""COMPUTED_VALUE"""),41016.6666666666)</f>
        <v>41016.666666666599</v>
      </c>
      <c r="B1837" s="1">
        <f ca="1">IFERROR(__xludf.DUMMYFUNCTION("""COMPUTED_VALUE"""),31.44)</f>
        <v>31.44</v>
      </c>
    </row>
    <row r="1838" spans="1:2">
      <c r="A1838" s="3">
        <f ca="1">IFERROR(__xludf.DUMMYFUNCTION("""COMPUTED_VALUE"""),41017.6666666666)</f>
        <v>41017.666666666599</v>
      </c>
      <c r="B1838" s="1">
        <f ca="1">IFERROR(__xludf.DUMMYFUNCTION("""COMPUTED_VALUE"""),31.14)</f>
        <v>31.14</v>
      </c>
    </row>
    <row r="1839" spans="1:2">
      <c r="A1839" s="3">
        <f ca="1">IFERROR(__xludf.DUMMYFUNCTION("""COMPUTED_VALUE"""),41018.6666666666)</f>
        <v>41018.666666666599</v>
      </c>
      <c r="B1839" s="1">
        <f ca="1">IFERROR(__xludf.DUMMYFUNCTION("""COMPUTED_VALUE"""),31.01)</f>
        <v>31.01</v>
      </c>
    </row>
    <row r="1840" spans="1:2">
      <c r="A1840" s="3">
        <f ca="1">IFERROR(__xludf.DUMMYFUNCTION("""COMPUTED_VALUE"""),41019.6666666666)</f>
        <v>41019.666666666599</v>
      </c>
      <c r="B1840" s="1">
        <f ca="1">IFERROR(__xludf.DUMMYFUNCTION("""COMPUTED_VALUE"""),32.42)</f>
        <v>32.42</v>
      </c>
    </row>
    <row r="1841" spans="1:2">
      <c r="A1841" s="3">
        <f ca="1">IFERROR(__xludf.DUMMYFUNCTION("""COMPUTED_VALUE"""),41022.6666666666)</f>
        <v>41022.666666666599</v>
      </c>
      <c r="B1841" s="1">
        <f ca="1">IFERROR(__xludf.DUMMYFUNCTION("""COMPUTED_VALUE"""),32.12)</f>
        <v>32.119999999999997</v>
      </c>
    </row>
    <row r="1842" spans="1:2">
      <c r="A1842" s="3">
        <f ca="1">IFERROR(__xludf.DUMMYFUNCTION("""COMPUTED_VALUE"""),41023.6666666666)</f>
        <v>41023.666666666599</v>
      </c>
      <c r="B1842" s="1">
        <f ca="1">IFERROR(__xludf.DUMMYFUNCTION("""COMPUTED_VALUE"""),31.92)</f>
        <v>31.92</v>
      </c>
    </row>
    <row r="1843" spans="1:2">
      <c r="A1843" s="3">
        <f ca="1">IFERROR(__xludf.DUMMYFUNCTION("""COMPUTED_VALUE"""),41024.6666666666)</f>
        <v>41024.666666666599</v>
      </c>
      <c r="B1843" s="1">
        <f ca="1">IFERROR(__xludf.DUMMYFUNCTION("""COMPUTED_VALUE"""),32.2)</f>
        <v>32.200000000000003</v>
      </c>
    </row>
    <row r="1844" spans="1:2">
      <c r="A1844" s="3">
        <f ca="1">IFERROR(__xludf.DUMMYFUNCTION("""COMPUTED_VALUE"""),41025.6666666666)</f>
        <v>41025.666666666599</v>
      </c>
      <c r="B1844" s="1">
        <f ca="1">IFERROR(__xludf.DUMMYFUNCTION("""COMPUTED_VALUE"""),32.11)</f>
        <v>32.11</v>
      </c>
    </row>
    <row r="1845" spans="1:2">
      <c r="A1845" s="3">
        <f ca="1">IFERROR(__xludf.DUMMYFUNCTION("""COMPUTED_VALUE"""),41026.6666666666)</f>
        <v>41026.666666666599</v>
      </c>
      <c r="B1845" s="1">
        <f ca="1">IFERROR(__xludf.DUMMYFUNCTION("""COMPUTED_VALUE"""),31.98)</f>
        <v>31.98</v>
      </c>
    </row>
    <row r="1846" spans="1:2">
      <c r="A1846" s="3">
        <f ca="1">IFERROR(__xludf.DUMMYFUNCTION("""COMPUTED_VALUE"""),41029.6666666666)</f>
        <v>41029.666666666599</v>
      </c>
      <c r="B1846" s="1">
        <f ca="1">IFERROR(__xludf.DUMMYFUNCTION("""COMPUTED_VALUE"""),32.02)</f>
        <v>32.020000000000003</v>
      </c>
    </row>
    <row r="1847" spans="1:2">
      <c r="A1847" s="3">
        <f ca="1">IFERROR(__xludf.DUMMYFUNCTION("""COMPUTED_VALUE"""),41030.6666666666)</f>
        <v>41030.666666666599</v>
      </c>
      <c r="B1847" s="1">
        <f ca="1">IFERROR(__xludf.DUMMYFUNCTION("""COMPUTED_VALUE"""),32.01)</f>
        <v>32.01</v>
      </c>
    </row>
    <row r="1848" spans="1:2">
      <c r="A1848" s="3">
        <f ca="1">IFERROR(__xludf.DUMMYFUNCTION("""COMPUTED_VALUE"""),41031.6666666666)</f>
        <v>41031.666666666599</v>
      </c>
      <c r="B1848" s="1">
        <f ca="1">IFERROR(__xludf.DUMMYFUNCTION("""COMPUTED_VALUE"""),31.8)</f>
        <v>31.8</v>
      </c>
    </row>
    <row r="1849" spans="1:2">
      <c r="A1849" s="3">
        <f ca="1">IFERROR(__xludf.DUMMYFUNCTION("""COMPUTED_VALUE"""),41032.6666666666)</f>
        <v>41032.666666666599</v>
      </c>
      <c r="B1849" s="1">
        <f ca="1">IFERROR(__xludf.DUMMYFUNCTION("""COMPUTED_VALUE"""),31.76)</f>
        <v>31.76</v>
      </c>
    </row>
    <row r="1850" spans="1:2">
      <c r="A1850" s="3">
        <f ca="1">IFERROR(__xludf.DUMMYFUNCTION("""COMPUTED_VALUE"""),41033.6666666666)</f>
        <v>41033.666666666599</v>
      </c>
      <c r="B1850" s="1">
        <f ca="1">IFERROR(__xludf.DUMMYFUNCTION("""COMPUTED_VALUE"""),30.98)</f>
        <v>30.98</v>
      </c>
    </row>
    <row r="1851" spans="1:2">
      <c r="A1851" s="3">
        <f ca="1">IFERROR(__xludf.DUMMYFUNCTION("""COMPUTED_VALUE"""),41036.6666666666)</f>
        <v>41036.666666666599</v>
      </c>
      <c r="B1851" s="1">
        <f ca="1">IFERROR(__xludf.DUMMYFUNCTION("""COMPUTED_VALUE"""),30.65)</f>
        <v>30.65</v>
      </c>
    </row>
    <row r="1852" spans="1:2">
      <c r="A1852" s="3">
        <f ca="1">IFERROR(__xludf.DUMMYFUNCTION("""COMPUTED_VALUE"""),41037.6666666666)</f>
        <v>41037.666666666599</v>
      </c>
      <c r="B1852" s="1">
        <f ca="1">IFERROR(__xludf.DUMMYFUNCTION("""COMPUTED_VALUE"""),30.5)</f>
        <v>30.5</v>
      </c>
    </row>
    <row r="1853" spans="1:2">
      <c r="A1853" s="3">
        <f ca="1">IFERROR(__xludf.DUMMYFUNCTION("""COMPUTED_VALUE"""),41038.6666666666)</f>
        <v>41038.666666666599</v>
      </c>
      <c r="B1853" s="1">
        <f ca="1">IFERROR(__xludf.DUMMYFUNCTION("""COMPUTED_VALUE"""),30.76)</f>
        <v>30.76</v>
      </c>
    </row>
    <row r="1854" spans="1:2">
      <c r="A1854" s="3">
        <f ca="1">IFERROR(__xludf.DUMMYFUNCTION("""COMPUTED_VALUE"""),41039.6666666666)</f>
        <v>41039.666666666599</v>
      </c>
      <c r="B1854" s="1">
        <f ca="1">IFERROR(__xludf.DUMMYFUNCTION("""COMPUTED_VALUE"""),30.74)</f>
        <v>30.74</v>
      </c>
    </row>
    <row r="1855" spans="1:2">
      <c r="A1855" s="3">
        <f ca="1">IFERROR(__xludf.DUMMYFUNCTION("""COMPUTED_VALUE"""),41040.6666666666)</f>
        <v>41040.666666666599</v>
      </c>
      <c r="B1855" s="1">
        <f ca="1">IFERROR(__xludf.DUMMYFUNCTION("""COMPUTED_VALUE"""),31.16)</f>
        <v>31.16</v>
      </c>
    </row>
    <row r="1856" spans="1:2">
      <c r="A1856" s="3">
        <f ca="1">IFERROR(__xludf.DUMMYFUNCTION("""COMPUTED_VALUE"""),41043.6666666666)</f>
        <v>41043.666666666599</v>
      </c>
      <c r="B1856" s="1">
        <f ca="1">IFERROR(__xludf.DUMMYFUNCTION("""COMPUTED_VALUE"""),30.68)</f>
        <v>30.68</v>
      </c>
    </row>
    <row r="1857" spans="1:2">
      <c r="A1857" s="3">
        <f ca="1">IFERROR(__xludf.DUMMYFUNCTION("""COMPUTED_VALUE"""),41044.6666666666)</f>
        <v>41044.666666666599</v>
      </c>
      <c r="B1857" s="1">
        <f ca="1">IFERROR(__xludf.DUMMYFUNCTION("""COMPUTED_VALUE"""),30.21)</f>
        <v>30.21</v>
      </c>
    </row>
    <row r="1858" spans="1:2">
      <c r="A1858" s="3">
        <f ca="1">IFERROR(__xludf.DUMMYFUNCTION("""COMPUTED_VALUE"""),41045.6666666666)</f>
        <v>41045.666666666599</v>
      </c>
      <c r="B1858" s="1">
        <f ca="1">IFERROR(__xludf.DUMMYFUNCTION("""COMPUTED_VALUE"""),29.9)</f>
        <v>29.9</v>
      </c>
    </row>
    <row r="1859" spans="1:2">
      <c r="A1859" s="3">
        <f ca="1">IFERROR(__xludf.DUMMYFUNCTION("""COMPUTED_VALUE"""),41046.6666666666)</f>
        <v>41046.666666666599</v>
      </c>
      <c r="B1859" s="1">
        <f ca="1">IFERROR(__xludf.DUMMYFUNCTION("""COMPUTED_VALUE"""),29.72)</f>
        <v>29.72</v>
      </c>
    </row>
    <row r="1860" spans="1:2">
      <c r="A1860" s="3">
        <f ca="1">IFERROR(__xludf.DUMMYFUNCTION("""COMPUTED_VALUE"""),41047.6666666666)</f>
        <v>41047.666666666599</v>
      </c>
      <c r="B1860" s="1">
        <f ca="1">IFERROR(__xludf.DUMMYFUNCTION("""COMPUTED_VALUE"""),29.27)</f>
        <v>29.27</v>
      </c>
    </row>
    <row r="1861" spans="1:2">
      <c r="A1861" s="3">
        <f ca="1">IFERROR(__xludf.DUMMYFUNCTION("""COMPUTED_VALUE"""),41050.6666666666)</f>
        <v>41050.666666666599</v>
      </c>
      <c r="B1861" s="1">
        <f ca="1">IFERROR(__xludf.DUMMYFUNCTION("""COMPUTED_VALUE"""),29.75)</f>
        <v>29.75</v>
      </c>
    </row>
    <row r="1862" spans="1:2">
      <c r="A1862" s="3">
        <f ca="1">IFERROR(__xludf.DUMMYFUNCTION("""COMPUTED_VALUE"""),41051.6666666666)</f>
        <v>41051.666666666599</v>
      </c>
      <c r="B1862" s="1">
        <f ca="1">IFERROR(__xludf.DUMMYFUNCTION("""COMPUTED_VALUE"""),29.76)</f>
        <v>29.76</v>
      </c>
    </row>
    <row r="1863" spans="1:2">
      <c r="A1863" s="3">
        <f ca="1">IFERROR(__xludf.DUMMYFUNCTION("""COMPUTED_VALUE"""),41052.6666666666)</f>
        <v>41052.666666666599</v>
      </c>
      <c r="B1863" s="1">
        <f ca="1">IFERROR(__xludf.DUMMYFUNCTION("""COMPUTED_VALUE"""),29.11)</f>
        <v>29.11</v>
      </c>
    </row>
    <row r="1864" spans="1:2">
      <c r="A1864" s="3">
        <f ca="1">IFERROR(__xludf.DUMMYFUNCTION("""COMPUTED_VALUE"""),41053.6666666666)</f>
        <v>41053.666666666599</v>
      </c>
      <c r="B1864" s="1">
        <f ca="1">IFERROR(__xludf.DUMMYFUNCTION("""COMPUTED_VALUE"""),29.07)</f>
        <v>29.07</v>
      </c>
    </row>
    <row r="1865" spans="1:2">
      <c r="A1865" s="3">
        <f ca="1">IFERROR(__xludf.DUMMYFUNCTION("""COMPUTED_VALUE"""),41054.6666666666)</f>
        <v>41054.666666666599</v>
      </c>
      <c r="B1865" s="1">
        <f ca="1">IFERROR(__xludf.DUMMYFUNCTION("""COMPUTED_VALUE"""),29.06)</f>
        <v>29.06</v>
      </c>
    </row>
    <row r="1866" spans="1:2">
      <c r="A1866" s="3">
        <f ca="1">IFERROR(__xludf.DUMMYFUNCTION("""COMPUTED_VALUE"""),41058.6666666666)</f>
        <v>41058.666666666599</v>
      </c>
      <c r="B1866" s="1">
        <f ca="1">IFERROR(__xludf.DUMMYFUNCTION("""COMPUTED_VALUE"""),29.56)</f>
        <v>29.56</v>
      </c>
    </row>
    <row r="1867" spans="1:2">
      <c r="A1867" s="3">
        <f ca="1">IFERROR(__xludf.DUMMYFUNCTION("""COMPUTED_VALUE"""),41059.6666666666)</f>
        <v>41059.666666666599</v>
      </c>
      <c r="B1867" s="1">
        <f ca="1">IFERROR(__xludf.DUMMYFUNCTION("""COMPUTED_VALUE"""),29.34)</f>
        <v>29.34</v>
      </c>
    </row>
    <row r="1868" spans="1:2">
      <c r="A1868" s="3">
        <f ca="1">IFERROR(__xludf.DUMMYFUNCTION("""COMPUTED_VALUE"""),41060.6666666666)</f>
        <v>41060.666666666599</v>
      </c>
      <c r="B1868" s="1">
        <f ca="1">IFERROR(__xludf.DUMMYFUNCTION("""COMPUTED_VALUE"""),29.19)</f>
        <v>29.19</v>
      </c>
    </row>
    <row r="1869" spans="1:2">
      <c r="A1869" s="3">
        <f ca="1">IFERROR(__xludf.DUMMYFUNCTION("""COMPUTED_VALUE"""),41061.6666666666)</f>
        <v>41061.666666666599</v>
      </c>
      <c r="B1869" s="1">
        <f ca="1">IFERROR(__xludf.DUMMYFUNCTION("""COMPUTED_VALUE"""),28.45)</f>
        <v>28.45</v>
      </c>
    </row>
    <row r="1870" spans="1:2">
      <c r="A1870" s="3">
        <f ca="1">IFERROR(__xludf.DUMMYFUNCTION("""COMPUTED_VALUE"""),41064.6666666666)</f>
        <v>41064.666666666599</v>
      </c>
      <c r="B1870" s="1">
        <f ca="1">IFERROR(__xludf.DUMMYFUNCTION("""COMPUTED_VALUE"""),28.55)</f>
        <v>28.55</v>
      </c>
    </row>
    <row r="1871" spans="1:2">
      <c r="A1871" s="3">
        <f ca="1">IFERROR(__xludf.DUMMYFUNCTION("""COMPUTED_VALUE"""),41065.6666666666)</f>
        <v>41065.666666666599</v>
      </c>
      <c r="B1871" s="1">
        <f ca="1">IFERROR(__xludf.DUMMYFUNCTION("""COMPUTED_VALUE"""),28.51)</f>
        <v>28.51</v>
      </c>
    </row>
    <row r="1872" spans="1:2">
      <c r="A1872" s="3">
        <f ca="1">IFERROR(__xludf.DUMMYFUNCTION("""COMPUTED_VALUE"""),41066.6666666666)</f>
        <v>41066.666666666599</v>
      </c>
      <c r="B1872" s="1">
        <f ca="1">IFERROR(__xludf.DUMMYFUNCTION("""COMPUTED_VALUE"""),29.35)</f>
        <v>29.35</v>
      </c>
    </row>
    <row r="1873" spans="1:2">
      <c r="A1873" s="3">
        <f ca="1">IFERROR(__xludf.DUMMYFUNCTION("""COMPUTED_VALUE"""),41067.6666666666)</f>
        <v>41067.666666666599</v>
      </c>
      <c r="B1873" s="1">
        <f ca="1">IFERROR(__xludf.DUMMYFUNCTION("""COMPUTED_VALUE"""),29.23)</f>
        <v>29.23</v>
      </c>
    </row>
    <row r="1874" spans="1:2">
      <c r="A1874" s="3">
        <f ca="1">IFERROR(__xludf.DUMMYFUNCTION("""COMPUTED_VALUE"""),41068.6666666666)</f>
        <v>41068.666666666599</v>
      </c>
      <c r="B1874" s="1">
        <f ca="1">IFERROR(__xludf.DUMMYFUNCTION("""COMPUTED_VALUE"""),29.65)</f>
        <v>29.65</v>
      </c>
    </row>
    <row r="1875" spans="1:2">
      <c r="A1875" s="3">
        <f ca="1">IFERROR(__xludf.DUMMYFUNCTION("""COMPUTED_VALUE"""),41071.6666666666)</f>
        <v>41071.666666666599</v>
      </c>
      <c r="B1875" s="1">
        <f ca="1">IFERROR(__xludf.DUMMYFUNCTION("""COMPUTED_VALUE"""),28.9)</f>
        <v>28.9</v>
      </c>
    </row>
    <row r="1876" spans="1:2">
      <c r="A1876" s="3">
        <f ca="1">IFERROR(__xludf.DUMMYFUNCTION("""COMPUTED_VALUE"""),41072.6666666666)</f>
        <v>41072.666666666599</v>
      </c>
      <c r="B1876" s="1">
        <f ca="1">IFERROR(__xludf.DUMMYFUNCTION("""COMPUTED_VALUE"""),29.29)</f>
        <v>29.29</v>
      </c>
    </row>
    <row r="1877" spans="1:2">
      <c r="A1877" s="3">
        <f ca="1">IFERROR(__xludf.DUMMYFUNCTION("""COMPUTED_VALUE"""),41073.6666666666)</f>
        <v>41073.666666666599</v>
      </c>
      <c r="B1877" s="1">
        <f ca="1">IFERROR(__xludf.DUMMYFUNCTION("""COMPUTED_VALUE"""),29.13)</f>
        <v>29.13</v>
      </c>
    </row>
    <row r="1878" spans="1:2">
      <c r="A1878" s="3">
        <f ca="1">IFERROR(__xludf.DUMMYFUNCTION("""COMPUTED_VALUE"""),41074.6666666666)</f>
        <v>41074.666666666599</v>
      </c>
      <c r="B1878" s="1">
        <f ca="1">IFERROR(__xludf.DUMMYFUNCTION("""COMPUTED_VALUE"""),29.34)</f>
        <v>29.34</v>
      </c>
    </row>
    <row r="1879" spans="1:2">
      <c r="A1879" s="3">
        <f ca="1">IFERROR(__xludf.DUMMYFUNCTION("""COMPUTED_VALUE"""),41075.6666666666)</f>
        <v>41075.666666666599</v>
      </c>
      <c r="B1879" s="1">
        <f ca="1">IFERROR(__xludf.DUMMYFUNCTION("""COMPUTED_VALUE"""),30.02)</f>
        <v>30.02</v>
      </c>
    </row>
    <row r="1880" spans="1:2">
      <c r="A1880" s="3">
        <f ca="1">IFERROR(__xludf.DUMMYFUNCTION("""COMPUTED_VALUE"""),41078.6666666666)</f>
        <v>41078.666666666599</v>
      </c>
      <c r="B1880" s="1">
        <f ca="1">IFERROR(__xludf.DUMMYFUNCTION("""COMPUTED_VALUE"""),29.84)</f>
        <v>29.84</v>
      </c>
    </row>
    <row r="1881" spans="1:2">
      <c r="A1881" s="3">
        <f ca="1">IFERROR(__xludf.DUMMYFUNCTION("""COMPUTED_VALUE"""),41079.6666666666)</f>
        <v>41079.666666666599</v>
      </c>
      <c r="B1881" s="1">
        <f ca="1">IFERROR(__xludf.DUMMYFUNCTION("""COMPUTED_VALUE"""),30.7)</f>
        <v>30.7</v>
      </c>
    </row>
    <row r="1882" spans="1:2">
      <c r="A1882" s="3">
        <f ca="1">IFERROR(__xludf.DUMMYFUNCTION("""COMPUTED_VALUE"""),41080.6666666666)</f>
        <v>41080.666666666599</v>
      </c>
      <c r="B1882" s="1">
        <f ca="1">IFERROR(__xludf.DUMMYFUNCTION("""COMPUTED_VALUE"""),30.93)</f>
        <v>30.93</v>
      </c>
    </row>
    <row r="1883" spans="1:2">
      <c r="A1883" s="3">
        <f ca="1">IFERROR(__xludf.DUMMYFUNCTION("""COMPUTED_VALUE"""),41081.6666666666)</f>
        <v>41081.666666666599</v>
      </c>
      <c r="B1883" s="1">
        <f ca="1">IFERROR(__xludf.DUMMYFUNCTION("""COMPUTED_VALUE"""),30.14)</f>
        <v>30.14</v>
      </c>
    </row>
    <row r="1884" spans="1:2">
      <c r="A1884" s="3">
        <f ca="1">IFERROR(__xludf.DUMMYFUNCTION("""COMPUTED_VALUE"""),41082.6666666666)</f>
        <v>41082.666666666599</v>
      </c>
      <c r="B1884" s="1">
        <f ca="1">IFERROR(__xludf.DUMMYFUNCTION("""COMPUTED_VALUE"""),30.7)</f>
        <v>30.7</v>
      </c>
    </row>
    <row r="1885" spans="1:2">
      <c r="A1885" s="3">
        <f ca="1">IFERROR(__xludf.DUMMYFUNCTION("""COMPUTED_VALUE"""),41085.6666666666)</f>
        <v>41085.666666666599</v>
      </c>
      <c r="B1885" s="1">
        <f ca="1">IFERROR(__xludf.DUMMYFUNCTION("""COMPUTED_VALUE"""),29.87)</f>
        <v>29.87</v>
      </c>
    </row>
    <row r="1886" spans="1:2">
      <c r="A1886" s="3">
        <f ca="1">IFERROR(__xludf.DUMMYFUNCTION("""COMPUTED_VALUE"""),41086.6666666666)</f>
        <v>41086.666666666599</v>
      </c>
      <c r="B1886" s="1">
        <f ca="1">IFERROR(__xludf.DUMMYFUNCTION("""COMPUTED_VALUE"""),30.02)</f>
        <v>30.02</v>
      </c>
    </row>
    <row r="1887" spans="1:2">
      <c r="A1887" s="3">
        <f ca="1">IFERROR(__xludf.DUMMYFUNCTION("""COMPUTED_VALUE"""),41087.6666666666)</f>
        <v>41087.666666666599</v>
      </c>
      <c r="B1887" s="1">
        <f ca="1">IFERROR(__xludf.DUMMYFUNCTION("""COMPUTED_VALUE"""),30.17)</f>
        <v>30.17</v>
      </c>
    </row>
    <row r="1888" spans="1:2">
      <c r="A1888" s="3">
        <f ca="1">IFERROR(__xludf.DUMMYFUNCTION("""COMPUTED_VALUE"""),41088.6666666666)</f>
        <v>41088.666666666599</v>
      </c>
      <c r="B1888" s="1">
        <f ca="1">IFERROR(__xludf.DUMMYFUNCTION("""COMPUTED_VALUE"""),29.91)</f>
        <v>29.91</v>
      </c>
    </row>
    <row r="1889" spans="1:2">
      <c r="A1889" s="3">
        <f ca="1">IFERROR(__xludf.DUMMYFUNCTION("""COMPUTED_VALUE"""),41089.6666666666)</f>
        <v>41089.666666666599</v>
      </c>
      <c r="B1889" s="1">
        <f ca="1">IFERROR(__xludf.DUMMYFUNCTION("""COMPUTED_VALUE"""),30.59)</f>
        <v>30.59</v>
      </c>
    </row>
    <row r="1890" spans="1:2">
      <c r="A1890" s="3">
        <f ca="1">IFERROR(__xludf.DUMMYFUNCTION("""COMPUTED_VALUE"""),41092.6666666666)</f>
        <v>41092.666666666599</v>
      </c>
      <c r="B1890" s="1">
        <f ca="1">IFERROR(__xludf.DUMMYFUNCTION("""COMPUTED_VALUE"""),30.56)</f>
        <v>30.56</v>
      </c>
    </row>
    <row r="1891" spans="1:2">
      <c r="A1891" s="3">
        <f ca="1">IFERROR(__xludf.DUMMYFUNCTION("""COMPUTED_VALUE"""),41093.6666666666)</f>
        <v>41093.666666666599</v>
      </c>
      <c r="B1891" s="1">
        <f ca="1">IFERROR(__xludf.DUMMYFUNCTION("""COMPUTED_VALUE"""),30.76)</f>
        <v>30.76</v>
      </c>
    </row>
    <row r="1892" spans="1:2">
      <c r="A1892" s="3">
        <f ca="1">IFERROR(__xludf.DUMMYFUNCTION("""COMPUTED_VALUE"""),41095.6666666666)</f>
        <v>41095.666666666599</v>
      </c>
      <c r="B1892" s="1">
        <f ca="1">IFERROR(__xludf.DUMMYFUNCTION("""COMPUTED_VALUE"""),30.7)</f>
        <v>30.7</v>
      </c>
    </row>
    <row r="1893" spans="1:2">
      <c r="A1893" s="3">
        <f ca="1">IFERROR(__xludf.DUMMYFUNCTION("""COMPUTED_VALUE"""),41096.6666666666)</f>
        <v>41096.666666666599</v>
      </c>
      <c r="B1893" s="1">
        <f ca="1">IFERROR(__xludf.DUMMYFUNCTION("""COMPUTED_VALUE"""),30.19)</f>
        <v>30.19</v>
      </c>
    </row>
    <row r="1894" spans="1:2">
      <c r="A1894" s="3">
        <f ca="1">IFERROR(__xludf.DUMMYFUNCTION("""COMPUTED_VALUE"""),41099.6666666666)</f>
        <v>41099.666666666599</v>
      </c>
      <c r="B1894" s="1">
        <f ca="1">IFERROR(__xludf.DUMMYFUNCTION("""COMPUTED_VALUE"""),30)</f>
        <v>30</v>
      </c>
    </row>
    <row r="1895" spans="1:2">
      <c r="A1895" s="3">
        <f ca="1">IFERROR(__xludf.DUMMYFUNCTION("""COMPUTED_VALUE"""),41100.6666666666)</f>
        <v>41100.666666666599</v>
      </c>
      <c r="B1895" s="1">
        <f ca="1">IFERROR(__xludf.DUMMYFUNCTION("""COMPUTED_VALUE"""),29.74)</f>
        <v>29.74</v>
      </c>
    </row>
    <row r="1896" spans="1:2">
      <c r="A1896" s="3">
        <f ca="1">IFERROR(__xludf.DUMMYFUNCTION("""COMPUTED_VALUE"""),41101.6666666666)</f>
        <v>41101.666666666599</v>
      </c>
      <c r="B1896" s="1">
        <f ca="1">IFERROR(__xludf.DUMMYFUNCTION("""COMPUTED_VALUE"""),29.3)</f>
        <v>29.3</v>
      </c>
    </row>
    <row r="1897" spans="1:2">
      <c r="A1897" s="3">
        <f ca="1">IFERROR(__xludf.DUMMYFUNCTION("""COMPUTED_VALUE"""),41102.6666666666)</f>
        <v>41102.666666666599</v>
      </c>
      <c r="B1897" s="1">
        <f ca="1">IFERROR(__xludf.DUMMYFUNCTION("""COMPUTED_VALUE"""),28.63)</f>
        <v>28.63</v>
      </c>
    </row>
    <row r="1898" spans="1:2">
      <c r="A1898" s="3">
        <f ca="1">IFERROR(__xludf.DUMMYFUNCTION("""COMPUTED_VALUE"""),41103.6666666666)</f>
        <v>41103.666666666599</v>
      </c>
      <c r="B1898" s="1">
        <f ca="1">IFERROR(__xludf.DUMMYFUNCTION("""COMPUTED_VALUE"""),29.39)</f>
        <v>29.39</v>
      </c>
    </row>
    <row r="1899" spans="1:2">
      <c r="A1899" s="3">
        <f ca="1">IFERROR(__xludf.DUMMYFUNCTION("""COMPUTED_VALUE"""),41106.6666666666)</f>
        <v>41106.666666666599</v>
      </c>
      <c r="B1899" s="1">
        <f ca="1">IFERROR(__xludf.DUMMYFUNCTION("""COMPUTED_VALUE"""),29.44)</f>
        <v>29.44</v>
      </c>
    </row>
    <row r="1900" spans="1:2">
      <c r="A1900" s="3">
        <f ca="1">IFERROR(__xludf.DUMMYFUNCTION("""COMPUTED_VALUE"""),41107.6666666666)</f>
        <v>41107.666666666599</v>
      </c>
      <c r="B1900" s="1">
        <f ca="1">IFERROR(__xludf.DUMMYFUNCTION("""COMPUTED_VALUE"""),29.66)</f>
        <v>29.66</v>
      </c>
    </row>
    <row r="1901" spans="1:2">
      <c r="A1901" s="3">
        <f ca="1">IFERROR(__xludf.DUMMYFUNCTION("""COMPUTED_VALUE"""),41108.6666666666)</f>
        <v>41108.666666666599</v>
      </c>
      <c r="B1901" s="1">
        <f ca="1">IFERROR(__xludf.DUMMYFUNCTION("""COMPUTED_VALUE"""),30.45)</f>
        <v>30.45</v>
      </c>
    </row>
    <row r="1902" spans="1:2">
      <c r="A1902" s="3">
        <f ca="1">IFERROR(__xludf.DUMMYFUNCTION("""COMPUTED_VALUE"""),41109.6666666666)</f>
        <v>41109.666666666599</v>
      </c>
      <c r="B1902" s="1">
        <f ca="1">IFERROR(__xludf.DUMMYFUNCTION("""COMPUTED_VALUE"""),30.67)</f>
        <v>30.67</v>
      </c>
    </row>
    <row r="1903" spans="1:2">
      <c r="A1903" s="3">
        <f ca="1">IFERROR(__xludf.DUMMYFUNCTION("""COMPUTED_VALUE"""),41110.6666666666)</f>
        <v>41110.666666666599</v>
      </c>
      <c r="B1903" s="1">
        <f ca="1">IFERROR(__xludf.DUMMYFUNCTION("""COMPUTED_VALUE"""),30.12)</f>
        <v>30.12</v>
      </c>
    </row>
    <row r="1904" spans="1:2">
      <c r="A1904" s="3">
        <f ca="1">IFERROR(__xludf.DUMMYFUNCTION("""COMPUTED_VALUE"""),41113.6666666666)</f>
        <v>41113.666666666599</v>
      </c>
      <c r="B1904" s="1">
        <f ca="1">IFERROR(__xludf.DUMMYFUNCTION("""COMPUTED_VALUE"""),29.28)</f>
        <v>29.28</v>
      </c>
    </row>
    <row r="1905" spans="1:2">
      <c r="A1905" s="3">
        <f ca="1">IFERROR(__xludf.DUMMYFUNCTION("""COMPUTED_VALUE"""),41114.6666666666)</f>
        <v>41114.666666666599</v>
      </c>
      <c r="B1905" s="1">
        <f ca="1">IFERROR(__xludf.DUMMYFUNCTION("""COMPUTED_VALUE"""),29.15)</f>
        <v>29.15</v>
      </c>
    </row>
    <row r="1906" spans="1:2">
      <c r="A1906" s="3">
        <f ca="1">IFERROR(__xludf.DUMMYFUNCTION("""COMPUTED_VALUE"""),41115.6666666666)</f>
        <v>41115.666666666599</v>
      </c>
      <c r="B1906" s="1">
        <f ca="1">IFERROR(__xludf.DUMMYFUNCTION("""COMPUTED_VALUE"""),28.83)</f>
        <v>28.83</v>
      </c>
    </row>
    <row r="1907" spans="1:2">
      <c r="A1907" s="3">
        <f ca="1">IFERROR(__xludf.DUMMYFUNCTION("""COMPUTED_VALUE"""),41116.6666666666)</f>
        <v>41116.666666666599</v>
      </c>
      <c r="B1907" s="1">
        <f ca="1">IFERROR(__xludf.DUMMYFUNCTION("""COMPUTED_VALUE"""),29.16)</f>
        <v>29.16</v>
      </c>
    </row>
    <row r="1908" spans="1:2">
      <c r="A1908" s="3">
        <f ca="1">IFERROR(__xludf.DUMMYFUNCTION("""COMPUTED_VALUE"""),41117.6666666666)</f>
        <v>41117.666666666599</v>
      </c>
      <c r="B1908" s="1">
        <f ca="1">IFERROR(__xludf.DUMMYFUNCTION("""COMPUTED_VALUE"""),29.76)</f>
        <v>29.76</v>
      </c>
    </row>
    <row r="1909" spans="1:2">
      <c r="A1909" s="3">
        <f ca="1">IFERROR(__xludf.DUMMYFUNCTION("""COMPUTED_VALUE"""),41120.6666666666)</f>
        <v>41120.666666666599</v>
      </c>
      <c r="B1909" s="1">
        <f ca="1">IFERROR(__xludf.DUMMYFUNCTION("""COMPUTED_VALUE"""),29.64)</f>
        <v>29.64</v>
      </c>
    </row>
    <row r="1910" spans="1:2">
      <c r="A1910" s="3">
        <f ca="1">IFERROR(__xludf.DUMMYFUNCTION("""COMPUTED_VALUE"""),41121.6666666666)</f>
        <v>41121.666666666599</v>
      </c>
      <c r="B1910" s="1">
        <f ca="1">IFERROR(__xludf.DUMMYFUNCTION("""COMPUTED_VALUE"""),29.47)</f>
        <v>29.47</v>
      </c>
    </row>
    <row r="1911" spans="1:2">
      <c r="A1911" s="3">
        <f ca="1">IFERROR(__xludf.DUMMYFUNCTION("""COMPUTED_VALUE"""),41122.6666666666)</f>
        <v>41122.666666666599</v>
      </c>
      <c r="B1911" s="1">
        <f ca="1">IFERROR(__xludf.DUMMYFUNCTION("""COMPUTED_VALUE"""),29.41)</f>
        <v>29.41</v>
      </c>
    </row>
    <row r="1912" spans="1:2">
      <c r="A1912" s="3">
        <f ca="1">IFERROR(__xludf.DUMMYFUNCTION("""COMPUTED_VALUE"""),41123.6666666666)</f>
        <v>41123.666666666599</v>
      </c>
      <c r="B1912" s="1">
        <f ca="1">IFERROR(__xludf.DUMMYFUNCTION("""COMPUTED_VALUE"""),29.19)</f>
        <v>29.19</v>
      </c>
    </row>
    <row r="1913" spans="1:2">
      <c r="A1913" s="3">
        <f ca="1">IFERROR(__xludf.DUMMYFUNCTION("""COMPUTED_VALUE"""),41124.6666666666)</f>
        <v>41124.666666666599</v>
      </c>
      <c r="B1913" s="1">
        <f ca="1">IFERROR(__xludf.DUMMYFUNCTION("""COMPUTED_VALUE"""),29.75)</f>
        <v>29.75</v>
      </c>
    </row>
    <row r="1914" spans="1:2">
      <c r="A1914" s="3">
        <f ca="1">IFERROR(__xludf.DUMMYFUNCTION("""COMPUTED_VALUE"""),41127.6666666666)</f>
        <v>41127.666666666599</v>
      </c>
      <c r="B1914" s="1">
        <f ca="1">IFERROR(__xludf.DUMMYFUNCTION("""COMPUTED_VALUE"""),29.95)</f>
        <v>29.95</v>
      </c>
    </row>
    <row r="1915" spans="1:2">
      <c r="A1915" s="3">
        <f ca="1">IFERROR(__xludf.DUMMYFUNCTION("""COMPUTED_VALUE"""),41128.6666666666)</f>
        <v>41128.666666666599</v>
      </c>
      <c r="B1915" s="1">
        <f ca="1">IFERROR(__xludf.DUMMYFUNCTION("""COMPUTED_VALUE"""),30.26)</f>
        <v>30.26</v>
      </c>
    </row>
    <row r="1916" spans="1:2">
      <c r="A1916" s="3">
        <f ca="1">IFERROR(__xludf.DUMMYFUNCTION("""COMPUTED_VALUE"""),41129.6666666666)</f>
        <v>41129.666666666599</v>
      </c>
      <c r="B1916" s="1">
        <f ca="1">IFERROR(__xludf.DUMMYFUNCTION("""COMPUTED_VALUE"""),30.33)</f>
        <v>30.33</v>
      </c>
    </row>
    <row r="1917" spans="1:2">
      <c r="A1917" s="3">
        <f ca="1">IFERROR(__xludf.DUMMYFUNCTION("""COMPUTED_VALUE"""),41130.6666666666)</f>
        <v>41130.666666666599</v>
      </c>
      <c r="B1917" s="1">
        <f ca="1">IFERROR(__xludf.DUMMYFUNCTION("""COMPUTED_VALUE"""),30.5)</f>
        <v>30.5</v>
      </c>
    </row>
    <row r="1918" spans="1:2">
      <c r="A1918" s="3">
        <f ca="1">IFERROR(__xludf.DUMMYFUNCTION("""COMPUTED_VALUE"""),41131.6666666666)</f>
        <v>41131.666666666599</v>
      </c>
      <c r="B1918" s="1">
        <f ca="1">IFERROR(__xludf.DUMMYFUNCTION("""COMPUTED_VALUE"""),30.42)</f>
        <v>30.42</v>
      </c>
    </row>
    <row r="1919" spans="1:2">
      <c r="A1919" s="3">
        <f ca="1">IFERROR(__xludf.DUMMYFUNCTION("""COMPUTED_VALUE"""),41134.6666666666)</f>
        <v>41134.666666666599</v>
      </c>
      <c r="B1919" s="1">
        <f ca="1">IFERROR(__xludf.DUMMYFUNCTION("""COMPUTED_VALUE"""),30.39)</f>
        <v>30.39</v>
      </c>
    </row>
    <row r="1920" spans="1:2">
      <c r="A1920" s="3">
        <f ca="1">IFERROR(__xludf.DUMMYFUNCTION("""COMPUTED_VALUE"""),41135.6666666666)</f>
        <v>41135.666666666599</v>
      </c>
      <c r="B1920" s="1">
        <f ca="1">IFERROR(__xludf.DUMMYFUNCTION("""COMPUTED_VALUE"""),30.13)</f>
        <v>30.13</v>
      </c>
    </row>
    <row r="1921" spans="1:2">
      <c r="A1921" s="3">
        <f ca="1">IFERROR(__xludf.DUMMYFUNCTION("""COMPUTED_VALUE"""),41136.6666666666)</f>
        <v>41136.666666666599</v>
      </c>
      <c r="B1921" s="1">
        <f ca="1">IFERROR(__xludf.DUMMYFUNCTION("""COMPUTED_VALUE"""),30.2)</f>
        <v>30.2</v>
      </c>
    </row>
    <row r="1922" spans="1:2">
      <c r="A1922" s="3">
        <f ca="1">IFERROR(__xludf.DUMMYFUNCTION("""COMPUTED_VALUE"""),41137.6666666666)</f>
        <v>41137.666666666599</v>
      </c>
      <c r="B1922" s="1">
        <f ca="1">IFERROR(__xludf.DUMMYFUNCTION("""COMPUTED_VALUE"""),30.78)</f>
        <v>30.78</v>
      </c>
    </row>
    <row r="1923" spans="1:2">
      <c r="A1923" s="3">
        <f ca="1">IFERROR(__xludf.DUMMYFUNCTION("""COMPUTED_VALUE"""),41138.6666666666)</f>
        <v>41138.666666666599</v>
      </c>
      <c r="B1923" s="1">
        <f ca="1">IFERROR(__xludf.DUMMYFUNCTION("""COMPUTED_VALUE"""),30.9)</f>
        <v>30.9</v>
      </c>
    </row>
    <row r="1924" spans="1:2">
      <c r="A1924" s="3">
        <f ca="1">IFERROR(__xludf.DUMMYFUNCTION("""COMPUTED_VALUE"""),41141.6666666666)</f>
        <v>41141.666666666599</v>
      </c>
      <c r="B1924" s="1">
        <f ca="1">IFERROR(__xludf.DUMMYFUNCTION("""COMPUTED_VALUE"""),30.74)</f>
        <v>30.74</v>
      </c>
    </row>
    <row r="1925" spans="1:2">
      <c r="A1925" s="3">
        <f ca="1">IFERROR(__xludf.DUMMYFUNCTION("""COMPUTED_VALUE"""),41142.6666666666)</f>
        <v>41142.666666666599</v>
      </c>
      <c r="B1925" s="1">
        <f ca="1">IFERROR(__xludf.DUMMYFUNCTION("""COMPUTED_VALUE"""),30.8)</f>
        <v>30.8</v>
      </c>
    </row>
    <row r="1926" spans="1:2">
      <c r="A1926" s="3">
        <f ca="1">IFERROR(__xludf.DUMMYFUNCTION("""COMPUTED_VALUE"""),41143.6666666666)</f>
        <v>41143.666666666599</v>
      </c>
      <c r="B1926" s="1">
        <f ca="1">IFERROR(__xludf.DUMMYFUNCTION("""COMPUTED_VALUE"""),30.54)</f>
        <v>30.54</v>
      </c>
    </row>
    <row r="1927" spans="1:2">
      <c r="A1927" s="3">
        <f ca="1">IFERROR(__xludf.DUMMYFUNCTION("""COMPUTED_VALUE"""),41144.6666666666)</f>
        <v>41144.666666666599</v>
      </c>
      <c r="B1927" s="1">
        <f ca="1">IFERROR(__xludf.DUMMYFUNCTION("""COMPUTED_VALUE"""),30.26)</f>
        <v>30.26</v>
      </c>
    </row>
    <row r="1928" spans="1:2">
      <c r="A1928" s="3">
        <f ca="1">IFERROR(__xludf.DUMMYFUNCTION("""COMPUTED_VALUE"""),41145.6666666666)</f>
        <v>41145.666666666599</v>
      </c>
      <c r="B1928" s="1">
        <f ca="1">IFERROR(__xludf.DUMMYFUNCTION("""COMPUTED_VALUE"""),30.56)</f>
        <v>30.56</v>
      </c>
    </row>
    <row r="1929" spans="1:2">
      <c r="A1929" s="3">
        <f ca="1">IFERROR(__xludf.DUMMYFUNCTION("""COMPUTED_VALUE"""),41148.6666666666)</f>
        <v>41148.666666666599</v>
      </c>
      <c r="B1929" s="1">
        <f ca="1">IFERROR(__xludf.DUMMYFUNCTION("""COMPUTED_VALUE"""),30.69)</f>
        <v>30.69</v>
      </c>
    </row>
    <row r="1930" spans="1:2">
      <c r="A1930" s="3">
        <f ca="1">IFERROR(__xludf.DUMMYFUNCTION("""COMPUTED_VALUE"""),41149.6666666666)</f>
        <v>41149.666666666599</v>
      </c>
      <c r="B1930" s="1">
        <f ca="1">IFERROR(__xludf.DUMMYFUNCTION("""COMPUTED_VALUE"""),30.63)</f>
        <v>30.63</v>
      </c>
    </row>
    <row r="1931" spans="1:2">
      <c r="A1931" s="3">
        <f ca="1">IFERROR(__xludf.DUMMYFUNCTION("""COMPUTED_VALUE"""),41150.6666666666)</f>
        <v>41150.666666666599</v>
      </c>
      <c r="B1931" s="1">
        <f ca="1">IFERROR(__xludf.DUMMYFUNCTION("""COMPUTED_VALUE"""),30.65)</f>
        <v>30.65</v>
      </c>
    </row>
    <row r="1932" spans="1:2">
      <c r="A1932" s="3">
        <f ca="1">IFERROR(__xludf.DUMMYFUNCTION("""COMPUTED_VALUE"""),41151.6666666666)</f>
        <v>41151.666666666599</v>
      </c>
      <c r="B1932" s="1">
        <f ca="1">IFERROR(__xludf.DUMMYFUNCTION("""COMPUTED_VALUE"""),30.32)</f>
        <v>30.32</v>
      </c>
    </row>
    <row r="1933" spans="1:2">
      <c r="A1933" s="3">
        <f ca="1">IFERROR(__xludf.DUMMYFUNCTION("""COMPUTED_VALUE"""),41152.6666666666)</f>
        <v>41152.666666666599</v>
      </c>
      <c r="B1933" s="1">
        <f ca="1">IFERROR(__xludf.DUMMYFUNCTION("""COMPUTED_VALUE"""),30.82)</f>
        <v>30.82</v>
      </c>
    </row>
    <row r="1934" spans="1:2">
      <c r="A1934" s="3">
        <f ca="1">IFERROR(__xludf.DUMMYFUNCTION("""COMPUTED_VALUE"""),41156.6666666666)</f>
        <v>41156.666666666599</v>
      </c>
      <c r="B1934" s="1">
        <f ca="1">IFERROR(__xludf.DUMMYFUNCTION("""COMPUTED_VALUE"""),30.39)</f>
        <v>30.39</v>
      </c>
    </row>
    <row r="1935" spans="1:2">
      <c r="A1935" s="3">
        <f ca="1">IFERROR(__xludf.DUMMYFUNCTION("""COMPUTED_VALUE"""),41157.6666666666)</f>
        <v>41157.666666666599</v>
      </c>
      <c r="B1935" s="1">
        <f ca="1">IFERROR(__xludf.DUMMYFUNCTION("""COMPUTED_VALUE"""),30.39)</f>
        <v>30.39</v>
      </c>
    </row>
    <row r="1936" spans="1:2">
      <c r="A1936" s="3">
        <f ca="1">IFERROR(__xludf.DUMMYFUNCTION("""COMPUTED_VALUE"""),41158.6666666666)</f>
        <v>41158.666666666599</v>
      </c>
      <c r="B1936" s="1">
        <f ca="1">IFERROR(__xludf.DUMMYFUNCTION("""COMPUTED_VALUE"""),31.35)</f>
        <v>31.35</v>
      </c>
    </row>
    <row r="1937" spans="1:2">
      <c r="A1937" s="3">
        <f ca="1">IFERROR(__xludf.DUMMYFUNCTION("""COMPUTED_VALUE"""),41159.6666666666)</f>
        <v>41159.666666666599</v>
      </c>
      <c r="B1937" s="1">
        <f ca="1">IFERROR(__xludf.DUMMYFUNCTION("""COMPUTED_VALUE"""),30.95)</f>
        <v>30.95</v>
      </c>
    </row>
    <row r="1938" spans="1:2">
      <c r="A1938" s="3">
        <f ca="1">IFERROR(__xludf.DUMMYFUNCTION("""COMPUTED_VALUE"""),41162.6666666666)</f>
        <v>41162.666666666599</v>
      </c>
      <c r="B1938" s="1">
        <f ca="1">IFERROR(__xludf.DUMMYFUNCTION("""COMPUTED_VALUE"""),30.72)</f>
        <v>30.72</v>
      </c>
    </row>
    <row r="1939" spans="1:2">
      <c r="A1939" s="3">
        <f ca="1">IFERROR(__xludf.DUMMYFUNCTION("""COMPUTED_VALUE"""),41163.6666666666)</f>
        <v>41163.666666666599</v>
      </c>
      <c r="B1939" s="1">
        <f ca="1">IFERROR(__xludf.DUMMYFUNCTION("""COMPUTED_VALUE"""),30.79)</f>
        <v>30.79</v>
      </c>
    </row>
    <row r="1940" spans="1:2">
      <c r="A1940" s="3">
        <f ca="1">IFERROR(__xludf.DUMMYFUNCTION("""COMPUTED_VALUE"""),41164.6666666666)</f>
        <v>41164.666666666599</v>
      </c>
      <c r="B1940" s="1">
        <f ca="1">IFERROR(__xludf.DUMMYFUNCTION("""COMPUTED_VALUE"""),30.78)</f>
        <v>30.78</v>
      </c>
    </row>
    <row r="1941" spans="1:2">
      <c r="A1941" s="3">
        <f ca="1">IFERROR(__xludf.DUMMYFUNCTION("""COMPUTED_VALUE"""),41165.6666666666)</f>
        <v>41165.666666666599</v>
      </c>
      <c r="B1941" s="1">
        <f ca="1">IFERROR(__xludf.DUMMYFUNCTION("""COMPUTED_VALUE"""),30.94)</f>
        <v>30.94</v>
      </c>
    </row>
    <row r="1942" spans="1:2">
      <c r="A1942" s="3">
        <f ca="1">IFERROR(__xludf.DUMMYFUNCTION("""COMPUTED_VALUE"""),41166.6666666666)</f>
        <v>41166.666666666599</v>
      </c>
      <c r="B1942" s="1">
        <f ca="1">IFERROR(__xludf.DUMMYFUNCTION("""COMPUTED_VALUE"""),31.21)</f>
        <v>31.21</v>
      </c>
    </row>
    <row r="1943" spans="1:2">
      <c r="A1943" s="3">
        <f ca="1">IFERROR(__xludf.DUMMYFUNCTION("""COMPUTED_VALUE"""),41169.6666666666)</f>
        <v>41169.666666666599</v>
      </c>
      <c r="B1943" s="1">
        <f ca="1">IFERROR(__xludf.DUMMYFUNCTION("""COMPUTED_VALUE"""),31.21)</f>
        <v>31.21</v>
      </c>
    </row>
    <row r="1944" spans="1:2">
      <c r="A1944" s="3">
        <f ca="1">IFERROR(__xludf.DUMMYFUNCTION("""COMPUTED_VALUE"""),41170.6666666666)</f>
        <v>41170.666666666599</v>
      </c>
      <c r="B1944" s="1">
        <f ca="1">IFERROR(__xludf.DUMMYFUNCTION("""COMPUTED_VALUE"""),31.18)</f>
        <v>31.18</v>
      </c>
    </row>
    <row r="1945" spans="1:2">
      <c r="A1945" s="3">
        <f ca="1">IFERROR(__xludf.DUMMYFUNCTION("""COMPUTED_VALUE"""),41171.6666666666)</f>
        <v>41171.666666666599</v>
      </c>
      <c r="B1945" s="1">
        <f ca="1">IFERROR(__xludf.DUMMYFUNCTION("""COMPUTED_VALUE"""),31.05)</f>
        <v>31.05</v>
      </c>
    </row>
    <row r="1946" spans="1:2">
      <c r="A1946" s="3">
        <f ca="1">IFERROR(__xludf.DUMMYFUNCTION("""COMPUTED_VALUE"""),41172.6666666666)</f>
        <v>41172.666666666599</v>
      </c>
      <c r="B1946" s="1">
        <f ca="1">IFERROR(__xludf.DUMMYFUNCTION("""COMPUTED_VALUE"""),31.45)</f>
        <v>31.45</v>
      </c>
    </row>
    <row r="1947" spans="1:2">
      <c r="A1947" s="3">
        <f ca="1">IFERROR(__xludf.DUMMYFUNCTION("""COMPUTED_VALUE"""),41173.6666666666)</f>
        <v>41173.666666666599</v>
      </c>
      <c r="B1947" s="1">
        <f ca="1">IFERROR(__xludf.DUMMYFUNCTION("""COMPUTED_VALUE"""),31.19)</f>
        <v>31.19</v>
      </c>
    </row>
    <row r="1948" spans="1:2">
      <c r="A1948" s="3">
        <f ca="1">IFERROR(__xludf.DUMMYFUNCTION("""COMPUTED_VALUE"""),41176.6666666666)</f>
        <v>41176.666666666599</v>
      </c>
      <c r="B1948" s="1">
        <f ca="1">IFERROR(__xludf.DUMMYFUNCTION("""COMPUTED_VALUE"""),30.78)</f>
        <v>30.78</v>
      </c>
    </row>
    <row r="1949" spans="1:2">
      <c r="A1949" s="3">
        <f ca="1">IFERROR(__xludf.DUMMYFUNCTION("""COMPUTED_VALUE"""),41177.6666666666)</f>
        <v>41177.666666666599</v>
      </c>
      <c r="B1949" s="1">
        <f ca="1">IFERROR(__xludf.DUMMYFUNCTION("""COMPUTED_VALUE"""),30.39)</f>
        <v>30.39</v>
      </c>
    </row>
    <row r="1950" spans="1:2">
      <c r="A1950" s="3">
        <f ca="1">IFERROR(__xludf.DUMMYFUNCTION("""COMPUTED_VALUE"""),41178.6666666666)</f>
        <v>41178.666666666599</v>
      </c>
      <c r="B1950" s="1">
        <f ca="1">IFERROR(__xludf.DUMMYFUNCTION("""COMPUTED_VALUE"""),30.17)</f>
        <v>30.17</v>
      </c>
    </row>
    <row r="1951" spans="1:2">
      <c r="A1951" s="3">
        <f ca="1">IFERROR(__xludf.DUMMYFUNCTION("""COMPUTED_VALUE"""),41179.6666666666)</f>
        <v>41179.666666666599</v>
      </c>
      <c r="B1951" s="1">
        <f ca="1">IFERROR(__xludf.DUMMYFUNCTION("""COMPUTED_VALUE"""),30.16)</f>
        <v>30.16</v>
      </c>
    </row>
    <row r="1952" spans="1:2">
      <c r="A1952" s="3">
        <f ca="1">IFERROR(__xludf.DUMMYFUNCTION("""COMPUTED_VALUE"""),41180.6666666666)</f>
        <v>41180.666666666599</v>
      </c>
      <c r="B1952" s="1">
        <f ca="1">IFERROR(__xludf.DUMMYFUNCTION("""COMPUTED_VALUE"""),29.76)</f>
        <v>29.76</v>
      </c>
    </row>
    <row r="1953" spans="1:2">
      <c r="A1953" s="3">
        <f ca="1">IFERROR(__xludf.DUMMYFUNCTION("""COMPUTED_VALUE"""),41183.6666666666)</f>
        <v>41183.666666666599</v>
      </c>
      <c r="B1953" s="1">
        <f ca="1">IFERROR(__xludf.DUMMYFUNCTION("""COMPUTED_VALUE"""),29.49)</f>
        <v>29.49</v>
      </c>
    </row>
    <row r="1954" spans="1:2">
      <c r="A1954" s="3">
        <f ca="1">IFERROR(__xludf.DUMMYFUNCTION("""COMPUTED_VALUE"""),41184.6666666666)</f>
        <v>41184.666666666599</v>
      </c>
      <c r="B1954" s="1">
        <f ca="1">IFERROR(__xludf.DUMMYFUNCTION("""COMPUTED_VALUE"""),29.66)</f>
        <v>29.66</v>
      </c>
    </row>
    <row r="1955" spans="1:2">
      <c r="A1955" s="3">
        <f ca="1">IFERROR(__xludf.DUMMYFUNCTION("""COMPUTED_VALUE"""),41185.6666666666)</f>
        <v>41185.666666666599</v>
      </c>
      <c r="B1955" s="1">
        <f ca="1">IFERROR(__xludf.DUMMYFUNCTION("""COMPUTED_VALUE"""),29.86)</f>
        <v>29.86</v>
      </c>
    </row>
    <row r="1956" spans="1:2">
      <c r="A1956" s="3">
        <f ca="1">IFERROR(__xludf.DUMMYFUNCTION("""COMPUTED_VALUE"""),41186.6666666666)</f>
        <v>41186.666666666599</v>
      </c>
      <c r="B1956" s="1">
        <f ca="1">IFERROR(__xludf.DUMMYFUNCTION("""COMPUTED_VALUE"""),30.03)</f>
        <v>30.03</v>
      </c>
    </row>
    <row r="1957" spans="1:2">
      <c r="A1957" s="3">
        <f ca="1">IFERROR(__xludf.DUMMYFUNCTION("""COMPUTED_VALUE"""),41187.6666666666)</f>
        <v>41187.666666666599</v>
      </c>
      <c r="B1957" s="1">
        <f ca="1">IFERROR(__xludf.DUMMYFUNCTION("""COMPUTED_VALUE"""),29.85)</f>
        <v>29.85</v>
      </c>
    </row>
    <row r="1958" spans="1:2">
      <c r="A1958" s="3">
        <f ca="1">IFERROR(__xludf.DUMMYFUNCTION("""COMPUTED_VALUE"""),41190.6666666666)</f>
        <v>41190.666666666599</v>
      </c>
      <c r="B1958" s="1">
        <f ca="1">IFERROR(__xludf.DUMMYFUNCTION("""COMPUTED_VALUE"""),29.78)</f>
        <v>29.78</v>
      </c>
    </row>
    <row r="1959" spans="1:2">
      <c r="A1959" s="3">
        <f ca="1">IFERROR(__xludf.DUMMYFUNCTION("""COMPUTED_VALUE"""),41191.6666666666)</f>
        <v>41191.666666666599</v>
      </c>
      <c r="B1959" s="1">
        <f ca="1">IFERROR(__xludf.DUMMYFUNCTION("""COMPUTED_VALUE"""),29.28)</f>
        <v>29.28</v>
      </c>
    </row>
    <row r="1960" spans="1:2">
      <c r="A1960" s="3">
        <f ca="1">IFERROR(__xludf.DUMMYFUNCTION("""COMPUTED_VALUE"""),41192.6666666666)</f>
        <v>41192.666666666599</v>
      </c>
      <c r="B1960" s="1">
        <f ca="1">IFERROR(__xludf.DUMMYFUNCTION("""COMPUTED_VALUE"""),28.98)</f>
        <v>28.98</v>
      </c>
    </row>
    <row r="1961" spans="1:2">
      <c r="A1961" s="3">
        <f ca="1">IFERROR(__xludf.DUMMYFUNCTION("""COMPUTED_VALUE"""),41193.6666666666)</f>
        <v>41193.666666666599</v>
      </c>
      <c r="B1961" s="1">
        <f ca="1">IFERROR(__xludf.DUMMYFUNCTION("""COMPUTED_VALUE"""),28.95)</f>
        <v>28.95</v>
      </c>
    </row>
    <row r="1962" spans="1:2">
      <c r="A1962" s="3">
        <f ca="1">IFERROR(__xludf.DUMMYFUNCTION("""COMPUTED_VALUE"""),41194.6666666666)</f>
        <v>41194.666666666599</v>
      </c>
      <c r="B1962" s="1">
        <f ca="1">IFERROR(__xludf.DUMMYFUNCTION("""COMPUTED_VALUE"""),29.2)</f>
        <v>29.2</v>
      </c>
    </row>
    <row r="1963" spans="1:2">
      <c r="A1963" s="3">
        <f ca="1">IFERROR(__xludf.DUMMYFUNCTION("""COMPUTED_VALUE"""),41197.6666666666)</f>
        <v>41197.666666666599</v>
      </c>
      <c r="B1963" s="1">
        <f ca="1">IFERROR(__xludf.DUMMYFUNCTION("""COMPUTED_VALUE"""),29.51)</f>
        <v>29.51</v>
      </c>
    </row>
    <row r="1964" spans="1:2">
      <c r="A1964" s="3">
        <f ca="1">IFERROR(__xludf.DUMMYFUNCTION("""COMPUTED_VALUE"""),41198.6666666666)</f>
        <v>41198.666666666599</v>
      </c>
      <c r="B1964" s="1">
        <f ca="1">IFERROR(__xludf.DUMMYFUNCTION("""COMPUTED_VALUE"""),29.49)</f>
        <v>29.49</v>
      </c>
    </row>
    <row r="1965" spans="1:2">
      <c r="A1965" s="3">
        <f ca="1">IFERROR(__xludf.DUMMYFUNCTION("""COMPUTED_VALUE"""),41199.6666666666)</f>
        <v>41199.666666666599</v>
      </c>
      <c r="B1965" s="1">
        <f ca="1">IFERROR(__xludf.DUMMYFUNCTION("""COMPUTED_VALUE"""),29.59)</f>
        <v>29.59</v>
      </c>
    </row>
    <row r="1966" spans="1:2">
      <c r="A1966" s="3">
        <f ca="1">IFERROR(__xludf.DUMMYFUNCTION("""COMPUTED_VALUE"""),41200.6666666666)</f>
        <v>41200.666666666599</v>
      </c>
      <c r="B1966" s="1">
        <f ca="1">IFERROR(__xludf.DUMMYFUNCTION("""COMPUTED_VALUE"""),29.5)</f>
        <v>29.5</v>
      </c>
    </row>
    <row r="1967" spans="1:2">
      <c r="A1967" s="3">
        <f ca="1">IFERROR(__xludf.DUMMYFUNCTION("""COMPUTED_VALUE"""),41201.6666666666)</f>
        <v>41201.666666666599</v>
      </c>
      <c r="B1967" s="1">
        <f ca="1">IFERROR(__xludf.DUMMYFUNCTION("""COMPUTED_VALUE"""),28.64)</f>
        <v>28.64</v>
      </c>
    </row>
    <row r="1968" spans="1:2">
      <c r="A1968" s="3">
        <f ca="1">IFERROR(__xludf.DUMMYFUNCTION("""COMPUTED_VALUE"""),41204.6666666666)</f>
        <v>41204.666666666599</v>
      </c>
      <c r="B1968" s="1">
        <f ca="1">IFERROR(__xludf.DUMMYFUNCTION("""COMPUTED_VALUE"""),28)</f>
        <v>28</v>
      </c>
    </row>
    <row r="1969" spans="1:2">
      <c r="A1969" s="3">
        <f ca="1">IFERROR(__xludf.DUMMYFUNCTION("""COMPUTED_VALUE"""),41205.6666666666)</f>
        <v>41205.666666666599</v>
      </c>
      <c r="B1969" s="1">
        <f ca="1">IFERROR(__xludf.DUMMYFUNCTION("""COMPUTED_VALUE"""),28.05)</f>
        <v>28.05</v>
      </c>
    </row>
    <row r="1970" spans="1:2">
      <c r="A1970" s="3">
        <f ca="1">IFERROR(__xludf.DUMMYFUNCTION("""COMPUTED_VALUE"""),41206.6666666666)</f>
        <v>41206.666666666599</v>
      </c>
      <c r="B1970" s="1">
        <f ca="1">IFERROR(__xludf.DUMMYFUNCTION("""COMPUTED_VALUE"""),27.9)</f>
        <v>27.9</v>
      </c>
    </row>
    <row r="1971" spans="1:2">
      <c r="A1971" s="3">
        <f ca="1">IFERROR(__xludf.DUMMYFUNCTION("""COMPUTED_VALUE"""),41207.6666666666)</f>
        <v>41207.666666666599</v>
      </c>
      <c r="B1971" s="1">
        <f ca="1">IFERROR(__xludf.DUMMYFUNCTION("""COMPUTED_VALUE"""),27.88)</f>
        <v>27.88</v>
      </c>
    </row>
    <row r="1972" spans="1:2">
      <c r="A1972" s="3">
        <f ca="1">IFERROR(__xludf.DUMMYFUNCTION("""COMPUTED_VALUE"""),41208.6666666666)</f>
        <v>41208.666666666599</v>
      </c>
      <c r="B1972" s="1">
        <f ca="1">IFERROR(__xludf.DUMMYFUNCTION("""COMPUTED_VALUE"""),28.21)</f>
        <v>28.21</v>
      </c>
    </row>
    <row r="1973" spans="1:2">
      <c r="A1973" s="3">
        <f ca="1">IFERROR(__xludf.DUMMYFUNCTION("""COMPUTED_VALUE"""),41213.6666666666)</f>
        <v>41213.666666666599</v>
      </c>
      <c r="B1973" s="1">
        <f ca="1">IFERROR(__xludf.DUMMYFUNCTION("""COMPUTED_VALUE"""),28.54)</f>
        <v>28.54</v>
      </c>
    </row>
    <row r="1974" spans="1:2">
      <c r="A1974" s="3">
        <f ca="1">IFERROR(__xludf.DUMMYFUNCTION("""COMPUTED_VALUE"""),41214.6666666666)</f>
        <v>41214.666666666599</v>
      </c>
      <c r="B1974" s="1">
        <f ca="1">IFERROR(__xludf.DUMMYFUNCTION("""COMPUTED_VALUE"""),29.52)</f>
        <v>29.52</v>
      </c>
    </row>
    <row r="1975" spans="1:2">
      <c r="A1975" s="3">
        <f ca="1">IFERROR(__xludf.DUMMYFUNCTION("""COMPUTED_VALUE"""),41215.6666666666)</f>
        <v>41215.666666666599</v>
      </c>
      <c r="B1975" s="1">
        <f ca="1">IFERROR(__xludf.DUMMYFUNCTION("""COMPUTED_VALUE"""),29.5)</f>
        <v>29.5</v>
      </c>
    </row>
    <row r="1976" spans="1:2">
      <c r="A1976" s="3">
        <f ca="1">IFERROR(__xludf.DUMMYFUNCTION("""COMPUTED_VALUE"""),41218.6666666666)</f>
        <v>41218.666666666599</v>
      </c>
      <c r="B1976" s="1">
        <f ca="1">IFERROR(__xludf.DUMMYFUNCTION("""COMPUTED_VALUE"""),29.63)</f>
        <v>29.63</v>
      </c>
    </row>
    <row r="1977" spans="1:2">
      <c r="A1977" s="3">
        <f ca="1">IFERROR(__xludf.DUMMYFUNCTION("""COMPUTED_VALUE"""),41219.6666666666)</f>
        <v>41219.666666666599</v>
      </c>
      <c r="B1977" s="1">
        <f ca="1">IFERROR(__xludf.DUMMYFUNCTION("""COMPUTED_VALUE"""),29.86)</f>
        <v>29.86</v>
      </c>
    </row>
    <row r="1978" spans="1:2">
      <c r="A1978" s="3">
        <f ca="1">IFERROR(__xludf.DUMMYFUNCTION("""COMPUTED_VALUE"""),41220.6666666666)</f>
        <v>41220.666666666599</v>
      </c>
      <c r="B1978" s="1">
        <f ca="1">IFERROR(__xludf.DUMMYFUNCTION("""COMPUTED_VALUE"""),29.08)</f>
        <v>29.08</v>
      </c>
    </row>
    <row r="1979" spans="1:2">
      <c r="A1979" s="3">
        <f ca="1">IFERROR(__xludf.DUMMYFUNCTION("""COMPUTED_VALUE"""),41221.6666666666)</f>
        <v>41221.666666666599</v>
      </c>
      <c r="B1979" s="1">
        <f ca="1">IFERROR(__xludf.DUMMYFUNCTION("""COMPUTED_VALUE"""),28.81)</f>
        <v>28.81</v>
      </c>
    </row>
    <row r="1980" spans="1:2">
      <c r="A1980" s="3">
        <f ca="1">IFERROR(__xludf.DUMMYFUNCTION("""COMPUTED_VALUE"""),41222.6666666666)</f>
        <v>41222.666666666599</v>
      </c>
      <c r="B1980" s="1">
        <f ca="1">IFERROR(__xludf.DUMMYFUNCTION("""COMPUTED_VALUE"""),28.83)</f>
        <v>28.83</v>
      </c>
    </row>
    <row r="1981" spans="1:2">
      <c r="A1981" s="3">
        <f ca="1">IFERROR(__xludf.DUMMYFUNCTION("""COMPUTED_VALUE"""),41225.6666666666)</f>
        <v>41225.666666666599</v>
      </c>
      <c r="B1981" s="1">
        <f ca="1">IFERROR(__xludf.DUMMYFUNCTION("""COMPUTED_VALUE"""),28.22)</f>
        <v>28.22</v>
      </c>
    </row>
    <row r="1982" spans="1:2">
      <c r="A1982" s="3">
        <f ca="1">IFERROR(__xludf.DUMMYFUNCTION("""COMPUTED_VALUE"""),41226.6666666666)</f>
        <v>41226.666666666599</v>
      </c>
      <c r="B1982" s="1">
        <f ca="1">IFERROR(__xludf.DUMMYFUNCTION("""COMPUTED_VALUE"""),27.09)</f>
        <v>27.09</v>
      </c>
    </row>
    <row r="1983" spans="1:2">
      <c r="A1983" s="3">
        <f ca="1">IFERROR(__xludf.DUMMYFUNCTION("""COMPUTED_VALUE"""),41227.6666666666)</f>
        <v>41227.666666666599</v>
      </c>
      <c r="B1983" s="1">
        <f ca="1">IFERROR(__xludf.DUMMYFUNCTION("""COMPUTED_VALUE"""),26.84)</f>
        <v>26.84</v>
      </c>
    </row>
    <row r="1984" spans="1:2">
      <c r="A1984" s="3">
        <f ca="1">IFERROR(__xludf.DUMMYFUNCTION("""COMPUTED_VALUE"""),41228.6666666666)</f>
        <v>41228.666666666599</v>
      </c>
      <c r="B1984" s="1">
        <f ca="1">IFERROR(__xludf.DUMMYFUNCTION("""COMPUTED_VALUE"""),26.66)</f>
        <v>26.66</v>
      </c>
    </row>
    <row r="1985" spans="1:2">
      <c r="A1985" s="3">
        <f ca="1">IFERROR(__xludf.DUMMYFUNCTION("""COMPUTED_VALUE"""),41229.6666666666)</f>
        <v>41229.666666666599</v>
      </c>
      <c r="B1985" s="1">
        <f ca="1">IFERROR(__xludf.DUMMYFUNCTION("""COMPUTED_VALUE"""),26.52)</f>
        <v>26.52</v>
      </c>
    </row>
    <row r="1986" spans="1:2">
      <c r="A1986" s="3">
        <f ca="1">IFERROR(__xludf.DUMMYFUNCTION("""COMPUTED_VALUE"""),41232.6666666666)</f>
        <v>41232.666666666599</v>
      </c>
      <c r="B1986" s="1">
        <f ca="1">IFERROR(__xludf.DUMMYFUNCTION("""COMPUTED_VALUE"""),26.73)</f>
        <v>26.73</v>
      </c>
    </row>
    <row r="1987" spans="1:2">
      <c r="A1987" s="3">
        <f ca="1">IFERROR(__xludf.DUMMYFUNCTION("""COMPUTED_VALUE"""),41233.6666666666)</f>
        <v>41233.666666666599</v>
      </c>
      <c r="B1987" s="1">
        <f ca="1">IFERROR(__xludf.DUMMYFUNCTION("""COMPUTED_VALUE"""),26.71)</f>
        <v>26.71</v>
      </c>
    </row>
    <row r="1988" spans="1:2">
      <c r="A1988" s="3">
        <f ca="1">IFERROR(__xludf.DUMMYFUNCTION("""COMPUTED_VALUE"""),41234.6666666666)</f>
        <v>41234.666666666599</v>
      </c>
      <c r="B1988" s="1">
        <f ca="1">IFERROR(__xludf.DUMMYFUNCTION("""COMPUTED_VALUE"""),26.95)</f>
        <v>26.95</v>
      </c>
    </row>
    <row r="1989" spans="1:2">
      <c r="A1989" s="3">
        <f ca="1">IFERROR(__xludf.DUMMYFUNCTION("""COMPUTED_VALUE"""),41236.6666666666)</f>
        <v>41236.666666666599</v>
      </c>
      <c r="B1989" s="1">
        <f ca="1">IFERROR(__xludf.DUMMYFUNCTION("""COMPUTED_VALUE"""),27.7)</f>
        <v>27.7</v>
      </c>
    </row>
    <row r="1990" spans="1:2">
      <c r="A1990" s="3">
        <f ca="1">IFERROR(__xludf.DUMMYFUNCTION("""COMPUTED_VALUE"""),41239.6666666666)</f>
        <v>41239.666666666599</v>
      </c>
      <c r="B1990" s="1">
        <f ca="1">IFERROR(__xludf.DUMMYFUNCTION("""COMPUTED_VALUE"""),27.39)</f>
        <v>27.39</v>
      </c>
    </row>
    <row r="1991" spans="1:2">
      <c r="A1991" s="3">
        <f ca="1">IFERROR(__xludf.DUMMYFUNCTION("""COMPUTED_VALUE"""),41240.6666666666)</f>
        <v>41240.666666666599</v>
      </c>
      <c r="B1991" s="1">
        <f ca="1">IFERROR(__xludf.DUMMYFUNCTION("""COMPUTED_VALUE"""),27.08)</f>
        <v>27.08</v>
      </c>
    </row>
    <row r="1992" spans="1:2">
      <c r="A1992" s="3">
        <f ca="1">IFERROR(__xludf.DUMMYFUNCTION("""COMPUTED_VALUE"""),41241.6666666666)</f>
        <v>41241.666666666599</v>
      </c>
      <c r="B1992" s="1">
        <f ca="1">IFERROR(__xludf.DUMMYFUNCTION("""COMPUTED_VALUE"""),27.36)</f>
        <v>27.36</v>
      </c>
    </row>
    <row r="1993" spans="1:2">
      <c r="A1993" s="3">
        <f ca="1">IFERROR(__xludf.DUMMYFUNCTION("""COMPUTED_VALUE"""),41242.6666666666)</f>
        <v>41242.666666666599</v>
      </c>
      <c r="B1993" s="1">
        <f ca="1">IFERROR(__xludf.DUMMYFUNCTION("""COMPUTED_VALUE"""),26.95)</f>
        <v>26.95</v>
      </c>
    </row>
    <row r="1994" spans="1:2">
      <c r="A1994" s="3">
        <f ca="1">IFERROR(__xludf.DUMMYFUNCTION("""COMPUTED_VALUE"""),41243.6666666666)</f>
        <v>41243.666666666599</v>
      </c>
      <c r="B1994" s="1">
        <f ca="1">IFERROR(__xludf.DUMMYFUNCTION("""COMPUTED_VALUE"""),26.62)</f>
        <v>26.62</v>
      </c>
    </row>
    <row r="1995" spans="1:2">
      <c r="A1995" s="3">
        <f ca="1">IFERROR(__xludf.DUMMYFUNCTION("""COMPUTED_VALUE"""),41246.6666666666)</f>
        <v>41246.666666666599</v>
      </c>
      <c r="B1995" s="1">
        <f ca="1">IFERROR(__xludf.DUMMYFUNCTION("""COMPUTED_VALUE"""),26.43)</f>
        <v>26.43</v>
      </c>
    </row>
    <row r="1996" spans="1:2">
      <c r="A1996" s="3">
        <f ca="1">IFERROR(__xludf.DUMMYFUNCTION("""COMPUTED_VALUE"""),41247.6666666666)</f>
        <v>41247.666666666599</v>
      </c>
      <c r="B1996" s="1">
        <f ca="1">IFERROR(__xludf.DUMMYFUNCTION("""COMPUTED_VALUE"""),26.37)</f>
        <v>26.37</v>
      </c>
    </row>
    <row r="1997" spans="1:2">
      <c r="A1997" s="3">
        <f ca="1">IFERROR(__xludf.DUMMYFUNCTION("""COMPUTED_VALUE"""),41248.6666666666)</f>
        <v>41248.666666666599</v>
      </c>
      <c r="B1997" s="1">
        <f ca="1">IFERROR(__xludf.DUMMYFUNCTION("""COMPUTED_VALUE"""),26.67)</f>
        <v>26.67</v>
      </c>
    </row>
    <row r="1998" spans="1:2">
      <c r="A1998" s="3">
        <f ca="1">IFERROR(__xludf.DUMMYFUNCTION("""COMPUTED_VALUE"""),41249.6666666666)</f>
        <v>41249.666666666599</v>
      </c>
      <c r="B1998" s="1">
        <f ca="1">IFERROR(__xludf.DUMMYFUNCTION("""COMPUTED_VALUE"""),26.73)</f>
        <v>26.73</v>
      </c>
    </row>
    <row r="1999" spans="1:2">
      <c r="A1999" s="3">
        <f ca="1">IFERROR(__xludf.DUMMYFUNCTION("""COMPUTED_VALUE"""),41250.6666666666)</f>
        <v>41250.666666666599</v>
      </c>
      <c r="B1999" s="1">
        <f ca="1">IFERROR(__xludf.DUMMYFUNCTION("""COMPUTED_VALUE"""),26.46)</f>
        <v>26.46</v>
      </c>
    </row>
    <row r="2000" spans="1:2">
      <c r="A2000" s="3">
        <f ca="1">IFERROR(__xludf.DUMMYFUNCTION("""COMPUTED_VALUE"""),41253.6666666666)</f>
        <v>41253.666666666599</v>
      </c>
      <c r="B2000" s="1">
        <f ca="1">IFERROR(__xludf.DUMMYFUNCTION("""COMPUTED_VALUE"""),26.94)</f>
        <v>26.94</v>
      </c>
    </row>
    <row r="2001" spans="1:2">
      <c r="A2001" s="3">
        <f ca="1">IFERROR(__xludf.DUMMYFUNCTION("""COMPUTED_VALUE"""),41254.6666666666)</f>
        <v>41254.666666666599</v>
      </c>
      <c r="B2001" s="1">
        <f ca="1">IFERROR(__xludf.DUMMYFUNCTION("""COMPUTED_VALUE"""),27.32)</f>
        <v>27.32</v>
      </c>
    </row>
    <row r="2002" spans="1:2">
      <c r="A2002" s="3">
        <f ca="1">IFERROR(__xludf.DUMMYFUNCTION("""COMPUTED_VALUE"""),41255.6666666666)</f>
        <v>41255.666666666599</v>
      </c>
      <c r="B2002" s="1">
        <f ca="1">IFERROR(__xludf.DUMMYFUNCTION("""COMPUTED_VALUE"""),27.24)</f>
        <v>27.24</v>
      </c>
    </row>
    <row r="2003" spans="1:2">
      <c r="A2003" s="3">
        <f ca="1">IFERROR(__xludf.DUMMYFUNCTION("""COMPUTED_VALUE"""),41256.6666666666)</f>
        <v>41256.666666666599</v>
      </c>
      <c r="B2003" s="1">
        <f ca="1">IFERROR(__xludf.DUMMYFUNCTION("""COMPUTED_VALUE"""),27.11)</f>
        <v>27.11</v>
      </c>
    </row>
    <row r="2004" spans="1:2">
      <c r="A2004" s="3">
        <f ca="1">IFERROR(__xludf.DUMMYFUNCTION("""COMPUTED_VALUE"""),41257.6666666666)</f>
        <v>41257.666666666599</v>
      </c>
      <c r="B2004" s="1">
        <f ca="1">IFERROR(__xludf.DUMMYFUNCTION("""COMPUTED_VALUE"""),26.81)</f>
        <v>26.81</v>
      </c>
    </row>
    <row r="2005" spans="1:2">
      <c r="A2005" s="3">
        <f ca="1">IFERROR(__xludf.DUMMYFUNCTION("""COMPUTED_VALUE"""),41260.6666666666)</f>
        <v>41260.666666666599</v>
      </c>
      <c r="B2005" s="1">
        <f ca="1">IFERROR(__xludf.DUMMYFUNCTION("""COMPUTED_VALUE"""),27.1)</f>
        <v>27.1</v>
      </c>
    </row>
    <row r="2006" spans="1:2">
      <c r="A2006" s="3">
        <f ca="1">IFERROR(__xludf.DUMMYFUNCTION("""COMPUTED_VALUE"""),41261.6666666666)</f>
        <v>41261.666666666599</v>
      </c>
      <c r="B2006" s="1">
        <f ca="1">IFERROR(__xludf.DUMMYFUNCTION("""COMPUTED_VALUE"""),27.56)</f>
        <v>27.56</v>
      </c>
    </row>
    <row r="2007" spans="1:2">
      <c r="A2007" s="3">
        <f ca="1">IFERROR(__xludf.DUMMYFUNCTION("""COMPUTED_VALUE"""),41262.6666666666)</f>
        <v>41262.666666666599</v>
      </c>
      <c r="B2007" s="1">
        <f ca="1">IFERROR(__xludf.DUMMYFUNCTION("""COMPUTED_VALUE"""),27.31)</f>
        <v>27.31</v>
      </c>
    </row>
    <row r="2008" spans="1:2">
      <c r="A2008" s="3">
        <f ca="1">IFERROR(__xludf.DUMMYFUNCTION("""COMPUTED_VALUE"""),41263.6666666666)</f>
        <v>41263.666666666599</v>
      </c>
      <c r="B2008" s="1">
        <f ca="1">IFERROR(__xludf.DUMMYFUNCTION("""COMPUTED_VALUE"""),27.68)</f>
        <v>27.68</v>
      </c>
    </row>
    <row r="2009" spans="1:2">
      <c r="A2009" s="3">
        <f ca="1">IFERROR(__xludf.DUMMYFUNCTION("""COMPUTED_VALUE"""),41264.6666666666)</f>
        <v>41264.666666666599</v>
      </c>
      <c r="B2009" s="1">
        <f ca="1">IFERROR(__xludf.DUMMYFUNCTION("""COMPUTED_VALUE"""),27.45)</f>
        <v>27.45</v>
      </c>
    </row>
    <row r="2010" spans="1:2">
      <c r="A2010" s="3">
        <f ca="1">IFERROR(__xludf.DUMMYFUNCTION("""COMPUTED_VALUE"""),41267.6666666666)</f>
        <v>41267.666666666599</v>
      </c>
      <c r="B2010" s="1">
        <f ca="1">IFERROR(__xludf.DUMMYFUNCTION("""COMPUTED_VALUE"""),27.06)</f>
        <v>27.06</v>
      </c>
    </row>
    <row r="2011" spans="1:2">
      <c r="A2011" s="3">
        <f ca="1">IFERROR(__xludf.DUMMYFUNCTION("""COMPUTED_VALUE"""),41269.6666666666)</f>
        <v>41269.666666666599</v>
      </c>
      <c r="B2011" s="1">
        <f ca="1">IFERROR(__xludf.DUMMYFUNCTION("""COMPUTED_VALUE"""),26.86)</f>
        <v>26.86</v>
      </c>
    </row>
    <row r="2012" spans="1:2">
      <c r="A2012" s="3">
        <f ca="1">IFERROR(__xludf.DUMMYFUNCTION("""COMPUTED_VALUE"""),41270.6666666666)</f>
        <v>41270.666666666599</v>
      </c>
      <c r="B2012" s="1">
        <f ca="1">IFERROR(__xludf.DUMMYFUNCTION("""COMPUTED_VALUE"""),26.96)</f>
        <v>26.96</v>
      </c>
    </row>
    <row r="2013" spans="1:2">
      <c r="A2013" s="3">
        <f ca="1">IFERROR(__xludf.DUMMYFUNCTION("""COMPUTED_VALUE"""),41271.6666666666)</f>
        <v>41271.666666666599</v>
      </c>
      <c r="B2013" s="1">
        <f ca="1">IFERROR(__xludf.DUMMYFUNCTION("""COMPUTED_VALUE"""),26.55)</f>
        <v>26.55</v>
      </c>
    </row>
    <row r="2014" spans="1:2">
      <c r="A2014" s="3">
        <f ca="1">IFERROR(__xludf.DUMMYFUNCTION("""COMPUTED_VALUE"""),41274.6666666666)</f>
        <v>41274.666666666599</v>
      </c>
      <c r="B2014" s="1">
        <f ca="1">IFERROR(__xludf.DUMMYFUNCTION("""COMPUTED_VALUE"""),26.71)</f>
        <v>26.71</v>
      </c>
    </row>
    <row r="2015" spans="1:2">
      <c r="A2015" s="3">
        <f ca="1">IFERROR(__xludf.DUMMYFUNCTION("""COMPUTED_VALUE"""),41276.6666666666)</f>
        <v>41276.666666666599</v>
      </c>
      <c r="B2015" s="1">
        <f ca="1">IFERROR(__xludf.DUMMYFUNCTION("""COMPUTED_VALUE"""),27.62)</f>
        <v>27.62</v>
      </c>
    </row>
    <row r="2016" spans="1:2">
      <c r="A2016" s="3">
        <f ca="1">IFERROR(__xludf.DUMMYFUNCTION("""COMPUTED_VALUE"""),41277.6666666666)</f>
        <v>41277.666666666599</v>
      </c>
      <c r="B2016" s="1">
        <f ca="1">IFERROR(__xludf.DUMMYFUNCTION("""COMPUTED_VALUE"""),27.25)</f>
        <v>27.25</v>
      </c>
    </row>
    <row r="2017" spans="1:2">
      <c r="A2017" s="3">
        <f ca="1">IFERROR(__xludf.DUMMYFUNCTION("""COMPUTED_VALUE"""),41278.6666666666)</f>
        <v>41278.666666666599</v>
      </c>
      <c r="B2017" s="1">
        <f ca="1">IFERROR(__xludf.DUMMYFUNCTION("""COMPUTED_VALUE"""),26.74)</f>
        <v>26.74</v>
      </c>
    </row>
    <row r="2018" spans="1:2">
      <c r="A2018" s="3">
        <f ca="1">IFERROR(__xludf.DUMMYFUNCTION("""COMPUTED_VALUE"""),41281.6666666666)</f>
        <v>41281.666666666599</v>
      </c>
      <c r="B2018" s="1">
        <f ca="1">IFERROR(__xludf.DUMMYFUNCTION("""COMPUTED_VALUE"""),26.69)</f>
        <v>26.69</v>
      </c>
    </row>
    <row r="2019" spans="1:2">
      <c r="A2019" s="3">
        <f ca="1">IFERROR(__xludf.DUMMYFUNCTION("""COMPUTED_VALUE"""),41282.6666666666)</f>
        <v>41282.666666666599</v>
      </c>
      <c r="B2019" s="1">
        <f ca="1">IFERROR(__xludf.DUMMYFUNCTION("""COMPUTED_VALUE"""),26.55)</f>
        <v>26.55</v>
      </c>
    </row>
    <row r="2020" spans="1:2">
      <c r="A2020" s="3">
        <f ca="1">IFERROR(__xludf.DUMMYFUNCTION("""COMPUTED_VALUE"""),41283.6666666666)</f>
        <v>41283.666666666599</v>
      </c>
      <c r="B2020" s="1">
        <f ca="1">IFERROR(__xludf.DUMMYFUNCTION("""COMPUTED_VALUE"""),26.7)</f>
        <v>26.7</v>
      </c>
    </row>
    <row r="2021" spans="1:2">
      <c r="A2021" s="3">
        <f ca="1">IFERROR(__xludf.DUMMYFUNCTION("""COMPUTED_VALUE"""),41284.6666666666)</f>
        <v>41284.666666666599</v>
      </c>
      <c r="B2021" s="1">
        <f ca="1">IFERROR(__xludf.DUMMYFUNCTION("""COMPUTED_VALUE"""),26.46)</f>
        <v>26.46</v>
      </c>
    </row>
    <row r="2022" spans="1:2">
      <c r="A2022" s="3">
        <f ca="1">IFERROR(__xludf.DUMMYFUNCTION("""COMPUTED_VALUE"""),41285.6666666666)</f>
        <v>41285.666666666599</v>
      </c>
      <c r="B2022" s="1">
        <f ca="1">IFERROR(__xludf.DUMMYFUNCTION("""COMPUTED_VALUE"""),26.83)</f>
        <v>26.83</v>
      </c>
    </row>
    <row r="2023" spans="1:2">
      <c r="A2023" s="3">
        <f ca="1">IFERROR(__xludf.DUMMYFUNCTION("""COMPUTED_VALUE"""),41288.6666666666)</f>
        <v>41288.666666666599</v>
      </c>
      <c r="B2023" s="1">
        <f ca="1">IFERROR(__xludf.DUMMYFUNCTION("""COMPUTED_VALUE"""),26.89)</f>
        <v>26.89</v>
      </c>
    </row>
    <row r="2024" spans="1:2">
      <c r="A2024" s="3">
        <f ca="1">IFERROR(__xludf.DUMMYFUNCTION("""COMPUTED_VALUE"""),41289.6666666666)</f>
        <v>41289.666666666599</v>
      </c>
      <c r="B2024" s="1">
        <f ca="1">IFERROR(__xludf.DUMMYFUNCTION("""COMPUTED_VALUE"""),27.21)</f>
        <v>27.21</v>
      </c>
    </row>
    <row r="2025" spans="1:2">
      <c r="A2025" s="3">
        <f ca="1">IFERROR(__xludf.DUMMYFUNCTION("""COMPUTED_VALUE"""),41290.6666666666)</f>
        <v>41290.666666666599</v>
      </c>
      <c r="B2025" s="1">
        <f ca="1">IFERROR(__xludf.DUMMYFUNCTION("""COMPUTED_VALUE"""),27.04)</f>
        <v>27.04</v>
      </c>
    </row>
    <row r="2026" spans="1:2">
      <c r="A2026" s="3">
        <f ca="1">IFERROR(__xludf.DUMMYFUNCTION("""COMPUTED_VALUE"""),41291.6666666666)</f>
        <v>41291.666666666599</v>
      </c>
      <c r="B2026" s="1">
        <f ca="1">IFERROR(__xludf.DUMMYFUNCTION("""COMPUTED_VALUE"""),27.25)</f>
        <v>27.25</v>
      </c>
    </row>
    <row r="2027" spans="1:2">
      <c r="A2027" s="3">
        <f ca="1">IFERROR(__xludf.DUMMYFUNCTION("""COMPUTED_VALUE"""),41292.6666666666)</f>
        <v>41292.666666666599</v>
      </c>
      <c r="B2027" s="1">
        <f ca="1">IFERROR(__xludf.DUMMYFUNCTION("""COMPUTED_VALUE"""),27.25)</f>
        <v>27.25</v>
      </c>
    </row>
    <row r="2028" spans="1:2">
      <c r="A2028" s="3">
        <f ca="1">IFERROR(__xludf.DUMMYFUNCTION("""COMPUTED_VALUE"""),41296.6666666666)</f>
        <v>41296.666666666599</v>
      </c>
      <c r="B2028" s="1">
        <f ca="1">IFERROR(__xludf.DUMMYFUNCTION("""COMPUTED_VALUE"""),27.15)</f>
        <v>27.15</v>
      </c>
    </row>
    <row r="2029" spans="1:2">
      <c r="A2029" s="3">
        <f ca="1">IFERROR(__xludf.DUMMYFUNCTION("""COMPUTED_VALUE"""),41297.6666666666)</f>
        <v>41297.666666666599</v>
      </c>
      <c r="B2029" s="1">
        <f ca="1">IFERROR(__xludf.DUMMYFUNCTION("""COMPUTED_VALUE"""),27.61)</f>
        <v>27.61</v>
      </c>
    </row>
    <row r="2030" spans="1:2">
      <c r="A2030" s="3">
        <f ca="1">IFERROR(__xludf.DUMMYFUNCTION("""COMPUTED_VALUE"""),41298.6666666666)</f>
        <v>41298.666666666599</v>
      </c>
      <c r="B2030" s="1">
        <f ca="1">IFERROR(__xludf.DUMMYFUNCTION("""COMPUTED_VALUE"""),27.63)</f>
        <v>27.63</v>
      </c>
    </row>
    <row r="2031" spans="1:2">
      <c r="A2031" s="3">
        <f ca="1">IFERROR(__xludf.DUMMYFUNCTION("""COMPUTED_VALUE"""),41299.6666666666)</f>
        <v>41299.666666666599</v>
      </c>
      <c r="B2031" s="1">
        <f ca="1">IFERROR(__xludf.DUMMYFUNCTION("""COMPUTED_VALUE"""),27.88)</f>
        <v>27.88</v>
      </c>
    </row>
    <row r="2032" spans="1:2">
      <c r="A2032" s="3">
        <f ca="1">IFERROR(__xludf.DUMMYFUNCTION("""COMPUTED_VALUE"""),41302.6666666666)</f>
        <v>41302.666666666599</v>
      </c>
      <c r="B2032" s="1">
        <f ca="1">IFERROR(__xludf.DUMMYFUNCTION("""COMPUTED_VALUE"""),27.91)</f>
        <v>27.91</v>
      </c>
    </row>
    <row r="2033" spans="1:2">
      <c r="A2033" s="3">
        <f ca="1">IFERROR(__xludf.DUMMYFUNCTION("""COMPUTED_VALUE"""),41303.6666666666)</f>
        <v>41303.666666666599</v>
      </c>
      <c r="B2033" s="1">
        <f ca="1">IFERROR(__xludf.DUMMYFUNCTION("""COMPUTED_VALUE"""),28.01)</f>
        <v>28.01</v>
      </c>
    </row>
    <row r="2034" spans="1:2">
      <c r="A2034" s="3">
        <f ca="1">IFERROR(__xludf.DUMMYFUNCTION("""COMPUTED_VALUE"""),41304.6666666666)</f>
        <v>41304.666666666599</v>
      </c>
      <c r="B2034" s="1">
        <f ca="1">IFERROR(__xludf.DUMMYFUNCTION("""COMPUTED_VALUE"""),27.85)</f>
        <v>27.85</v>
      </c>
    </row>
    <row r="2035" spans="1:2">
      <c r="A2035" s="3">
        <f ca="1">IFERROR(__xludf.DUMMYFUNCTION("""COMPUTED_VALUE"""),41305.6666666666)</f>
        <v>41305.666666666599</v>
      </c>
      <c r="B2035" s="1">
        <f ca="1">IFERROR(__xludf.DUMMYFUNCTION("""COMPUTED_VALUE"""),27.45)</f>
        <v>27.45</v>
      </c>
    </row>
    <row r="2036" spans="1:2">
      <c r="A2036" s="3">
        <f ca="1">IFERROR(__xludf.DUMMYFUNCTION("""COMPUTED_VALUE"""),41306.6666666666)</f>
        <v>41306.666666666599</v>
      </c>
      <c r="B2036" s="1">
        <f ca="1">IFERROR(__xludf.DUMMYFUNCTION("""COMPUTED_VALUE"""),27.93)</f>
        <v>27.93</v>
      </c>
    </row>
    <row r="2037" spans="1:2">
      <c r="A2037" s="3">
        <f ca="1">IFERROR(__xludf.DUMMYFUNCTION("""COMPUTED_VALUE"""),41309.6666666666)</f>
        <v>41309.666666666599</v>
      </c>
      <c r="B2037" s="1">
        <f ca="1">IFERROR(__xludf.DUMMYFUNCTION("""COMPUTED_VALUE"""),27.44)</f>
        <v>27.44</v>
      </c>
    </row>
    <row r="2038" spans="1:2">
      <c r="A2038" s="3">
        <f ca="1">IFERROR(__xludf.DUMMYFUNCTION("""COMPUTED_VALUE"""),41310.6666666666)</f>
        <v>41310.666666666599</v>
      </c>
      <c r="B2038" s="1">
        <f ca="1">IFERROR(__xludf.DUMMYFUNCTION("""COMPUTED_VALUE"""),27.5)</f>
        <v>27.5</v>
      </c>
    </row>
    <row r="2039" spans="1:2">
      <c r="A2039" s="3">
        <f ca="1">IFERROR(__xludf.DUMMYFUNCTION("""COMPUTED_VALUE"""),41311.6666666666)</f>
        <v>41311.666666666599</v>
      </c>
      <c r="B2039" s="1">
        <f ca="1">IFERROR(__xludf.DUMMYFUNCTION("""COMPUTED_VALUE"""),27.34)</f>
        <v>27.34</v>
      </c>
    </row>
    <row r="2040" spans="1:2">
      <c r="A2040" s="3">
        <f ca="1">IFERROR(__xludf.DUMMYFUNCTION("""COMPUTED_VALUE"""),41312.6666666666)</f>
        <v>41312.666666666599</v>
      </c>
      <c r="B2040" s="1">
        <f ca="1">IFERROR(__xludf.DUMMYFUNCTION("""COMPUTED_VALUE"""),27.28)</f>
        <v>27.28</v>
      </c>
    </row>
    <row r="2041" spans="1:2">
      <c r="A2041" s="3">
        <f ca="1">IFERROR(__xludf.DUMMYFUNCTION("""COMPUTED_VALUE"""),41313.6666666666)</f>
        <v>41313.666666666599</v>
      </c>
      <c r="B2041" s="1">
        <f ca="1">IFERROR(__xludf.DUMMYFUNCTION("""COMPUTED_VALUE"""),27.55)</f>
        <v>27.55</v>
      </c>
    </row>
    <row r="2042" spans="1:2">
      <c r="A2042" s="3">
        <f ca="1">IFERROR(__xludf.DUMMYFUNCTION("""COMPUTED_VALUE"""),41316.6666666666)</f>
        <v>41316.666666666599</v>
      </c>
      <c r="B2042" s="1">
        <f ca="1">IFERROR(__xludf.DUMMYFUNCTION("""COMPUTED_VALUE"""),27.86)</f>
        <v>27.86</v>
      </c>
    </row>
    <row r="2043" spans="1:2">
      <c r="A2043" s="3">
        <f ca="1">IFERROR(__xludf.DUMMYFUNCTION("""COMPUTED_VALUE"""),41317.6666666666)</f>
        <v>41317.666666666599</v>
      </c>
      <c r="B2043" s="1">
        <f ca="1">IFERROR(__xludf.DUMMYFUNCTION("""COMPUTED_VALUE"""),27.88)</f>
        <v>27.88</v>
      </c>
    </row>
    <row r="2044" spans="1:2">
      <c r="A2044" s="3">
        <f ca="1">IFERROR(__xludf.DUMMYFUNCTION("""COMPUTED_VALUE"""),41318.6666666666)</f>
        <v>41318.666666666599</v>
      </c>
      <c r="B2044" s="1">
        <f ca="1">IFERROR(__xludf.DUMMYFUNCTION("""COMPUTED_VALUE"""),28.03)</f>
        <v>28.03</v>
      </c>
    </row>
    <row r="2045" spans="1:2">
      <c r="A2045" s="3">
        <f ca="1">IFERROR(__xludf.DUMMYFUNCTION("""COMPUTED_VALUE"""),41319.6666666666)</f>
        <v>41319.666666666599</v>
      </c>
      <c r="B2045" s="1">
        <f ca="1">IFERROR(__xludf.DUMMYFUNCTION("""COMPUTED_VALUE"""),28.04)</f>
        <v>28.04</v>
      </c>
    </row>
    <row r="2046" spans="1:2">
      <c r="A2046" s="3">
        <f ca="1">IFERROR(__xludf.DUMMYFUNCTION("""COMPUTED_VALUE"""),41320.6666666666)</f>
        <v>41320.666666666599</v>
      </c>
      <c r="B2046" s="1">
        <f ca="1">IFERROR(__xludf.DUMMYFUNCTION("""COMPUTED_VALUE"""),28.01)</f>
        <v>28.01</v>
      </c>
    </row>
    <row r="2047" spans="1:2">
      <c r="A2047" s="3">
        <f ca="1">IFERROR(__xludf.DUMMYFUNCTION("""COMPUTED_VALUE"""),41324.6666666666)</f>
        <v>41324.666666666599</v>
      </c>
      <c r="B2047" s="1">
        <f ca="1">IFERROR(__xludf.DUMMYFUNCTION("""COMPUTED_VALUE"""),28.05)</f>
        <v>28.05</v>
      </c>
    </row>
    <row r="2048" spans="1:2">
      <c r="A2048" s="3">
        <f ca="1">IFERROR(__xludf.DUMMYFUNCTION("""COMPUTED_VALUE"""),41325.6666666666)</f>
        <v>41325.666666666599</v>
      </c>
      <c r="B2048" s="1">
        <f ca="1">IFERROR(__xludf.DUMMYFUNCTION("""COMPUTED_VALUE"""),27.87)</f>
        <v>27.87</v>
      </c>
    </row>
    <row r="2049" spans="1:2">
      <c r="A2049" s="3">
        <f ca="1">IFERROR(__xludf.DUMMYFUNCTION("""COMPUTED_VALUE"""),41326.6666666666)</f>
        <v>41326.666666666599</v>
      </c>
      <c r="B2049" s="1">
        <f ca="1">IFERROR(__xludf.DUMMYFUNCTION("""COMPUTED_VALUE"""),27.49)</f>
        <v>27.49</v>
      </c>
    </row>
    <row r="2050" spans="1:2">
      <c r="A2050" s="3">
        <f ca="1">IFERROR(__xludf.DUMMYFUNCTION("""COMPUTED_VALUE"""),41327.6666666666)</f>
        <v>41327.666666666599</v>
      </c>
      <c r="B2050" s="1">
        <f ca="1">IFERROR(__xludf.DUMMYFUNCTION("""COMPUTED_VALUE"""),27.76)</f>
        <v>27.76</v>
      </c>
    </row>
    <row r="2051" spans="1:2">
      <c r="A2051" s="3">
        <f ca="1">IFERROR(__xludf.DUMMYFUNCTION("""COMPUTED_VALUE"""),41330.6666666666)</f>
        <v>41330.666666666599</v>
      </c>
      <c r="B2051" s="1">
        <f ca="1">IFERROR(__xludf.DUMMYFUNCTION("""COMPUTED_VALUE"""),27.37)</f>
        <v>27.37</v>
      </c>
    </row>
    <row r="2052" spans="1:2">
      <c r="A2052" s="3">
        <f ca="1">IFERROR(__xludf.DUMMYFUNCTION("""COMPUTED_VALUE"""),41331.6666666666)</f>
        <v>41331.666666666599</v>
      </c>
      <c r="B2052" s="1">
        <f ca="1">IFERROR(__xludf.DUMMYFUNCTION("""COMPUTED_VALUE"""),27.37)</f>
        <v>27.37</v>
      </c>
    </row>
    <row r="2053" spans="1:2">
      <c r="A2053" s="3">
        <f ca="1">IFERROR(__xludf.DUMMYFUNCTION("""COMPUTED_VALUE"""),41332.6666666666)</f>
        <v>41332.666666666599</v>
      </c>
      <c r="B2053" s="1">
        <f ca="1">IFERROR(__xludf.DUMMYFUNCTION("""COMPUTED_VALUE"""),27.81)</f>
        <v>27.81</v>
      </c>
    </row>
    <row r="2054" spans="1:2">
      <c r="A2054" s="3">
        <f ca="1">IFERROR(__xludf.DUMMYFUNCTION("""COMPUTED_VALUE"""),41333.6666666666)</f>
        <v>41333.666666666599</v>
      </c>
      <c r="B2054" s="1">
        <f ca="1">IFERROR(__xludf.DUMMYFUNCTION("""COMPUTED_VALUE"""),27.8)</f>
        <v>27.8</v>
      </c>
    </row>
    <row r="2055" spans="1:2">
      <c r="A2055" s="3">
        <f ca="1">IFERROR(__xludf.DUMMYFUNCTION("""COMPUTED_VALUE"""),41334.6666666666)</f>
        <v>41334.666666666599</v>
      </c>
      <c r="B2055" s="1">
        <f ca="1">IFERROR(__xludf.DUMMYFUNCTION("""COMPUTED_VALUE"""),27.95)</f>
        <v>27.95</v>
      </c>
    </row>
    <row r="2056" spans="1:2">
      <c r="A2056" s="3">
        <f ca="1">IFERROR(__xludf.DUMMYFUNCTION("""COMPUTED_VALUE"""),41337.6666666666)</f>
        <v>41337.666666666599</v>
      </c>
      <c r="B2056" s="1">
        <f ca="1">IFERROR(__xludf.DUMMYFUNCTION("""COMPUTED_VALUE"""),28.15)</f>
        <v>28.15</v>
      </c>
    </row>
    <row r="2057" spans="1:2">
      <c r="A2057" s="3">
        <f ca="1">IFERROR(__xludf.DUMMYFUNCTION("""COMPUTED_VALUE"""),41338.6666666666)</f>
        <v>41338.666666666599</v>
      </c>
      <c r="B2057" s="1">
        <f ca="1">IFERROR(__xludf.DUMMYFUNCTION("""COMPUTED_VALUE"""),28.35)</f>
        <v>28.35</v>
      </c>
    </row>
    <row r="2058" spans="1:2">
      <c r="A2058" s="3">
        <f ca="1">IFERROR(__xludf.DUMMYFUNCTION("""COMPUTED_VALUE"""),41339.6666666666)</f>
        <v>41339.666666666599</v>
      </c>
      <c r="B2058" s="1">
        <f ca="1">IFERROR(__xludf.DUMMYFUNCTION("""COMPUTED_VALUE"""),28.09)</f>
        <v>28.09</v>
      </c>
    </row>
    <row r="2059" spans="1:2">
      <c r="A2059" s="3">
        <f ca="1">IFERROR(__xludf.DUMMYFUNCTION("""COMPUTED_VALUE"""),41340.6666666666)</f>
        <v>41340.666666666599</v>
      </c>
      <c r="B2059" s="1">
        <f ca="1">IFERROR(__xludf.DUMMYFUNCTION("""COMPUTED_VALUE"""),28.14)</f>
        <v>28.14</v>
      </c>
    </row>
    <row r="2060" spans="1:2">
      <c r="A2060" s="3">
        <f ca="1">IFERROR(__xludf.DUMMYFUNCTION("""COMPUTED_VALUE"""),41341.6666666666)</f>
        <v>41341.666666666599</v>
      </c>
      <c r="B2060" s="1">
        <f ca="1">IFERROR(__xludf.DUMMYFUNCTION("""COMPUTED_VALUE"""),28)</f>
        <v>28</v>
      </c>
    </row>
    <row r="2061" spans="1:2">
      <c r="A2061" s="3">
        <f ca="1">IFERROR(__xludf.DUMMYFUNCTION("""COMPUTED_VALUE"""),41344.6666666666)</f>
        <v>41344.666666666599</v>
      </c>
      <c r="B2061" s="1">
        <f ca="1">IFERROR(__xludf.DUMMYFUNCTION("""COMPUTED_VALUE"""),27.87)</f>
        <v>27.87</v>
      </c>
    </row>
    <row r="2062" spans="1:2">
      <c r="A2062" s="3">
        <f ca="1">IFERROR(__xludf.DUMMYFUNCTION("""COMPUTED_VALUE"""),41345.6666666666)</f>
        <v>41345.666666666599</v>
      </c>
      <c r="B2062" s="1">
        <f ca="1">IFERROR(__xludf.DUMMYFUNCTION("""COMPUTED_VALUE"""),27.91)</f>
        <v>27.91</v>
      </c>
    </row>
    <row r="2063" spans="1:2">
      <c r="A2063" s="3">
        <f ca="1">IFERROR(__xludf.DUMMYFUNCTION("""COMPUTED_VALUE"""),41346.6666666666)</f>
        <v>41346.666666666599</v>
      </c>
      <c r="B2063" s="1">
        <f ca="1">IFERROR(__xludf.DUMMYFUNCTION("""COMPUTED_VALUE"""),27.92)</f>
        <v>27.92</v>
      </c>
    </row>
    <row r="2064" spans="1:2">
      <c r="A2064" s="3">
        <f ca="1">IFERROR(__xludf.DUMMYFUNCTION("""COMPUTED_VALUE"""),41347.6666666666)</f>
        <v>41347.666666666599</v>
      </c>
      <c r="B2064" s="1">
        <f ca="1">IFERROR(__xludf.DUMMYFUNCTION("""COMPUTED_VALUE"""),28.14)</f>
        <v>28.14</v>
      </c>
    </row>
    <row r="2065" spans="1:2">
      <c r="A2065" s="3">
        <f ca="1">IFERROR(__xludf.DUMMYFUNCTION("""COMPUTED_VALUE"""),41348.6666666666)</f>
        <v>41348.666666666599</v>
      </c>
      <c r="B2065" s="1">
        <f ca="1">IFERROR(__xludf.DUMMYFUNCTION("""COMPUTED_VALUE"""),28.04)</f>
        <v>28.04</v>
      </c>
    </row>
    <row r="2066" spans="1:2">
      <c r="A2066" s="3">
        <f ca="1">IFERROR(__xludf.DUMMYFUNCTION("""COMPUTED_VALUE"""),41351.6666666666)</f>
        <v>41351.666666666599</v>
      </c>
      <c r="B2066" s="1">
        <f ca="1">IFERROR(__xludf.DUMMYFUNCTION("""COMPUTED_VALUE"""),28.1)</f>
        <v>28.1</v>
      </c>
    </row>
    <row r="2067" spans="1:2">
      <c r="A2067" s="3">
        <f ca="1">IFERROR(__xludf.DUMMYFUNCTION("""COMPUTED_VALUE"""),41352.6666666666)</f>
        <v>41352.666666666599</v>
      </c>
      <c r="B2067" s="1">
        <f ca="1">IFERROR(__xludf.DUMMYFUNCTION("""COMPUTED_VALUE"""),28.18)</f>
        <v>28.18</v>
      </c>
    </row>
    <row r="2068" spans="1:2">
      <c r="A2068" s="3">
        <f ca="1">IFERROR(__xludf.DUMMYFUNCTION("""COMPUTED_VALUE"""),41353.6666666666)</f>
        <v>41353.666666666599</v>
      </c>
      <c r="B2068" s="1">
        <f ca="1">IFERROR(__xludf.DUMMYFUNCTION("""COMPUTED_VALUE"""),28.32)</f>
        <v>28.32</v>
      </c>
    </row>
    <row r="2069" spans="1:2">
      <c r="A2069" s="3">
        <f ca="1">IFERROR(__xludf.DUMMYFUNCTION("""COMPUTED_VALUE"""),41354.6666666666)</f>
        <v>41354.666666666599</v>
      </c>
      <c r="B2069" s="1">
        <f ca="1">IFERROR(__xludf.DUMMYFUNCTION("""COMPUTED_VALUE"""),28.11)</f>
        <v>28.11</v>
      </c>
    </row>
    <row r="2070" spans="1:2">
      <c r="A2070" s="3">
        <f ca="1">IFERROR(__xludf.DUMMYFUNCTION("""COMPUTED_VALUE"""),41355.6666666666)</f>
        <v>41355.666666666599</v>
      </c>
      <c r="B2070" s="1">
        <f ca="1">IFERROR(__xludf.DUMMYFUNCTION("""COMPUTED_VALUE"""),28.25)</f>
        <v>28.25</v>
      </c>
    </row>
    <row r="2071" spans="1:2">
      <c r="A2071" s="3">
        <f ca="1">IFERROR(__xludf.DUMMYFUNCTION("""COMPUTED_VALUE"""),41358.6666666666)</f>
        <v>41358.666666666599</v>
      </c>
      <c r="B2071" s="1">
        <f ca="1">IFERROR(__xludf.DUMMYFUNCTION("""COMPUTED_VALUE"""),28.16)</f>
        <v>28.16</v>
      </c>
    </row>
    <row r="2072" spans="1:2">
      <c r="A2072" s="3">
        <f ca="1">IFERROR(__xludf.DUMMYFUNCTION("""COMPUTED_VALUE"""),41359.6666666666)</f>
        <v>41359.666666666599</v>
      </c>
      <c r="B2072" s="1">
        <f ca="1">IFERROR(__xludf.DUMMYFUNCTION("""COMPUTED_VALUE"""),28.16)</f>
        <v>28.16</v>
      </c>
    </row>
    <row r="2073" spans="1:2">
      <c r="A2073" s="3">
        <f ca="1">IFERROR(__xludf.DUMMYFUNCTION("""COMPUTED_VALUE"""),41360.6666666666)</f>
        <v>41360.666666666599</v>
      </c>
      <c r="B2073" s="1">
        <f ca="1">IFERROR(__xludf.DUMMYFUNCTION("""COMPUTED_VALUE"""),28.37)</f>
        <v>28.37</v>
      </c>
    </row>
    <row r="2074" spans="1:2">
      <c r="A2074" s="3">
        <f ca="1">IFERROR(__xludf.DUMMYFUNCTION("""COMPUTED_VALUE"""),41361.6666666666)</f>
        <v>41361.666666666599</v>
      </c>
      <c r="B2074" s="1">
        <f ca="1">IFERROR(__xludf.DUMMYFUNCTION("""COMPUTED_VALUE"""),28.61)</f>
        <v>28.61</v>
      </c>
    </row>
    <row r="2075" spans="1:2">
      <c r="A2075" s="3">
        <f ca="1">IFERROR(__xludf.DUMMYFUNCTION("""COMPUTED_VALUE"""),41365.6666666666)</f>
        <v>41365.666666666599</v>
      </c>
      <c r="B2075" s="1">
        <f ca="1">IFERROR(__xludf.DUMMYFUNCTION("""COMPUTED_VALUE"""),28.61)</f>
        <v>28.61</v>
      </c>
    </row>
    <row r="2076" spans="1:2">
      <c r="A2076" s="3">
        <f ca="1">IFERROR(__xludf.DUMMYFUNCTION("""COMPUTED_VALUE"""),41366.6666666666)</f>
        <v>41366.666666666599</v>
      </c>
      <c r="B2076" s="1">
        <f ca="1">IFERROR(__xludf.DUMMYFUNCTION("""COMPUTED_VALUE"""),28.8)</f>
        <v>28.8</v>
      </c>
    </row>
    <row r="2077" spans="1:2">
      <c r="A2077" s="3">
        <f ca="1">IFERROR(__xludf.DUMMYFUNCTION("""COMPUTED_VALUE"""),41367.6666666666)</f>
        <v>41367.666666666599</v>
      </c>
      <c r="B2077" s="1">
        <f ca="1">IFERROR(__xludf.DUMMYFUNCTION("""COMPUTED_VALUE"""),28.56)</f>
        <v>28.56</v>
      </c>
    </row>
    <row r="2078" spans="1:2">
      <c r="A2078" s="3">
        <f ca="1">IFERROR(__xludf.DUMMYFUNCTION("""COMPUTED_VALUE"""),41368.6666666666)</f>
        <v>41368.666666666599</v>
      </c>
      <c r="B2078" s="1">
        <f ca="1">IFERROR(__xludf.DUMMYFUNCTION("""COMPUTED_VALUE"""),28.6)</f>
        <v>28.6</v>
      </c>
    </row>
    <row r="2079" spans="1:2">
      <c r="A2079" s="3">
        <f ca="1">IFERROR(__xludf.DUMMYFUNCTION("""COMPUTED_VALUE"""),41369.6666666666)</f>
        <v>41369.666666666599</v>
      </c>
      <c r="B2079" s="1">
        <f ca="1">IFERROR(__xludf.DUMMYFUNCTION("""COMPUTED_VALUE"""),28.7)</f>
        <v>28.7</v>
      </c>
    </row>
    <row r="2080" spans="1:2">
      <c r="A2080" s="3">
        <f ca="1">IFERROR(__xludf.DUMMYFUNCTION("""COMPUTED_VALUE"""),41372.6666666666)</f>
        <v>41372.666666666599</v>
      </c>
      <c r="B2080" s="1">
        <f ca="1">IFERROR(__xludf.DUMMYFUNCTION("""COMPUTED_VALUE"""),28.59)</f>
        <v>28.59</v>
      </c>
    </row>
    <row r="2081" spans="1:2">
      <c r="A2081" s="3">
        <f ca="1">IFERROR(__xludf.DUMMYFUNCTION("""COMPUTED_VALUE"""),41373.6666666666)</f>
        <v>41373.666666666599</v>
      </c>
      <c r="B2081" s="1">
        <f ca="1">IFERROR(__xludf.DUMMYFUNCTION("""COMPUTED_VALUE"""),29.61)</f>
        <v>29.61</v>
      </c>
    </row>
    <row r="2082" spans="1:2">
      <c r="A2082" s="3">
        <f ca="1">IFERROR(__xludf.DUMMYFUNCTION("""COMPUTED_VALUE"""),41374.6666666666)</f>
        <v>41374.666666666599</v>
      </c>
      <c r="B2082" s="1">
        <f ca="1">IFERROR(__xludf.DUMMYFUNCTION("""COMPUTED_VALUE"""),30.28)</f>
        <v>30.28</v>
      </c>
    </row>
    <row r="2083" spans="1:2">
      <c r="A2083" s="3">
        <f ca="1">IFERROR(__xludf.DUMMYFUNCTION("""COMPUTED_VALUE"""),41375.6666666666)</f>
        <v>41375.666666666599</v>
      </c>
      <c r="B2083" s="1">
        <f ca="1">IFERROR(__xludf.DUMMYFUNCTION("""COMPUTED_VALUE"""),28.94)</f>
        <v>28.94</v>
      </c>
    </row>
    <row r="2084" spans="1:2">
      <c r="A2084" s="3">
        <f ca="1">IFERROR(__xludf.DUMMYFUNCTION("""COMPUTED_VALUE"""),41376.6666666666)</f>
        <v>41376.666666666599</v>
      </c>
      <c r="B2084" s="1">
        <f ca="1">IFERROR(__xludf.DUMMYFUNCTION("""COMPUTED_VALUE"""),28.79)</f>
        <v>28.79</v>
      </c>
    </row>
    <row r="2085" spans="1:2">
      <c r="A2085" s="3">
        <f ca="1">IFERROR(__xludf.DUMMYFUNCTION("""COMPUTED_VALUE"""),41379.6666666666)</f>
        <v>41379.666666666599</v>
      </c>
      <c r="B2085" s="1">
        <f ca="1">IFERROR(__xludf.DUMMYFUNCTION("""COMPUTED_VALUE"""),28.69)</f>
        <v>28.69</v>
      </c>
    </row>
    <row r="2086" spans="1:2">
      <c r="A2086" s="3">
        <f ca="1">IFERROR(__xludf.DUMMYFUNCTION("""COMPUTED_VALUE"""),41380.6666666666)</f>
        <v>41380.666666666599</v>
      </c>
      <c r="B2086" s="1">
        <f ca="1">IFERROR(__xludf.DUMMYFUNCTION("""COMPUTED_VALUE"""),28.97)</f>
        <v>28.97</v>
      </c>
    </row>
    <row r="2087" spans="1:2">
      <c r="A2087" s="3">
        <f ca="1">IFERROR(__xludf.DUMMYFUNCTION("""COMPUTED_VALUE"""),41381.6666666666)</f>
        <v>41381.666666666599</v>
      </c>
      <c r="B2087" s="1">
        <f ca="1">IFERROR(__xludf.DUMMYFUNCTION("""COMPUTED_VALUE"""),28.83)</f>
        <v>28.83</v>
      </c>
    </row>
    <row r="2088" spans="1:2">
      <c r="A2088" s="3">
        <f ca="1">IFERROR(__xludf.DUMMYFUNCTION("""COMPUTED_VALUE"""),41382.6666666666)</f>
        <v>41382.666666666599</v>
      </c>
      <c r="B2088" s="1">
        <f ca="1">IFERROR(__xludf.DUMMYFUNCTION("""COMPUTED_VALUE"""),28.79)</f>
        <v>28.79</v>
      </c>
    </row>
    <row r="2089" spans="1:2">
      <c r="A2089" s="3">
        <f ca="1">IFERROR(__xludf.DUMMYFUNCTION("""COMPUTED_VALUE"""),41383.6666666666)</f>
        <v>41383.666666666599</v>
      </c>
      <c r="B2089" s="1">
        <f ca="1">IFERROR(__xludf.DUMMYFUNCTION("""COMPUTED_VALUE"""),29.77)</f>
        <v>29.77</v>
      </c>
    </row>
    <row r="2090" spans="1:2">
      <c r="A2090" s="3">
        <f ca="1">IFERROR(__xludf.DUMMYFUNCTION("""COMPUTED_VALUE"""),41386.6666666666)</f>
        <v>41386.666666666599</v>
      </c>
      <c r="B2090" s="1">
        <f ca="1">IFERROR(__xludf.DUMMYFUNCTION("""COMPUTED_VALUE"""),30.83)</f>
        <v>30.83</v>
      </c>
    </row>
    <row r="2091" spans="1:2">
      <c r="A2091" s="3">
        <f ca="1">IFERROR(__xludf.DUMMYFUNCTION("""COMPUTED_VALUE"""),41387.6666666666)</f>
        <v>41387.666666666599</v>
      </c>
      <c r="B2091" s="1">
        <f ca="1">IFERROR(__xludf.DUMMYFUNCTION("""COMPUTED_VALUE"""),30.6)</f>
        <v>30.6</v>
      </c>
    </row>
    <row r="2092" spans="1:2">
      <c r="A2092" s="3">
        <f ca="1">IFERROR(__xludf.DUMMYFUNCTION("""COMPUTED_VALUE"""),41388.6666666666)</f>
        <v>41388.666666666599</v>
      </c>
      <c r="B2092" s="1">
        <f ca="1">IFERROR(__xludf.DUMMYFUNCTION("""COMPUTED_VALUE"""),31.76)</f>
        <v>31.76</v>
      </c>
    </row>
    <row r="2093" spans="1:2">
      <c r="A2093" s="3">
        <f ca="1">IFERROR(__xludf.DUMMYFUNCTION("""COMPUTED_VALUE"""),41389.6666666666)</f>
        <v>41389.666666666599</v>
      </c>
      <c r="B2093" s="1">
        <f ca="1">IFERROR(__xludf.DUMMYFUNCTION("""COMPUTED_VALUE"""),31.94)</f>
        <v>31.94</v>
      </c>
    </row>
    <row r="2094" spans="1:2">
      <c r="A2094" s="3">
        <f ca="1">IFERROR(__xludf.DUMMYFUNCTION("""COMPUTED_VALUE"""),41390.6666666666)</f>
        <v>41390.666666666599</v>
      </c>
      <c r="B2094" s="1">
        <f ca="1">IFERROR(__xludf.DUMMYFUNCTION("""COMPUTED_VALUE"""),31.79)</f>
        <v>31.79</v>
      </c>
    </row>
    <row r="2095" spans="1:2">
      <c r="A2095" s="3">
        <f ca="1">IFERROR(__xludf.DUMMYFUNCTION("""COMPUTED_VALUE"""),41393.6666666666)</f>
        <v>41393.666666666599</v>
      </c>
      <c r="B2095" s="1">
        <f ca="1">IFERROR(__xludf.DUMMYFUNCTION("""COMPUTED_VALUE"""),32.61)</f>
        <v>32.61</v>
      </c>
    </row>
    <row r="2096" spans="1:2">
      <c r="A2096" s="3">
        <f ca="1">IFERROR(__xludf.DUMMYFUNCTION("""COMPUTED_VALUE"""),41394.6666666666)</f>
        <v>41394.666666666599</v>
      </c>
      <c r="B2096" s="1">
        <f ca="1">IFERROR(__xludf.DUMMYFUNCTION("""COMPUTED_VALUE"""),33.1)</f>
        <v>33.1</v>
      </c>
    </row>
    <row r="2097" spans="1:2">
      <c r="A2097" s="3">
        <f ca="1">IFERROR(__xludf.DUMMYFUNCTION("""COMPUTED_VALUE"""),41395.6666666666)</f>
        <v>41395.666666666599</v>
      </c>
      <c r="B2097" s="1">
        <f ca="1">IFERROR(__xludf.DUMMYFUNCTION("""COMPUTED_VALUE"""),32.72)</f>
        <v>32.72</v>
      </c>
    </row>
    <row r="2098" spans="1:2">
      <c r="A2098" s="3">
        <f ca="1">IFERROR(__xludf.DUMMYFUNCTION("""COMPUTED_VALUE"""),41396.6666666666)</f>
        <v>41396.666666666599</v>
      </c>
      <c r="B2098" s="1">
        <f ca="1">IFERROR(__xludf.DUMMYFUNCTION("""COMPUTED_VALUE"""),33.16)</f>
        <v>33.159999999999997</v>
      </c>
    </row>
    <row r="2099" spans="1:2">
      <c r="A2099" s="3">
        <f ca="1">IFERROR(__xludf.DUMMYFUNCTION("""COMPUTED_VALUE"""),41397.6666666666)</f>
        <v>41397.666666666599</v>
      </c>
      <c r="B2099" s="1">
        <f ca="1">IFERROR(__xludf.DUMMYFUNCTION("""COMPUTED_VALUE"""),33.49)</f>
        <v>33.49</v>
      </c>
    </row>
    <row r="2100" spans="1:2">
      <c r="A2100" s="3">
        <f ca="1">IFERROR(__xludf.DUMMYFUNCTION("""COMPUTED_VALUE"""),41400.6666666666)</f>
        <v>41400.666666666599</v>
      </c>
      <c r="B2100" s="1">
        <f ca="1">IFERROR(__xludf.DUMMYFUNCTION("""COMPUTED_VALUE"""),33.75)</f>
        <v>33.75</v>
      </c>
    </row>
    <row r="2101" spans="1:2">
      <c r="A2101" s="3">
        <f ca="1">IFERROR(__xludf.DUMMYFUNCTION("""COMPUTED_VALUE"""),41401.6666666666)</f>
        <v>41401.666666666599</v>
      </c>
      <c r="B2101" s="1">
        <f ca="1">IFERROR(__xludf.DUMMYFUNCTION("""COMPUTED_VALUE"""),33.31)</f>
        <v>33.31</v>
      </c>
    </row>
    <row r="2102" spans="1:2">
      <c r="A2102" s="3">
        <f ca="1">IFERROR(__xludf.DUMMYFUNCTION("""COMPUTED_VALUE"""),41402.6666666666)</f>
        <v>41402.666666666599</v>
      </c>
      <c r="B2102" s="1">
        <f ca="1">IFERROR(__xludf.DUMMYFUNCTION("""COMPUTED_VALUE"""),32.99)</f>
        <v>32.99</v>
      </c>
    </row>
    <row r="2103" spans="1:2">
      <c r="A2103" s="3">
        <f ca="1">IFERROR(__xludf.DUMMYFUNCTION("""COMPUTED_VALUE"""),41403.6666666666)</f>
        <v>41403.666666666599</v>
      </c>
      <c r="B2103" s="1">
        <f ca="1">IFERROR(__xludf.DUMMYFUNCTION("""COMPUTED_VALUE"""),32.66)</f>
        <v>32.659999999999997</v>
      </c>
    </row>
    <row r="2104" spans="1:2">
      <c r="A2104" s="3">
        <f ca="1">IFERROR(__xludf.DUMMYFUNCTION("""COMPUTED_VALUE"""),41404.6666666666)</f>
        <v>41404.666666666599</v>
      </c>
      <c r="B2104" s="1">
        <f ca="1">IFERROR(__xludf.DUMMYFUNCTION("""COMPUTED_VALUE"""),32.69)</f>
        <v>32.69</v>
      </c>
    </row>
    <row r="2105" spans="1:2">
      <c r="A2105" s="3">
        <f ca="1">IFERROR(__xludf.DUMMYFUNCTION("""COMPUTED_VALUE"""),41407.6666666666)</f>
        <v>41407.666666666599</v>
      </c>
      <c r="B2105" s="1">
        <f ca="1">IFERROR(__xludf.DUMMYFUNCTION("""COMPUTED_VALUE"""),33.03)</f>
        <v>33.03</v>
      </c>
    </row>
    <row r="2106" spans="1:2">
      <c r="A2106" s="3">
        <f ca="1">IFERROR(__xludf.DUMMYFUNCTION("""COMPUTED_VALUE"""),41408.6666666666)</f>
        <v>41408.666666666599</v>
      </c>
      <c r="B2106" s="1">
        <f ca="1">IFERROR(__xludf.DUMMYFUNCTION("""COMPUTED_VALUE"""),33.53)</f>
        <v>33.53</v>
      </c>
    </row>
    <row r="2107" spans="1:2">
      <c r="A2107" s="3">
        <f ca="1">IFERROR(__xludf.DUMMYFUNCTION("""COMPUTED_VALUE"""),41409.6666666666)</f>
        <v>41409.666666666599</v>
      </c>
      <c r="B2107" s="1">
        <f ca="1">IFERROR(__xludf.DUMMYFUNCTION("""COMPUTED_VALUE"""),33.85)</f>
        <v>33.85</v>
      </c>
    </row>
    <row r="2108" spans="1:2">
      <c r="A2108" s="3">
        <f ca="1">IFERROR(__xludf.DUMMYFUNCTION("""COMPUTED_VALUE"""),41410.6666666666)</f>
        <v>41410.666666666599</v>
      </c>
      <c r="B2108" s="1">
        <f ca="1">IFERROR(__xludf.DUMMYFUNCTION("""COMPUTED_VALUE"""),34.08)</f>
        <v>34.08</v>
      </c>
    </row>
    <row r="2109" spans="1:2">
      <c r="A2109" s="3">
        <f ca="1">IFERROR(__xludf.DUMMYFUNCTION("""COMPUTED_VALUE"""),41411.6666666666)</f>
        <v>41411.666666666599</v>
      </c>
      <c r="B2109" s="1">
        <f ca="1">IFERROR(__xludf.DUMMYFUNCTION("""COMPUTED_VALUE"""),34.87)</f>
        <v>34.869999999999997</v>
      </c>
    </row>
    <row r="2110" spans="1:2">
      <c r="A2110" s="3">
        <f ca="1">IFERROR(__xludf.DUMMYFUNCTION("""COMPUTED_VALUE"""),41414.6666666666)</f>
        <v>41414.666666666599</v>
      </c>
      <c r="B2110" s="1">
        <f ca="1">IFERROR(__xludf.DUMMYFUNCTION("""COMPUTED_VALUE"""),35.08)</f>
        <v>35.08</v>
      </c>
    </row>
    <row r="2111" spans="1:2">
      <c r="A2111" s="3">
        <f ca="1">IFERROR(__xludf.DUMMYFUNCTION("""COMPUTED_VALUE"""),41415.6666666666)</f>
        <v>41415.666666666599</v>
      </c>
      <c r="B2111" s="1">
        <f ca="1">IFERROR(__xludf.DUMMYFUNCTION("""COMPUTED_VALUE"""),34.85)</f>
        <v>34.85</v>
      </c>
    </row>
    <row r="2112" spans="1:2">
      <c r="A2112" s="3">
        <f ca="1">IFERROR(__xludf.DUMMYFUNCTION("""COMPUTED_VALUE"""),41416.6666666666)</f>
        <v>41416.666666666599</v>
      </c>
      <c r="B2112" s="1">
        <f ca="1">IFERROR(__xludf.DUMMYFUNCTION("""COMPUTED_VALUE"""),34.61)</f>
        <v>34.61</v>
      </c>
    </row>
    <row r="2113" spans="1:2">
      <c r="A2113" s="3">
        <f ca="1">IFERROR(__xludf.DUMMYFUNCTION("""COMPUTED_VALUE"""),41417.6666666666)</f>
        <v>41417.666666666599</v>
      </c>
      <c r="B2113" s="1">
        <f ca="1">IFERROR(__xludf.DUMMYFUNCTION("""COMPUTED_VALUE"""),34.15)</f>
        <v>34.15</v>
      </c>
    </row>
    <row r="2114" spans="1:2">
      <c r="A2114" s="3">
        <f ca="1">IFERROR(__xludf.DUMMYFUNCTION("""COMPUTED_VALUE"""),41418.6666666666)</f>
        <v>41418.666666666599</v>
      </c>
      <c r="B2114" s="1">
        <f ca="1">IFERROR(__xludf.DUMMYFUNCTION("""COMPUTED_VALUE"""),34.27)</f>
        <v>34.270000000000003</v>
      </c>
    </row>
    <row r="2115" spans="1:2">
      <c r="A2115" s="3">
        <f ca="1">IFERROR(__xludf.DUMMYFUNCTION("""COMPUTED_VALUE"""),41422.6666666666)</f>
        <v>41422.666666666599</v>
      </c>
      <c r="B2115" s="1">
        <f ca="1">IFERROR(__xludf.DUMMYFUNCTION("""COMPUTED_VALUE"""),35.02)</f>
        <v>35.020000000000003</v>
      </c>
    </row>
    <row r="2116" spans="1:2">
      <c r="A2116" s="3">
        <f ca="1">IFERROR(__xludf.DUMMYFUNCTION("""COMPUTED_VALUE"""),41423.6666666666)</f>
        <v>41423.666666666599</v>
      </c>
      <c r="B2116" s="1">
        <f ca="1">IFERROR(__xludf.DUMMYFUNCTION("""COMPUTED_VALUE"""),34.88)</f>
        <v>34.880000000000003</v>
      </c>
    </row>
    <row r="2117" spans="1:2">
      <c r="A2117" s="3">
        <f ca="1">IFERROR(__xludf.DUMMYFUNCTION("""COMPUTED_VALUE"""),41424.6666666666)</f>
        <v>41424.666666666599</v>
      </c>
      <c r="B2117" s="1">
        <f ca="1">IFERROR(__xludf.DUMMYFUNCTION("""COMPUTED_VALUE"""),35.03)</f>
        <v>35.03</v>
      </c>
    </row>
    <row r="2118" spans="1:2">
      <c r="A2118" s="3">
        <f ca="1">IFERROR(__xludf.DUMMYFUNCTION("""COMPUTED_VALUE"""),41425.6666666666)</f>
        <v>41425.666666666599</v>
      </c>
      <c r="B2118" s="1">
        <f ca="1">IFERROR(__xludf.DUMMYFUNCTION("""COMPUTED_VALUE"""),34.9)</f>
        <v>34.9</v>
      </c>
    </row>
    <row r="2119" spans="1:2">
      <c r="A2119" s="3">
        <f ca="1">IFERROR(__xludf.DUMMYFUNCTION("""COMPUTED_VALUE"""),41428.6666666666)</f>
        <v>41428.666666666599</v>
      </c>
      <c r="B2119" s="1">
        <f ca="1">IFERROR(__xludf.DUMMYFUNCTION("""COMPUTED_VALUE"""),35.59)</f>
        <v>35.590000000000003</v>
      </c>
    </row>
    <row r="2120" spans="1:2">
      <c r="A2120" s="3">
        <f ca="1">IFERROR(__xludf.DUMMYFUNCTION("""COMPUTED_VALUE"""),41429.6666666666)</f>
        <v>41429.666666666599</v>
      </c>
      <c r="B2120" s="1">
        <f ca="1">IFERROR(__xludf.DUMMYFUNCTION("""COMPUTED_VALUE"""),34.99)</f>
        <v>34.99</v>
      </c>
    </row>
    <row r="2121" spans="1:2">
      <c r="A2121" s="3">
        <f ca="1">IFERROR(__xludf.DUMMYFUNCTION("""COMPUTED_VALUE"""),41430.6666666666)</f>
        <v>41430.666666666599</v>
      </c>
      <c r="B2121" s="1">
        <f ca="1">IFERROR(__xludf.DUMMYFUNCTION("""COMPUTED_VALUE"""),34.78)</f>
        <v>34.78</v>
      </c>
    </row>
    <row r="2122" spans="1:2">
      <c r="A2122" s="3">
        <f ca="1">IFERROR(__xludf.DUMMYFUNCTION("""COMPUTED_VALUE"""),41431.6666666666)</f>
        <v>41431.666666666599</v>
      </c>
      <c r="B2122" s="1">
        <f ca="1">IFERROR(__xludf.DUMMYFUNCTION("""COMPUTED_VALUE"""),34.96)</f>
        <v>34.96</v>
      </c>
    </row>
    <row r="2123" spans="1:2">
      <c r="A2123" s="3">
        <f ca="1">IFERROR(__xludf.DUMMYFUNCTION("""COMPUTED_VALUE"""),41432.6666666666)</f>
        <v>41432.666666666599</v>
      </c>
      <c r="B2123" s="1">
        <f ca="1">IFERROR(__xludf.DUMMYFUNCTION("""COMPUTED_VALUE"""),35.67)</f>
        <v>35.67</v>
      </c>
    </row>
    <row r="2124" spans="1:2">
      <c r="A2124" s="3">
        <f ca="1">IFERROR(__xludf.DUMMYFUNCTION("""COMPUTED_VALUE"""),41435.6666666666)</f>
        <v>41435.666666666599</v>
      </c>
      <c r="B2124" s="1">
        <f ca="1">IFERROR(__xludf.DUMMYFUNCTION("""COMPUTED_VALUE"""),35.47)</f>
        <v>35.47</v>
      </c>
    </row>
    <row r="2125" spans="1:2">
      <c r="A2125" s="3">
        <f ca="1">IFERROR(__xludf.DUMMYFUNCTION("""COMPUTED_VALUE"""),41436.6666666666)</f>
        <v>41436.666666666599</v>
      </c>
      <c r="B2125" s="1">
        <f ca="1">IFERROR(__xludf.DUMMYFUNCTION("""COMPUTED_VALUE"""),34.84)</f>
        <v>34.840000000000003</v>
      </c>
    </row>
    <row r="2126" spans="1:2">
      <c r="A2126" s="3">
        <f ca="1">IFERROR(__xludf.DUMMYFUNCTION("""COMPUTED_VALUE"""),41437.6666666666)</f>
        <v>41437.666666666599</v>
      </c>
      <c r="B2126" s="1">
        <f ca="1">IFERROR(__xludf.DUMMYFUNCTION("""COMPUTED_VALUE"""),35)</f>
        <v>35</v>
      </c>
    </row>
    <row r="2127" spans="1:2">
      <c r="A2127" s="3">
        <f ca="1">IFERROR(__xludf.DUMMYFUNCTION("""COMPUTED_VALUE"""),41438.6666666666)</f>
        <v>41438.666666666599</v>
      </c>
      <c r="B2127" s="1">
        <f ca="1">IFERROR(__xludf.DUMMYFUNCTION("""COMPUTED_VALUE"""),34.72)</f>
        <v>34.72</v>
      </c>
    </row>
    <row r="2128" spans="1:2">
      <c r="A2128" s="3">
        <f ca="1">IFERROR(__xludf.DUMMYFUNCTION("""COMPUTED_VALUE"""),41439.6666666666)</f>
        <v>41439.666666666599</v>
      </c>
      <c r="B2128" s="1">
        <f ca="1">IFERROR(__xludf.DUMMYFUNCTION("""COMPUTED_VALUE"""),34.4)</f>
        <v>34.4</v>
      </c>
    </row>
    <row r="2129" spans="1:2">
      <c r="A2129" s="3">
        <f ca="1">IFERROR(__xludf.DUMMYFUNCTION("""COMPUTED_VALUE"""),41442.6666666666)</f>
        <v>41442.666666666599</v>
      </c>
      <c r="B2129" s="1">
        <f ca="1">IFERROR(__xludf.DUMMYFUNCTION("""COMPUTED_VALUE"""),35)</f>
        <v>35</v>
      </c>
    </row>
    <row r="2130" spans="1:2">
      <c r="A2130" s="3">
        <f ca="1">IFERROR(__xludf.DUMMYFUNCTION("""COMPUTED_VALUE"""),41443.6666666666)</f>
        <v>41443.666666666599</v>
      </c>
      <c r="B2130" s="1">
        <f ca="1">IFERROR(__xludf.DUMMYFUNCTION("""COMPUTED_VALUE"""),34.98)</f>
        <v>34.979999999999997</v>
      </c>
    </row>
    <row r="2131" spans="1:2">
      <c r="A2131" s="3">
        <f ca="1">IFERROR(__xludf.DUMMYFUNCTION("""COMPUTED_VALUE"""),41444.6666666666)</f>
        <v>41444.666666666599</v>
      </c>
      <c r="B2131" s="1">
        <f ca="1">IFERROR(__xludf.DUMMYFUNCTION("""COMPUTED_VALUE"""),34.59)</f>
        <v>34.590000000000003</v>
      </c>
    </row>
    <row r="2132" spans="1:2">
      <c r="A2132" s="3">
        <f ca="1">IFERROR(__xludf.DUMMYFUNCTION("""COMPUTED_VALUE"""),41445.6666666666)</f>
        <v>41445.666666666599</v>
      </c>
      <c r="B2132" s="1">
        <f ca="1">IFERROR(__xludf.DUMMYFUNCTION("""COMPUTED_VALUE"""),33.49)</f>
        <v>33.49</v>
      </c>
    </row>
    <row r="2133" spans="1:2">
      <c r="A2133" s="3">
        <f ca="1">IFERROR(__xludf.DUMMYFUNCTION("""COMPUTED_VALUE"""),41446.6666666666)</f>
        <v>41446.666666666599</v>
      </c>
      <c r="B2133" s="1">
        <f ca="1">IFERROR(__xludf.DUMMYFUNCTION("""COMPUTED_VALUE"""),33.27)</f>
        <v>33.270000000000003</v>
      </c>
    </row>
    <row r="2134" spans="1:2">
      <c r="A2134" s="3">
        <f ca="1">IFERROR(__xludf.DUMMYFUNCTION("""COMPUTED_VALUE"""),41449.6666666666)</f>
        <v>41449.666666666599</v>
      </c>
      <c r="B2134" s="1">
        <f ca="1">IFERROR(__xludf.DUMMYFUNCTION("""COMPUTED_VALUE"""),33.72)</f>
        <v>33.72</v>
      </c>
    </row>
    <row r="2135" spans="1:2">
      <c r="A2135" s="3">
        <f ca="1">IFERROR(__xludf.DUMMYFUNCTION("""COMPUTED_VALUE"""),41450.6666666666)</f>
        <v>41450.666666666599</v>
      </c>
      <c r="B2135" s="1">
        <f ca="1">IFERROR(__xludf.DUMMYFUNCTION("""COMPUTED_VALUE"""),33.67)</f>
        <v>33.67</v>
      </c>
    </row>
    <row r="2136" spans="1:2">
      <c r="A2136" s="3">
        <f ca="1">IFERROR(__xludf.DUMMYFUNCTION("""COMPUTED_VALUE"""),41451.6666666666)</f>
        <v>41451.666666666599</v>
      </c>
      <c r="B2136" s="1">
        <f ca="1">IFERROR(__xludf.DUMMYFUNCTION("""COMPUTED_VALUE"""),34.35)</f>
        <v>34.35</v>
      </c>
    </row>
    <row r="2137" spans="1:2">
      <c r="A2137" s="3">
        <f ca="1">IFERROR(__xludf.DUMMYFUNCTION("""COMPUTED_VALUE"""),41452.6666666666)</f>
        <v>41452.666666666599</v>
      </c>
      <c r="B2137" s="1">
        <f ca="1">IFERROR(__xludf.DUMMYFUNCTION("""COMPUTED_VALUE"""),34.62)</f>
        <v>34.619999999999997</v>
      </c>
    </row>
    <row r="2138" spans="1:2">
      <c r="A2138" s="3">
        <f ca="1">IFERROR(__xludf.DUMMYFUNCTION("""COMPUTED_VALUE"""),41453.6666666666)</f>
        <v>41453.666666666599</v>
      </c>
      <c r="B2138" s="1">
        <f ca="1">IFERROR(__xludf.DUMMYFUNCTION("""COMPUTED_VALUE"""),34.54)</f>
        <v>34.54</v>
      </c>
    </row>
    <row r="2139" spans="1:2">
      <c r="A2139" s="3">
        <f ca="1">IFERROR(__xludf.DUMMYFUNCTION("""COMPUTED_VALUE"""),41456.6666666666)</f>
        <v>41456.666666666599</v>
      </c>
      <c r="B2139" s="1">
        <f ca="1">IFERROR(__xludf.DUMMYFUNCTION("""COMPUTED_VALUE"""),34.36)</f>
        <v>34.36</v>
      </c>
    </row>
    <row r="2140" spans="1:2">
      <c r="A2140" s="3">
        <f ca="1">IFERROR(__xludf.DUMMYFUNCTION("""COMPUTED_VALUE"""),41457.6666666666)</f>
        <v>41457.666666666599</v>
      </c>
      <c r="B2140" s="1">
        <f ca="1">IFERROR(__xludf.DUMMYFUNCTION("""COMPUTED_VALUE"""),33.94)</f>
        <v>33.94</v>
      </c>
    </row>
    <row r="2141" spans="1:2">
      <c r="A2141" s="3">
        <f ca="1">IFERROR(__xludf.DUMMYFUNCTION("""COMPUTED_VALUE"""),41458.6666666666)</f>
        <v>41458.666666666599</v>
      </c>
      <c r="B2141" s="1">
        <f ca="1">IFERROR(__xludf.DUMMYFUNCTION("""COMPUTED_VALUE"""),34.01)</f>
        <v>34.01</v>
      </c>
    </row>
    <row r="2142" spans="1:2">
      <c r="A2142" s="3">
        <f ca="1">IFERROR(__xludf.DUMMYFUNCTION("""COMPUTED_VALUE"""),41460.6666666666)</f>
        <v>41460.666666666599</v>
      </c>
      <c r="B2142" s="1">
        <f ca="1">IFERROR(__xludf.DUMMYFUNCTION("""COMPUTED_VALUE"""),34.21)</f>
        <v>34.21</v>
      </c>
    </row>
    <row r="2143" spans="1:2">
      <c r="A2143" s="3">
        <f ca="1">IFERROR(__xludf.DUMMYFUNCTION("""COMPUTED_VALUE"""),41463.6666666666)</f>
        <v>41463.666666666599</v>
      </c>
      <c r="B2143" s="1">
        <f ca="1">IFERROR(__xludf.DUMMYFUNCTION("""COMPUTED_VALUE"""),34.33)</f>
        <v>34.33</v>
      </c>
    </row>
    <row r="2144" spans="1:2">
      <c r="A2144" s="3">
        <f ca="1">IFERROR(__xludf.DUMMYFUNCTION("""COMPUTED_VALUE"""),41464.6666666666)</f>
        <v>41464.666666666599</v>
      </c>
      <c r="B2144" s="1">
        <f ca="1">IFERROR(__xludf.DUMMYFUNCTION("""COMPUTED_VALUE"""),34.35)</f>
        <v>34.35</v>
      </c>
    </row>
    <row r="2145" spans="1:2">
      <c r="A2145" s="3">
        <f ca="1">IFERROR(__xludf.DUMMYFUNCTION("""COMPUTED_VALUE"""),41465.6666666666)</f>
        <v>41465.666666666599</v>
      </c>
      <c r="B2145" s="1">
        <f ca="1">IFERROR(__xludf.DUMMYFUNCTION("""COMPUTED_VALUE"""),34.7)</f>
        <v>34.700000000000003</v>
      </c>
    </row>
    <row r="2146" spans="1:2">
      <c r="A2146" s="3">
        <f ca="1">IFERROR(__xludf.DUMMYFUNCTION("""COMPUTED_VALUE"""),41466.6666666666)</f>
        <v>41466.666666666599</v>
      </c>
      <c r="B2146" s="1">
        <f ca="1">IFERROR(__xludf.DUMMYFUNCTION("""COMPUTED_VALUE"""),35.69)</f>
        <v>35.69</v>
      </c>
    </row>
    <row r="2147" spans="1:2">
      <c r="A2147" s="3">
        <f ca="1">IFERROR(__xludf.DUMMYFUNCTION("""COMPUTED_VALUE"""),41467.6666666666)</f>
        <v>41467.666666666599</v>
      </c>
      <c r="B2147" s="1">
        <f ca="1">IFERROR(__xludf.DUMMYFUNCTION("""COMPUTED_VALUE"""),35.67)</f>
        <v>35.67</v>
      </c>
    </row>
    <row r="2148" spans="1:2">
      <c r="A2148" s="3">
        <f ca="1">IFERROR(__xludf.DUMMYFUNCTION("""COMPUTED_VALUE"""),41470.6666666666)</f>
        <v>41470.666666666599</v>
      </c>
      <c r="B2148" s="1">
        <f ca="1">IFERROR(__xludf.DUMMYFUNCTION("""COMPUTED_VALUE"""),36.17)</f>
        <v>36.17</v>
      </c>
    </row>
    <row r="2149" spans="1:2">
      <c r="A2149" s="3">
        <f ca="1">IFERROR(__xludf.DUMMYFUNCTION("""COMPUTED_VALUE"""),41471.6666666666)</f>
        <v>41471.666666666599</v>
      </c>
      <c r="B2149" s="1">
        <f ca="1">IFERROR(__xludf.DUMMYFUNCTION("""COMPUTED_VALUE"""),36.27)</f>
        <v>36.270000000000003</v>
      </c>
    </row>
    <row r="2150" spans="1:2">
      <c r="A2150" s="3">
        <f ca="1">IFERROR(__xludf.DUMMYFUNCTION("""COMPUTED_VALUE"""),41472.6666666666)</f>
        <v>41472.666666666599</v>
      </c>
      <c r="B2150" s="1">
        <f ca="1">IFERROR(__xludf.DUMMYFUNCTION("""COMPUTED_VALUE"""),35.74)</f>
        <v>35.74</v>
      </c>
    </row>
    <row r="2151" spans="1:2">
      <c r="A2151" s="3">
        <f ca="1">IFERROR(__xludf.DUMMYFUNCTION("""COMPUTED_VALUE"""),41473.6666666666)</f>
        <v>41473.666666666599</v>
      </c>
      <c r="B2151" s="1">
        <f ca="1">IFERROR(__xludf.DUMMYFUNCTION("""COMPUTED_VALUE"""),35.44)</f>
        <v>35.44</v>
      </c>
    </row>
    <row r="2152" spans="1:2">
      <c r="A2152" s="3">
        <f ca="1">IFERROR(__xludf.DUMMYFUNCTION("""COMPUTED_VALUE"""),41474.6666666666)</f>
        <v>41474.666666666599</v>
      </c>
      <c r="B2152" s="1">
        <f ca="1">IFERROR(__xludf.DUMMYFUNCTION("""COMPUTED_VALUE"""),31.4)</f>
        <v>31.4</v>
      </c>
    </row>
    <row r="2153" spans="1:2">
      <c r="A2153" s="3">
        <f ca="1">IFERROR(__xludf.DUMMYFUNCTION("""COMPUTED_VALUE"""),41477.6666666666)</f>
        <v>41477.666666666599</v>
      </c>
      <c r="B2153" s="1">
        <f ca="1">IFERROR(__xludf.DUMMYFUNCTION("""COMPUTED_VALUE"""),32.01)</f>
        <v>32.01</v>
      </c>
    </row>
    <row r="2154" spans="1:2">
      <c r="A2154" s="3">
        <f ca="1">IFERROR(__xludf.DUMMYFUNCTION("""COMPUTED_VALUE"""),41478.6666666666)</f>
        <v>41478.666666666599</v>
      </c>
      <c r="B2154" s="1">
        <f ca="1">IFERROR(__xludf.DUMMYFUNCTION("""COMPUTED_VALUE"""),31.82)</f>
        <v>31.82</v>
      </c>
    </row>
    <row r="2155" spans="1:2">
      <c r="A2155" s="3">
        <f ca="1">IFERROR(__xludf.DUMMYFUNCTION("""COMPUTED_VALUE"""),41479.6666666666)</f>
        <v>41479.666666666599</v>
      </c>
      <c r="B2155" s="1">
        <f ca="1">IFERROR(__xludf.DUMMYFUNCTION("""COMPUTED_VALUE"""),31.96)</f>
        <v>31.96</v>
      </c>
    </row>
    <row r="2156" spans="1:2">
      <c r="A2156" s="3">
        <f ca="1">IFERROR(__xludf.DUMMYFUNCTION("""COMPUTED_VALUE"""),41480.6666666666)</f>
        <v>41480.666666666599</v>
      </c>
      <c r="B2156" s="1">
        <f ca="1">IFERROR(__xludf.DUMMYFUNCTION("""COMPUTED_VALUE"""),31.39)</f>
        <v>31.39</v>
      </c>
    </row>
    <row r="2157" spans="1:2">
      <c r="A2157" s="3">
        <f ca="1">IFERROR(__xludf.DUMMYFUNCTION("""COMPUTED_VALUE"""),41481.6666666666)</f>
        <v>41481.666666666599</v>
      </c>
      <c r="B2157" s="1">
        <f ca="1">IFERROR(__xludf.DUMMYFUNCTION("""COMPUTED_VALUE"""),31.62)</f>
        <v>31.62</v>
      </c>
    </row>
    <row r="2158" spans="1:2">
      <c r="A2158" s="3">
        <f ca="1">IFERROR(__xludf.DUMMYFUNCTION("""COMPUTED_VALUE"""),41484.6666666666)</f>
        <v>41484.666666666599</v>
      </c>
      <c r="B2158" s="1">
        <f ca="1">IFERROR(__xludf.DUMMYFUNCTION("""COMPUTED_VALUE"""),31.54)</f>
        <v>31.54</v>
      </c>
    </row>
    <row r="2159" spans="1:2">
      <c r="A2159" s="3">
        <f ca="1">IFERROR(__xludf.DUMMYFUNCTION("""COMPUTED_VALUE"""),41485.6666666666)</f>
        <v>41485.666666666599</v>
      </c>
      <c r="B2159" s="1">
        <f ca="1">IFERROR(__xludf.DUMMYFUNCTION("""COMPUTED_VALUE"""),31.85)</f>
        <v>31.85</v>
      </c>
    </row>
    <row r="2160" spans="1:2">
      <c r="A2160" s="3">
        <f ca="1">IFERROR(__xludf.DUMMYFUNCTION("""COMPUTED_VALUE"""),41486.6666666666)</f>
        <v>41486.666666666599</v>
      </c>
      <c r="B2160" s="1">
        <f ca="1">IFERROR(__xludf.DUMMYFUNCTION("""COMPUTED_VALUE"""),31.84)</f>
        <v>31.84</v>
      </c>
    </row>
    <row r="2161" spans="1:2">
      <c r="A2161" s="3">
        <f ca="1">IFERROR(__xludf.DUMMYFUNCTION("""COMPUTED_VALUE"""),41487.6666666666)</f>
        <v>41487.666666666599</v>
      </c>
      <c r="B2161" s="1">
        <f ca="1">IFERROR(__xludf.DUMMYFUNCTION("""COMPUTED_VALUE"""),31.67)</f>
        <v>31.67</v>
      </c>
    </row>
    <row r="2162" spans="1:2">
      <c r="A2162" s="3">
        <f ca="1">IFERROR(__xludf.DUMMYFUNCTION("""COMPUTED_VALUE"""),41488.6666666666)</f>
        <v>41488.666666666599</v>
      </c>
      <c r="B2162" s="1">
        <f ca="1">IFERROR(__xludf.DUMMYFUNCTION("""COMPUTED_VALUE"""),31.89)</f>
        <v>31.89</v>
      </c>
    </row>
    <row r="2163" spans="1:2">
      <c r="A2163" s="3">
        <f ca="1">IFERROR(__xludf.DUMMYFUNCTION("""COMPUTED_VALUE"""),41491.6666666666)</f>
        <v>41491.666666666599</v>
      </c>
      <c r="B2163" s="1">
        <f ca="1">IFERROR(__xludf.DUMMYFUNCTION("""COMPUTED_VALUE"""),31.7)</f>
        <v>31.7</v>
      </c>
    </row>
    <row r="2164" spans="1:2">
      <c r="A2164" s="3">
        <f ca="1">IFERROR(__xludf.DUMMYFUNCTION("""COMPUTED_VALUE"""),41492.6666666666)</f>
        <v>41492.666666666599</v>
      </c>
      <c r="B2164" s="1">
        <f ca="1">IFERROR(__xludf.DUMMYFUNCTION("""COMPUTED_VALUE"""),31.58)</f>
        <v>31.58</v>
      </c>
    </row>
    <row r="2165" spans="1:2">
      <c r="A2165" s="3">
        <f ca="1">IFERROR(__xludf.DUMMYFUNCTION("""COMPUTED_VALUE"""),41493.6666666666)</f>
        <v>41493.666666666599</v>
      </c>
      <c r="B2165" s="1">
        <f ca="1">IFERROR(__xludf.DUMMYFUNCTION("""COMPUTED_VALUE"""),32.06)</f>
        <v>32.06</v>
      </c>
    </row>
    <row r="2166" spans="1:2">
      <c r="A2166" s="3">
        <f ca="1">IFERROR(__xludf.DUMMYFUNCTION("""COMPUTED_VALUE"""),41494.6666666666)</f>
        <v>41494.666666666599</v>
      </c>
      <c r="B2166" s="1">
        <f ca="1">IFERROR(__xludf.DUMMYFUNCTION("""COMPUTED_VALUE"""),32.89)</f>
        <v>32.89</v>
      </c>
    </row>
    <row r="2167" spans="1:2">
      <c r="A2167" s="3">
        <f ca="1">IFERROR(__xludf.DUMMYFUNCTION("""COMPUTED_VALUE"""),41495.6666666666)</f>
        <v>41495.666666666599</v>
      </c>
      <c r="B2167" s="1">
        <f ca="1">IFERROR(__xludf.DUMMYFUNCTION("""COMPUTED_VALUE"""),32.7)</f>
        <v>32.700000000000003</v>
      </c>
    </row>
    <row r="2168" spans="1:2">
      <c r="A2168" s="3">
        <f ca="1">IFERROR(__xludf.DUMMYFUNCTION("""COMPUTED_VALUE"""),41498.6666666666)</f>
        <v>41498.666666666599</v>
      </c>
      <c r="B2168" s="1">
        <f ca="1">IFERROR(__xludf.DUMMYFUNCTION("""COMPUTED_VALUE"""),32.87)</f>
        <v>32.869999999999997</v>
      </c>
    </row>
    <row r="2169" spans="1:2">
      <c r="A2169" s="3">
        <f ca="1">IFERROR(__xludf.DUMMYFUNCTION("""COMPUTED_VALUE"""),41499.6666666666)</f>
        <v>41499.666666666599</v>
      </c>
      <c r="B2169" s="1">
        <f ca="1">IFERROR(__xludf.DUMMYFUNCTION("""COMPUTED_VALUE"""),32.23)</f>
        <v>32.229999999999997</v>
      </c>
    </row>
    <row r="2170" spans="1:2">
      <c r="A2170" s="3">
        <f ca="1">IFERROR(__xludf.DUMMYFUNCTION("""COMPUTED_VALUE"""),41500.6666666666)</f>
        <v>41500.666666666599</v>
      </c>
      <c r="B2170" s="1">
        <f ca="1">IFERROR(__xludf.DUMMYFUNCTION("""COMPUTED_VALUE"""),32.35)</f>
        <v>32.35</v>
      </c>
    </row>
    <row r="2171" spans="1:2">
      <c r="A2171" s="3">
        <f ca="1">IFERROR(__xludf.DUMMYFUNCTION("""COMPUTED_VALUE"""),41501.6666666666)</f>
        <v>41501.666666666599</v>
      </c>
      <c r="B2171" s="1">
        <f ca="1">IFERROR(__xludf.DUMMYFUNCTION("""COMPUTED_VALUE"""),31.79)</f>
        <v>31.79</v>
      </c>
    </row>
    <row r="2172" spans="1:2">
      <c r="A2172" s="3">
        <f ca="1">IFERROR(__xludf.DUMMYFUNCTION("""COMPUTED_VALUE"""),41502.6666666666)</f>
        <v>41502.666666666599</v>
      </c>
      <c r="B2172" s="1">
        <f ca="1">IFERROR(__xludf.DUMMYFUNCTION("""COMPUTED_VALUE"""),31.8)</f>
        <v>31.8</v>
      </c>
    </row>
    <row r="2173" spans="1:2">
      <c r="A2173" s="3">
        <f ca="1">IFERROR(__xludf.DUMMYFUNCTION("""COMPUTED_VALUE"""),41505.6666666666)</f>
        <v>41505.666666666599</v>
      </c>
      <c r="B2173" s="1">
        <f ca="1">IFERROR(__xludf.DUMMYFUNCTION("""COMPUTED_VALUE"""),31.39)</f>
        <v>31.39</v>
      </c>
    </row>
    <row r="2174" spans="1:2">
      <c r="A2174" s="3">
        <f ca="1">IFERROR(__xludf.DUMMYFUNCTION("""COMPUTED_VALUE"""),41506.6666666666)</f>
        <v>41506.666666666599</v>
      </c>
      <c r="B2174" s="1">
        <f ca="1">IFERROR(__xludf.DUMMYFUNCTION("""COMPUTED_VALUE"""),31.62)</f>
        <v>31.62</v>
      </c>
    </row>
    <row r="2175" spans="1:2">
      <c r="A2175" s="3">
        <f ca="1">IFERROR(__xludf.DUMMYFUNCTION("""COMPUTED_VALUE"""),41507.6666666666)</f>
        <v>41507.666666666599</v>
      </c>
      <c r="B2175" s="1">
        <f ca="1">IFERROR(__xludf.DUMMYFUNCTION("""COMPUTED_VALUE"""),31.61)</f>
        <v>31.61</v>
      </c>
    </row>
    <row r="2176" spans="1:2">
      <c r="A2176" s="3">
        <f ca="1">IFERROR(__xludf.DUMMYFUNCTION("""COMPUTED_VALUE"""),41508.6666666666)</f>
        <v>41508.666666666599</v>
      </c>
      <c r="B2176" s="1">
        <f ca="1">IFERROR(__xludf.DUMMYFUNCTION("""COMPUTED_VALUE"""),32.39)</f>
        <v>32.39</v>
      </c>
    </row>
    <row r="2177" spans="1:2">
      <c r="A2177" s="3">
        <f ca="1">IFERROR(__xludf.DUMMYFUNCTION("""COMPUTED_VALUE"""),41509.6666666666)</f>
        <v>41509.666666666599</v>
      </c>
      <c r="B2177" s="1">
        <f ca="1">IFERROR(__xludf.DUMMYFUNCTION("""COMPUTED_VALUE"""),34.75)</f>
        <v>34.75</v>
      </c>
    </row>
    <row r="2178" spans="1:2">
      <c r="A2178" s="3">
        <f ca="1">IFERROR(__xludf.DUMMYFUNCTION("""COMPUTED_VALUE"""),41512.6666666666)</f>
        <v>41512.666666666599</v>
      </c>
      <c r="B2178" s="1">
        <f ca="1">IFERROR(__xludf.DUMMYFUNCTION("""COMPUTED_VALUE"""),34.15)</f>
        <v>34.15</v>
      </c>
    </row>
    <row r="2179" spans="1:2">
      <c r="A2179" s="3">
        <f ca="1">IFERROR(__xludf.DUMMYFUNCTION("""COMPUTED_VALUE"""),41513.6666666666)</f>
        <v>41513.666666666599</v>
      </c>
      <c r="B2179" s="1">
        <f ca="1">IFERROR(__xludf.DUMMYFUNCTION("""COMPUTED_VALUE"""),33.26)</f>
        <v>33.26</v>
      </c>
    </row>
    <row r="2180" spans="1:2">
      <c r="A2180" s="3">
        <f ca="1">IFERROR(__xludf.DUMMYFUNCTION("""COMPUTED_VALUE"""),41514.6666666666)</f>
        <v>41514.666666666599</v>
      </c>
      <c r="B2180" s="1">
        <f ca="1">IFERROR(__xludf.DUMMYFUNCTION("""COMPUTED_VALUE"""),33.02)</f>
        <v>33.020000000000003</v>
      </c>
    </row>
    <row r="2181" spans="1:2">
      <c r="A2181" s="3">
        <f ca="1">IFERROR(__xludf.DUMMYFUNCTION("""COMPUTED_VALUE"""),41515.6666666666)</f>
        <v>41515.666666666599</v>
      </c>
      <c r="B2181" s="1">
        <f ca="1">IFERROR(__xludf.DUMMYFUNCTION("""COMPUTED_VALUE"""),33.55)</f>
        <v>33.549999999999997</v>
      </c>
    </row>
    <row r="2182" spans="1:2">
      <c r="A2182" s="3">
        <f ca="1">IFERROR(__xludf.DUMMYFUNCTION("""COMPUTED_VALUE"""),41516.6666666666)</f>
        <v>41516.666666666599</v>
      </c>
      <c r="B2182" s="1">
        <f ca="1">IFERROR(__xludf.DUMMYFUNCTION("""COMPUTED_VALUE"""),33.4)</f>
        <v>33.4</v>
      </c>
    </row>
    <row r="2183" spans="1:2">
      <c r="A2183" s="3">
        <f ca="1">IFERROR(__xludf.DUMMYFUNCTION("""COMPUTED_VALUE"""),41520.6666666666)</f>
        <v>41520.666666666599</v>
      </c>
      <c r="B2183" s="1">
        <f ca="1">IFERROR(__xludf.DUMMYFUNCTION("""COMPUTED_VALUE"""),31.88)</f>
        <v>31.88</v>
      </c>
    </row>
    <row r="2184" spans="1:2">
      <c r="A2184" s="3">
        <f ca="1">IFERROR(__xludf.DUMMYFUNCTION("""COMPUTED_VALUE"""),41521.6666666666)</f>
        <v>41521.666666666599</v>
      </c>
      <c r="B2184" s="1">
        <f ca="1">IFERROR(__xludf.DUMMYFUNCTION("""COMPUTED_VALUE"""),31.2)</f>
        <v>31.2</v>
      </c>
    </row>
    <row r="2185" spans="1:2">
      <c r="A2185" s="3">
        <f ca="1">IFERROR(__xludf.DUMMYFUNCTION("""COMPUTED_VALUE"""),41522.6666666666)</f>
        <v>41522.666666666599</v>
      </c>
      <c r="B2185" s="1">
        <f ca="1">IFERROR(__xludf.DUMMYFUNCTION("""COMPUTED_VALUE"""),31.24)</f>
        <v>31.24</v>
      </c>
    </row>
    <row r="2186" spans="1:2">
      <c r="A2186" s="3">
        <f ca="1">IFERROR(__xludf.DUMMYFUNCTION("""COMPUTED_VALUE"""),41523.6666666666)</f>
        <v>41523.666666666599</v>
      </c>
      <c r="B2186" s="1">
        <f ca="1">IFERROR(__xludf.DUMMYFUNCTION("""COMPUTED_VALUE"""),31.15)</f>
        <v>31.15</v>
      </c>
    </row>
    <row r="2187" spans="1:2">
      <c r="A2187" s="3">
        <f ca="1">IFERROR(__xludf.DUMMYFUNCTION("""COMPUTED_VALUE"""),41526.6666666666)</f>
        <v>41526.666666666599</v>
      </c>
      <c r="B2187" s="1">
        <f ca="1">IFERROR(__xludf.DUMMYFUNCTION("""COMPUTED_VALUE"""),31.66)</f>
        <v>31.66</v>
      </c>
    </row>
    <row r="2188" spans="1:2">
      <c r="A2188" s="3">
        <f ca="1">IFERROR(__xludf.DUMMYFUNCTION("""COMPUTED_VALUE"""),41527.6666666666)</f>
        <v>41527.666666666599</v>
      </c>
      <c r="B2188" s="1">
        <f ca="1">IFERROR(__xludf.DUMMYFUNCTION("""COMPUTED_VALUE"""),32.39)</f>
        <v>32.39</v>
      </c>
    </row>
    <row r="2189" spans="1:2">
      <c r="A2189" s="3">
        <f ca="1">IFERROR(__xludf.DUMMYFUNCTION("""COMPUTED_VALUE"""),41528.6666666666)</f>
        <v>41528.666666666599</v>
      </c>
      <c r="B2189" s="1">
        <f ca="1">IFERROR(__xludf.DUMMYFUNCTION("""COMPUTED_VALUE"""),32.74)</f>
        <v>32.74</v>
      </c>
    </row>
    <row r="2190" spans="1:2">
      <c r="A2190" s="3">
        <f ca="1">IFERROR(__xludf.DUMMYFUNCTION("""COMPUTED_VALUE"""),41529.6666666666)</f>
        <v>41529.666666666599</v>
      </c>
      <c r="B2190" s="1">
        <f ca="1">IFERROR(__xludf.DUMMYFUNCTION("""COMPUTED_VALUE"""),32.69)</f>
        <v>32.69</v>
      </c>
    </row>
    <row r="2191" spans="1:2">
      <c r="A2191" s="3">
        <f ca="1">IFERROR(__xludf.DUMMYFUNCTION("""COMPUTED_VALUE"""),41530.6666666666)</f>
        <v>41530.666666666599</v>
      </c>
      <c r="B2191" s="1">
        <f ca="1">IFERROR(__xludf.DUMMYFUNCTION("""COMPUTED_VALUE"""),33.03)</f>
        <v>33.03</v>
      </c>
    </row>
    <row r="2192" spans="1:2">
      <c r="A2192" s="3">
        <f ca="1">IFERROR(__xludf.DUMMYFUNCTION("""COMPUTED_VALUE"""),41533.6666666666)</f>
        <v>41533.666666666599</v>
      </c>
      <c r="B2192" s="1">
        <f ca="1">IFERROR(__xludf.DUMMYFUNCTION("""COMPUTED_VALUE"""),32.8)</f>
        <v>32.799999999999997</v>
      </c>
    </row>
    <row r="2193" spans="1:2">
      <c r="A2193" s="3">
        <f ca="1">IFERROR(__xludf.DUMMYFUNCTION("""COMPUTED_VALUE"""),41534.6666666666)</f>
        <v>41534.666666666599</v>
      </c>
      <c r="B2193" s="1">
        <f ca="1">IFERROR(__xludf.DUMMYFUNCTION("""COMPUTED_VALUE"""),32.93)</f>
        <v>32.93</v>
      </c>
    </row>
    <row r="2194" spans="1:2">
      <c r="A2194" s="3">
        <f ca="1">IFERROR(__xludf.DUMMYFUNCTION("""COMPUTED_VALUE"""),41535.6666666666)</f>
        <v>41535.666666666599</v>
      </c>
      <c r="B2194" s="1">
        <f ca="1">IFERROR(__xludf.DUMMYFUNCTION("""COMPUTED_VALUE"""),33.32)</f>
        <v>33.32</v>
      </c>
    </row>
    <row r="2195" spans="1:2">
      <c r="A2195" s="3">
        <f ca="1">IFERROR(__xludf.DUMMYFUNCTION("""COMPUTED_VALUE"""),41536.6666666666)</f>
        <v>41536.666666666599</v>
      </c>
      <c r="B2195" s="1">
        <f ca="1">IFERROR(__xludf.DUMMYFUNCTION("""COMPUTED_VALUE"""),33.64)</f>
        <v>33.64</v>
      </c>
    </row>
    <row r="2196" spans="1:2">
      <c r="A2196" s="3">
        <f ca="1">IFERROR(__xludf.DUMMYFUNCTION("""COMPUTED_VALUE"""),41537.6666666666)</f>
        <v>41537.666666666599</v>
      </c>
      <c r="B2196" s="1">
        <f ca="1">IFERROR(__xludf.DUMMYFUNCTION("""COMPUTED_VALUE"""),32.79)</f>
        <v>32.79</v>
      </c>
    </row>
    <row r="2197" spans="1:2">
      <c r="A2197" s="3">
        <f ca="1">IFERROR(__xludf.DUMMYFUNCTION("""COMPUTED_VALUE"""),41540.6666666666)</f>
        <v>41540.666666666599</v>
      </c>
      <c r="B2197" s="1">
        <f ca="1">IFERROR(__xludf.DUMMYFUNCTION("""COMPUTED_VALUE"""),32.74)</f>
        <v>32.74</v>
      </c>
    </row>
    <row r="2198" spans="1:2">
      <c r="A2198" s="3">
        <f ca="1">IFERROR(__xludf.DUMMYFUNCTION("""COMPUTED_VALUE"""),41541.6666666666)</f>
        <v>41541.666666666599</v>
      </c>
      <c r="B2198" s="1">
        <f ca="1">IFERROR(__xludf.DUMMYFUNCTION("""COMPUTED_VALUE"""),32.46)</f>
        <v>32.46</v>
      </c>
    </row>
    <row r="2199" spans="1:2">
      <c r="A2199" s="3">
        <f ca="1">IFERROR(__xludf.DUMMYFUNCTION("""COMPUTED_VALUE"""),41542.6666666666)</f>
        <v>41542.666666666599</v>
      </c>
      <c r="B2199" s="1">
        <f ca="1">IFERROR(__xludf.DUMMYFUNCTION("""COMPUTED_VALUE"""),32.51)</f>
        <v>32.51</v>
      </c>
    </row>
    <row r="2200" spans="1:2">
      <c r="A2200" s="3">
        <f ca="1">IFERROR(__xludf.DUMMYFUNCTION("""COMPUTED_VALUE"""),41543.6666666666)</f>
        <v>41543.666666666599</v>
      </c>
      <c r="B2200" s="1">
        <f ca="1">IFERROR(__xludf.DUMMYFUNCTION("""COMPUTED_VALUE"""),32.77)</f>
        <v>32.770000000000003</v>
      </c>
    </row>
    <row r="2201" spans="1:2">
      <c r="A2201" s="3">
        <f ca="1">IFERROR(__xludf.DUMMYFUNCTION("""COMPUTED_VALUE"""),41544.6666666666)</f>
        <v>41544.666666666599</v>
      </c>
      <c r="B2201" s="1">
        <f ca="1">IFERROR(__xludf.DUMMYFUNCTION("""COMPUTED_VALUE"""),33.27)</f>
        <v>33.270000000000003</v>
      </c>
    </row>
    <row r="2202" spans="1:2">
      <c r="A2202" s="3">
        <f ca="1">IFERROR(__xludf.DUMMYFUNCTION("""COMPUTED_VALUE"""),41547.6666666666)</f>
        <v>41547.666666666599</v>
      </c>
      <c r="B2202" s="1">
        <f ca="1">IFERROR(__xludf.DUMMYFUNCTION("""COMPUTED_VALUE"""),33.28)</f>
        <v>33.28</v>
      </c>
    </row>
    <row r="2203" spans="1:2">
      <c r="A2203" s="3">
        <f ca="1">IFERROR(__xludf.DUMMYFUNCTION("""COMPUTED_VALUE"""),41548.6666666666)</f>
        <v>41548.666666666599</v>
      </c>
      <c r="B2203" s="1">
        <f ca="1">IFERROR(__xludf.DUMMYFUNCTION("""COMPUTED_VALUE"""),33.58)</f>
        <v>33.58</v>
      </c>
    </row>
    <row r="2204" spans="1:2">
      <c r="A2204" s="3">
        <f ca="1">IFERROR(__xludf.DUMMYFUNCTION("""COMPUTED_VALUE"""),41549.6666666666)</f>
        <v>41549.666666666599</v>
      </c>
      <c r="B2204" s="1">
        <f ca="1">IFERROR(__xludf.DUMMYFUNCTION("""COMPUTED_VALUE"""),33.92)</f>
        <v>33.92</v>
      </c>
    </row>
    <row r="2205" spans="1:2">
      <c r="A2205" s="3">
        <f ca="1">IFERROR(__xludf.DUMMYFUNCTION("""COMPUTED_VALUE"""),41550.6666666666)</f>
        <v>41550.666666666599</v>
      </c>
      <c r="B2205" s="1">
        <f ca="1">IFERROR(__xludf.DUMMYFUNCTION("""COMPUTED_VALUE"""),33.86)</f>
        <v>33.86</v>
      </c>
    </row>
    <row r="2206" spans="1:2">
      <c r="A2206" s="3">
        <f ca="1">IFERROR(__xludf.DUMMYFUNCTION("""COMPUTED_VALUE"""),41551.6666666666)</f>
        <v>41551.666666666599</v>
      </c>
      <c r="B2206" s="1">
        <f ca="1">IFERROR(__xludf.DUMMYFUNCTION("""COMPUTED_VALUE"""),33.88)</f>
        <v>33.880000000000003</v>
      </c>
    </row>
    <row r="2207" spans="1:2">
      <c r="A2207" s="3">
        <f ca="1">IFERROR(__xludf.DUMMYFUNCTION("""COMPUTED_VALUE"""),41554.6666666666)</f>
        <v>41554.666666666599</v>
      </c>
      <c r="B2207" s="1">
        <f ca="1">IFERROR(__xludf.DUMMYFUNCTION("""COMPUTED_VALUE"""),33.3)</f>
        <v>33.299999999999997</v>
      </c>
    </row>
    <row r="2208" spans="1:2">
      <c r="A2208" s="3">
        <f ca="1">IFERROR(__xludf.DUMMYFUNCTION("""COMPUTED_VALUE"""),41555.6666666666)</f>
        <v>41555.666666666599</v>
      </c>
      <c r="B2208" s="1">
        <f ca="1">IFERROR(__xludf.DUMMYFUNCTION("""COMPUTED_VALUE"""),33.01)</f>
        <v>33.01</v>
      </c>
    </row>
    <row r="2209" spans="1:2">
      <c r="A2209" s="3">
        <f ca="1">IFERROR(__xludf.DUMMYFUNCTION("""COMPUTED_VALUE"""),41556.6666666666)</f>
        <v>41556.666666666599</v>
      </c>
      <c r="B2209" s="1">
        <f ca="1">IFERROR(__xludf.DUMMYFUNCTION("""COMPUTED_VALUE"""),33.07)</f>
        <v>33.07</v>
      </c>
    </row>
    <row r="2210" spans="1:2">
      <c r="A2210" s="3">
        <f ca="1">IFERROR(__xludf.DUMMYFUNCTION("""COMPUTED_VALUE"""),41557.6666666666)</f>
        <v>41557.666666666599</v>
      </c>
      <c r="B2210" s="1">
        <f ca="1">IFERROR(__xludf.DUMMYFUNCTION("""COMPUTED_VALUE"""),33.76)</f>
        <v>33.76</v>
      </c>
    </row>
    <row r="2211" spans="1:2">
      <c r="A2211" s="3">
        <f ca="1">IFERROR(__xludf.DUMMYFUNCTION("""COMPUTED_VALUE"""),41558.6666666666)</f>
        <v>41558.666666666599</v>
      </c>
      <c r="B2211" s="1">
        <f ca="1">IFERROR(__xludf.DUMMYFUNCTION("""COMPUTED_VALUE"""),34.13)</f>
        <v>34.130000000000003</v>
      </c>
    </row>
    <row r="2212" spans="1:2">
      <c r="A2212" s="3">
        <f ca="1">IFERROR(__xludf.DUMMYFUNCTION("""COMPUTED_VALUE"""),41561.6666666666)</f>
        <v>41561.666666666599</v>
      </c>
      <c r="B2212" s="1">
        <f ca="1">IFERROR(__xludf.DUMMYFUNCTION("""COMPUTED_VALUE"""),34.45)</f>
        <v>34.450000000000003</v>
      </c>
    </row>
    <row r="2213" spans="1:2">
      <c r="A2213" s="3">
        <f ca="1">IFERROR(__xludf.DUMMYFUNCTION("""COMPUTED_VALUE"""),41562.6666666666)</f>
        <v>41562.666666666599</v>
      </c>
      <c r="B2213" s="1">
        <f ca="1">IFERROR(__xludf.DUMMYFUNCTION("""COMPUTED_VALUE"""),34.49)</f>
        <v>34.49</v>
      </c>
    </row>
    <row r="2214" spans="1:2">
      <c r="A2214" s="3">
        <f ca="1">IFERROR(__xludf.DUMMYFUNCTION("""COMPUTED_VALUE"""),41563.6666666666)</f>
        <v>41563.666666666599</v>
      </c>
      <c r="B2214" s="1">
        <f ca="1">IFERROR(__xludf.DUMMYFUNCTION("""COMPUTED_VALUE"""),34.64)</f>
        <v>34.64</v>
      </c>
    </row>
    <row r="2215" spans="1:2">
      <c r="A2215" s="3">
        <f ca="1">IFERROR(__xludf.DUMMYFUNCTION("""COMPUTED_VALUE"""),41564.6666666666)</f>
        <v>41564.666666666599</v>
      </c>
      <c r="B2215" s="1">
        <f ca="1">IFERROR(__xludf.DUMMYFUNCTION("""COMPUTED_VALUE"""),34.92)</f>
        <v>34.92</v>
      </c>
    </row>
    <row r="2216" spans="1:2">
      <c r="A2216" s="3">
        <f ca="1">IFERROR(__xludf.DUMMYFUNCTION("""COMPUTED_VALUE"""),41565.6666666666)</f>
        <v>41565.666666666599</v>
      </c>
      <c r="B2216" s="1">
        <f ca="1">IFERROR(__xludf.DUMMYFUNCTION("""COMPUTED_VALUE"""),34.96)</f>
        <v>34.96</v>
      </c>
    </row>
    <row r="2217" spans="1:2">
      <c r="A2217" s="3">
        <f ca="1">IFERROR(__xludf.DUMMYFUNCTION("""COMPUTED_VALUE"""),41568.6666666666)</f>
        <v>41568.666666666599</v>
      </c>
      <c r="B2217" s="1">
        <f ca="1">IFERROR(__xludf.DUMMYFUNCTION("""COMPUTED_VALUE"""),34.99)</f>
        <v>34.99</v>
      </c>
    </row>
    <row r="2218" spans="1:2">
      <c r="A2218" s="3">
        <f ca="1">IFERROR(__xludf.DUMMYFUNCTION("""COMPUTED_VALUE"""),41569.6666666666)</f>
        <v>41569.666666666599</v>
      </c>
      <c r="B2218" s="1">
        <f ca="1">IFERROR(__xludf.DUMMYFUNCTION("""COMPUTED_VALUE"""),34.58)</f>
        <v>34.58</v>
      </c>
    </row>
    <row r="2219" spans="1:2">
      <c r="A2219" s="3">
        <f ca="1">IFERROR(__xludf.DUMMYFUNCTION("""COMPUTED_VALUE"""),41570.6666666666)</f>
        <v>41570.666666666599</v>
      </c>
      <c r="B2219" s="1">
        <f ca="1">IFERROR(__xludf.DUMMYFUNCTION("""COMPUTED_VALUE"""),33.76)</f>
        <v>33.76</v>
      </c>
    </row>
    <row r="2220" spans="1:2">
      <c r="A2220" s="3">
        <f ca="1">IFERROR(__xludf.DUMMYFUNCTION("""COMPUTED_VALUE"""),41571.6666666666)</f>
        <v>41571.666666666599</v>
      </c>
      <c r="B2220" s="1">
        <f ca="1">IFERROR(__xludf.DUMMYFUNCTION("""COMPUTED_VALUE"""),33.72)</f>
        <v>33.72</v>
      </c>
    </row>
    <row r="2221" spans="1:2">
      <c r="A2221" s="3">
        <f ca="1">IFERROR(__xludf.DUMMYFUNCTION("""COMPUTED_VALUE"""),41572.6666666666)</f>
        <v>41572.666666666599</v>
      </c>
      <c r="B2221" s="1">
        <f ca="1">IFERROR(__xludf.DUMMYFUNCTION("""COMPUTED_VALUE"""),35.73)</f>
        <v>35.729999999999997</v>
      </c>
    </row>
    <row r="2222" spans="1:2">
      <c r="A2222" s="3">
        <f ca="1">IFERROR(__xludf.DUMMYFUNCTION("""COMPUTED_VALUE"""),41575.6666666666)</f>
        <v>41575.666666666599</v>
      </c>
      <c r="B2222" s="1">
        <f ca="1">IFERROR(__xludf.DUMMYFUNCTION("""COMPUTED_VALUE"""),35.57)</f>
        <v>35.57</v>
      </c>
    </row>
    <row r="2223" spans="1:2">
      <c r="A2223" s="3">
        <f ca="1">IFERROR(__xludf.DUMMYFUNCTION("""COMPUTED_VALUE"""),41576.6666666666)</f>
        <v>41576.666666666599</v>
      </c>
      <c r="B2223" s="1">
        <f ca="1">IFERROR(__xludf.DUMMYFUNCTION("""COMPUTED_VALUE"""),35.52)</f>
        <v>35.520000000000003</v>
      </c>
    </row>
    <row r="2224" spans="1:2">
      <c r="A2224" s="3">
        <f ca="1">IFERROR(__xludf.DUMMYFUNCTION("""COMPUTED_VALUE"""),41577.6666666666)</f>
        <v>41577.666666666599</v>
      </c>
      <c r="B2224" s="1">
        <f ca="1">IFERROR(__xludf.DUMMYFUNCTION("""COMPUTED_VALUE"""),35.54)</f>
        <v>35.54</v>
      </c>
    </row>
    <row r="2225" spans="1:2">
      <c r="A2225" s="3">
        <f ca="1">IFERROR(__xludf.DUMMYFUNCTION("""COMPUTED_VALUE"""),41578.6666666666)</f>
        <v>41578.666666666599</v>
      </c>
      <c r="B2225" s="1">
        <f ca="1">IFERROR(__xludf.DUMMYFUNCTION("""COMPUTED_VALUE"""),35.41)</f>
        <v>35.409999999999997</v>
      </c>
    </row>
    <row r="2226" spans="1:2">
      <c r="A2226" s="3">
        <f ca="1">IFERROR(__xludf.DUMMYFUNCTION("""COMPUTED_VALUE"""),41579.6666666666)</f>
        <v>41579.666666666599</v>
      </c>
      <c r="B2226" s="1">
        <f ca="1">IFERROR(__xludf.DUMMYFUNCTION("""COMPUTED_VALUE"""),35.53)</f>
        <v>35.53</v>
      </c>
    </row>
    <row r="2227" spans="1:2">
      <c r="A2227" s="3">
        <f ca="1">IFERROR(__xludf.DUMMYFUNCTION("""COMPUTED_VALUE"""),41582.6666666666)</f>
        <v>41582.666666666599</v>
      </c>
      <c r="B2227" s="1">
        <f ca="1">IFERROR(__xludf.DUMMYFUNCTION("""COMPUTED_VALUE"""),35.94)</f>
        <v>35.94</v>
      </c>
    </row>
    <row r="2228" spans="1:2">
      <c r="A2228" s="3">
        <f ca="1">IFERROR(__xludf.DUMMYFUNCTION("""COMPUTED_VALUE"""),41583.6666666666)</f>
        <v>41583.666666666599</v>
      </c>
      <c r="B2228" s="1">
        <f ca="1">IFERROR(__xludf.DUMMYFUNCTION("""COMPUTED_VALUE"""),36.64)</f>
        <v>36.64</v>
      </c>
    </row>
    <row r="2229" spans="1:2">
      <c r="A2229" s="3">
        <f ca="1">IFERROR(__xludf.DUMMYFUNCTION("""COMPUTED_VALUE"""),41584.6666666666)</f>
        <v>41584.666666666599</v>
      </c>
      <c r="B2229" s="1">
        <f ca="1">IFERROR(__xludf.DUMMYFUNCTION("""COMPUTED_VALUE"""),38.18)</f>
        <v>38.18</v>
      </c>
    </row>
    <row r="2230" spans="1:2">
      <c r="A2230" s="3">
        <f ca="1">IFERROR(__xludf.DUMMYFUNCTION("""COMPUTED_VALUE"""),41585.6666666666)</f>
        <v>41585.666666666599</v>
      </c>
      <c r="B2230" s="1">
        <f ca="1">IFERROR(__xludf.DUMMYFUNCTION("""COMPUTED_VALUE"""),37.5)</f>
        <v>37.5</v>
      </c>
    </row>
    <row r="2231" spans="1:2">
      <c r="A2231" s="3">
        <f ca="1">IFERROR(__xludf.DUMMYFUNCTION("""COMPUTED_VALUE"""),41586.6666666666)</f>
        <v>41586.666666666599</v>
      </c>
      <c r="B2231" s="1">
        <f ca="1">IFERROR(__xludf.DUMMYFUNCTION("""COMPUTED_VALUE"""),37.78)</f>
        <v>37.78</v>
      </c>
    </row>
    <row r="2232" spans="1:2">
      <c r="A2232" s="3">
        <f ca="1">IFERROR(__xludf.DUMMYFUNCTION("""COMPUTED_VALUE"""),41589.6666666666)</f>
        <v>41589.666666666599</v>
      </c>
      <c r="B2232" s="1">
        <f ca="1">IFERROR(__xludf.DUMMYFUNCTION("""COMPUTED_VALUE"""),37.59)</f>
        <v>37.590000000000003</v>
      </c>
    </row>
    <row r="2233" spans="1:2">
      <c r="A2233" s="3">
        <f ca="1">IFERROR(__xludf.DUMMYFUNCTION("""COMPUTED_VALUE"""),41590.6666666666)</f>
        <v>41590.666666666599</v>
      </c>
      <c r="B2233" s="1">
        <f ca="1">IFERROR(__xludf.DUMMYFUNCTION("""COMPUTED_VALUE"""),37.36)</f>
        <v>37.36</v>
      </c>
    </row>
    <row r="2234" spans="1:2">
      <c r="A2234" s="3">
        <f ca="1">IFERROR(__xludf.DUMMYFUNCTION("""COMPUTED_VALUE"""),41591.6666666666)</f>
        <v>41591.666666666599</v>
      </c>
      <c r="B2234" s="1">
        <f ca="1">IFERROR(__xludf.DUMMYFUNCTION("""COMPUTED_VALUE"""),38.16)</f>
        <v>38.159999999999997</v>
      </c>
    </row>
    <row r="2235" spans="1:2">
      <c r="A2235" s="3">
        <f ca="1">IFERROR(__xludf.DUMMYFUNCTION("""COMPUTED_VALUE"""),41592.6666666666)</f>
        <v>41592.666666666599</v>
      </c>
      <c r="B2235" s="1">
        <f ca="1">IFERROR(__xludf.DUMMYFUNCTION("""COMPUTED_VALUE"""),38.02)</f>
        <v>38.020000000000003</v>
      </c>
    </row>
    <row r="2236" spans="1:2">
      <c r="A2236" s="3">
        <f ca="1">IFERROR(__xludf.DUMMYFUNCTION("""COMPUTED_VALUE"""),41593.6666666666)</f>
        <v>41593.666666666599</v>
      </c>
      <c r="B2236" s="1">
        <f ca="1">IFERROR(__xludf.DUMMYFUNCTION("""COMPUTED_VALUE"""),37.84)</f>
        <v>37.840000000000003</v>
      </c>
    </row>
    <row r="2237" spans="1:2">
      <c r="A2237" s="3">
        <f ca="1">IFERROR(__xludf.DUMMYFUNCTION("""COMPUTED_VALUE"""),41596.6666666666)</f>
        <v>41596.666666666599</v>
      </c>
      <c r="B2237" s="1">
        <f ca="1">IFERROR(__xludf.DUMMYFUNCTION("""COMPUTED_VALUE"""),37.2)</f>
        <v>37.200000000000003</v>
      </c>
    </row>
    <row r="2238" spans="1:2">
      <c r="A2238" s="3">
        <f ca="1">IFERROR(__xludf.DUMMYFUNCTION("""COMPUTED_VALUE"""),41597.6666666666)</f>
        <v>41597.666666666599</v>
      </c>
      <c r="B2238" s="1">
        <f ca="1">IFERROR(__xludf.DUMMYFUNCTION("""COMPUTED_VALUE"""),36.74)</f>
        <v>36.74</v>
      </c>
    </row>
    <row r="2239" spans="1:2">
      <c r="A2239" s="3">
        <f ca="1">IFERROR(__xludf.DUMMYFUNCTION("""COMPUTED_VALUE"""),41598.6666666666)</f>
        <v>41598.666666666599</v>
      </c>
      <c r="B2239" s="1">
        <f ca="1">IFERROR(__xludf.DUMMYFUNCTION("""COMPUTED_VALUE"""),37.08)</f>
        <v>37.08</v>
      </c>
    </row>
    <row r="2240" spans="1:2">
      <c r="A2240" s="3">
        <f ca="1">IFERROR(__xludf.DUMMYFUNCTION("""COMPUTED_VALUE"""),41599.6666666666)</f>
        <v>41599.666666666599</v>
      </c>
      <c r="B2240" s="1">
        <f ca="1">IFERROR(__xludf.DUMMYFUNCTION("""COMPUTED_VALUE"""),37.4)</f>
        <v>37.4</v>
      </c>
    </row>
    <row r="2241" spans="1:2">
      <c r="A2241" s="3">
        <f ca="1">IFERROR(__xludf.DUMMYFUNCTION("""COMPUTED_VALUE"""),41600.6666666666)</f>
        <v>41600.666666666599</v>
      </c>
      <c r="B2241" s="1">
        <f ca="1">IFERROR(__xludf.DUMMYFUNCTION("""COMPUTED_VALUE"""),37.57)</f>
        <v>37.57</v>
      </c>
    </row>
    <row r="2242" spans="1:2">
      <c r="A2242" s="3">
        <f ca="1">IFERROR(__xludf.DUMMYFUNCTION("""COMPUTED_VALUE"""),41603.6666666666)</f>
        <v>41603.666666666599</v>
      </c>
      <c r="B2242" s="1">
        <f ca="1">IFERROR(__xludf.DUMMYFUNCTION("""COMPUTED_VALUE"""),37.64)</f>
        <v>37.64</v>
      </c>
    </row>
    <row r="2243" spans="1:2">
      <c r="A2243" s="3">
        <f ca="1">IFERROR(__xludf.DUMMYFUNCTION("""COMPUTED_VALUE"""),41604.6666666666)</f>
        <v>41604.666666666599</v>
      </c>
      <c r="B2243" s="1">
        <f ca="1">IFERROR(__xludf.DUMMYFUNCTION("""COMPUTED_VALUE"""),37.35)</f>
        <v>37.35</v>
      </c>
    </row>
    <row r="2244" spans="1:2">
      <c r="A2244" s="3">
        <f ca="1">IFERROR(__xludf.DUMMYFUNCTION("""COMPUTED_VALUE"""),41605.6666666666)</f>
        <v>41605.666666666599</v>
      </c>
      <c r="B2244" s="1">
        <f ca="1">IFERROR(__xludf.DUMMYFUNCTION("""COMPUTED_VALUE"""),37.6)</f>
        <v>37.6</v>
      </c>
    </row>
    <row r="2245" spans="1:2">
      <c r="A2245" s="3">
        <f ca="1">IFERROR(__xludf.DUMMYFUNCTION("""COMPUTED_VALUE"""),41607.6666666666)</f>
        <v>41607.666666666599</v>
      </c>
      <c r="B2245" s="1">
        <f ca="1">IFERROR(__xludf.DUMMYFUNCTION("""COMPUTED_VALUE"""),38.13)</f>
        <v>38.130000000000003</v>
      </c>
    </row>
    <row r="2246" spans="1:2">
      <c r="A2246" s="3">
        <f ca="1">IFERROR(__xludf.DUMMYFUNCTION("""COMPUTED_VALUE"""),41610.6666666666)</f>
        <v>41610.666666666599</v>
      </c>
      <c r="B2246" s="1">
        <f ca="1">IFERROR(__xludf.DUMMYFUNCTION("""COMPUTED_VALUE"""),38.45)</f>
        <v>38.450000000000003</v>
      </c>
    </row>
    <row r="2247" spans="1:2">
      <c r="A2247" s="3">
        <f ca="1">IFERROR(__xludf.DUMMYFUNCTION("""COMPUTED_VALUE"""),41611.6666666666)</f>
        <v>41611.666666666599</v>
      </c>
      <c r="B2247" s="1">
        <f ca="1">IFERROR(__xludf.DUMMYFUNCTION("""COMPUTED_VALUE"""),38.31)</f>
        <v>38.31</v>
      </c>
    </row>
    <row r="2248" spans="1:2">
      <c r="A2248" s="3">
        <f ca="1">IFERROR(__xludf.DUMMYFUNCTION("""COMPUTED_VALUE"""),41612.6666666666)</f>
        <v>41612.666666666599</v>
      </c>
      <c r="B2248" s="1">
        <f ca="1">IFERROR(__xludf.DUMMYFUNCTION("""COMPUTED_VALUE"""),38.94)</f>
        <v>38.94</v>
      </c>
    </row>
    <row r="2249" spans="1:2">
      <c r="A2249" s="3">
        <f ca="1">IFERROR(__xludf.DUMMYFUNCTION("""COMPUTED_VALUE"""),41613.6666666666)</f>
        <v>41613.666666666599</v>
      </c>
      <c r="B2249" s="1">
        <f ca="1">IFERROR(__xludf.DUMMYFUNCTION("""COMPUTED_VALUE"""),38)</f>
        <v>38</v>
      </c>
    </row>
    <row r="2250" spans="1:2">
      <c r="A2250" s="3">
        <f ca="1">IFERROR(__xludf.DUMMYFUNCTION("""COMPUTED_VALUE"""),41614.6666666666)</f>
        <v>41614.666666666599</v>
      </c>
      <c r="B2250" s="1">
        <f ca="1">IFERROR(__xludf.DUMMYFUNCTION("""COMPUTED_VALUE"""),38.36)</f>
        <v>38.36</v>
      </c>
    </row>
    <row r="2251" spans="1:2">
      <c r="A2251" s="3">
        <f ca="1">IFERROR(__xludf.DUMMYFUNCTION("""COMPUTED_VALUE"""),41617.6666666666)</f>
        <v>41617.666666666599</v>
      </c>
      <c r="B2251" s="1">
        <f ca="1">IFERROR(__xludf.DUMMYFUNCTION("""COMPUTED_VALUE"""),38.71)</f>
        <v>38.71</v>
      </c>
    </row>
    <row r="2252" spans="1:2">
      <c r="A2252" s="3">
        <f ca="1">IFERROR(__xludf.DUMMYFUNCTION("""COMPUTED_VALUE"""),41618.6666666666)</f>
        <v>41618.666666666599</v>
      </c>
      <c r="B2252" s="1">
        <f ca="1">IFERROR(__xludf.DUMMYFUNCTION("""COMPUTED_VALUE"""),38.11)</f>
        <v>38.11</v>
      </c>
    </row>
    <row r="2253" spans="1:2">
      <c r="A2253" s="3">
        <f ca="1">IFERROR(__xludf.DUMMYFUNCTION("""COMPUTED_VALUE"""),41619.6666666666)</f>
        <v>41619.666666666599</v>
      </c>
      <c r="B2253" s="1">
        <f ca="1">IFERROR(__xludf.DUMMYFUNCTION("""COMPUTED_VALUE"""),37.61)</f>
        <v>37.61</v>
      </c>
    </row>
    <row r="2254" spans="1:2">
      <c r="A2254" s="3">
        <f ca="1">IFERROR(__xludf.DUMMYFUNCTION("""COMPUTED_VALUE"""),41620.6666666666)</f>
        <v>41620.666666666599</v>
      </c>
      <c r="B2254" s="1">
        <f ca="1">IFERROR(__xludf.DUMMYFUNCTION("""COMPUTED_VALUE"""),37.22)</f>
        <v>37.22</v>
      </c>
    </row>
    <row r="2255" spans="1:2">
      <c r="A2255" s="3">
        <f ca="1">IFERROR(__xludf.DUMMYFUNCTION("""COMPUTED_VALUE"""),41621.6666666666)</f>
        <v>41621.666666666599</v>
      </c>
      <c r="B2255" s="1">
        <f ca="1">IFERROR(__xludf.DUMMYFUNCTION("""COMPUTED_VALUE"""),36.69)</f>
        <v>36.69</v>
      </c>
    </row>
    <row r="2256" spans="1:2">
      <c r="A2256" s="3">
        <f ca="1">IFERROR(__xludf.DUMMYFUNCTION("""COMPUTED_VALUE"""),41624.6666666666)</f>
        <v>41624.666666666599</v>
      </c>
      <c r="B2256" s="1">
        <f ca="1">IFERROR(__xludf.DUMMYFUNCTION("""COMPUTED_VALUE"""),36.88)</f>
        <v>36.880000000000003</v>
      </c>
    </row>
    <row r="2257" spans="1:2">
      <c r="A2257" s="3">
        <f ca="1">IFERROR(__xludf.DUMMYFUNCTION("""COMPUTED_VALUE"""),41625.6666666666)</f>
        <v>41625.666666666599</v>
      </c>
      <c r="B2257" s="1">
        <f ca="1">IFERROR(__xludf.DUMMYFUNCTION("""COMPUTED_VALUE"""),36.52)</f>
        <v>36.520000000000003</v>
      </c>
    </row>
    <row r="2258" spans="1:2">
      <c r="A2258" s="3">
        <f ca="1">IFERROR(__xludf.DUMMYFUNCTION("""COMPUTED_VALUE"""),41626.6666666666)</f>
        <v>41626.666666666599</v>
      </c>
      <c r="B2258" s="1">
        <f ca="1">IFERROR(__xludf.DUMMYFUNCTION("""COMPUTED_VALUE"""),36.58)</f>
        <v>36.58</v>
      </c>
    </row>
    <row r="2259" spans="1:2">
      <c r="A2259" s="3">
        <f ca="1">IFERROR(__xludf.DUMMYFUNCTION("""COMPUTED_VALUE"""),41627.6666666666)</f>
        <v>41627.666666666599</v>
      </c>
      <c r="B2259" s="1">
        <f ca="1">IFERROR(__xludf.DUMMYFUNCTION("""COMPUTED_VALUE"""),36.25)</f>
        <v>36.25</v>
      </c>
    </row>
    <row r="2260" spans="1:2">
      <c r="A2260" s="3">
        <f ca="1">IFERROR(__xludf.DUMMYFUNCTION("""COMPUTED_VALUE"""),41628.6666666666)</f>
        <v>41628.666666666599</v>
      </c>
      <c r="B2260" s="1">
        <f ca="1">IFERROR(__xludf.DUMMYFUNCTION("""COMPUTED_VALUE"""),36.8)</f>
        <v>36.799999999999997</v>
      </c>
    </row>
    <row r="2261" spans="1:2">
      <c r="A2261" s="3">
        <f ca="1">IFERROR(__xludf.DUMMYFUNCTION("""COMPUTED_VALUE"""),41631.6666666666)</f>
        <v>41631.666666666599</v>
      </c>
      <c r="B2261" s="1">
        <f ca="1">IFERROR(__xludf.DUMMYFUNCTION("""COMPUTED_VALUE"""),36.62)</f>
        <v>36.619999999999997</v>
      </c>
    </row>
    <row r="2262" spans="1:2">
      <c r="A2262" s="3">
        <f ca="1">IFERROR(__xludf.DUMMYFUNCTION("""COMPUTED_VALUE"""),41632.6666666666)</f>
        <v>41632.666666666599</v>
      </c>
      <c r="B2262" s="1">
        <f ca="1">IFERROR(__xludf.DUMMYFUNCTION("""COMPUTED_VALUE"""),37.08)</f>
        <v>37.08</v>
      </c>
    </row>
    <row r="2263" spans="1:2">
      <c r="A2263" s="3">
        <f ca="1">IFERROR(__xludf.DUMMYFUNCTION("""COMPUTED_VALUE"""),41634.6666666666)</f>
        <v>41634.666666666599</v>
      </c>
      <c r="B2263" s="1">
        <f ca="1">IFERROR(__xludf.DUMMYFUNCTION("""COMPUTED_VALUE"""),37.44)</f>
        <v>37.44</v>
      </c>
    </row>
    <row r="2264" spans="1:2">
      <c r="A2264" s="3">
        <f ca="1">IFERROR(__xludf.DUMMYFUNCTION("""COMPUTED_VALUE"""),41635.6666666666)</f>
        <v>41635.666666666599</v>
      </c>
      <c r="B2264" s="1">
        <f ca="1">IFERROR(__xludf.DUMMYFUNCTION("""COMPUTED_VALUE"""),37.29)</f>
        <v>37.29</v>
      </c>
    </row>
    <row r="2265" spans="1:2">
      <c r="A2265" s="3">
        <f ca="1">IFERROR(__xludf.DUMMYFUNCTION("""COMPUTED_VALUE"""),41638.6666666666)</f>
        <v>41638.666666666599</v>
      </c>
      <c r="B2265" s="1">
        <f ca="1">IFERROR(__xludf.DUMMYFUNCTION("""COMPUTED_VALUE"""),37.29)</f>
        <v>37.29</v>
      </c>
    </row>
    <row r="2266" spans="1:2">
      <c r="A2266" s="3">
        <f ca="1">IFERROR(__xludf.DUMMYFUNCTION("""COMPUTED_VALUE"""),41639.6666666666)</f>
        <v>41639.666666666599</v>
      </c>
      <c r="B2266" s="1">
        <f ca="1">IFERROR(__xludf.DUMMYFUNCTION("""COMPUTED_VALUE"""),37.41)</f>
        <v>37.409999999999997</v>
      </c>
    </row>
    <row r="2267" spans="1:2">
      <c r="A2267" s="3">
        <f ca="1">IFERROR(__xludf.DUMMYFUNCTION("""COMPUTED_VALUE"""),41641.6666666666)</f>
        <v>41641.666666666599</v>
      </c>
      <c r="B2267" s="1">
        <f ca="1">IFERROR(__xludf.DUMMYFUNCTION("""COMPUTED_VALUE"""),37.16)</f>
        <v>37.159999999999997</v>
      </c>
    </row>
    <row r="2268" spans="1:2">
      <c r="A2268" s="3">
        <f ca="1">IFERROR(__xludf.DUMMYFUNCTION("""COMPUTED_VALUE"""),41642.6666666666)</f>
        <v>41642.666666666599</v>
      </c>
      <c r="B2268" s="1">
        <f ca="1">IFERROR(__xludf.DUMMYFUNCTION("""COMPUTED_VALUE"""),36.91)</f>
        <v>36.909999999999997</v>
      </c>
    </row>
    <row r="2269" spans="1:2">
      <c r="A2269" s="3">
        <f ca="1">IFERROR(__xludf.DUMMYFUNCTION("""COMPUTED_VALUE"""),41645.6666666666)</f>
        <v>41645.666666666599</v>
      </c>
      <c r="B2269" s="1">
        <f ca="1">IFERROR(__xludf.DUMMYFUNCTION("""COMPUTED_VALUE"""),36.13)</f>
        <v>36.130000000000003</v>
      </c>
    </row>
    <row r="2270" spans="1:2">
      <c r="A2270" s="3">
        <f ca="1">IFERROR(__xludf.DUMMYFUNCTION("""COMPUTED_VALUE"""),41646.6666666666)</f>
        <v>41646.666666666599</v>
      </c>
      <c r="B2270" s="1">
        <f ca="1">IFERROR(__xludf.DUMMYFUNCTION("""COMPUTED_VALUE"""),36.41)</f>
        <v>36.409999999999997</v>
      </c>
    </row>
    <row r="2271" spans="1:2">
      <c r="A2271" s="3">
        <f ca="1">IFERROR(__xludf.DUMMYFUNCTION("""COMPUTED_VALUE"""),41647.6666666666)</f>
        <v>41647.666666666599</v>
      </c>
      <c r="B2271" s="1">
        <f ca="1">IFERROR(__xludf.DUMMYFUNCTION("""COMPUTED_VALUE"""),35.76)</f>
        <v>35.76</v>
      </c>
    </row>
    <row r="2272" spans="1:2">
      <c r="A2272" s="3">
        <f ca="1">IFERROR(__xludf.DUMMYFUNCTION("""COMPUTED_VALUE"""),41648.6666666666)</f>
        <v>41648.666666666599</v>
      </c>
      <c r="B2272" s="1">
        <f ca="1">IFERROR(__xludf.DUMMYFUNCTION("""COMPUTED_VALUE"""),35.53)</f>
        <v>35.53</v>
      </c>
    </row>
    <row r="2273" spans="1:2">
      <c r="A2273" s="3">
        <f ca="1">IFERROR(__xludf.DUMMYFUNCTION("""COMPUTED_VALUE"""),41649.6666666666)</f>
        <v>41649.666666666599</v>
      </c>
      <c r="B2273" s="1">
        <f ca="1">IFERROR(__xludf.DUMMYFUNCTION("""COMPUTED_VALUE"""),36.04)</f>
        <v>36.04</v>
      </c>
    </row>
    <row r="2274" spans="1:2">
      <c r="A2274" s="3">
        <f ca="1">IFERROR(__xludf.DUMMYFUNCTION("""COMPUTED_VALUE"""),41652.6666666666)</f>
        <v>41652.666666666599</v>
      </c>
      <c r="B2274" s="1">
        <f ca="1">IFERROR(__xludf.DUMMYFUNCTION("""COMPUTED_VALUE"""),34.98)</f>
        <v>34.979999999999997</v>
      </c>
    </row>
    <row r="2275" spans="1:2">
      <c r="A2275" s="3">
        <f ca="1">IFERROR(__xludf.DUMMYFUNCTION("""COMPUTED_VALUE"""),41653.6666666666)</f>
        <v>41653.666666666599</v>
      </c>
      <c r="B2275" s="1">
        <f ca="1">IFERROR(__xludf.DUMMYFUNCTION("""COMPUTED_VALUE"""),35.78)</f>
        <v>35.78</v>
      </c>
    </row>
    <row r="2276" spans="1:2">
      <c r="A2276" s="3">
        <f ca="1">IFERROR(__xludf.DUMMYFUNCTION("""COMPUTED_VALUE"""),41654.6666666666)</f>
        <v>41654.666666666599</v>
      </c>
      <c r="B2276" s="1">
        <f ca="1">IFERROR(__xludf.DUMMYFUNCTION("""COMPUTED_VALUE"""),36.76)</f>
        <v>36.76</v>
      </c>
    </row>
    <row r="2277" spans="1:2">
      <c r="A2277" s="3">
        <f ca="1">IFERROR(__xludf.DUMMYFUNCTION("""COMPUTED_VALUE"""),41655.6666666666)</f>
        <v>41655.666666666599</v>
      </c>
      <c r="B2277" s="1">
        <f ca="1">IFERROR(__xludf.DUMMYFUNCTION("""COMPUTED_VALUE"""),36.89)</f>
        <v>36.89</v>
      </c>
    </row>
    <row r="2278" spans="1:2">
      <c r="A2278" s="3">
        <f ca="1">IFERROR(__xludf.DUMMYFUNCTION("""COMPUTED_VALUE"""),41656.6666666666)</f>
        <v>41656.666666666599</v>
      </c>
      <c r="B2278" s="1">
        <f ca="1">IFERROR(__xludf.DUMMYFUNCTION("""COMPUTED_VALUE"""),36.38)</f>
        <v>36.380000000000003</v>
      </c>
    </row>
    <row r="2279" spans="1:2">
      <c r="A2279" s="3">
        <f ca="1">IFERROR(__xludf.DUMMYFUNCTION("""COMPUTED_VALUE"""),41660.6666666666)</f>
        <v>41660.666666666599</v>
      </c>
      <c r="B2279" s="1">
        <f ca="1">IFERROR(__xludf.DUMMYFUNCTION("""COMPUTED_VALUE"""),36.17)</f>
        <v>36.17</v>
      </c>
    </row>
    <row r="2280" spans="1:2">
      <c r="A2280" s="3">
        <f ca="1">IFERROR(__xludf.DUMMYFUNCTION("""COMPUTED_VALUE"""),41661.6666666666)</f>
        <v>41661.666666666599</v>
      </c>
      <c r="B2280" s="1">
        <f ca="1">IFERROR(__xludf.DUMMYFUNCTION("""COMPUTED_VALUE"""),35.93)</f>
        <v>35.93</v>
      </c>
    </row>
    <row r="2281" spans="1:2">
      <c r="A2281" s="3">
        <f ca="1">IFERROR(__xludf.DUMMYFUNCTION("""COMPUTED_VALUE"""),41662.6666666666)</f>
        <v>41662.666666666599</v>
      </c>
      <c r="B2281" s="1">
        <f ca="1">IFERROR(__xludf.DUMMYFUNCTION("""COMPUTED_VALUE"""),36.06)</f>
        <v>36.06</v>
      </c>
    </row>
    <row r="2282" spans="1:2">
      <c r="A2282" s="3">
        <f ca="1">IFERROR(__xludf.DUMMYFUNCTION("""COMPUTED_VALUE"""),41663.6666666666)</f>
        <v>41663.666666666599</v>
      </c>
      <c r="B2282" s="1">
        <f ca="1">IFERROR(__xludf.DUMMYFUNCTION("""COMPUTED_VALUE"""),36.81)</f>
        <v>36.81</v>
      </c>
    </row>
    <row r="2283" spans="1:2">
      <c r="A2283" s="3">
        <f ca="1">IFERROR(__xludf.DUMMYFUNCTION("""COMPUTED_VALUE"""),41666.6666666666)</f>
        <v>41666.666666666599</v>
      </c>
      <c r="B2283" s="1">
        <f ca="1">IFERROR(__xludf.DUMMYFUNCTION("""COMPUTED_VALUE"""),36.03)</f>
        <v>36.03</v>
      </c>
    </row>
    <row r="2284" spans="1:2">
      <c r="A2284" s="3">
        <f ca="1">IFERROR(__xludf.DUMMYFUNCTION("""COMPUTED_VALUE"""),41667.6666666666)</f>
        <v>41667.666666666599</v>
      </c>
      <c r="B2284" s="1">
        <f ca="1">IFERROR(__xludf.DUMMYFUNCTION("""COMPUTED_VALUE"""),36.27)</f>
        <v>36.270000000000003</v>
      </c>
    </row>
    <row r="2285" spans="1:2">
      <c r="A2285" s="3">
        <f ca="1">IFERROR(__xludf.DUMMYFUNCTION("""COMPUTED_VALUE"""),41668.6666666666)</f>
        <v>41668.666666666599</v>
      </c>
      <c r="B2285" s="1">
        <f ca="1">IFERROR(__xludf.DUMMYFUNCTION("""COMPUTED_VALUE"""),36.66)</f>
        <v>36.659999999999997</v>
      </c>
    </row>
    <row r="2286" spans="1:2">
      <c r="A2286" s="3">
        <f ca="1">IFERROR(__xludf.DUMMYFUNCTION("""COMPUTED_VALUE"""),41669.6666666666)</f>
        <v>41669.666666666599</v>
      </c>
      <c r="B2286" s="1">
        <f ca="1">IFERROR(__xludf.DUMMYFUNCTION("""COMPUTED_VALUE"""),36.86)</f>
        <v>36.86</v>
      </c>
    </row>
    <row r="2287" spans="1:2">
      <c r="A2287" s="3">
        <f ca="1">IFERROR(__xludf.DUMMYFUNCTION("""COMPUTED_VALUE"""),41670.6666666666)</f>
        <v>41670.666666666599</v>
      </c>
      <c r="B2287" s="1">
        <f ca="1">IFERROR(__xludf.DUMMYFUNCTION("""COMPUTED_VALUE"""),37.84)</f>
        <v>37.840000000000003</v>
      </c>
    </row>
    <row r="2288" spans="1:2">
      <c r="A2288" s="3">
        <f ca="1">IFERROR(__xludf.DUMMYFUNCTION("""COMPUTED_VALUE"""),41673.6666666666)</f>
        <v>41673.666666666599</v>
      </c>
      <c r="B2288" s="1">
        <f ca="1">IFERROR(__xludf.DUMMYFUNCTION("""COMPUTED_VALUE"""),36.48)</f>
        <v>36.479999999999997</v>
      </c>
    </row>
    <row r="2289" spans="1:2">
      <c r="A2289" s="3">
        <f ca="1">IFERROR(__xludf.DUMMYFUNCTION("""COMPUTED_VALUE"""),41674.6666666666)</f>
        <v>41674.666666666599</v>
      </c>
      <c r="B2289" s="1">
        <f ca="1">IFERROR(__xludf.DUMMYFUNCTION("""COMPUTED_VALUE"""),36.35)</f>
        <v>36.35</v>
      </c>
    </row>
    <row r="2290" spans="1:2">
      <c r="A2290" s="3">
        <f ca="1">IFERROR(__xludf.DUMMYFUNCTION("""COMPUTED_VALUE"""),41675.6666666666)</f>
        <v>41675.666666666599</v>
      </c>
      <c r="B2290" s="1">
        <f ca="1">IFERROR(__xludf.DUMMYFUNCTION("""COMPUTED_VALUE"""),35.82)</f>
        <v>35.82</v>
      </c>
    </row>
    <row r="2291" spans="1:2">
      <c r="A2291" s="3">
        <f ca="1">IFERROR(__xludf.DUMMYFUNCTION("""COMPUTED_VALUE"""),41676.6666666666)</f>
        <v>41676.666666666599</v>
      </c>
      <c r="B2291" s="1">
        <f ca="1">IFERROR(__xludf.DUMMYFUNCTION("""COMPUTED_VALUE"""),36.18)</f>
        <v>36.18</v>
      </c>
    </row>
    <row r="2292" spans="1:2">
      <c r="A2292" s="3">
        <f ca="1">IFERROR(__xludf.DUMMYFUNCTION("""COMPUTED_VALUE"""),41677.6666666666)</f>
        <v>41677.666666666599</v>
      </c>
      <c r="B2292" s="1">
        <f ca="1">IFERROR(__xludf.DUMMYFUNCTION("""COMPUTED_VALUE"""),36.56)</f>
        <v>36.56</v>
      </c>
    </row>
    <row r="2293" spans="1:2">
      <c r="A2293" s="3">
        <f ca="1">IFERROR(__xludf.DUMMYFUNCTION("""COMPUTED_VALUE"""),41680.6666666666)</f>
        <v>41680.666666666599</v>
      </c>
      <c r="B2293" s="1">
        <f ca="1">IFERROR(__xludf.DUMMYFUNCTION("""COMPUTED_VALUE"""),36.8)</f>
        <v>36.799999999999997</v>
      </c>
    </row>
    <row r="2294" spans="1:2">
      <c r="A2294" s="3">
        <f ca="1">IFERROR(__xludf.DUMMYFUNCTION("""COMPUTED_VALUE"""),41681.6666666666)</f>
        <v>41681.666666666599</v>
      </c>
      <c r="B2294" s="1">
        <f ca="1">IFERROR(__xludf.DUMMYFUNCTION("""COMPUTED_VALUE"""),37.17)</f>
        <v>37.17</v>
      </c>
    </row>
    <row r="2295" spans="1:2">
      <c r="A2295" s="3">
        <f ca="1">IFERROR(__xludf.DUMMYFUNCTION("""COMPUTED_VALUE"""),41682.6666666666)</f>
        <v>41682.666666666599</v>
      </c>
      <c r="B2295" s="1">
        <f ca="1">IFERROR(__xludf.DUMMYFUNCTION("""COMPUTED_VALUE"""),37.47)</f>
        <v>37.47</v>
      </c>
    </row>
    <row r="2296" spans="1:2">
      <c r="A2296" s="3">
        <f ca="1">IFERROR(__xludf.DUMMYFUNCTION("""COMPUTED_VALUE"""),41683.6666666666)</f>
        <v>41683.666666666599</v>
      </c>
      <c r="B2296" s="1">
        <f ca="1">IFERROR(__xludf.DUMMYFUNCTION("""COMPUTED_VALUE"""),37.61)</f>
        <v>37.61</v>
      </c>
    </row>
    <row r="2297" spans="1:2">
      <c r="A2297" s="3">
        <f ca="1">IFERROR(__xludf.DUMMYFUNCTION("""COMPUTED_VALUE"""),41684.6666666666)</f>
        <v>41684.666666666599</v>
      </c>
      <c r="B2297" s="1">
        <f ca="1">IFERROR(__xludf.DUMMYFUNCTION("""COMPUTED_VALUE"""),37.62)</f>
        <v>37.619999999999997</v>
      </c>
    </row>
    <row r="2298" spans="1:2">
      <c r="A2298" s="3">
        <f ca="1">IFERROR(__xludf.DUMMYFUNCTION("""COMPUTED_VALUE"""),41688.6666666666)</f>
        <v>41688.666666666599</v>
      </c>
      <c r="B2298" s="1">
        <f ca="1">IFERROR(__xludf.DUMMYFUNCTION("""COMPUTED_VALUE"""),37.42)</f>
        <v>37.42</v>
      </c>
    </row>
    <row r="2299" spans="1:2">
      <c r="A2299" s="3">
        <f ca="1">IFERROR(__xludf.DUMMYFUNCTION("""COMPUTED_VALUE"""),41689.6666666666)</f>
        <v>41689.666666666599</v>
      </c>
      <c r="B2299" s="1">
        <f ca="1">IFERROR(__xludf.DUMMYFUNCTION("""COMPUTED_VALUE"""),37.51)</f>
        <v>37.51</v>
      </c>
    </row>
    <row r="2300" spans="1:2">
      <c r="A2300" s="3">
        <f ca="1">IFERROR(__xludf.DUMMYFUNCTION("""COMPUTED_VALUE"""),41690.6666666666)</f>
        <v>41690.666666666599</v>
      </c>
      <c r="B2300" s="1">
        <f ca="1">IFERROR(__xludf.DUMMYFUNCTION("""COMPUTED_VALUE"""),37.75)</f>
        <v>37.75</v>
      </c>
    </row>
    <row r="2301" spans="1:2">
      <c r="A2301" s="3">
        <f ca="1">IFERROR(__xludf.DUMMYFUNCTION("""COMPUTED_VALUE"""),41691.6666666666)</f>
        <v>41691.666666666599</v>
      </c>
      <c r="B2301" s="1">
        <f ca="1">IFERROR(__xludf.DUMMYFUNCTION("""COMPUTED_VALUE"""),37.98)</f>
        <v>37.979999999999997</v>
      </c>
    </row>
    <row r="2302" spans="1:2">
      <c r="A2302" s="3">
        <f ca="1">IFERROR(__xludf.DUMMYFUNCTION("""COMPUTED_VALUE"""),41694.6666666666)</f>
        <v>41694.666666666599</v>
      </c>
      <c r="B2302" s="1">
        <f ca="1">IFERROR(__xludf.DUMMYFUNCTION("""COMPUTED_VALUE"""),37.69)</f>
        <v>37.69</v>
      </c>
    </row>
    <row r="2303" spans="1:2">
      <c r="A2303" s="3">
        <f ca="1">IFERROR(__xludf.DUMMYFUNCTION("""COMPUTED_VALUE"""),41695.6666666666)</f>
        <v>41695.666666666599</v>
      </c>
      <c r="B2303" s="1">
        <f ca="1">IFERROR(__xludf.DUMMYFUNCTION("""COMPUTED_VALUE"""),37.54)</f>
        <v>37.54</v>
      </c>
    </row>
    <row r="2304" spans="1:2">
      <c r="A2304" s="3">
        <f ca="1">IFERROR(__xludf.DUMMYFUNCTION("""COMPUTED_VALUE"""),41696.6666666666)</f>
        <v>41696.666666666599</v>
      </c>
      <c r="B2304" s="1">
        <f ca="1">IFERROR(__xludf.DUMMYFUNCTION("""COMPUTED_VALUE"""),37.47)</f>
        <v>37.47</v>
      </c>
    </row>
    <row r="2305" spans="1:2">
      <c r="A2305" s="3">
        <f ca="1">IFERROR(__xludf.DUMMYFUNCTION("""COMPUTED_VALUE"""),41697.6666666666)</f>
        <v>41697.666666666599</v>
      </c>
      <c r="B2305" s="1">
        <f ca="1">IFERROR(__xludf.DUMMYFUNCTION("""COMPUTED_VALUE"""),37.86)</f>
        <v>37.86</v>
      </c>
    </row>
    <row r="2306" spans="1:2">
      <c r="A2306" s="3">
        <f ca="1">IFERROR(__xludf.DUMMYFUNCTION("""COMPUTED_VALUE"""),41698.6666666666)</f>
        <v>41698.666666666599</v>
      </c>
      <c r="B2306" s="1">
        <f ca="1">IFERROR(__xludf.DUMMYFUNCTION("""COMPUTED_VALUE"""),38.31)</f>
        <v>38.31</v>
      </c>
    </row>
    <row r="2307" spans="1:2">
      <c r="A2307" s="3">
        <f ca="1">IFERROR(__xludf.DUMMYFUNCTION("""COMPUTED_VALUE"""),41701.6666666666)</f>
        <v>41701.666666666599</v>
      </c>
      <c r="B2307" s="1">
        <f ca="1">IFERROR(__xludf.DUMMYFUNCTION("""COMPUTED_VALUE"""),37.78)</f>
        <v>37.78</v>
      </c>
    </row>
    <row r="2308" spans="1:2">
      <c r="A2308" s="3">
        <f ca="1">IFERROR(__xludf.DUMMYFUNCTION("""COMPUTED_VALUE"""),41702.6666666666)</f>
        <v>41702.666666666599</v>
      </c>
      <c r="B2308" s="1">
        <f ca="1">IFERROR(__xludf.DUMMYFUNCTION("""COMPUTED_VALUE"""),38.41)</f>
        <v>38.409999999999997</v>
      </c>
    </row>
    <row r="2309" spans="1:2">
      <c r="A2309" s="3">
        <f ca="1">IFERROR(__xludf.DUMMYFUNCTION("""COMPUTED_VALUE"""),41703.6666666666)</f>
        <v>41703.666666666599</v>
      </c>
      <c r="B2309" s="1">
        <f ca="1">IFERROR(__xludf.DUMMYFUNCTION("""COMPUTED_VALUE"""),38.11)</f>
        <v>38.11</v>
      </c>
    </row>
    <row r="2310" spans="1:2">
      <c r="A2310" s="3">
        <f ca="1">IFERROR(__xludf.DUMMYFUNCTION("""COMPUTED_VALUE"""),41704.6666666666)</f>
        <v>41704.666666666599</v>
      </c>
      <c r="B2310" s="1">
        <f ca="1">IFERROR(__xludf.DUMMYFUNCTION("""COMPUTED_VALUE"""),38.15)</f>
        <v>38.15</v>
      </c>
    </row>
    <row r="2311" spans="1:2">
      <c r="A2311" s="3">
        <f ca="1">IFERROR(__xludf.DUMMYFUNCTION("""COMPUTED_VALUE"""),41705.6666666666)</f>
        <v>41705.666666666599</v>
      </c>
      <c r="B2311" s="1">
        <f ca="1">IFERROR(__xludf.DUMMYFUNCTION("""COMPUTED_VALUE"""),37.9)</f>
        <v>37.9</v>
      </c>
    </row>
    <row r="2312" spans="1:2">
      <c r="A2312" s="3">
        <f ca="1">IFERROR(__xludf.DUMMYFUNCTION("""COMPUTED_VALUE"""),41708.6666666666)</f>
        <v>41708.666666666599</v>
      </c>
      <c r="B2312" s="1">
        <f ca="1">IFERROR(__xludf.DUMMYFUNCTION("""COMPUTED_VALUE"""),37.82)</f>
        <v>37.82</v>
      </c>
    </row>
    <row r="2313" spans="1:2">
      <c r="A2313" s="3">
        <f ca="1">IFERROR(__xludf.DUMMYFUNCTION("""COMPUTED_VALUE"""),41709.6666666666)</f>
        <v>41709.666666666599</v>
      </c>
      <c r="B2313" s="1">
        <f ca="1">IFERROR(__xludf.DUMMYFUNCTION("""COMPUTED_VALUE"""),38.02)</f>
        <v>38.020000000000003</v>
      </c>
    </row>
    <row r="2314" spans="1:2">
      <c r="A2314" s="3">
        <f ca="1">IFERROR(__xludf.DUMMYFUNCTION("""COMPUTED_VALUE"""),41710.6666666666)</f>
        <v>41710.666666666599</v>
      </c>
      <c r="B2314" s="1">
        <f ca="1">IFERROR(__xludf.DUMMYFUNCTION("""COMPUTED_VALUE"""),38.27)</f>
        <v>38.270000000000003</v>
      </c>
    </row>
    <row r="2315" spans="1:2">
      <c r="A2315" s="3">
        <f ca="1">IFERROR(__xludf.DUMMYFUNCTION("""COMPUTED_VALUE"""),41711.6666666666)</f>
        <v>41711.666666666599</v>
      </c>
      <c r="B2315" s="1">
        <f ca="1">IFERROR(__xludf.DUMMYFUNCTION("""COMPUTED_VALUE"""),37.89)</f>
        <v>37.89</v>
      </c>
    </row>
    <row r="2316" spans="1:2">
      <c r="A2316" s="3">
        <f ca="1">IFERROR(__xludf.DUMMYFUNCTION("""COMPUTED_VALUE"""),41712.6666666666)</f>
        <v>41712.666666666599</v>
      </c>
      <c r="B2316" s="1">
        <f ca="1">IFERROR(__xludf.DUMMYFUNCTION("""COMPUTED_VALUE"""),37.7)</f>
        <v>37.700000000000003</v>
      </c>
    </row>
    <row r="2317" spans="1:2">
      <c r="A2317" s="3">
        <f ca="1">IFERROR(__xludf.DUMMYFUNCTION("""COMPUTED_VALUE"""),41715.6666666666)</f>
        <v>41715.666666666599</v>
      </c>
      <c r="B2317" s="1">
        <f ca="1">IFERROR(__xludf.DUMMYFUNCTION("""COMPUTED_VALUE"""),38.05)</f>
        <v>38.049999999999997</v>
      </c>
    </row>
    <row r="2318" spans="1:2">
      <c r="A2318" s="3">
        <f ca="1">IFERROR(__xludf.DUMMYFUNCTION("""COMPUTED_VALUE"""),41716.6666666666)</f>
        <v>41716.666666666599</v>
      </c>
      <c r="B2318" s="1">
        <f ca="1">IFERROR(__xludf.DUMMYFUNCTION("""COMPUTED_VALUE"""),39.55)</f>
        <v>39.549999999999997</v>
      </c>
    </row>
    <row r="2319" spans="1:2">
      <c r="A2319" s="3">
        <f ca="1">IFERROR(__xludf.DUMMYFUNCTION("""COMPUTED_VALUE"""),41717.6666666666)</f>
        <v>41717.666666666599</v>
      </c>
      <c r="B2319" s="1">
        <f ca="1">IFERROR(__xludf.DUMMYFUNCTION("""COMPUTED_VALUE"""),39.27)</f>
        <v>39.270000000000003</v>
      </c>
    </row>
    <row r="2320" spans="1:2">
      <c r="A2320" s="3">
        <f ca="1">IFERROR(__xludf.DUMMYFUNCTION("""COMPUTED_VALUE"""),41718.6666666666)</f>
        <v>41718.666666666599</v>
      </c>
      <c r="B2320" s="1">
        <f ca="1">IFERROR(__xludf.DUMMYFUNCTION("""COMPUTED_VALUE"""),40.33)</f>
        <v>40.33</v>
      </c>
    </row>
    <row r="2321" spans="1:2">
      <c r="A2321" s="3">
        <f ca="1">IFERROR(__xludf.DUMMYFUNCTION("""COMPUTED_VALUE"""),41719.6666666666)</f>
        <v>41719.666666666599</v>
      </c>
      <c r="B2321" s="1">
        <f ca="1">IFERROR(__xludf.DUMMYFUNCTION("""COMPUTED_VALUE"""),40.16)</f>
        <v>40.159999999999997</v>
      </c>
    </row>
    <row r="2322" spans="1:2">
      <c r="A2322" s="3">
        <f ca="1">IFERROR(__xludf.DUMMYFUNCTION("""COMPUTED_VALUE"""),41722.6666666666)</f>
        <v>41722.666666666599</v>
      </c>
      <c r="B2322" s="1">
        <f ca="1">IFERROR(__xludf.DUMMYFUNCTION("""COMPUTED_VALUE"""),40.5)</f>
        <v>40.5</v>
      </c>
    </row>
    <row r="2323" spans="1:2">
      <c r="A2323" s="3">
        <f ca="1">IFERROR(__xludf.DUMMYFUNCTION("""COMPUTED_VALUE"""),41723.6666666666)</f>
        <v>41723.666666666599</v>
      </c>
      <c r="B2323" s="1">
        <f ca="1">IFERROR(__xludf.DUMMYFUNCTION("""COMPUTED_VALUE"""),40.34)</f>
        <v>40.340000000000003</v>
      </c>
    </row>
    <row r="2324" spans="1:2">
      <c r="A2324" s="3">
        <f ca="1">IFERROR(__xludf.DUMMYFUNCTION("""COMPUTED_VALUE"""),41724.6666666666)</f>
        <v>41724.666666666599</v>
      </c>
      <c r="B2324" s="1">
        <f ca="1">IFERROR(__xludf.DUMMYFUNCTION("""COMPUTED_VALUE"""),39.79)</f>
        <v>39.79</v>
      </c>
    </row>
    <row r="2325" spans="1:2">
      <c r="A2325" s="3">
        <f ca="1">IFERROR(__xludf.DUMMYFUNCTION("""COMPUTED_VALUE"""),41725.6666666666)</f>
        <v>41725.666666666599</v>
      </c>
      <c r="B2325" s="1">
        <f ca="1">IFERROR(__xludf.DUMMYFUNCTION("""COMPUTED_VALUE"""),39.36)</f>
        <v>39.36</v>
      </c>
    </row>
    <row r="2326" spans="1:2">
      <c r="A2326" s="3">
        <f ca="1">IFERROR(__xludf.DUMMYFUNCTION("""COMPUTED_VALUE"""),41726.6666666666)</f>
        <v>41726.666666666599</v>
      </c>
      <c r="B2326" s="1">
        <f ca="1">IFERROR(__xludf.DUMMYFUNCTION("""COMPUTED_VALUE"""),40.3)</f>
        <v>40.299999999999997</v>
      </c>
    </row>
    <row r="2327" spans="1:2">
      <c r="A2327" s="3">
        <f ca="1">IFERROR(__xludf.DUMMYFUNCTION("""COMPUTED_VALUE"""),41729.6666666666)</f>
        <v>41729.666666666599</v>
      </c>
      <c r="B2327" s="1">
        <f ca="1">IFERROR(__xludf.DUMMYFUNCTION("""COMPUTED_VALUE"""),40.99)</f>
        <v>40.99</v>
      </c>
    </row>
    <row r="2328" spans="1:2">
      <c r="A2328" s="3">
        <f ca="1">IFERROR(__xludf.DUMMYFUNCTION("""COMPUTED_VALUE"""),41730.6666666666)</f>
        <v>41730.666666666599</v>
      </c>
      <c r="B2328" s="1">
        <f ca="1">IFERROR(__xludf.DUMMYFUNCTION("""COMPUTED_VALUE"""),41.42)</f>
        <v>41.42</v>
      </c>
    </row>
    <row r="2329" spans="1:2">
      <c r="A2329" s="3">
        <f ca="1">IFERROR(__xludf.DUMMYFUNCTION("""COMPUTED_VALUE"""),41731.6666666666)</f>
        <v>41731.666666666599</v>
      </c>
      <c r="B2329" s="1">
        <f ca="1">IFERROR(__xludf.DUMMYFUNCTION("""COMPUTED_VALUE"""),41.35)</f>
        <v>41.35</v>
      </c>
    </row>
    <row r="2330" spans="1:2">
      <c r="A2330" s="3">
        <f ca="1">IFERROR(__xludf.DUMMYFUNCTION("""COMPUTED_VALUE"""),41732.6666666666)</f>
        <v>41732.666666666599</v>
      </c>
      <c r="B2330" s="1">
        <f ca="1">IFERROR(__xludf.DUMMYFUNCTION("""COMPUTED_VALUE"""),41.01)</f>
        <v>41.01</v>
      </c>
    </row>
    <row r="2331" spans="1:2">
      <c r="A2331" s="3">
        <f ca="1">IFERROR(__xludf.DUMMYFUNCTION("""COMPUTED_VALUE"""),41733.6666666666)</f>
        <v>41733.666666666599</v>
      </c>
      <c r="B2331" s="1">
        <f ca="1">IFERROR(__xludf.DUMMYFUNCTION("""COMPUTED_VALUE"""),39.87)</f>
        <v>39.869999999999997</v>
      </c>
    </row>
    <row r="2332" spans="1:2">
      <c r="A2332" s="3">
        <f ca="1">IFERROR(__xludf.DUMMYFUNCTION("""COMPUTED_VALUE"""),41736.6666666666)</f>
        <v>41736.666666666599</v>
      </c>
      <c r="B2332" s="1">
        <f ca="1">IFERROR(__xludf.DUMMYFUNCTION("""COMPUTED_VALUE"""),39.8)</f>
        <v>39.799999999999997</v>
      </c>
    </row>
    <row r="2333" spans="1:2">
      <c r="A2333" s="3">
        <f ca="1">IFERROR(__xludf.DUMMYFUNCTION("""COMPUTED_VALUE"""),41737.6666666666)</f>
        <v>41737.666666666599</v>
      </c>
      <c r="B2333" s="1">
        <f ca="1">IFERROR(__xludf.DUMMYFUNCTION("""COMPUTED_VALUE"""),39.82)</f>
        <v>39.82</v>
      </c>
    </row>
    <row r="2334" spans="1:2">
      <c r="A2334" s="3">
        <f ca="1">IFERROR(__xludf.DUMMYFUNCTION("""COMPUTED_VALUE"""),41738.6666666666)</f>
        <v>41738.666666666599</v>
      </c>
      <c r="B2334" s="1">
        <f ca="1">IFERROR(__xludf.DUMMYFUNCTION("""COMPUTED_VALUE"""),40.47)</f>
        <v>40.47</v>
      </c>
    </row>
    <row r="2335" spans="1:2">
      <c r="A2335" s="3">
        <f ca="1">IFERROR(__xludf.DUMMYFUNCTION("""COMPUTED_VALUE"""),41739.6666666666)</f>
        <v>41739.666666666599</v>
      </c>
      <c r="B2335" s="1">
        <f ca="1">IFERROR(__xludf.DUMMYFUNCTION("""COMPUTED_VALUE"""),39.36)</f>
        <v>39.36</v>
      </c>
    </row>
    <row r="2336" spans="1:2">
      <c r="A2336" s="3">
        <f ca="1">IFERROR(__xludf.DUMMYFUNCTION("""COMPUTED_VALUE"""),41740.6666666666)</f>
        <v>41740.666666666599</v>
      </c>
      <c r="B2336" s="1">
        <f ca="1">IFERROR(__xludf.DUMMYFUNCTION("""COMPUTED_VALUE"""),39.21)</f>
        <v>39.21</v>
      </c>
    </row>
    <row r="2337" spans="1:2">
      <c r="A2337" s="3">
        <f ca="1">IFERROR(__xludf.DUMMYFUNCTION("""COMPUTED_VALUE"""),41743.6666666666)</f>
        <v>41743.666666666599</v>
      </c>
      <c r="B2337" s="1">
        <f ca="1">IFERROR(__xludf.DUMMYFUNCTION("""COMPUTED_VALUE"""),39.18)</f>
        <v>39.18</v>
      </c>
    </row>
    <row r="2338" spans="1:2">
      <c r="A2338" s="3">
        <f ca="1">IFERROR(__xludf.DUMMYFUNCTION("""COMPUTED_VALUE"""),41744.6666666666)</f>
        <v>41744.666666666599</v>
      </c>
      <c r="B2338" s="1">
        <f ca="1">IFERROR(__xludf.DUMMYFUNCTION("""COMPUTED_VALUE"""),39.75)</f>
        <v>39.75</v>
      </c>
    </row>
    <row r="2339" spans="1:2">
      <c r="A2339" s="3">
        <f ca="1">IFERROR(__xludf.DUMMYFUNCTION("""COMPUTED_VALUE"""),41745.6666666666)</f>
        <v>41745.666666666599</v>
      </c>
      <c r="B2339" s="1">
        <f ca="1">IFERROR(__xludf.DUMMYFUNCTION("""COMPUTED_VALUE"""),40.4)</f>
        <v>40.4</v>
      </c>
    </row>
    <row r="2340" spans="1:2">
      <c r="A2340" s="3">
        <f ca="1">IFERROR(__xludf.DUMMYFUNCTION("""COMPUTED_VALUE"""),41746.6666666666)</f>
        <v>41746.666666666599</v>
      </c>
      <c r="B2340" s="1">
        <f ca="1">IFERROR(__xludf.DUMMYFUNCTION("""COMPUTED_VALUE"""),40.01)</f>
        <v>40.01</v>
      </c>
    </row>
    <row r="2341" spans="1:2">
      <c r="A2341" s="3">
        <f ca="1">IFERROR(__xludf.DUMMYFUNCTION("""COMPUTED_VALUE"""),41750.6666666666)</f>
        <v>41750.666666666599</v>
      </c>
      <c r="B2341" s="1">
        <f ca="1">IFERROR(__xludf.DUMMYFUNCTION("""COMPUTED_VALUE"""),39.94)</f>
        <v>39.94</v>
      </c>
    </row>
    <row r="2342" spans="1:2">
      <c r="A2342" s="3">
        <f ca="1">IFERROR(__xludf.DUMMYFUNCTION("""COMPUTED_VALUE"""),41751.6666666666)</f>
        <v>41751.666666666599</v>
      </c>
      <c r="B2342" s="1">
        <f ca="1">IFERROR(__xludf.DUMMYFUNCTION("""COMPUTED_VALUE"""),39.99)</f>
        <v>39.99</v>
      </c>
    </row>
    <row r="2343" spans="1:2">
      <c r="A2343" s="3">
        <f ca="1">IFERROR(__xludf.DUMMYFUNCTION("""COMPUTED_VALUE"""),41752.6666666666)</f>
        <v>41752.666666666599</v>
      </c>
      <c r="B2343" s="1">
        <f ca="1">IFERROR(__xludf.DUMMYFUNCTION("""COMPUTED_VALUE"""),39.69)</f>
        <v>39.69</v>
      </c>
    </row>
    <row r="2344" spans="1:2">
      <c r="A2344" s="3">
        <f ca="1">IFERROR(__xludf.DUMMYFUNCTION("""COMPUTED_VALUE"""),41753.6666666666)</f>
        <v>41753.666666666599</v>
      </c>
      <c r="B2344" s="1">
        <f ca="1">IFERROR(__xludf.DUMMYFUNCTION("""COMPUTED_VALUE"""),39.86)</f>
        <v>39.86</v>
      </c>
    </row>
    <row r="2345" spans="1:2">
      <c r="A2345" s="3">
        <f ca="1">IFERROR(__xludf.DUMMYFUNCTION("""COMPUTED_VALUE"""),41754.6666666666)</f>
        <v>41754.666666666599</v>
      </c>
      <c r="B2345" s="1">
        <f ca="1">IFERROR(__xludf.DUMMYFUNCTION("""COMPUTED_VALUE"""),39.91)</f>
        <v>39.909999999999997</v>
      </c>
    </row>
    <row r="2346" spans="1:2">
      <c r="A2346" s="3">
        <f ca="1">IFERROR(__xludf.DUMMYFUNCTION("""COMPUTED_VALUE"""),41757.6666666666)</f>
        <v>41757.666666666599</v>
      </c>
      <c r="B2346" s="1">
        <f ca="1">IFERROR(__xludf.DUMMYFUNCTION("""COMPUTED_VALUE"""),40.87)</f>
        <v>40.869999999999997</v>
      </c>
    </row>
    <row r="2347" spans="1:2">
      <c r="A2347" s="3">
        <f ca="1">IFERROR(__xludf.DUMMYFUNCTION("""COMPUTED_VALUE"""),41758.6666666666)</f>
        <v>41758.666666666599</v>
      </c>
      <c r="B2347" s="1">
        <f ca="1">IFERROR(__xludf.DUMMYFUNCTION("""COMPUTED_VALUE"""),40.51)</f>
        <v>40.51</v>
      </c>
    </row>
    <row r="2348" spans="1:2">
      <c r="A2348" s="3">
        <f ca="1">IFERROR(__xludf.DUMMYFUNCTION("""COMPUTED_VALUE"""),41759.6666666666)</f>
        <v>41759.666666666599</v>
      </c>
      <c r="B2348" s="1">
        <f ca="1">IFERROR(__xludf.DUMMYFUNCTION("""COMPUTED_VALUE"""),40.4)</f>
        <v>40.4</v>
      </c>
    </row>
    <row r="2349" spans="1:2">
      <c r="A2349" s="3">
        <f ca="1">IFERROR(__xludf.DUMMYFUNCTION("""COMPUTED_VALUE"""),41760.6666666666)</f>
        <v>41760.666666666599</v>
      </c>
      <c r="B2349" s="1">
        <f ca="1">IFERROR(__xludf.DUMMYFUNCTION("""COMPUTED_VALUE"""),40)</f>
        <v>40</v>
      </c>
    </row>
    <row r="2350" spans="1:2">
      <c r="A2350" s="3">
        <f ca="1">IFERROR(__xludf.DUMMYFUNCTION("""COMPUTED_VALUE"""),41761.6666666666)</f>
        <v>41761.666666666599</v>
      </c>
      <c r="B2350" s="1">
        <f ca="1">IFERROR(__xludf.DUMMYFUNCTION("""COMPUTED_VALUE"""),39.69)</f>
        <v>39.69</v>
      </c>
    </row>
    <row r="2351" spans="1:2">
      <c r="A2351" s="3">
        <f ca="1">IFERROR(__xludf.DUMMYFUNCTION("""COMPUTED_VALUE"""),41764.6666666666)</f>
        <v>41764.666666666599</v>
      </c>
      <c r="B2351" s="1">
        <f ca="1">IFERROR(__xludf.DUMMYFUNCTION("""COMPUTED_VALUE"""),39.43)</f>
        <v>39.43</v>
      </c>
    </row>
    <row r="2352" spans="1:2">
      <c r="A2352" s="3">
        <f ca="1">IFERROR(__xludf.DUMMYFUNCTION("""COMPUTED_VALUE"""),41765.6666666666)</f>
        <v>41765.666666666599</v>
      </c>
      <c r="B2352" s="1">
        <f ca="1">IFERROR(__xludf.DUMMYFUNCTION("""COMPUTED_VALUE"""),39.06)</f>
        <v>39.06</v>
      </c>
    </row>
    <row r="2353" spans="1:2">
      <c r="A2353" s="3">
        <f ca="1">IFERROR(__xludf.DUMMYFUNCTION("""COMPUTED_VALUE"""),41766.6666666666)</f>
        <v>41766.666666666599</v>
      </c>
      <c r="B2353" s="1">
        <f ca="1">IFERROR(__xludf.DUMMYFUNCTION("""COMPUTED_VALUE"""),39.42)</f>
        <v>39.42</v>
      </c>
    </row>
    <row r="2354" spans="1:2">
      <c r="A2354" s="3">
        <f ca="1">IFERROR(__xludf.DUMMYFUNCTION("""COMPUTED_VALUE"""),41767.6666666666)</f>
        <v>41767.666666666599</v>
      </c>
      <c r="B2354" s="1">
        <f ca="1">IFERROR(__xludf.DUMMYFUNCTION("""COMPUTED_VALUE"""),39.64)</f>
        <v>39.64</v>
      </c>
    </row>
    <row r="2355" spans="1:2">
      <c r="A2355" s="3">
        <f ca="1">IFERROR(__xludf.DUMMYFUNCTION("""COMPUTED_VALUE"""),41768.6666666666)</f>
        <v>41768.666666666599</v>
      </c>
      <c r="B2355" s="1">
        <f ca="1">IFERROR(__xludf.DUMMYFUNCTION("""COMPUTED_VALUE"""),39.54)</f>
        <v>39.54</v>
      </c>
    </row>
    <row r="2356" spans="1:2">
      <c r="A2356" s="3">
        <f ca="1">IFERROR(__xludf.DUMMYFUNCTION("""COMPUTED_VALUE"""),41771.6666666666)</f>
        <v>41771.666666666599</v>
      </c>
      <c r="B2356" s="1">
        <f ca="1">IFERROR(__xludf.DUMMYFUNCTION("""COMPUTED_VALUE"""),39.97)</f>
        <v>39.97</v>
      </c>
    </row>
    <row r="2357" spans="1:2">
      <c r="A2357" s="3">
        <f ca="1">IFERROR(__xludf.DUMMYFUNCTION("""COMPUTED_VALUE"""),41772.6666666666)</f>
        <v>41772.666666666599</v>
      </c>
      <c r="B2357" s="1">
        <f ca="1">IFERROR(__xludf.DUMMYFUNCTION("""COMPUTED_VALUE"""),40.42)</f>
        <v>40.42</v>
      </c>
    </row>
    <row r="2358" spans="1:2">
      <c r="A2358" s="3">
        <f ca="1">IFERROR(__xludf.DUMMYFUNCTION("""COMPUTED_VALUE"""),41773.6666666666)</f>
        <v>41773.666666666599</v>
      </c>
      <c r="B2358" s="1">
        <f ca="1">IFERROR(__xludf.DUMMYFUNCTION("""COMPUTED_VALUE"""),40.24)</f>
        <v>40.24</v>
      </c>
    </row>
    <row r="2359" spans="1:2">
      <c r="A2359" s="3">
        <f ca="1">IFERROR(__xludf.DUMMYFUNCTION("""COMPUTED_VALUE"""),41774.6666666666)</f>
        <v>41774.666666666599</v>
      </c>
      <c r="B2359" s="1">
        <f ca="1">IFERROR(__xludf.DUMMYFUNCTION("""COMPUTED_VALUE"""),39.6)</f>
        <v>39.6</v>
      </c>
    </row>
    <row r="2360" spans="1:2">
      <c r="A2360" s="3">
        <f ca="1">IFERROR(__xludf.DUMMYFUNCTION("""COMPUTED_VALUE"""),41775.6666666666)</f>
        <v>41775.666666666599</v>
      </c>
      <c r="B2360" s="1">
        <f ca="1">IFERROR(__xludf.DUMMYFUNCTION("""COMPUTED_VALUE"""),39.83)</f>
        <v>39.83</v>
      </c>
    </row>
    <row r="2361" spans="1:2">
      <c r="A2361" s="3">
        <f ca="1">IFERROR(__xludf.DUMMYFUNCTION("""COMPUTED_VALUE"""),41778.6666666666)</f>
        <v>41778.666666666599</v>
      </c>
      <c r="B2361" s="1">
        <f ca="1">IFERROR(__xludf.DUMMYFUNCTION("""COMPUTED_VALUE"""),39.75)</f>
        <v>39.75</v>
      </c>
    </row>
    <row r="2362" spans="1:2">
      <c r="A2362" s="3">
        <f ca="1">IFERROR(__xludf.DUMMYFUNCTION("""COMPUTED_VALUE"""),41779.6666666666)</f>
        <v>41779.666666666599</v>
      </c>
      <c r="B2362" s="1">
        <f ca="1">IFERROR(__xludf.DUMMYFUNCTION("""COMPUTED_VALUE"""),39.68)</f>
        <v>39.68</v>
      </c>
    </row>
    <row r="2363" spans="1:2">
      <c r="A2363" s="3">
        <f ca="1">IFERROR(__xludf.DUMMYFUNCTION("""COMPUTED_VALUE"""),41780.6666666666)</f>
        <v>41780.666666666599</v>
      </c>
      <c r="B2363" s="1">
        <f ca="1">IFERROR(__xludf.DUMMYFUNCTION("""COMPUTED_VALUE"""),40.35)</f>
        <v>40.35</v>
      </c>
    </row>
    <row r="2364" spans="1:2">
      <c r="A2364" s="3">
        <f ca="1">IFERROR(__xludf.DUMMYFUNCTION("""COMPUTED_VALUE"""),41781.6666666666)</f>
        <v>41781.666666666599</v>
      </c>
      <c r="B2364" s="1">
        <f ca="1">IFERROR(__xludf.DUMMYFUNCTION("""COMPUTED_VALUE"""),40.1)</f>
        <v>40.1</v>
      </c>
    </row>
    <row r="2365" spans="1:2">
      <c r="A2365" s="3">
        <f ca="1">IFERROR(__xludf.DUMMYFUNCTION("""COMPUTED_VALUE"""),41782.6666666666)</f>
        <v>41782.666666666599</v>
      </c>
      <c r="B2365" s="1">
        <f ca="1">IFERROR(__xludf.DUMMYFUNCTION("""COMPUTED_VALUE"""),40.12)</f>
        <v>40.119999999999997</v>
      </c>
    </row>
    <row r="2366" spans="1:2">
      <c r="A2366" s="3">
        <f ca="1">IFERROR(__xludf.DUMMYFUNCTION("""COMPUTED_VALUE"""),41786.6666666666)</f>
        <v>41786.666666666599</v>
      </c>
      <c r="B2366" s="1">
        <f ca="1">IFERROR(__xludf.DUMMYFUNCTION("""COMPUTED_VALUE"""),40.19)</f>
        <v>40.19</v>
      </c>
    </row>
    <row r="2367" spans="1:2">
      <c r="A2367" s="3">
        <f ca="1">IFERROR(__xludf.DUMMYFUNCTION("""COMPUTED_VALUE"""),41787.6666666666)</f>
        <v>41787.666666666599</v>
      </c>
      <c r="B2367" s="1">
        <f ca="1">IFERROR(__xludf.DUMMYFUNCTION("""COMPUTED_VALUE"""),40.01)</f>
        <v>40.01</v>
      </c>
    </row>
    <row r="2368" spans="1:2">
      <c r="A2368" s="3">
        <f ca="1">IFERROR(__xludf.DUMMYFUNCTION("""COMPUTED_VALUE"""),41788.6666666666)</f>
        <v>41788.666666666599</v>
      </c>
      <c r="B2368" s="1">
        <f ca="1">IFERROR(__xludf.DUMMYFUNCTION("""COMPUTED_VALUE"""),40.34)</f>
        <v>40.340000000000003</v>
      </c>
    </row>
    <row r="2369" spans="1:2">
      <c r="A2369" s="3">
        <f ca="1">IFERROR(__xludf.DUMMYFUNCTION("""COMPUTED_VALUE"""),41789.6666666666)</f>
        <v>41789.666666666599</v>
      </c>
      <c r="B2369" s="1">
        <f ca="1">IFERROR(__xludf.DUMMYFUNCTION("""COMPUTED_VALUE"""),40.94)</f>
        <v>40.94</v>
      </c>
    </row>
    <row r="2370" spans="1:2">
      <c r="A2370" s="3">
        <f ca="1">IFERROR(__xludf.DUMMYFUNCTION("""COMPUTED_VALUE"""),41792.6666666666)</f>
        <v>41792.666666666599</v>
      </c>
      <c r="B2370" s="1">
        <f ca="1">IFERROR(__xludf.DUMMYFUNCTION("""COMPUTED_VALUE"""),40.79)</f>
        <v>40.79</v>
      </c>
    </row>
    <row r="2371" spans="1:2">
      <c r="A2371" s="3">
        <f ca="1">IFERROR(__xludf.DUMMYFUNCTION("""COMPUTED_VALUE"""),41793.6666666666)</f>
        <v>41793.666666666599</v>
      </c>
      <c r="B2371" s="1">
        <f ca="1">IFERROR(__xludf.DUMMYFUNCTION("""COMPUTED_VALUE"""),40.29)</f>
        <v>40.29</v>
      </c>
    </row>
    <row r="2372" spans="1:2">
      <c r="A2372" s="3">
        <f ca="1">IFERROR(__xludf.DUMMYFUNCTION("""COMPUTED_VALUE"""),41794.6666666666)</f>
        <v>41794.666666666599</v>
      </c>
      <c r="B2372" s="1">
        <f ca="1">IFERROR(__xludf.DUMMYFUNCTION("""COMPUTED_VALUE"""),40.32)</f>
        <v>40.32</v>
      </c>
    </row>
    <row r="2373" spans="1:2">
      <c r="A2373" s="3">
        <f ca="1">IFERROR(__xludf.DUMMYFUNCTION("""COMPUTED_VALUE"""),41795.6666666666)</f>
        <v>41795.666666666599</v>
      </c>
      <c r="B2373" s="1">
        <f ca="1">IFERROR(__xludf.DUMMYFUNCTION("""COMPUTED_VALUE"""),41.21)</f>
        <v>41.21</v>
      </c>
    </row>
    <row r="2374" spans="1:2">
      <c r="A2374" s="3">
        <f ca="1">IFERROR(__xludf.DUMMYFUNCTION("""COMPUTED_VALUE"""),41796.6666666666)</f>
        <v>41796.666666666599</v>
      </c>
      <c r="B2374" s="1">
        <f ca="1">IFERROR(__xludf.DUMMYFUNCTION("""COMPUTED_VALUE"""),41.48)</f>
        <v>41.48</v>
      </c>
    </row>
    <row r="2375" spans="1:2">
      <c r="A2375" s="3">
        <f ca="1">IFERROR(__xludf.DUMMYFUNCTION("""COMPUTED_VALUE"""),41799.6666666666)</f>
        <v>41799.666666666599</v>
      </c>
      <c r="B2375" s="1">
        <f ca="1">IFERROR(__xludf.DUMMYFUNCTION("""COMPUTED_VALUE"""),41.27)</f>
        <v>41.27</v>
      </c>
    </row>
    <row r="2376" spans="1:2">
      <c r="A2376" s="3">
        <f ca="1">IFERROR(__xludf.DUMMYFUNCTION("""COMPUTED_VALUE"""),41800.6666666666)</f>
        <v>41800.666666666599</v>
      </c>
      <c r="B2376" s="1">
        <f ca="1">IFERROR(__xludf.DUMMYFUNCTION("""COMPUTED_VALUE"""),41.11)</f>
        <v>41.11</v>
      </c>
    </row>
    <row r="2377" spans="1:2">
      <c r="A2377" s="3">
        <f ca="1">IFERROR(__xludf.DUMMYFUNCTION("""COMPUTED_VALUE"""),41801.6666666666)</f>
        <v>41801.666666666599</v>
      </c>
      <c r="B2377" s="1">
        <f ca="1">IFERROR(__xludf.DUMMYFUNCTION("""COMPUTED_VALUE"""),40.86)</f>
        <v>40.86</v>
      </c>
    </row>
    <row r="2378" spans="1:2">
      <c r="A2378" s="3">
        <f ca="1">IFERROR(__xludf.DUMMYFUNCTION("""COMPUTED_VALUE"""),41802.6666666666)</f>
        <v>41802.666666666599</v>
      </c>
      <c r="B2378" s="1">
        <f ca="1">IFERROR(__xludf.DUMMYFUNCTION("""COMPUTED_VALUE"""),40.58)</f>
        <v>40.58</v>
      </c>
    </row>
    <row r="2379" spans="1:2">
      <c r="A2379" s="3">
        <f ca="1">IFERROR(__xludf.DUMMYFUNCTION("""COMPUTED_VALUE"""),41803.6666666666)</f>
        <v>41803.666666666599</v>
      </c>
      <c r="B2379" s="1">
        <f ca="1">IFERROR(__xludf.DUMMYFUNCTION("""COMPUTED_VALUE"""),41.23)</f>
        <v>41.23</v>
      </c>
    </row>
    <row r="2380" spans="1:2">
      <c r="A2380" s="3">
        <f ca="1">IFERROR(__xludf.DUMMYFUNCTION("""COMPUTED_VALUE"""),41806.6666666666)</f>
        <v>41806.666666666599</v>
      </c>
      <c r="B2380" s="1">
        <f ca="1">IFERROR(__xludf.DUMMYFUNCTION("""COMPUTED_VALUE"""),41.5)</f>
        <v>41.5</v>
      </c>
    </row>
    <row r="2381" spans="1:2">
      <c r="A2381" s="3">
        <f ca="1">IFERROR(__xludf.DUMMYFUNCTION("""COMPUTED_VALUE"""),41807.6666666666)</f>
        <v>41807.666666666599</v>
      </c>
      <c r="B2381" s="1">
        <f ca="1">IFERROR(__xludf.DUMMYFUNCTION("""COMPUTED_VALUE"""),41.68)</f>
        <v>41.68</v>
      </c>
    </row>
    <row r="2382" spans="1:2">
      <c r="A2382" s="3">
        <f ca="1">IFERROR(__xludf.DUMMYFUNCTION("""COMPUTED_VALUE"""),41808.6666666666)</f>
        <v>41808.666666666599</v>
      </c>
      <c r="B2382" s="1">
        <f ca="1">IFERROR(__xludf.DUMMYFUNCTION("""COMPUTED_VALUE"""),41.65)</f>
        <v>41.65</v>
      </c>
    </row>
    <row r="2383" spans="1:2">
      <c r="A2383" s="3">
        <f ca="1">IFERROR(__xludf.DUMMYFUNCTION("""COMPUTED_VALUE"""),41809.6666666666)</f>
        <v>41809.666666666599</v>
      </c>
      <c r="B2383" s="1">
        <f ca="1">IFERROR(__xludf.DUMMYFUNCTION("""COMPUTED_VALUE"""),41.51)</f>
        <v>41.51</v>
      </c>
    </row>
    <row r="2384" spans="1:2">
      <c r="A2384" s="3">
        <f ca="1">IFERROR(__xludf.DUMMYFUNCTION("""COMPUTED_VALUE"""),41810.6666666666)</f>
        <v>41810.666666666599</v>
      </c>
      <c r="B2384" s="1">
        <f ca="1">IFERROR(__xludf.DUMMYFUNCTION("""COMPUTED_VALUE"""),41.68)</f>
        <v>41.68</v>
      </c>
    </row>
    <row r="2385" spans="1:2">
      <c r="A2385" s="3">
        <f ca="1">IFERROR(__xludf.DUMMYFUNCTION("""COMPUTED_VALUE"""),41813.6666666666)</f>
        <v>41813.666666666599</v>
      </c>
      <c r="B2385" s="1">
        <f ca="1">IFERROR(__xludf.DUMMYFUNCTION("""COMPUTED_VALUE"""),41.99)</f>
        <v>41.99</v>
      </c>
    </row>
    <row r="2386" spans="1:2">
      <c r="A2386" s="3">
        <f ca="1">IFERROR(__xludf.DUMMYFUNCTION("""COMPUTED_VALUE"""),41814.6666666666)</f>
        <v>41814.666666666599</v>
      </c>
      <c r="B2386" s="1">
        <f ca="1">IFERROR(__xludf.DUMMYFUNCTION("""COMPUTED_VALUE"""),41.75)</f>
        <v>41.75</v>
      </c>
    </row>
    <row r="2387" spans="1:2">
      <c r="A2387" s="3">
        <f ca="1">IFERROR(__xludf.DUMMYFUNCTION("""COMPUTED_VALUE"""),41815.6666666666)</f>
        <v>41815.666666666599</v>
      </c>
      <c r="B2387" s="1">
        <f ca="1">IFERROR(__xludf.DUMMYFUNCTION("""COMPUTED_VALUE"""),42.03)</f>
        <v>42.03</v>
      </c>
    </row>
    <row r="2388" spans="1:2">
      <c r="A2388" s="3">
        <f ca="1">IFERROR(__xludf.DUMMYFUNCTION("""COMPUTED_VALUE"""),41816.6666666666)</f>
        <v>41816.666666666599</v>
      </c>
      <c r="B2388" s="1">
        <f ca="1">IFERROR(__xludf.DUMMYFUNCTION("""COMPUTED_VALUE"""),41.72)</f>
        <v>41.72</v>
      </c>
    </row>
    <row r="2389" spans="1:2">
      <c r="A2389" s="3">
        <f ca="1">IFERROR(__xludf.DUMMYFUNCTION("""COMPUTED_VALUE"""),41817.6666666666)</f>
        <v>41817.666666666599</v>
      </c>
      <c r="B2389" s="1">
        <f ca="1">IFERROR(__xludf.DUMMYFUNCTION("""COMPUTED_VALUE"""),42.25)</f>
        <v>42.25</v>
      </c>
    </row>
    <row r="2390" spans="1:2">
      <c r="A2390" s="3">
        <f ca="1">IFERROR(__xludf.DUMMYFUNCTION("""COMPUTED_VALUE"""),41820.6666666666)</f>
        <v>41820.666666666599</v>
      </c>
      <c r="B2390" s="1">
        <f ca="1">IFERROR(__xludf.DUMMYFUNCTION("""COMPUTED_VALUE"""),41.7)</f>
        <v>41.7</v>
      </c>
    </row>
    <row r="2391" spans="1:2">
      <c r="A2391" s="3">
        <f ca="1">IFERROR(__xludf.DUMMYFUNCTION("""COMPUTED_VALUE"""),41821.6666666666)</f>
        <v>41821.666666666599</v>
      </c>
      <c r="B2391" s="1">
        <f ca="1">IFERROR(__xludf.DUMMYFUNCTION("""COMPUTED_VALUE"""),41.87)</f>
        <v>41.87</v>
      </c>
    </row>
    <row r="2392" spans="1:2">
      <c r="A2392" s="3">
        <f ca="1">IFERROR(__xludf.DUMMYFUNCTION("""COMPUTED_VALUE"""),41822.6666666666)</f>
        <v>41822.666666666599</v>
      </c>
      <c r="B2392" s="1">
        <f ca="1">IFERROR(__xludf.DUMMYFUNCTION("""COMPUTED_VALUE"""),41.9)</f>
        <v>41.9</v>
      </c>
    </row>
    <row r="2393" spans="1:2">
      <c r="A2393" s="3">
        <f ca="1">IFERROR(__xludf.DUMMYFUNCTION("""COMPUTED_VALUE"""),41823.6666666666)</f>
        <v>41823.666666666599</v>
      </c>
      <c r="B2393" s="1">
        <f ca="1">IFERROR(__xludf.DUMMYFUNCTION("""COMPUTED_VALUE"""),41.8)</f>
        <v>41.8</v>
      </c>
    </row>
    <row r="2394" spans="1:2">
      <c r="A2394" s="3">
        <f ca="1">IFERROR(__xludf.DUMMYFUNCTION("""COMPUTED_VALUE"""),41827.6666666666)</f>
        <v>41827.666666666599</v>
      </c>
      <c r="B2394" s="1">
        <f ca="1">IFERROR(__xludf.DUMMYFUNCTION("""COMPUTED_VALUE"""),41.99)</f>
        <v>41.99</v>
      </c>
    </row>
    <row r="2395" spans="1:2">
      <c r="A2395" s="3">
        <f ca="1">IFERROR(__xludf.DUMMYFUNCTION("""COMPUTED_VALUE"""),41828.6666666666)</f>
        <v>41828.666666666599</v>
      </c>
      <c r="B2395" s="1">
        <f ca="1">IFERROR(__xludf.DUMMYFUNCTION("""COMPUTED_VALUE"""),41.78)</f>
        <v>41.78</v>
      </c>
    </row>
    <row r="2396" spans="1:2">
      <c r="A2396" s="3">
        <f ca="1">IFERROR(__xludf.DUMMYFUNCTION("""COMPUTED_VALUE"""),41829.6666666666)</f>
        <v>41829.666666666599</v>
      </c>
      <c r="B2396" s="1">
        <f ca="1">IFERROR(__xludf.DUMMYFUNCTION("""COMPUTED_VALUE"""),41.67)</f>
        <v>41.67</v>
      </c>
    </row>
    <row r="2397" spans="1:2">
      <c r="A2397" s="3">
        <f ca="1">IFERROR(__xludf.DUMMYFUNCTION("""COMPUTED_VALUE"""),41830.6666666666)</f>
        <v>41830.666666666599</v>
      </c>
      <c r="B2397" s="1">
        <f ca="1">IFERROR(__xludf.DUMMYFUNCTION("""COMPUTED_VALUE"""),41.69)</f>
        <v>41.69</v>
      </c>
    </row>
    <row r="2398" spans="1:2">
      <c r="A2398" s="3">
        <f ca="1">IFERROR(__xludf.DUMMYFUNCTION("""COMPUTED_VALUE"""),41831.6666666666)</f>
        <v>41831.666666666599</v>
      </c>
      <c r="B2398" s="1">
        <f ca="1">IFERROR(__xludf.DUMMYFUNCTION("""COMPUTED_VALUE"""),42.09)</f>
        <v>42.09</v>
      </c>
    </row>
    <row r="2399" spans="1:2">
      <c r="A2399" s="3">
        <f ca="1">IFERROR(__xludf.DUMMYFUNCTION("""COMPUTED_VALUE"""),41834.6666666666)</f>
        <v>41834.666666666599</v>
      </c>
      <c r="B2399" s="1">
        <f ca="1">IFERROR(__xludf.DUMMYFUNCTION("""COMPUTED_VALUE"""),42.14)</f>
        <v>42.14</v>
      </c>
    </row>
    <row r="2400" spans="1:2">
      <c r="A2400" s="3">
        <f ca="1">IFERROR(__xludf.DUMMYFUNCTION("""COMPUTED_VALUE"""),41835.6666666666)</f>
        <v>41835.666666666599</v>
      </c>
      <c r="B2400" s="1">
        <f ca="1">IFERROR(__xludf.DUMMYFUNCTION("""COMPUTED_VALUE"""),42.45)</f>
        <v>42.45</v>
      </c>
    </row>
    <row r="2401" spans="1:2">
      <c r="A2401" s="3">
        <f ca="1">IFERROR(__xludf.DUMMYFUNCTION("""COMPUTED_VALUE"""),41836.6666666666)</f>
        <v>41836.666666666599</v>
      </c>
      <c r="B2401" s="1">
        <f ca="1">IFERROR(__xludf.DUMMYFUNCTION("""COMPUTED_VALUE"""),44.08)</f>
        <v>44.08</v>
      </c>
    </row>
    <row r="2402" spans="1:2">
      <c r="A2402" s="3">
        <f ca="1">IFERROR(__xludf.DUMMYFUNCTION("""COMPUTED_VALUE"""),41837.6666666666)</f>
        <v>41837.666666666599</v>
      </c>
      <c r="B2402" s="1">
        <f ca="1">IFERROR(__xludf.DUMMYFUNCTION("""COMPUTED_VALUE"""),44.53)</f>
        <v>44.53</v>
      </c>
    </row>
    <row r="2403" spans="1:2">
      <c r="A2403" s="3">
        <f ca="1">IFERROR(__xludf.DUMMYFUNCTION("""COMPUTED_VALUE"""),41838.6666666666)</f>
        <v>41838.666666666599</v>
      </c>
      <c r="B2403" s="1">
        <f ca="1">IFERROR(__xludf.DUMMYFUNCTION("""COMPUTED_VALUE"""),44.69)</f>
        <v>44.69</v>
      </c>
    </row>
    <row r="2404" spans="1:2">
      <c r="A2404" s="3">
        <f ca="1">IFERROR(__xludf.DUMMYFUNCTION("""COMPUTED_VALUE"""),41841.6666666666)</f>
        <v>41841.666666666599</v>
      </c>
      <c r="B2404" s="1">
        <f ca="1">IFERROR(__xludf.DUMMYFUNCTION("""COMPUTED_VALUE"""),44.84)</f>
        <v>44.84</v>
      </c>
    </row>
    <row r="2405" spans="1:2">
      <c r="A2405" s="3">
        <f ca="1">IFERROR(__xludf.DUMMYFUNCTION("""COMPUTED_VALUE"""),41842.6666666666)</f>
        <v>41842.666666666599</v>
      </c>
      <c r="B2405" s="1">
        <f ca="1">IFERROR(__xludf.DUMMYFUNCTION("""COMPUTED_VALUE"""),44.83)</f>
        <v>44.83</v>
      </c>
    </row>
    <row r="2406" spans="1:2">
      <c r="A2406" s="3">
        <f ca="1">IFERROR(__xludf.DUMMYFUNCTION("""COMPUTED_VALUE"""),41843.6666666666)</f>
        <v>41843.666666666599</v>
      </c>
      <c r="B2406" s="1">
        <f ca="1">IFERROR(__xludf.DUMMYFUNCTION("""COMPUTED_VALUE"""),44.87)</f>
        <v>44.87</v>
      </c>
    </row>
    <row r="2407" spans="1:2">
      <c r="A2407" s="3">
        <f ca="1">IFERROR(__xludf.DUMMYFUNCTION("""COMPUTED_VALUE"""),41844.6666666666)</f>
        <v>41844.666666666599</v>
      </c>
      <c r="B2407" s="1">
        <f ca="1">IFERROR(__xludf.DUMMYFUNCTION("""COMPUTED_VALUE"""),44.4)</f>
        <v>44.4</v>
      </c>
    </row>
    <row r="2408" spans="1:2">
      <c r="A2408" s="3">
        <f ca="1">IFERROR(__xludf.DUMMYFUNCTION("""COMPUTED_VALUE"""),41845.6666666666)</f>
        <v>41845.666666666599</v>
      </c>
      <c r="B2408" s="1">
        <f ca="1">IFERROR(__xludf.DUMMYFUNCTION("""COMPUTED_VALUE"""),44.5)</f>
        <v>44.5</v>
      </c>
    </row>
    <row r="2409" spans="1:2">
      <c r="A2409" s="3">
        <f ca="1">IFERROR(__xludf.DUMMYFUNCTION("""COMPUTED_VALUE"""),41848.6666666666)</f>
        <v>41848.666666666599</v>
      </c>
      <c r="B2409" s="1">
        <f ca="1">IFERROR(__xludf.DUMMYFUNCTION("""COMPUTED_VALUE"""),43.97)</f>
        <v>43.97</v>
      </c>
    </row>
    <row r="2410" spans="1:2">
      <c r="A2410" s="3">
        <f ca="1">IFERROR(__xludf.DUMMYFUNCTION("""COMPUTED_VALUE"""),41849.6666666666)</f>
        <v>41849.666666666599</v>
      </c>
      <c r="B2410" s="1">
        <f ca="1">IFERROR(__xludf.DUMMYFUNCTION("""COMPUTED_VALUE"""),43.89)</f>
        <v>43.89</v>
      </c>
    </row>
    <row r="2411" spans="1:2">
      <c r="A2411" s="3">
        <f ca="1">IFERROR(__xludf.DUMMYFUNCTION("""COMPUTED_VALUE"""),41850.6666666666)</f>
        <v>41850.666666666599</v>
      </c>
      <c r="B2411" s="1">
        <f ca="1">IFERROR(__xludf.DUMMYFUNCTION("""COMPUTED_VALUE"""),43.58)</f>
        <v>43.58</v>
      </c>
    </row>
    <row r="2412" spans="1:2">
      <c r="A2412" s="3">
        <f ca="1">IFERROR(__xludf.DUMMYFUNCTION("""COMPUTED_VALUE"""),41851.6666666666)</f>
        <v>41851.666666666599</v>
      </c>
      <c r="B2412" s="1">
        <f ca="1">IFERROR(__xludf.DUMMYFUNCTION("""COMPUTED_VALUE"""),43.16)</f>
        <v>43.16</v>
      </c>
    </row>
    <row r="2413" spans="1:2">
      <c r="A2413" s="3">
        <f ca="1">IFERROR(__xludf.DUMMYFUNCTION("""COMPUTED_VALUE"""),41852.6666666666)</f>
        <v>41852.666666666599</v>
      </c>
      <c r="B2413" s="1">
        <f ca="1">IFERROR(__xludf.DUMMYFUNCTION("""COMPUTED_VALUE"""),42.86)</f>
        <v>42.86</v>
      </c>
    </row>
    <row r="2414" spans="1:2">
      <c r="A2414" s="3">
        <f ca="1">IFERROR(__xludf.DUMMYFUNCTION("""COMPUTED_VALUE"""),41855.6666666666)</f>
        <v>41855.666666666599</v>
      </c>
      <c r="B2414" s="1">
        <f ca="1">IFERROR(__xludf.DUMMYFUNCTION("""COMPUTED_VALUE"""),43.37)</f>
        <v>43.37</v>
      </c>
    </row>
    <row r="2415" spans="1:2">
      <c r="A2415" s="3">
        <f ca="1">IFERROR(__xludf.DUMMYFUNCTION("""COMPUTED_VALUE"""),41856.6666666666)</f>
        <v>41856.666666666599</v>
      </c>
      <c r="B2415" s="1">
        <f ca="1">IFERROR(__xludf.DUMMYFUNCTION("""COMPUTED_VALUE"""),43.08)</f>
        <v>43.08</v>
      </c>
    </row>
    <row r="2416" spans="1:2">
      <c r="A2416" s="3">
        <f ca="1">IFERROR(__xludf.DUMMYFUNCTION("""COMPUTED_VALUE"""),41857.6666666666)</f>
        <v>41857.666666666599</v>
      </c>
      <c r="B2416" s="1">
        <f ca="1">IFERROR(__xludf.DUMMYFUNCTION("""COMPUTED_VALUE"""),42.74)</f>
        <v>42.74</v>
      </c>
    </row>
    <row r="2417" spans="1:2">
      <c r="A2417" s="3">
        <f ca="1">IFERROR(__xludf.DUMMYFUNCTION("""COMPUTED_VALUE"""),41858.6666666666)</f>
        <v>41858.666666666599</v>
      </c>
      <c r="B2417" s="1">
        <f ca="1">IFERROR(__xludf.DUMMYFUNCTION("""COMPUTED_VALUE"""),43.23)</f>
        <v>43.23</v>
      </c>
    </row>
    <row r="2418" spans="1:2">
      <c r="A2418" s="3">
        <f ca="1">IFERROR(__xludf.DUMMYFUNCTION("""COMPUTED_VALUE"""),41859.6666666666)</f>
        <v>41859.666666666599</v>
      </c>
      <c r="B2418" s="1">
        <f ca="1">IFERROR(__xludf.DUMMYFUNCTION("""COMPUTED_VALUE"""),43.2)</f>
        <v>43.2</v>
      </c>
    </row>
    <row r="2419" spans="1:2">
      <c r="A2419" s="3">
        <f ca="1">IFERROR(__xludf.DUMMYFUNCTION("""COMPUTED_VALUE"""),41862.6666666666)</f>
        <v>41862.666666666599</v>
      </c>
      <c r="B2419" s="1">
        <f ca="1">IFERROR(__xludf.DUMMYFUNCTION("""COMPUTED_VALUE"""),43.2)</f>
        <v>43.2</v>
      </c>
    </row>
    <row r="2420" spans="1:2">
      <c r="A2420" s="3">
        <f ca="1">IFERROR(__xludf.DUMMYFUNCTION("""COMPUTED_VALUE"""),41863.6666666666)</f>
        <v>41863.666666666599</v>
      </c>
      <c r="B2420" s="1">
        <f ca="1">IFERROR(__xludf.DUMMYFUNCTION("""COMPUTED_VALUE"""),43.52)</f>
        <v>43.52</v>
      </c>
    </row>
    <row r="2421" spans="1:2">
      <c r="A2421" s="3">
        <f ca="1">IFERROR(__xludf.DUMMYFUNCTION("""COMPUTED_VALUE"""),41864.6666666666)</f>
        <v>41864.666666666599</v>
      </c>
      <c r="B2421" s="1">
        <f ca="1">IFERROR(__xludf.DUMMYFUNCTION("""COMPUTED_VALUE"""),44.08)</f>
        <v>44.08</v>
      </c>
    </row>
    <row r="2422" spans="1:2">
      <c r="A2422" s="3">
        <f ca="1">IFERROR(__xludf.DUMMYFUNCTION("""COMPUTED_VALUE"""),41865.6666666666)</f>
        <v>41865.666666666599</v>
      </c>
      <c r="B2422" s="1">
        <f ca="1">IFERROR(__xludf.DUMMYFUNCTION("""COMPUTED_VALUE"""),44.27)</f>
        <v>44.27</v>
      </c>
    </row>
    <row r="2423" spans="1:2">
      <c r="A2423" s="3">
        <f ca="1">IFERROR(__xludf.DUMMYFUNCTION("""COMPUTED_VALUE"""),41866.6666666666)</f>
        <v>41866.666666666599</v>
      </c>
      <c r="B2423" s="1">
        <f ca="1">IFERROR(__xludf.DUMMYFUNCTION("""COMPUTED_VALUE"""),44.79)</f>
        <v>44.79</v>
      </c>
    </row>
    <row r="2424" spans="1:2">
      <c r="A2424" s="3">
        <f ca="1">IFERROR(__xludf.DUMMYFUNCTION("""COMPUTED_VALUE"""),41869.6666666666)</f>
        <v>41869.666666666599</v>
      </c>
      <c r="B2424" s="1">
        <f ca="1">IFERROR(__xludf.DUMMYFUNCTION("""COMPUTED_VALUE"""),45.11)</f>
        <v>45.11</v>
      </c>
    </row>
    <row r="2425" spans="1:2">
      <c r="A2425" s="3">
        <f ca="1">IFERROR(__xludf.DUMMYFUNCTION("""COMPUTED_VALUE"""),41870.6666666666)</f>
        <v>41870.666666666599</v>
      </c>
      <c r="B2425" s="1">
        <f ca="1">IFERROR(__xludf.DUMMYFUNCTION("""COMPUTED_VALUE"""),45.33)</f>
        <v>45.33</v>
      </c>
    </row>
    <row r="2426" spans="1:2">
      <c r="A2426" s="3">
        <f ca="1">IFERROR(__xludf.DUMMYFUNCTION("""COMPUTED_VALUE"""),41871.6666666666)</f>
        <v>41871.666666666599</v>
      </c>
      <c r="B2426" s="1">
        <f ca="1">IFERROR(__xludf.DUMMYFUNCTION("""COMPUTED_VALUE"""),44.95)</f>
        <v>44.95</v>
      </c>
    </row>
    <row r="2427" spans="1:2">
      <c r="A2427" s="3">
        <f ca="1">IFERROR(__xludf.DUMMYFUNCTION("""COMPUTED_VALUE"""),41872.6666666666)</f>
        <v>41872.666666666599</v>
      </c>
      <c r="B2427" s="1">
        <f ca="1">IFERROR(__xludf.DUMMYFUNCTION("""COMPUTED_VALUE"""),45.22)</f>
        <v>45.22</v>
      </c>
    </row>
    <row r="2428" spans="1:2">
      <c r="A2428" s="3">
        <f ca="1">IFERROR(__xludf.DUMMYFUNCTION("""COMPUTED_VALUE"""),41873.6666666666)</f>
        <v>41873.666666666599</v>
      </c>
      <c r="B2428" s="1">
        <f ca="1">IFERROR(__xludf.DUMMYFUNCTION("""COMPUTED_VALUE"""),45.15)</f>
        <v>45.15</v>
      </c>
    </row>
    <row r="2429" spans="1:2">
      <c r="A2429" s="3">
        <f ca="1">IFERROR(__xludf.DUMMYFUNCTION("""COMPUTED_VALUE"""),41876.6666666666)</f>
        <v>41876.666666666599</v>
      </c>
      <c r="B2429" s="1">
        <f ca="1">IFERROR(__xludf.DUMMYFUNCTION("""COMPUTED_VALUE"""),45.17)</f>
        <v>45.17</v>
      </c>
    </row>
    <row r="2430" spans="1:2">
      <c r="A2430" s="3">
        <f ca="1">IFERROR(__xludf.DUMMYFUNCTION("""COMPUTED_VALUE"""),41877.6666666666)</f>
        <v>41877.666666666599</v>
      </c>
      <c r="B2430" s="1">
        <f ca="1">IFERROR(__xludf.DUMMYFUNCTION("""COMPUTED_VALUE"""),45.01)</f>
        <v>45.01</v>
      </c>
    </row>
    <row r="2431" spans="1:2">
      <c r="A2431" s="3">
        <f ca="1">IFERROR(__xludf.DUMMYFUNCTION("""COMPUTED_VALUE"""),41878.6666666666)</f>
        <v>41878.666666666599</v>
      </c>
      <c r="B2431" s="1">
        <f ca="1">IFERROR(__xludf.DUMMYFUNCTION("""COMPUTED_VALUE"""),44.87)</f>
        <v>44.87</v>
      </c>
    </row>
    <row r="2432" spans="1:2">
      <c r="A2432" s="3">
        <f ca="1">IFERROR(__xludf.DUMMYFUNCTION("""COMPUTED_VALUE"""),41879.6666666666)</f>
        <v>41879.666666666599</v>
      </c>
      <c r="B2432" s="1">
        <f ca="1">IFERROR(__xludf.DUMMYFUNCTION("""COMPUTED_VALUE"""),44.88)</f>
        <v>44.88</v>
      </c>
    </row>
    <row r="2433" spans="1:2">
      <c r="A2433" s="3">
        <f ca="1">IFERROR(__xludf.DUMMYFUNCTION("""COMPUTED_VALUE"""),41880.6666666666)</f>
        <v>41880.666666666599</v>
      </c>
      <c r="B2433" s="1">
        <f ca="1">IFERROR(__xludf.DUMMYFUNCTION("""COMPUTED_VALUE"""),45.43)</f>
        <v>45.43</v>
      </c>
    </row>
    <row r="2434" spans="1:2">
      <c r="A2434" s="3">
        <f ca="1">IFERROR(__xludf.DUMMYFUNCTION("""COMPUTED_VALUE"""),41884.6666666666)</f>
        <v>41884.666666666599</v>
      </c>
      <c r="B2434" s="1">
        <f ca="1">IFERROR(__xludf.DUMMYFUNCTION("""COMPUTED_VALUE"""),45.09)</f>
        <v>45.09</v>
      </c>
    </row>
    <row r="2435" spans="1:2">
      <c r="A2435" s="3">
        <f ca="1">IFERROR(__xludf.DUMMYFUNCTION("""COMPUTED_VALUE"""),41885.6666666666)</f>
        <v>41885.666666666599</v>
      </c>
      <c r="B2435" s="1">
        <f ca="1">IFERROR(__xludf.DUMMYFUNCTION("""COMPUTED_VALUE"""),44.96)</f>
        <v>44.96</v>
      </c>
    </row>
    <row r="2436" spans="1:2">
      <c r="A2436" s="3">
        <f ca="1">IFERROR(__xludf.DUMMYFUNCTION("""COMPUTED_VALUE"""),41886.6666666666)</f>
        <v>41886.666666666599</v>
      </c>
      <c r="B2436" s="1">
        <f ca="1">IFERROR(__xludf.DUMMYFUNCTION("""COMPUTED_VALUE"""),45.26)</f>
        <v>45.26</v>
      </c>
    </row>
    <row r="2437" spans="1:2">
      <c r="A2437" s="3">
        <f ca="1">IFERROR(__xludf.DUMMYFUNCTION("""COMPUTED_VALUE"""),41887.6666666666)</f>
        <v>41887.666666666599</v>
      </c>
      <c r="B2437" s="1">
        <f ca="1">IFERROR(__xludf.DUMMYFUNCTION("""COMPUTED_VALUE"""),45.91)</f>
        <v>45.91</v>
      </c>
    </row>
    <row r="2438" spans="1:2">
      <c r="A2438" s="3">
        <f ca="1">IFERROR(__xludf.DUMMYFUNCTION("""COMPUTED_VALUE"""),41890.6666666666)</f>
        <v>41890.666666666599</v>
      </c>
      <c r="B2438" s="1">
        <f ca="1">IFERROR(__xludf.DUMMYFUNCTION("""COMPUTED_VALUE"""),46.47)</f>
        <v>46.47</v>
      </c>
    </row>
    <row r="2439" spans="1:2">
      <c r="A2439" s="3">
        <f ca="1">IFERROR(__xludf.DUMMYFUNCTION("""COMPUTED_VALUE"""),41891.6666666666)</f>
        <v>41891.666666666599</v>
      </c>
      <c r="B2439" s="1">
        <f ca="1">IFERROR(__xludf.DUMMYFUNCTION("""COMPUTED_VALUE"""),46.76)</f>
        <v>46.76</v>
      </c>
    </row>
    <row r="2440" spans="1:2">
      <c r="A2440" s="3">
        <f ca="1">IFERROR(__xludf.DUMMYFUNCTION("""COMPUTED_VALUE"""),41892.6666666666)</f>
        <v>41892.666666666599</v>
      </c>
      <c r="B2440" s="1">
        <f ca="1">IFERROR(__xludf.DUMMYFUNCTION("""COMPUTED_VALUE"""),46.84)</f>
        <v>46.84</v>
      </c>
    </row>
    <row r="2441" spans="1:2">
      <c r="A2441" s="3">
        <f ca="1">IFERROR(__xludf.DUMMYFUNCTION("""COMPUTED_VALUE"""),41893.6666666666)</f>
        <v>41893.666666666599</v>
      </c>
      <c r="B2441" s="1">
        <f ca="1">IFERROR(__xludf.DUMMYFUNCTION("""COMPUTED_VALUE"""),47)</f>
        <v>47</v>
      </c>
    </row>
    <row r="2442" spans="1:2">
      <c r="A2442" s="3">
        <f ca="1">IFERROR(__xludf.DUMMYFUNCTION("""COMPUTED_VALUE"""),41894.6666666666)</f>
        <v>41894.666666666599</v>
      </c>
      <c r="B2442" s="1">
        <f ca="1">IFERROR(__xludf.DUMMYFUNCTION("""COMPUTED_VALUE"""),46.7)</f>
        <v>46.7</v>
      </c>
    </row>
    <row r="2443" spans="1:2">
      <c r="A2443" s="3">
        <f ca="1">IFERROR(__xludf.DUMMYFUNCTION("""COMPUTED_VALUE"""),41897.6666666666)</f>
        <v>41897.666666666599</v>
      </c>
      <c r="B2443" s="1">
        <f ca="1">IFERROR(__xludf.DUMMYFUNCTION("""COMPUTED_VALUE"""),46.24)</f>
        <v>46.24</v>
      </c>
    </row>
    <row r="2444" spans="1:2">
      <c r="A2444" s="3">
        <f ca="1">IFERROR(__xludf.DUMMYFUNCTION("""COMPUTED_VALUE"""),41898.6666666666)</f>
        <v>41898.666666666599</v>
      </c>
      <c r="B2444" s="1">
        <f ca="1">IFERROR(__xludf.DUMMYFUNCTION("""COMPUTED_VALUE"""),46.76)</f>
        <v>46.76</v>
      </c>
    </row>
    <row r="2445" spans="1:2">
      <c r="A2445" s="3">
        <f ca="1">IFERROR(__xludf.DUMMYFUNCTION("""COMPUTED_VALUE"""),41899.6666666666)</f>
        <v>41899.666666666599</v>
      </c>
      <c r="B2445" s="1">
        <f ca="1">IFERROR(__xludf.DUMMYFUNCTION("""COMPUTED_VALUE"""),46.52)</f>
        <v>46.52</v>
      </c>
    </row>
    <row r="2446" spans="1:2">
      <c r="A2446" s="3">
        <f ca="1">IFERROR(__xludf.DUMMYFUNCTION("""COMPUTED_VALUE"""),41900.6666666666)</f>
        <v>41900.666666666599</v>
      </c>
      <c r="B2446" s="1">
        <f ca="1">IFERROR(__xludf.DUMMYFUNCTION("""COMPUTED_VALUE"""),46.68)</f>
        <v>46.68</v>
      </c>
    </row>
    <row r="2447" spans="1:2">
      <c r="A2447" s="3">
        <f ca="1">IFERROR(__xludf.DUMMYFUNCTION("""COMPUTED_VALUE"""),41901.6666666666)</f>
        <v>41901.666666666599</v>
      </c>
      <c r="B2447" s="1">
        <f ca="1">IFERROR(__xludf.DUMMYFUNCTION("""COMPUTED_VALUE"""),47.52)</f>
        <v>47.52</v>
      </c>
    </row>
    <row r="2448" spans="1:2">
      <c r="A2448" s="3">
        <f ca="1">IFERROR(__xludf.DUMMYFUNCTION("""COMPUTED_VALUE"""),41904.6666666666)</f>
        <v>41904.666666666599</v>
      </c>
      <c r="B2448" s="1">
        <f ca="1">IFERROR(__xludf.DUMMYFUNCTION("""COMPUTED_VALUE"""),47.06)</f>
        <v>47.06</v>
      </c>
    </row>
    <row r="2449" spans="1:2">
      <c r="A2449" s="3">
        <f ca="1">IFERROR(__xludf.DUMMYFUNCTION("""COMPUTED_VALUE"""),41905.6666666666)</f>
        <v>41905.666666666599</v>
      </c>
      <c r="B2449" s="1">
        <f ca="1">IFERROR(__xludf.DUMMYFUNCTION("""COMPUTED_VALUE"""),46.56)</f>
        <v>46.56</v>
      </c>
    </row>
    <row r="2450" spans="1:2">
      <c r="A2450" s="3">
        <f ca="1">IFERROR(__xludf.DUMMYFUNCTION("""COMPUTED_VALUE"""),41906.6666666666)</f>
        <v>41906.666666666599</v>
      </c>
      <c r="B2450" s="1">
        <f ca="1">IFERROR(__xludf.DUMMYFUNCTION("""COMPUTED_VALUE"""),47.08)</f>
        <v>47.08</v>
      </c>
    </row>
    <row r="2451" spans="1:2">
      <c r="A2451" s="3">
        <f ca="1">IFERROR(__xludf.DUMMYFUNCTION("""COMPUTED_VALUE"""),41907.6666666666)</f>
        <v>41907.666666666599</v>
      </c>
      <c r="B2451" s="1">
        <f ca="1">IFERROR(__xludf.DUMMYFUNCTION("""COMPUTED_VALUE"""),46.04)</f>
        <v>46.04</v>
      </c>
    </row>
    <row r="2452" spans="1:2">
      <c r="A2452" s="3">
        <f ca="1">IFERROR(__xludf.DUMMYFUNCTION("""COMPUTED_VALUE"""),41908.6666666666)</f>
        <v>41908.666666666599</v>
      </c>
      <c r="B2452" s="1">
        <f ca="1">IFERROR(__xludf.DUMMYFUNCTION("""COMPUTED_VALUE"""),46.41)</f>
        <v>46.41</v>
      </c>
    </row>
    <row r="2453" spans="1:2">
      <c r="A2453" s="3">
        <f ca="1">IFERROR(__xludf.DUMMYFUNCTION("""COMPUTED_VALUE"""),41911.6666666666)</f>
        <v>41911.666666666599</v>
      </c>
      <c r="B2453" s="1">
        <f ca="1">IFERROR(__xludf.DUMMYFUNCTION("""COMPUTED_VALUE"""),46.44)</f>
        <v>46.44</v>
      </c>
    </row>
    <row r="2454" spans="1:2">
      <c r="A2454" s="3">
        <f ca="1">IFERROR(__xludf.DUMMYFUNCTION("""COMPUTED_VALUE"""),41912.6666666666)</f>
        <v>41912.666666666599</v>
      </c>
      <c r="B2454" s="1">
        <f ca="1">IFERROR(__xludf.DUMMYFUNCTION("""COMPUTED_VALUE"""),46.36)</f>
        <v>46.36</v>
      </c>
    </row>
    <row r="2455" spans="1:2">
      <c r="A2455" s="3">
        <f ca="1">IFERROR(__xludf.DUMMYFUNCTION("""COMPUTED_VALUE"""),41913.6666666666)</f>
        <v>41913.666666666599</v>
      </c>
      <c r="B2455" s="1">
        <f ca="1">IFERROR(__xludf.DUMMYFUNCTION("""COMPUTED_VALUE"""),45.9)</f>
        <v>45.9</v>
      </c>
    </row>
    <row r="2456" spans="1:2">
      <c r="A2456" s="3">
        <f ca="1">IFERROR(__xludf.DUMMYFUNCTION("""COMPUTED_VALUE"""),41914.6666666666)</f>
        <v>41914.666666666599</v>
      </c>
      <c r="B2456" s="1">
        <f ca="1">IFERROR(__xludf.DUMMYFUNCTION("""COMPUTED_VALUE"""),45.76)</f>
        <v>45.76</v>
      </c>
    </row>
    <row r="2457" spans="1:2">
      <c r="A2457" s="3">
        <f ca="1">IFERROR(__xludf.DUMMYFUNCTION("""COMPUTED_VALUE"""),41915.6666666666)</f>
        <v>41915.666666666599</v>
      </c>
      <c r="B2457" s="1">
        <f ca="1">IFERROR(__xludf.DUMMYFUNCTION("""COMPUTED_VALUE"""),46.09)</f>
        <v>46.09</v>
      </c>
    </row>
    <row r="2458" spans="1:2">
      <c r="A2458" s="3">
        <f ca="1">IFERROR(__xludf.DUMMYFUNCTION("""COMPUTED_VALUE"""),41918.6666666666)</f>
        <v>41918.666666666599</v>
      </c>
      <c r="B2458" s="1">
        <f ca="1">IFERROR(__xludf.DUMMYFUNCTION("""COMPUTED_VALUE"""),46.09)</f>
        <v>46.09</v>
      </c>
    </row>
    <row r="2459" spans="1:2">
      <c r="A2459" s="3">
        <f ca="1">IFERROR(__xludf.DUMMYFUNCTION("""COMPUTED_VALUE"""),41919.6666666666)</f>
        <v>41919.666666666599</v>
      </c>
      <c r="B2459" s="1">
        <f ca="1">IFERROR(__xludf.DUMMYFUNCTION("""COMPUTED_VALUE"""),45.53)</f>
        <v>45.53</v>
      </c>
    </row>
    <row r="2460" spans="1:2">
      <c r="A2460" s="3">
        <f ca="1">IFERROR(__xludf.DUMMYFUNCTION("""COMPUTED_VALUE"""),41920.6666666666)</f>
        <v>41920.666666666599</v>
      </c>
      <c r="B2460" s="1">
        <f ca="1">IFERROR(__xludf.DUMMYFUNCTION("""COMPUTED_VALUE"""),46.78)</f>
        <v>46.78</v>
      </c>
    </row>
    <row r="2461" spans="1:2">
      <c r="A2461" s="3">
        <f ca="1">IFERROR(__xludf.DUMMYFUNCTION("""COMPUTED_VALUE"""),41921.6666666666)</f>
        <v>41921.666666666599</v>
      </c>
      <c r="B2461" s="1">
        <f ca="1">IFERROR(__xludf.DUMMYFUNCTION("""COMPUTED_VALUE"""),45.85)</f>
        <v>45.85</v>
      </c>
    </row>
    <row r="2462" spans="1:2">
      <c r="A2462" s="3">
        <f ca="1">IFERROR(__xludf.DUMMYFUNCTION("""COMPUTED_VALUE"""),41922.6666666666)</f>
        <v>41922.666666666599</v>
      </c>
      <c r="B2462" s="1">
        <f ca="1">IFERROR(__xludf.DUMMYFUNCTION("""COMPUTED_VALUE"""),44.03)</f>
        <v>44.03</v>
      </c>
    </row>
    <row r="2463" spans="1:2">
      <c r="A2463" s="3">
        <f ca="1">IFERROR(__xludf.DUMMYFUNCTION("""COMPUTED_VALUE"""),41925.6666666666)</f>
        <v>41925.666666666599</v>
      </c>
      <c r="B2463" s="1">
        <f ca="1">IFERROR(__xludf.DUMMYFUNCTION("""COMPUTED_VALUE"""),43.65)</f>
        <v>43.65</v>
      </c>
    </row>
    <row r="2464" spans="1:2">
      <c r="A2464" s="3">
        <f ca="1">IFERROR(__xludf.DUMMYFUNCTION("""COMPUTED_VALUE"""),41926.6666666666)</f>
        <v>41926.666666666599</v>
      </c>
      <c r="B2464" s="1">
        <f ca="1">IFERROR(__xludf.DUMMYFUNCTION("""COMPUTED_VALUE"""),43.73)</f>
        <v>43.73</v>
      </c>
    </row>
    <row r="2465" spans="1:2">
      <c r="A2465" s="3">
        <f ca="1">IFERROR(__xludf.DUMMYFUNCTION("""COMPUTED_VALUE"""),41927.6666666666)</f>
        <v>41927.666666666599</v>
      </c>
      <c r="B2465" s="1">
        <f ca="1">IFERROR(__xludf.DUMMYFUNCTION("""COMPUTED_VALUE"""),43.22)</f>
        <v>43.22</v>
      </c>
    </row>
    <row r="2466" spans="1:2">
      <c r="A2466" s="3">
        <f ca="1">IFERROR(__xludf.DUMMYFUNCTION("""COMPUTED_VALUE"""),41928.6666666666)</f>
        <v>41928.666666666599</v>
      </c>
      <c r="B2466" s="1">
        <f ca="1">IFERROR(__xludf.DUMMYFUNCTION("""COMPUTED_VALUE"""),42.74)</f>
        <v>42.74</v>
      </c>
    </row>
    <row r="2467" spans="1:2">
      <c r="A2467" s="3">
        <f ca="1">IFERROR(__xludf.DUMMYFUNCTION("""COMPUTED_VALUE"""),41929.6666666666)</f>
        <v>41929.666666666599</v>
      </c>
      <c r="B2467" s="1">
        <f ca="1">IFERROR(__xludf.DUMMYFUNCTION("""COMPUTED_VALUE"""),43.63)</f>
        <v>43.63</v>
      </c>
    </row>
    <row r="2468" spans="1:2">
      <c r="A2468" s="3">
        <f ca="1">IFERROR(__xludf.DUMMYFUNCTION("""COMPUTED_VALUE"""),41932.6666666666)</f>
        <v>41932.666666666599</v>
      </c>
      <c r="B2468" s="1">
        <f ca="1">IFERROR(__xludf.DUMMYFUNCTION("""COMPUTED_VALUE"""),44.08)</f>
        <v>44.08</v>
      </c>
    </row>
    <row r="2469" spans="1:2">
      <c r="A2469" s="3">
        <f ca="1">IFERROR(__xludf.DUMMYFUNCTION("""COMPUTED_VALUE"""),41933.6666666666)</f>
        <v>41933.666666666599</v>
      </c>
      <c r="B2469" s="1">
        <f ca="1">IFERROR(__xludf.DUMMYFUNCTION("""COMPUTED_VALUE"""),44.88)</f>
        <v>44.88</v>
      </c>
    </row>
    <row r="2470" spans="1:2">
      <c r="A2470" s="3">
        <f ca="1">IFERROR(__xludf.DUMMYFUNCTION("""COMPUTED_VALUE"""),41934.6666666666)</f>
        <v>41934.666666666599</v>
      </c>
      <c r="B2470" s="1">
        <f ca="1">IFERROR(__xludf.DUMMYFUNCTION("""COMPUTED_VALUE"""),44.38)</f>
        <v>44.38</v>
      </c>
    </row>
    <row r="2471" spans="1:2">
      <c r="A2471" s="3">
        <f ca="1">IFERROR(__xludf.DUMMYFUNCTION("""COMPUTED_VALUE"""),41935.6666666666)</f>
        <v>41935.666666666599</v>
      </c>
      <c r="B2471" s="1">
        <f ca="1">IFERROR(__xludf.DUMMYFUNCTION("""COMPUTED_VALUE"""),45.02)</f>
        <v>45.02</v>
      </c>
    </row>
    <row r="2472" spans="1:2">
      <c r="A2472" s="3">
        <f ca="1">IFERROR(__xludf.DUMMYFUNCTION("""COMPUTED_VALUE"""),41936.6666666666)</f>
        <v>41936.666666666599</v>
      </c>
      <c r="B2472" s="1">
        <f ca="1">IFERROR(__xludf.DUMMYFUNCTION("""COMPUTED_VALUE"""),46.13)</f>
        <v>46.13</v>
      </c>
    </row>
    <row r="2473" spans="1:2">
      <c r="A2473" s="3">
        <f ca="1">IFERROR(__xludf.DUMMYFUNCTION("""COMPUTED_VALUE"""),41939.6666666666)</f>
        <v>41939.666666666599</v>
      </c>
      <c r="B2473" s="1">
        <f ca="1">IFERROR(__xludf.DUMMYFUNCTION("""COMPUTED_VALUE"""),45.91)</f>
        <v>45.91</v>
      </c>
    </row>
    <row r="2474" spans="1:2">
      <c r="A2474" s="3">
        <f ca="1">IFERROR(__xludf.DUMMYFUNCTION("""COMPUTED_VALUE"""),41940.6666666666)</f>
        <v>41940.666666666599</v>
      </c>
      <c r="B2474" s="1">
        <f ca="1">IFERROR(__xludf.DUMMYFUNCTION("""COMPUTED_VALUE"""),46.49)</f>
        <v>46.49</v>
      </c>
    </row>
    <row r="2475" spans="1:2">
      <c r="A2475" s="3">
        <f ca="1">IFERROR(__xludf.DUMMYFUNCTION("""COMPUTED_VALUE"""),41941.6666666666)</f>
        <v>41941.666666666599</v>
      </c>
      <c r="B2475" s="1">
        <f ca="1">IFERROR(__xludf.DUMMYFUNCTION("""COMPUTED_VALUE"""),46.62)</f>
        <v>46.62</v>
      </c>
    </row>
    <row r="2476" spans="1:2">
      <c r="A2476" s="3">
        <f ca="1">IFERROR(__xludf.DUMMYFUNCTION("""COMPUTED_VALUE"""),41942.6666666666)</f>
        <v>41942.666666666599</v>
      </c>
      <c r="B2476" s="1">
        <f ca="1">IFERROR(__xludf.DUMMYFUNCTION("""COMPUTED_VALUE"""),46.05)</f>
        <v>46.05</v>
      </c>
    </row>
    <row r="2477" spans="1:2">
      <c r="A2477" s="3">
        <f ca="1">IFERROR(__xludf.DUMMYFUNCTION("""COMPUTED_VALUE"""),41943.6666666666)</f>
        <v>41943.666666666599</v>
      </c>
      <c r="B2477" s="1">
        <f ca="1">IFERROR(__xludf.DUMMYFUNCTION("""COMPUTED_VALUE"""),46.95)</f>
        <v>46.95</v>
      </c>
    </row>
    <row r="2478" spans="1:2">
      <c r="A2478" s="3">
        <f ca="1">IFERROR(__xludf.DUMMYFUNCTION("""COMPUTED_VALUE"""),41946.6666666666)</f>
        <v>41946.666666666599</v>
      </c>
      <c r="B2478" s="1">
        <f ca="1">IFERROR(__xludf.DUMMYFUNCTION("""COMPUTED_VALUE"""),47.44)</f>
        <v>47.44</v>
      </c>
    </row>
    <row r="2479" spans="1:2">
      <c r="A2479" s="3">
        <f ca="1">IFERROR(__xludf.DUMMYFUNCTION("""COMPUTED_VALUE"""),41947.6666666666)</f>
        <v>41947.666666666599</v>
      </c>
      <c r="B2479" s="1">
        <f ca="1">IFERROR(__xludf.DUMMYFUNCTION("""COMPUTED_VALUE"""),47.57)</f>
        <v>47.57</v>
      </c>
    </row>
    <row r="2480" spans="1:2">
      <c r="A2480" s="3">
        <f ca="1">IFERROR(__xludf.DUMMYFUNCTION("""COMPUTED_VALUE"""),41948.6666666666)</f>
        <v>41948.666666666599</v>
      </c>
      <c r="B2480" s="1">
        <f ca="1">IFERROR(__xludf.DUMMYFUNCTION("""COMPUTED_VALUE"""),47.86)</f>
        <v>47.86</v>
      </c>
    </row>
    <row r="2481" spans="1:2">
      <c r="A2481" s="3">
        <f ca="1">IFERROR(__xludf.DUMMYFUNCTION("""COMPUTED_VALUE"""),41949.6666666666)</f>
        <v>41949.666666666599</v>
      </c>
      <c r="B2481" s="1">
        <f ca="1">IFERROR(__xludf.DUMMYFUNCTION("""COMPUTED_VALUE"""),48.7)</f>
        <v>48.7</v>
      </c>
    </row>
    <row r="2482" spans="1:2">
      <c r="A2482" s="3">
        <f ca="1">IFERROR(__xludf.DUMMYFUNCTION("""COMPUTED_VALUE"""),41950.6666666666)</f>
        <v>41950.666666666599</v>
      </c>
      <c r="B2482" s="1">
        <f ca="1">IFERROR(__xludf.DUMMYFUNCTION("""COMPUTED_VALUE"""),48.68)</f>
        <v>48.68</v>
      </c>
    </row>
    <row r="2483" spans="1:2">
      <c r="A2483" s="3">
        <f ca="1">IFERROR(__xludf.DUMMYFUNCTION("""COMPUTED_VALUE"""),41953.6666666666)</f>
        <v>41953.666666666599</v>
      </c>
      <c r="B2483" s="1">
        <f ca="1">IFERROR(__xludf.DUMMYFUNCTION("""COMPUTED_VALUE"""),48.89)</f>
        <v>48.89</v>
      </c>
    </row>
    <row r="2484" spans="1:2">
      <c r="A2484" s="3">
        <f ca="1">IFERROR(__xludf.DUMMYFUNCTION("""COMPUTED_VALUE"""),41954.6666666666)</f>
        <v>41954.666666666599</v>
      </c>
      <c r="B2484" s="1">
        <f ca="1">IFERROR(__xludf.DUMMYFUNCTION("""COMPUTED_VALUE"""),48.87)</f>
        <v>48.87</v>
      </c>
    </row>
    <row r="2485" spans="1:2">
      <c r="A2485" s="3">
        <f ca="1">IFERROR(__xludf.DUMMYFUNCTION("""COMPUTED_VALUE"""),41955.6666666666)</f>
        <v>41955.666666666599</v>
      </c>
      <c r="B2485" s="1">
        <f ca="1">IFERROR(__xludf.DUMMYFUNCTION("""COMPUTED_VALUE"""),48.78)</f>
        <v>48.78</v>
      </c>
    </row>
    <row r="2486" spans="1:2">
      <c r="A2486" s="3">
        <f ca="1">IFERROR(__xludf.DUMMYFUNCTION("""COMPUTED_VALUE"""),41956.6666666666)</f>
        <v>41956.666666666599</v>
      </c>
      <c r="B2486" s="1">
        <f ca="1">IFERROR(__xludf.DUMMYFUNCTION("""COMPUTED_VALUE"""),49.61)</f>
        <v>49.61</v>
      </c>
    </row>
    <row r="2487" spans="1:2">
      <c r="A2487" s="3">
        <f ca="1">IFERROR(__xludf.DUMMYFUNCTION("""COMPUTED_VALUE"""),41957.6666666666)</f>
        <v>41957.666666666599</v>
      </c>
      <c r="B2487" s="1">
        <f ca="1">IFERROR(__xludf.DUMMYFUNCTION("""COMPUTED_VALUE"""),49.58)</f>
        <v>49.58</v>
      </c>
    </row>
    <row r="2488" spans="1:2">
      <c r="A2488" s="3">
        <f ca="1">IFERROR(__xludf.DUMMYFUNCTION("""COMPUTED_VALUE"""),41960.6666666666)</f>
        <v>41960.666666666599</v>
      </c>
      <c r="B2488" s="1">
        <f ca="1">IFERROR(__xludf.DUMMYFUNCTION("""COMPUTED_VALUE"""),49.46)</f>
        <v>49.46</v>
      </c>
    </row>
    <row r="2489" spans="1:2">
      <c r="A2489" s="3">
        <f ca="1">IFERROR(__xludf.DUMMYFUNCTION("""COMPUTED_VALUE"""),41961.6666666666)</f>
        <v>41961.666666666599</v>
      </c>
      <c r="B2489" s="1">
        <f ca="1">IFERROR(__xludf.DUMMYFUNCTION("""COMPUTED_VALUE"""),48.74)</f>
        <v>48.74</v>
      </c>
    </row>
    <row r="2490" spans="1:2">
      <c r="A2490" s="3">
        <f ca="1">IFERROR(__xludf.DUMMYFUNCTION("""COMPUTED_VALUE"""),41962.6666666666)</f>
        <v>41962.666666666599</v>
      </c>
      <c r="B2490" s="1">
        <f ca="1">IFERROR(__xludf.DUMMYFUNCTION("""COMPUTED_VALUE"""),48.22)</f>
        <v>48.22</v>
      </c>
    </row>
    <row r="2491" spans="1:2">
      <c r="A2491" s="3">
        <f ca="1">IFERROR(__xludf.DUMMYFUNCTION("""COMPUTED_VALUE"""),41963.6666666666)</f>
        <v>41963.666666666599</v>
      </c>
      <c r="B2491" s="1">
        <f ca="1">IFERROR(__xludf.DUMMYFUNCTION("""COMPUTED_VALUE"""),48.7)</f>
        <v>48.7</v>
      </c>
    </row>
    <row r="2492" spans="1:2">
      <c r="A2492" s="3">
        <f ca="1">IFERROR(__xludf.DUMMYFUNCTION("""COMPUTED_VALUE"""),41964.6666666666)</f>
        <v>41964.666666666599</v>
      </c>
      <c r="B2492" s="1">
        <f ca="1">IFERROR(__xludf.DUMMYFUNCTION("""COMPUTED_VALUE"""),47.98)</f>
        <v>47.98</v>
      </c>
    </row>
    <row r="2493" spans="1:2">
      <c r="A2493" s="3">
        <f ca="1">IFERROR(__xludf.DUMMYFUNCTION("""COMPUTED_VALUE"""),41967.6666666666)</f>
        <v>41967.666666666599</v>
      </c>
      <c r="B2493" s="1">
        <f ca="1">IFERROR(__xludf.DUMMYFUNCTION("""COMPUTED_VALUE"""),47.59)</f>
        <v>47.59</v>
      </c>
    </row>
    <row r="2494" spans="1:2">
      <c r="A2494" s="3">
        <f ca="1">IFERROR(__xludf.DUMMYFUNCTION("""COMPUTED_VALUE"""),41968.6666666666)</f>
        <v>41968.666666666599</v>
      </c>
      <c r="B2494" s="1">
        <f ca="1">IFERROR(__xludf.DUMMYFUNCTION("""COMPUTED_VALUE"""),47.47)</f>
        <v>47.47</v>
      </c>
    </row>
    <row r="2495" spans="1:2">
      <c r="A2495" s="3">
        <f ca="1">IFERROR(__xludf.DUMMYFUNCTION("""COMPUTED_VALUE"""),41969.6666666666)</f>
        <v>41969.666666666599</v>
      </c>
      <c r="B2495" s="1">
        <f ca="1">IFERROR(__xludf.DUMMYFUNCTION("""COMPUTED_VALUE"""),47.75)</f>
        <v>47.75</v>
      </c>
    </row>
    <row r="2496" spans="1:2">
      <c r="A2496" s="3">
        <f ca="1">IFERROR(__xludf.DUMMYFUNCTION("""COMPUTED_VALUE"""),41971.6666666666)</f>
        <v>41971.666666666599</v>
      </c>
      <c r="B2496" s="1">
        <f ca="1">IFERROR(__xludf.DUMMYFUNCTION("""COMPUTED_VALUE"""),47.81)</f>
        <v>47.81</v>
      </c>
    </row>
    <row r="2497" spans="1:2">
      <c r="A2497" s="3">
        <f ca="1">IFERROR(__xludf.DUMMYFUNCTION("""COMPUTED_VALUE"""),41974.6666666666)</f>
        <v>41974.666666666599</v>
      </c>
      <c r="B2497" s="1">
        <f ca="1">IFERROR(__xludf.DUMMYFUNCTION("""COMPUTED_VALUE"""),48.62)</f>
        <v>48.62</v>
      </c>
    </row>
    <row r="2498" spans="1:2">
      <c r="A2498" s="3">
        <f ca="1">IFERROR(__xludf.DUMMYFUNCTION("""COMPUTED_VALUE"""),41975.6666666666)</f>
        <v>41975.666666666599</v>
      </c>
      <c r="B2498" s="1">
        <f ca="1">IFERROR(__xludf.DUMMYFUNCTION("""COMPUTED_VALUE"""),48.46)</f>
        <v>48.46</v>
      </c>
    </row>
    <row r="2499" spans="1:2">
      <c r="A2499" s="3">
        <f ca="1">IFERROR(__xludf.DUMMYFUNCTION("""COMPUTED_VALUE"""),41976.6666666666)</f>
        <v>41976.666666666599</v>
      </c>
      <c r="B2499" s="1">
        <f ca="1">IFERROR(__xludf.DUMMYFUNCTION("""COMPUTED_VALUE"""),48.08)</f>
        <v>48.08</v>
      </c>
    </row>
    <row r="2500" spans="1:2">
      <c r="A2500" s="3">
        <f ca="1">IFERROR(__xludf.DUMMYFUNCTION("""COMPUTED_VALUE"""),41977.6666666666)</f>
        <v>41977.666666666599</v>
      </c>
      <c r="B2500" s="1">
        <f ca="1">IFERROR(__xludf.DUMMYFUNCTION("""COMPUTED_VALUE"""),48.84)</f>
        <v>48.84</v>
      </c>
    </row>
    <row r="2501" spans="1:2">
      <c r="A2501" s="3">
        <f ca="1">IFERROR(__xludf.DUMMYFUNCTION("""COMPUTED_VALUE"""),41978.6666666666)</f>
        <v>41978.666666666599</v>
      </c>
      <c r="B2501" s="1">
        <f ca="1">IFERROR(__xludf.DUMMYFUNCTION("""COMPUTED_VALUE"""),48.42)</f>
        <v>48.42</v>
      </c>
    </row>
    <row r="2502" spans="1:2">
      <c r="A2502" s="3">
        <f ca="1">IFERROR(__xludf.DUMMYFUNCTION("""COMPUTED_VALUE"""),41981.6666666666)</f>
        <v>41981.666666666599</v>
      </c>
      <c r="B2502" s="1">
        <f ca="1">IFERROR(__xludf.DUMMYFUNCTION("""COMPUTED_VALUE"""),47.7)</f>
        <v>47.7</v>
      </c>
    </row>
    <row r="2503" spans="1:2">
      <c r="A2503" s="3">
        <f ca="1">IFERROR(__xludf.DUMMYFUNCTION("""COMPUTED_VALUE"""),41982.6666666666)</f>
        <v>41982.666666666599</v>
      </c>
      <c r="B2503" s="1">
        <f ca="1">IFERROR(__xludf.DUMMYFUNCTION("""COMPUTED_VALUE"""),47.59)</f>
        <v>47.59</v>
      </c>
    </row>
    <row r="2504" spans="1:2">
      <c r="A2504" s="3">
        <f ca="1">IFERROR(__xludf.DUMMYFUNCTION("""COMPUTED_VALUE"""),41983.6666666666)</f>
        <v>41983.666666666599</v>
      </c>
      <c r="B2504" s="1">
        <f ca="1">IFERROR(__xludf.DUMMYFUNCTION("""COMPUTED_VALUE"""),46.9)</f>
        <v>46.9</v>
      </c>
    </row>
    <row r="2505" spans="1:2">
      <c r="A2505" s="3">
        <f ca="1">IFERROR(__xludf.DUMMYFUNCTION("""COMPUTED_VALUE"""),41984.6666666666)</f>
        <v>41984.666666666599</v>
      </c>
      <c r="B2505" s="1">
        <f ca="1">IFERROR(__xludf.DUMMYFUNCTION("""COMPUTED_VALUE"""),47.17)</f>
        <v>47.17</v>
      </c>
    </row>
    <row r="2506" spans="1:2">
      <c r="A2506" s="3">
        <f ca="1">IFERROR(__xludf.DUMMYFUNCTION("""COMPUTED_VALUE"""),41985.6666666666)</f>
        <v>41985.666666666599</v>
      </c>
      <c r="B2506" s="1">
        <f ca="1">IFERROR(__xludf.DUMMYFUNCTION("""COMPUTED_VALUE"""),46.95)</f>
        <v>46.95</v>
      </c>
    </row>
    <row r="2507" spans="1:2">
      <c r="A2507" s="3">
        <f ca="1">IFERROR(__xludf.DUMMYFUNCTION("""COMPUTED_VALUE"""),41988.6666666666)</f>
        <v>41988.666666666599</v>
      </c>
      <c r="B2507" s="1">
        <f ca="1">IFERROR(__xludf.DUMMYFUNCTION("""COMPUTED_VALUE"""),46.67)</f>
        <v>46.67</v>
      </c>
    </row>
    <row r="2508" spans="1:2">
      <c r="A2508" s="3">
        <f ca="1">IFERROR(__xludf.DUMMYFUNCTION("""COMPUTED_VALUE"""),41989.6666666666)</f>
        <v>41989.666666666599</v>
      </c>
      <c r="B2508" s="1">
        <f ca="1">IFERROR(__xludf.DUMMYFUNCTION("""COMPUTED_VALUE"""),45.16)</f>
        <v>45.16</v>
      </c>
    </row>
    <row r="2509" spans="1:2">
      <c r="A2509" s="3">
        <f ca="1">IFERROR(__xludf.DUMMYFUNCTION("""COMPUTED_VALUE"""),41990.6666666666)</f>
        <v>41990.666666666599</v>
      </c>
      <c r="B2509" s="1">
        <f ca="1">IFERROR(__xludf.DUMMYFUNCTION("""COMPUTED_VALUE"""),45.74)</f>
        <v>45.74</v>
      </c>
    </row>
    <row r="2510" spans="1:2">
      <c r="A2510" s="3">
        <f ca="1">IFERROR(__xludf.DUMMYFUNCTION("""COMPUTED_VALUE"""),41991.6666666666)</f>
        <v>41991.666666666599</v>
      </c>
      <c r="B2510" s="1">
        <f ca="1">IFERROR(__xludf.DUMMYFUNCTION("""COMPUTED_VALUE"""),47.52)</f>
        <v>47.52</v>
      </c>
    </row>
    <row r="2511" spans="1:2">
      <c r="A2511" s="3">
        <f ca="1">IFERROR(__xludf.DUMMYFUNCTION("""COMPUTED_VALUE"""),41992.6666666666)</f>
        <v>41992.666666666599</v>
      </c>
      <c r="B2511" s="1">
        <f ca="1">IFERROR(__xludf.DUMMYFUNCTION("""COMPUTED_VALUE"""),47.66)</f>
        <v>47.66</v>
      </c>
    </row>
    <row r="2512" spans="1:2">
      <c r="A2512" s="3">
        <f ca="1">IFERROR(__xludf.DUMMYFUNCTION("""COMPUTED_VALUE"""),41995.6666666666)</f>
        <v>41995.666666666599</v>
      </c>
      <c r="B2512" s="1">
        <f ca="1">IFERROR(__xludf.DUMMYFUNCTION("""COMPUTED_VALUE"""),47.98)</f>
        <v>47.98</v>
      </c>
    </row>
    <row r="2513" spans="1:2">
      <c r="A2513" s="3">
        <f ca="1">IFERROR(__xludf.DUMMYFUNCTION("""COMPUTED_VALUE"""),41996.6666666666)</f>
        <v>41996.666666666599</v>
      </c>
      <c r="B2513" s="1">
        <f ca="1">IFERROR(__xludf.DUMMYFUNCTION("""COMPUTED_VALUE"""),48.45)</f>
        <v>48.45</v>
      </c>
    </row>
    <row r="2514" spans="1:2">
      <c r="A2514" s="3">
        <f ca="1">IFERROR(__xludf.DUMMYFUNCTION("""COMPUTED_VALUE"""),41997.6666666666)</f>
        <v>41997.666666666599</v>
      </c>
      <c r="B2514" s="1">
        <f ca="1">IFERROR(__xludf.DUMMYFUNCTION("""COMPUTED_VALUE"""),48.14)</f>
        <v>48.14</v>
      </c>
    </row>
    <row r="2515" spans="1:2">
      <c r="A2515" s="3">
        <f ca="1">IFERROR(__xludf.DUMMYFUNCTION("""COMPUTED_VALUE"""),41999.6666666666)</f>
        <v>41999.666666666599</v>
      </c>
      <c r="B2515" s="1">
        <f ca="1">IFERROR(__xludf.DUMMYFUNCTION("""COMPUTED_VALUE"""),47.88)</f>
        <v>47.88</v>
      </c>
    </row>
    <row r="2516" spans="1:2">
      <c r="A2516" s="3">
        <f ca="1">IFERROR(__xludf.DUMMYFUNCTION("""COMPUTED_VALUE"""),42002.6666666666)</f>
        <v>42002.666666666599</v>
      </c>
      <c r="B2516" s="1">
        <f ca="1">IFERROR(__xludf.DUMMYFUNCTION("""COMPUTED_VALUE"""),47.45)</f>
        <v>47.45</v>
      </c>
    </row>
    <row r="2517" spans="1:2">
      <c r="A2517" s="3">
        <f ca="1">IFERROR(__xludf.DUMMYFUNCTION("""COMPUTED_VALUE"""),42003.6666666666)</f>
        <v>42003.666666666599</v>
      </c>
      <c r="B2517" s="1">
        <f ca="1">IFERROR(__xludf.DUMMYFUNCTION("""COMPUTED_VALUE"""),47.02)</f>
        <v>47.02</v>
      </c>
    </row>
    <row r="2518" spans="1:2">
      <c r="A2518" s="3">
        <f ca="1">IFERROR(__xludf.DUMMYFUNCTION("""COMPUTED_VALUE"""),42004.6666666666)</f>
        <v>42004.666666666599</v>
      </c>
      <c r="B2518" s="1">
        <f ca="1">IFERROR(__xludf.DUMMYFUNCTION("""COMPUTED_VALUE"""),46.45)</f>
        <v>46.45</v>
      </c>
    </row>
    <row r="2519" spans="1:2">
      <c r="A2519" s="3">
        <f ca="1">IFERROR(__xludf.DUMMYFUNCTION("""COMPUTED_VALUE"""),42006.6666666666)</f>
        <v>42006.666666666599</v>
      </c>
      <c r="B2519" s="1">
        <f ca="1">IFERROR(__xludf.DUMMYFUNCTION("""COMPUTED_VALUE"""),46.76)</f>
        <v>46.76</v>
      </c>
    </row>
    <row r="2520" spans="1:2">
      <c r="A2520" s="3">
        <f ca="1">IFERROR(__xludf.DUMMYFUNCTION("""COMPUTED_VALUE"""),42009.6666666666)</f>
        <v>42009.666666666599</v>
      </c>
      <c r="B2520" s="1">
        <f ca="1">IFERROR(__xludf.DUMMYFUNCTION("""COMPUTED_VALUE"""),46.33)</f>
        <v>46.33</v>
      </c>
    </row>
    <row r="2521" spans="1:2">
      <c r="A2521" s="3">
        <f ca="1">IFERROR(__xludf.DUMMYFUNCTION("""COMPUTED_VALUE"""),42010.6666666666)</f>
        <v>42010.666666666599</v>
      </c>
      <c r="B2521" s="1">
        <f ca="1">IFERROR(__xludf.DUMMYFUNCTION("""COMPUTED_VALUE"""),45.65)</f>
        <v>45.65</v>
      </c>
    </row>
    <row r="2522" spans="1:2">
      <c r="A2522" s="3">
        <f ca="1">IFERROR(__xludf.DUMMYFUNCTION("""COMPUTED_VALUE"""),42011.6666666666)</f>
        <v>42011.666666666599</v>
      </c>
      <c r="B2522" s="1">
        <f ca="1">IFERROR(__xludf.DUMMYFUNCTION("""COMPUTED_VALUE"""),46.23)</f>
        <v>46.23</v>
      </c>
    </row>
    <row r="2523" spans="1:2">
      <c r="A2523" s="3">
        <f ca="1">IFERROR(__xludf.DUMMYFUNCTION("""COMPUTED_VALUE"""),42012.6666666666)</f>
        <v>42012.666666666599</v>
      </c>
      <c r="B2523" s="1">
        <f ca="1">IFERROR(__xludf.DUMMYFUNCTION("""COMPUTED_VALUE"""),47.59)</f>
        <v>47.59</v>
      </c>
    </row>
    <row r="2524" spans="1:2">
      <c r="A2524" s="3">
        <f ca="1">IFERROR(__xludf.DUMMYFUNCTION("""COMPUTED_VALUE"""),42013.6666666666)</f>
        <v>42013.666666666599</v>
      </c>
      <c r="B2524" s="1">
        <f ca="1">IFERROR(__xludf.DUMMYFUNCTION("""COMPUTED_VALUE"""),47.19)</f>
        <v>47.19</v>
      </c>
    </row>
    <row r="2525" spans="1:2">
      <c r="A2525" s="3">
        <f ca="1">IFERROR(__xludf.DUMMYFUNCTION("""COMPUTED_VALUE"""),42016.6666666666)</f>
        <v>42016.666666666599</v>
      </c>
      <c r="B2525" s="1">
        <f ca="1">IFERROR(__xludf.DUMMYFUNCTION("""COMPUTED_VALUE"""),46.6)</f>
        <v>46.6</v>
      </c>
    </row>
    <row r="2526" spans="1:2">
      <c r="A2526" s="3">
        <f ca="1">IFERROR(__xludf.DUMMYFUNCTION("""COMPUTED_VALUE"""),42017.6666666666)</f>
        <v>42017.666666666599</v>
      </c>
      <c r="B2526" s="1">
        <f ca="1">IFERROR(__xludf.DUMMYFUNCTION("""COMPUTED_VALUE"""),46.36)</f>
        <v>46.36</v>
      </c>
    </row>
    <row r="2527" spans="1:2">
      <c r="A2527" s="3">
        <f ca="1">IFERROR(__xludf.DUMMYFUNCTION("""COMPUTED_VALUE"""),42018.6666666666)</f>
        <v>42018.666666666599</v>
      </c>
      <c r="B2527" s="1">
        <f ca="1">IFERROR(__xludf.DUMMYFUNCTION("""COMPUTED_VALUE"""),45.96)</f>
        <v>45.96</v>
      </c>
    </row>
    <row r="2528" spans="1:2">
      <c r="A2528" s="3">
        <f ca="1">IFERROR(__xludf.DUMMYFUNCTION("""COMPUTED_VALUE"""),42019.6666666666)</f>
        <v>42019.666666666599</v>
      </c>
      <c r="B2528" s="1">
        <f ca="1">IFERROR(__xludf.DUMMYFUNCTION("""COMPUTED_VALUE"""),45.48)</f>
        <v>45.48</v>
      </c>
    </row>
    <row r="2529" spans="1:2">
      <c r="A2529" s="3">
        <f ca="1">IFERROR(__xludf.DUMMYFUNCTION("""COMPUTED_VALUE"""),42020.6666666666)</f>
        <v>42020.666666666599</v>
      </c>
      <c r="B2529" s="1">
        <f ca="1">IFERROR(__xludf.DUMMYFUNCTION("""COMPUTED_VALUE"""),46.24)</f>
        <v>46.24</v>
      </c>
    </row>
    <row r="2530" spans="1:2">
      <c r="A2530" s="3">
        <f ca="1">IFERROR(__xludf.DUMMYFUNCTION("""COMPUTED_VALUE"""),42024.6666666666)</f>
        <v>42024.666666666599</v>
      </c>
      <c r="B2530" s="1">
        <f ca="1">IFERROR(__xludf.DUMMYFUNCTION("""COMPUTED_VALUE"""),46.39)</f>
        <v>46.39</v>
      </c>
    </row>
    <row r="2531" spans="1:2">
      <c r="A2531" s="3">
        <f ca="1">IFERROR(__xludf.DUMMYFUNCTION("""COMPUTED_VALUE"""),42025.6666666666)</f>
        <v>42025.666666666599</v>
      </c>
      <c r="B2531" s="1">
        <f ca="1">IFERROR(__xludf.DUMMYFUNCTION("""COMPUTED_VALUE"""),45.92)</f>
        <v>45.92</v>
      </c>
    </row>
    <row r="2532" spans="1:2">
      <c r="A2532" s="3">
        <f ca="1">IFERROR(__xludf.DUMMYFUNCTION("""COMPUTED_VALUE"""),42026.6666666666)</f>
        <v>42026.666666666599</v>
      </c>
      <c r="B2532" s="1">
        <f ca="1">IFERROR(__xludf.DUMMYFUNCTION("""COMPUTED_VALUE"""),47.13)</f>
        <v>47.13</v>
      </c>
    </row>
    <row r="2533" spans="1:2">
      <c r="A2533" s="3">
        <f ca="1">IFERROR(__xludf.DUMMYFUNCTION("""COMPUTED_VALUE"""),42027.6666666666)</f>
        <v>42027.666666666599</v>
      </c>
      <c r="B2533" s="1">
        <f ca="1">IFERROR(__xludf.DUMMYFUNCTION("""COMPUTED_VALUE"""),47.18)</f>
        <v>47.18</v>
      </c>
    </row>
    <row r="2534" spans="1:2">
      <c r="A2534" s="3">
        <f ca="1">IFERROR(__xludf.DUMMYFUNCTION("""COMPUTED_VALUE"""),42030.6666666666)</f>
        <v>42030.666666666599</v>
      </c>
      <c r="B2534" s="1">
        <f ca="1">IFERROR(__xludf.DUMMYFUNCTION("""COMPUTED_VALUE"""),47.01)</f>
        <v>47.01</v>
      </c>
    </row>
    <row r="2535" spans="1:2">
      <c r="A2535" s="3">
        <f ca="1">IFERROR(__xludf.DUMMYFUNCTION("""COMPUTED_VALUE"""),42031.6666666666)</f>
        <v>42031.666666666599</v>
      </c>
      <c r="B2535" s="1">
        <f ca="1">IFERROR(__xludf.DUMMYFUNCTION("""COMPUTED_VALUE"""),42.66)</f>
        <v>42.66</v>
      </c>
    </row>
    <row r="2536" spans="1:2">
      <c r="A2536" s="3">
        <f ca="1">IFERROR(__xludf.DUMMYFUNCTION("""COMPUTED_VALUE"""),42032.6666666666)</f>
        <v>42032.666666666599</v>
      </c>
      <c r="B2536" s="1">
        <f ca="1">IFERROR(__xludf.DUMMYFUNCTION("""COMPUTED_VALUE"""),41.19)</f>
        <v>41.19</v>
      </c>
    </row>
    <row r="2537" spans="1:2">
      <c r="A2537" s="3">
        <f ca="1">IFERROR(__xludf.DUMMYFUNCTION("""COMPUTED_VALUE"""),42033.6666666666)</f>
        <v>42033.666666666599</v>
      </c>
      <c r="B2537" s="1">
        <f ca="1">IFERROR(__xludf.DUMMYFUNCTION("""COMPUTED_VALUE"""),42.01)</f>
        <v>42.01</v>
      </c>
    </row>
    <row r="2538" spans="1:2">
      <c r="A2538" s="3">
        <f ca="1">IFERROR(__xludf.DUMMYFUNCTION("""COMPUTED_VALUE"""),42034.6666666666)</f>
        <v>42034.666666666599</v>
      </c>
      <c r="B2538" s="1">
        <f ca="1">IFERROR(__xludf.DUMMYFUNCTION("""COMPUTED_VALUE"""),40.4)</f>
        <v>40.4</v>
      </c>
    </row>
    <row r="2539" spans="1:2">
      <c r="A2539" s="3">
        <f ca="1">IFERROR(__xludf.DUMMYFUNCTION("""COMPUTED_VALUE"""),42037.6666666666)</f>
        <v>42037.666666666599</v>
      </c>
      <c r="B2539" s="1">
        <f ca="1">IFERROR(__xludf.DUMMYFUNCTION("""COMPUTED_VALUE"""),41.28)</f>
        <v>41.28</v>
      </c>
    </row>
    <row r="2540" spans="1:2">
      <c r="A2540" s="3">
        <f ca="1">IFERROR(__xludf.DUMMYFUNCTION("""COMPUTED_VALUE"""),42038.6666666666)</f>
        <v>42038.666666666599</v>
      </c>
      <c r="B2540" s="1">
        <f ca="1">IFERROR(__xludf.DUMMYFUNCTION("""COMPUTED_VALUE"""),41.6)</f>
        <v>41.6</v>
      </c>
    </row>
    <row r="2541" spans="1:2">
      <c r="A2541" s="3">
        <f ca="1">IFERROR(__xludf.DUMMYFUNCTION("""COMPUTED_VALUE"""),42039.6666666666)</f>
        <v>42039.666666666599</v>
      </c>
      <c r="B2541" s="1">
        <f ca="1">IFERROR(__xludf.DUMMYFUNCTION("""COMPUTED_VALUE"""),41.84)</f>
        <v>41.84</v>
      </c>
    </row>
    <row r="2542" spans="1:2">
      <c r="A2542" s="3">
        <f ca="1">IFERROR(__xludf.DUMMYFUNCTION("""COMPUTED_VALUE"""),42040.6666666666)</f>
        <v>42040.666666666599</v>
      </c>
      <c r="B2542" s="1">
        <f ca="1">IFERROR(__xludf.DUMMYFUNCTION("""COMPUTED_VALUE"""),42.45)</f>
        <v>42.45</v>
      </c>
    </row>
    <row r="2543" spans="1:2">
      <c r="A2543" s="3">
        <f ca="1">IFERROR(__xludf.DUMMYFUNCTION("""COMPUTED_VALUE"""),42041.6666666666)</f>
        <v>42041.666666666599</v>
      </c>
      <c r="B2543" s="1">
        <f ca="1">IFERROR(__xludf.DUMMYFUNCTION("""COMPUTED_VALUE"""),42.41)</f>
        <v>42.41</v>
      </c>
    </row>
    <row r="2544" spans="1:2">
      <c r="A2544" s="3">
        <f ca="1">IFERROR(__xludf.DUMMYFUNCTION("""COMPUTED_VALUE"""),42044.6666666666)</f>
        <v>42044.666666666599</v>
      </c>
      <c r="B2544" s="1">
        <f ca="1">IFERROR(__xludf.DUMMYFUNCTION("""COMPUTED_VALUE"""),42.36)</f>
        <v>42.36</v>
      </c>
    </row>
    <row r="2545" spans="1:2">
      <c r="A2545" s="3">
        <f ca="1">IFERROR(__xludf.DUMMYFUNCTION("""COMPUTED_VALUE"""),42045.6666666666)</f>
        <v>42045.666666666599</v>
      </c>
      <c r="B2545" s="1">
        <f ca="1">IFERROR(__xludf.DUMMYFUNCTION("""COMPUTED_VALUE"""),42.6)</f>
        <v>42.6</v>
      </c>
    </row>
    <row r="2546" spans="1:2">
      <c r="A2546" s="3">
        <f ca="1">IFERROR(__xludf.DUMMYFUNCTION("""COMPUTED_VALUE"""),42046.6666666666)</f>
        <v>42046.666666666599</v>
      </c>
      <c r="B2546" s="1">
        <f ca="1">IFERROR(__xludf.DUMMYFUNCTION("""COMPUTED_VALUE"""),42.38)</f>
        <v>42.38</v>
      </c>
    </row>
    <row r="2547" spans="1:2">
      <c r="A2547" s="3">
        <f ca="1">IFERROR(__xludf.DUMMYFUNCTION("""COMPUTED_VALUE"""),42047.6666666666)</f>
        <v>42047.666666666599</v>
      </c>
      <c r="B2547" s="1">
        <f ca="1">IFERROR(__xludf.DUMMYFUNCTION("""COMPUTED_VALUE"""),43.09)</f>
        <v>43.09</v>
      </c>
    </row>
    <row r="2548" spans="1:2">
      <c r="A2548" s="3">
        <f ca="1">IFERROR(__xludf.DUMMYFUNCTION("""COMPUTED_VALUE"""),42048.6666666666)</f>
        <v>42048.666666666599</v>
      </c>
      <c r="B2548" s="1">
        <f ca="1">IFERROR(__xludf.DUMMYFUNCTION("""COMPUTED_VALUE"""),43.87)</f>
        <v>43.87</v>
      </c>
    </row>
    <row r="2549" spans="1:2">
      <c r="A2549" s="3">
        <f ca="1">IFERROR(__xludf.DUMMYFUNCTION("""COMPUTED_VALUE"""),42052.6666666666)</f>
        <v>42052.666666666599</v>
      </c>
      <c r="B2549" s="1">
        <f ca="1">IFERROR(__xludf.DUMMYFUNCTION("""COMPUTED_VALUE"""),43.58)</f>
        <v>43.58</v>
      </c>
    </row>
    <row r="2550" spans="1:2">
      <c r="A2550" s="3">
        <f ca="1">IFERROR(__xludf.DUMMYFUNCTION("""COMPUTED_VALUE"""),42053.6666666666)</f>
        <v>42053.666666666599</v>
      </c>
      <c r="B2550" s="1">
        <f ca="1">IFERROR(__xludf.DUMMYFUNCTION("""COMPUTED_VALUE"""),43.53)</f>
        <v>43.53</v>
      </c>
    </row>
    <row r="2551" spans="1:2">
      <c r="A2551" s="3">
        <f ca="1">IFERROR(__xludf.DUMMYFUNCTION("""COMPUTED_VALUE"""),42054.6666666666)</f>
        <v>42054.666666666599</v>
      </c>
      <c r="B2551" s="1">
        <f ca="1">IFERROR(__xludf.DUMMYFUNCTION("""COMPUTED_VALUE"""),43.5)</f>
        <v>43.5</v>
      </c>
    </row>
    <row r="2552" spans="1:2">
      <c r="A2552" s="3">
        <f ca="1">IFERROR(__xludf.DUMMYFUNCTION("""COMPUTED_VALUE"""),42055.6666666666)</f>
        <v>42055.666666666599</v>
      </c>
      <c r="B2552" s="1">
        <f ca="1">IFERROR(__xludf.DUMMYFUNCTION("""COMPUTED_VALUE"""),43.86)</f>
        <v>43.86</v>
      </c>
    </row>
    <row r="2553" spans="1:2">
      <c r="A2553" s="3">
        <f ca="1">IFERROR(__xludf.DUMMYFUNCTION("""COMPUTED_VALUE"""),42058.6666666666)</f>
        <v>42058.666666666599</v>
      </c>
      <c r="B2553" s="1">
        <f ca="1">IFERROR(__xludf.DUMMYFUNCTION("""COMPUTED_VALUE"""),44.15)</f>
        <v>44.15</v>
      </c>
    </row>
    <row r="2554" spans="1:2">
      <c r="A2554" s="3">
        <f ca="1">IFERROR(__xludf.DUMMYFUNCTION("""COMPUTED_VALUE"""),42059.6666666666)</f>
        <v>42059.666666666599</v>
      </c>
      <c r="B2554" s="1">
        <f ca="1">IFERROR(__xludf.DUMMYFUNCTION("""COMPUTED_VALUE"""),44.09)</f>
        <v>44.09</v>
      </c>
    </row>
    <row r="2555" spans="1:2">
      <c r="A2555" s="3">
        <f ca="1">IFERROR(__xludf.DUMMYFUNCTION("""COMPUTED_VALUE"""),42060.6666666666)</f>
        <v>42060.666666666599</v>
      </c>
      <c r="B2555" s="1">
        <f ca="1">IFERROR(__xludf.DUMMYFUNCTION("""COMPUTED_VALUE"""),43.99)</f>
        <v>43.99</v>
      </c>
    </row>
    <row r="2556" spans="1:2">
      <c r="A2556" s="3">
        <f ca="1">IFERROR(__xludf.DUMMYFUNCTION("""COMPUTED_VALUE"""),42061.6666666666)</f>
        <v>42061.666666666599</v>
      </c>
      <c r="B2556" s="1">
        <f ca="1">IFERROR(__xludf.DUMMYFUNCTION("""COMPUTED_VALUE"""),44.06)</f>
        <v>44.06</v>
      </c>
    </row>
    <row r="2557" spans="1:2">
      <c r="A2557" s="3">
        <f ca="1">IFERROR(__xludf.DUMMYFUNCTION("""COMPUTED_VALUE"""),42062.6666666666)</f>
        <v>42062.666666666599</v>
      </c>
      <c r="B2557" s="1">
        <f ca="1">IFERROR(__xludf.DUMMYFUNCTION("""COMPUTED_VALUE"""),43.85)</f>
        <v>43.85</v>
      </c>
    </row>
    <row r="2558" spans="1:2">
      <c r="A2558" s="3">
        <f ca="1">IFERROR(__xludf.DUMMYFUNCTION("""COMPUTED_VALUE"""),42065.6666666666)</f>
        <v>42065.666666666599</v>
      </c>
      <c r="B2558" s="1">
        <f ca="1">IFERROR(__xludf.DUMMYFUNCTION("""COMPUTED_VALUE"""),43.88)</f>
        <v>43.88</v>
      </c>
    </row>
    <row r="2559" spans="1:2">
      <c r="A2559" s="3">
        <f ca="1">IFERROR(__xludf.DUMMYFUNCTION("""COMPUTED_VALUE"""),42066.6666666666)</f>
        <v>42066.666666666599</v>
      </c>
      <c r="B2559" s="1">
        <f ca="1">IFERROR(__xludf.DUMMYFUNCTION("""COMPUTED_VALUE"""),43.28)</f>
        <v>43.28</v>
      </c>
    </row>
    <row r="2560" spans="1:2">
      <c r="A2560" s="3">
        <f ca="1">IFERROR(__xludf.DUMMYFUNCTION("""COMPUTED_VALUE"""),42067.6666666666)</f>
        <v>42067.666666666599</v>
      </c>
      <c r="B2560" s="1">
        <f ca="1">IFERROR(__xludf.DUMMYFUNCTION("""COMPUTED_VALUE"""),43.06)</f>
        <v>43.06</v>
      </c>
    </row>
    <row r="2561" spans="1:2">
      <c r="A2561" s="3">
        <f ca="1">IFERROR(__xludf.DUMMYFUNCTION("""COMPUTED_VALUE"""),42068.6666666666)</f>
        <v>42068.666666666599</v>
      </c>
      <c r="B2561" s="1">
        <f ca="1">IFERROR(__xludf.DUMMYFUNCTION("""COMPUTED_VALUE"""),43.11)</f>
        <v>43.11</v>
      </c>
    </row>
    <row r="2562" spans="1:2">
      <c r="A2562" s="3">
        <f ca="1">IFERROR(__xludf.DUMMYFUNCTION("""COMPUTED_VALUE"""),42069.6666666666)</f>
        <v>42069.666666666599</v>
      </c>
      <c r="B2562" s="1">
        <f ca="1">IFERROR(__xludf.DUMMYFUNCTION("""COMPUTED_VALUE"""),42.36)</f>
        <v>42.36</v>
      </c>
    </row>
    <row r="2563" spans="1:2">
      <c r="A2563" s="3">
        <f ca="1">IFERROR(__xludf.DUMMYFUNCTION("""COMPUTED_VALUE"""),42072.6666666666)</f>
        <v>42072.666666666599</v>
      </c>
      <c r="B2563" s="1">
        <f ca="1">IFERROR(__xludf.DUMMYFUNCTION("""COMPUTED_VALUE"""),42.85)</f>
        <v>42.85</v>
      </c>
    </row>
    <row r="2564" spans="1:2">
      <c r="A2564" s="3">
        <f ca="1">IFERROR(__xludf.DUMMYFUNCTION("""COMPUTED_VALUE"""),42073.6666666666)</f>
        <v>42073.666666666599</v>
      </c>
      <c r="B2564" s="1">
        <f ca="1">IFERROR(__xludf.DUMMYFUNCTION("""COMPUTED_VALUE"""),42.03)</f>
        <v>42.03</v>
      </c>
    </row>
    <row r="2565" spans="1:2">
      <c r="A2565" s="3">
        <f ca="1">IFERROR(__xludf.DUMMYFUNCTION("""COMPUTED_VALUE"""),42074.6666666666)</f>
        <v>42074.666666666599</v>
      </c>
      <c r="B2565" s="1">
        <f ca="1">IFERROR(__xludf.DUMMYFUNCTION("""COMPUTED_VALUE"""),41.98)</f>
        <v>41.98</v>
      </c>
    </row>
    <row r="2566" spans="1:2">
      <c r="A2566" s="3">
        <f ca="1">IFERROR(__xludf.DUMMYFUNCTION("""COMPUTED_VALUE"""),42075.6666666666)</f>
        <v>42075.666666666599</v>
      </c>
      <c r="B2566" s="1">
        <f ca="1">IFERROR(__xludf.DUMMYFUNCTION("""COMPUTED_VALUE"""),41.02)</f>
        <v>41.02</v>
      </c>
    </row>
    <row r="2567" spans="1:2">
      <c r="A2567" s="3">
        <f ca="1">IFERROR(__xludf.DUMMYFUNCTION("""COMPUTED_VALUE"""),42076.6666666666)</f>
        <v>42076.666666666599</v>
      </c>
      <c r="B2567" s="1">
        <f ca="1">IFERROR(__xludf.DUMMYFUNCTION("""COMPUTED_VALUE"""),41.38)</f>
        <v>41.38</v>
      </c>
    </row>
    <row r="2568" spans="1:2">
      <c r="A2568" s="3">
        <f ca="1">IFERROR(__xludf.DUMMYFUNCTION("""COMPUTED_VALUE"""),42079.6666666666)</f>
        <v>42079.666666666599</v>
      </c>
      <c r="B2568" s="1">
        <f ca="1">IFERROR(__xludf.DUMMYFUNCTION("""COMPUTED_VALUE"""),41.56)</f>
        <v>41.56</v>
      </c>
    </row>
    <row r="2569" spans="1:2">
      <c r="A2569" s="3">
        <f ca="1">IFERROR(__xludf.DUMMYFUNCTION("""COMPUTED_VALUE"""),42080.6666666666)</f>
        <v>42080.666666666599</v>
      </c>
      <c r="B2569" s="1">
        <f ca="1">IFERROR(__xludf.DUMMYFUNCTION("""COMPUTED_VALUE"""),41.7)</f>
        <v>41.7</v>
      </c>
    </row>
    <row r="2570" spans="1:2">
      <c r="A2570" s="3">
        <f ca="1">IFERROR(__xludf.DUMMYFUNCTION("""COMPUTED_VALUE"""),42081.6666666666)</f>
        <v>42081.666666666599</v>
      </c>
      <c r="B2570" s="1">
        <f ca="1">IFERROR(__xludf.DUMMYFUNCTION("""COMPUTED_VALUE"""),42.5)</f>
        <v>42.5</v>
      </c>
    </row>
    <row r="2571" spans="1:2">
      <c r="A2571" s="3">
        <f ca="1">IFERROR(__xludf.DUMMYFUNCTION("""COMPUTED_VALUE"""),42082.6666666666)</f>
        <v>42082.666666666599</v>
      </c>
      <c r="B2571" s="1">
        <f ca="1">IFERROR(__xludf.DUMMYFUNCTION("""COMPUTED_VALUE"""),42.29)</f>
        <v>42.29</v>
      </c>
    </row>
    <row r="2572" spans="1:2">
      <c r="A2572" s="3">
        <f ca="1">IFERROR(__xludf.DUMMYFUNCTION("""COMPUTED_VALUE"""),42083.6666666666)</f>
        <v>42083.666666666599</v>
      </c>
      <c r="B2572" s="1">
        <f ca="1">IFERROR(__xludf.DUMMYFUNCTION("""COMPUTED_VALUE"""),42.88)</f>
        <v>42.88</v>
      </c>
    </row>
    <row r="2573" spans="1:2">
      <c r="A2573" s="3">
        <f ca="1">IFERROR(__xludf.DUMMYFUNCTION("""COMPUTED_VALUE"""),42086.6666666666)</f>
        <v>42086.666666666599</v>
      </c>
      <c r="B2573" s="1">
        <f ca="1">IFERROR(__xludf.DUMMYFUNCTION("""COMPUTED_VALUE"""),42.86)</f>
        <v>42.86</v>
      </c>
    </row>
    <row r="2574" spans="1:2">
      <c r="A2574" s="3">
        <f ca="1">IFERROR(__xludf.DUMMYFUNCTION("""COMPUTED_VALUE"""),42087.6666666666)</f>
        <v>42087.666666666599</v>
      </c>
      <c r="B2574" s="1">
        <f ca="1">IFERROR(__xludf.DUMMYFUNCTION("""COMPUTED_VALUE"""),42.9)</f>
        <v>42.9</v>
      </c>
    </row>
    <row r="2575" spans="1:2">
      <c r="A2575" s="3">
        <f ca="1">IFERROR(__xludf.DUMMYFUNCTION("""COMPUTED_VALUE"""),42088.6666666666)</f>
        <v>42088.666666666599</v>
      </c>
      <c r="B2575" s="1">
        <f ca="1">IFERROR(__xludf.DUMMYFUNCTION("""COMPUTED_VALUE"""),41.46)</f>
        <v>41.46</v>
      </c>
    </row>
    <row r="2576" spans="1:2">
      <c r="A2576" s="3">
        <f ca="1">IFERROR(__xludf.DUMMYFUNCTION("""COMPUTED_VALUE"""),42089.6666666666)</f>
        <v>42089.666666666599</v>
      </c>
      <c r="B2576" s="1">
        <f ca="1">IFERROR(__xludf.DUMMYFUNCTION("""COMPUTED_VALUE"""),41.21)</f>
        <v>41.21</v>
      </c>
    </row>
    <row r="2577" spans="1:2">
      <c r="A2577" s="3">
        <f ca="1">IFERROR(__xludf.DUMMYFUNCTION("""COMPUTED_VALUE"""),42090.6666666666)</f>
        <v>42090.666666666599</v>
      </c>
      <c r="B2577" s="1">
        <f ca="1">IFERROR(__xludf.DUMMYFUNCTION("""COMPUTED_VALUE"""),40.97)</f>
        <v>40.97</v>
      </c>
    </row>
    <row r="2578" spans="1:2">
      <c r="A2578" s="3">
        <f ca="1">IFERROR(__xludf.DUMMYFUNCTION("""COMPUTED_VALUE"""),42093.6666666666)</f>
        <v>42093.666666666599</v>
      </c>
      <c r="B2578" s="1">
        <f ca="1">IFERROR(__xludf.DUMMYFUNCTION("""COMPUTED_VALUE"""),40.96)</f>
        <v>40.96</v>
      </c>
    </row>
    <row r="2579" spans="1:2">
      <c r="A2579" s="3">
        <f ca="1">IFERROR(__xludf.DUMMYFUNCTION("""COMPUTED_VALUE"""),42094.6666666666)</f>
        <v>42094.666666666599</v>
      </c>
      <c r="B2579" s="1">
        <f ca="1">IFERROR(__xludf.DUMMYFUNCTION("""COMPUTED_VALUE"""),40.66)</f>
        <v>40.659999999999997</v>
      </c>
    </row>
    <row r="2580" spans="1:2">
      <c r="A2580" s="3">
        <f ca="1">IFERROR(__xludf.DUMMYFUNCTION("""COMPUTED_VALUE"""),42095.6666666666)</f>
        <v>42095.666666666599</v>
      </c>
      <c r="B2580" s="1">
        <f ca="1">IFERROR(__xludf.DUMMYFUNCTION("""COMPUTED_VALUE"""),40.72)</f>
        <v>40.72</v>
      </c>
    </row>
    <row r="2581" spans="1:2">
      <c r="A2581" s="3">
        <f ca="1">IFERROR(__xludf.DUMMYFUNCTION("""COMPUTED_VALUE"""),42096.6666666666)</f>
        <v>42096.666666666599</v>
      </c>
      <c r="B2581" s="1">
        <f ca="1">IFERROR(__xludf.DUMMYFUNCTION("""COMPUTED_VALUE"""),40.29)</f>
        <v>40.29</v>
      </c>
    </row>
    <row r="2582" spans="1:2">
      <c r="A2582" s="3">
        <f ca="1">IFERROR(__xludf.DUMMYFUNCTION("""COMPUTED_VALUE"""),42100.6666666666)</f>
        <v>42100.666666666599</v>
      </c>
      <c r="B2582" s="1">
        <f ca="1">IFERROR(__xludf.DUMMYFUNCTION("""COMPUTED_VALUE"""),41.55)</f>
        <v>41.55</v>
      </c>
    </row>
    <row r="2583" spans="1:2">
      <c r="A2583" s="3">
        <f ca="1">IFERROR(__xludf.DUMMYFUNCTION("""COMPUTED_VALUE"""),42101.6666666666)</f>
        <v>42101.666666666599</v>
      </c>
      <c r="B2583" s="1">
        <f ca="1">IFERROR(__xludf.DUMMYFUNCTION("""COMPUTED_VALUE"""),41.53)</f>
        <v>41.53</v>
      </c>
    </row>
    <row r="2584" spans="1:2">
      <c r="A2584" s="3">
        <f ca="1">IFERROR(__xludf.DUMMYFUNCTION("""COMPUTED_VALUE"""),42102.6666666666)</f>
        <v>42102.666666666599</v>
      </c>
      <c r="B2584" s="1">
        <f ca="1">IFERROR(__xludf.DUMMYFUNCTION("""COMPUTED_VALUE"""),41.42)</f>
        <v>41.42</v>
      </c>
    </row>
    <row r="2585" spans="1:2">
      <c r="A2585" s="3">
        <f ca="1">IFERROR(__xludf.DUMMYFUNCTION("""COMPUTED_VALUE"""),42103.6666666666)</f>
        <v>42103.666666666599</v>
      </c>
      <c r="B2585" s="1">
        <f ca="1">IFERROR(__xludf.DUMMYFUNCTION("""COMPUTED_VALUE"""),41.48)</f>
        <v>41.48</v>
      </c>
    </row>
    <row r="2586" spans="1:2">
      <c r="A2586" s="3">
        <f ca="1">IFERROR(__xludf.DUMMYFUNCTION("""COMPUTED_VALUE"""),42104.6666666666)</f>
        <v>42104.666666666599</v>
      </c>
      <c r="B2586" s="1">
        <f ca="1">IFERROR(__xludf.DUMMYFUNCTION("""COMPUTED_VALUE"""),41.72)</f>
        <v>41.72</v>
      </c>
    </row>
    <row r="2587" spans="1:2">
      <c r="A2587" s="3">
        <f ca="1">IFERROR(__xludf.DUMMYFUNCTION("""COMPUTED_VALUE"""),42107.6666666666)</f>
        <v>42107.666666666599</v>
      </c>
      <c r="B2587" s="1">
        <f ca="1">IFERROR(__xludf.DUMMYFUNCTION("""COMPUTED_VALUE"""),41.76)</f>
        <v>41.76</v>
      </c>
    </row>
    <row r="2588" spans="1:2">
      <c r="A2588" s="3">
        <f ca="1">IFERROR(__xludf.DUMMYFUNCTION("""COMPUTED_VALUE"""),42108.6666666666)</f>
        <v>42108.666666666599</v>
      </c>
      <c r="B2588" s="1">
        <f ca="1">IFERROR(__xludf.DUMMYFUNCTION("""COMPUTED_VALUE"""),41.65)</f>
        <v>41.65</v>
      </c>
    </row>
    <row r="2589" spans="1:2">
      <c r="A2589" s="3">
        <f ca="1">IFERROR(__xludf.DUMMYFUNCTION("""COMPUTED_VALUE"""),42109.6666666666)</f>
        <v>42109.666666666599</v>
      </c>
      <c r="B2589" s="1">
        <f ca="1">IFERROR(__xludf.DUMMYFUNCTION("""COMPUTED_VALUE"""),42.26)</f>
        <v>42.26</v>
      </c>
    </row>
    <row r="2590" spans="1:2">
      <c r="A2590" s="3">
        <f ca="1">IFERROR(__xludf.DUMMYFUNCTION("""COMPUTED_VALUE"""),42110.6666666666)</f>
        <v>42110.666666666599</v>
      </c>
      <c r="B2590" s="1">
        <f ca="1">IFERROR(__xludf.DUMMYFUNCTION("""COMPUTED_VALUE"""),42.16)</f>
        <v>42.16</v>
      </c>
    </row>
    <row r="2591" spans="1:2">
      <c r="A2591" s="3">
        <f ca="1">IFERROR(__xludf.DUMMYFUNCTION("""COMPUTED_VALUE"""),42111.6666666666)</f>
        <v>42111.666666666599</v>
      </c>
      <c r="B2591" s="1">
        <f ca="1">IFERROR(__xludf.DUMMYFUNCTION("""COMPUTED_VALUE"""),41.62)</f>
        <v>41.62</v>
      </c>
    </row>
    <row r="2592" spans="1:2">
      <c r="A2592" s="3">
        <f ca="1">IFERROR(__xludf.DUMMYFUNCTION("""COMPUTED_VALUE"""),42114.6666666666)</f>
        <v>42114.666666666599</v>
      </c>
      <c r="B2592" s="1">
        <f ca="1">IFERROR(__xludf.DUMMYFUNCTION("""COMPUTED_VALUE"""),42.91)</f>
        <v>42.91</v>
      </c>
    </row>
    <row r="2593" spans="1:2">
      <c r="A2593" s="3">
        <f ca="1">IFERROR(__xludf.DUMMYFUNCTION("""COMPUTED_VALUE"""),42115.6666666666)</f>
        <v>42115.666666666599</v>
      </c>
      <c r="B2593" s="1">
        <f ca="1">IFERROR(__xludf.DUMMYFUNCTION("""COMPUTED_VALUE"""),42.64)</f>
        <v>42.64</v>
      </c>
    </row>
    <row r="2594" spans="1:2">
      <c r="A2594" s="3">
        <f ca="1">IFERROR(__xludf.DUMMYFUNCTION("""COMPUTED_VALUE"""),42116.6666666666)</f>
        <v>42116.666666666599</v>
      </c>
      <c r="B2594" s="1">
        <f ca="1">IFERROR(__xludf.DUMMYFUNCTION("""COMPUTED_VALUE"""),42.99)</f>
        <v>42.99</v>
      </c>
    </row>
    <row r="2595" spans="1:2">
      <c r="A2595" s="3">
        <f ca="1">IFERROR(__xludf.DUMMYFUNCTION("""COMPUTED_VALUE"""),42117.6666666666)</f>
        <v>42117.666666666599</v>
      </c>
      <c r="B2595" s="1">
        <f ca="1">IFERROR(__xludf.DUMMYFUNCTION("""COMPUTED_VALUE"""),43.34)</f>
        <v>43.34</v>
      </c>
    </row>
    <row r="2596" spans="1:2">
      <c r="A2596" s="3">
        <f ca="1">IFERROR(__xludf.DUMMYFUNCTION("""COMPUTED_VALUE"""),42118.6666666666)</f>
        <v>42118.666666666599</v>
      </c>
      <c r="B2596" s="1">
        <f ca="1">IFERROR(__xludf.DUMMYFUNCTION("""COMPUTED_VALUE"""),47.87)</f>
        <v>47.87</v>
      </c>
    </row>
    <row r="2597" spans="1:2">
      <c r="A2597" s="3">
        <f ca="1">IFERROR(__xludf.DUMMYFUNCTION("""COMPUTED_VALUE"""),42121.6666666666)</f>
        <v>42121.666666666599</v>
      </c>
      <c r="B2597" s="1">
        <f ca="1">IFERROR(__xludf.DUMMYFUNCTION("""COMPUTED_VALUE"""),48.03)</f>
        <v>48.03</v>
      </c>
    </row>
    <row r="2598" spans="1:2">
      <c r="A2598" s="3">
        <f ca="1">IFERROR(__xludf.DUMMYFUNCTION("""COMPUTED_VALUE"""),42122.6666666666)</f>
        <v>42122.666666666599</v>
      </c>
      <c r="B2598" s="1">
        <f ca="1">IFERROR(__xludf.DUMMYFUNCTION("""COMPUTED_VALUE"""),49.16)</f>
        <v>49.16</v>
      </c>
    </row>
    <row r="2599" spans="1:2">
      <c r="A2599" s="3">
        <f ca="1">IFERROR(__xludf.DUMMYFUNCTION("""COMPUTED_VALUE"""),42123.6666666666)</f>
        <v>42123.666666666599</v>
      </c>
      <c r="B2599" s="1">
        <f ca="1">IFERROR(__xludf.DUMMYFUNCTION("""COMPUTED_VALUE"""),49.06)</f>
        <v>49.06</v>
      </c>
    </row>
    <row r="2600" spans="1:2">
      <c r="A2600" s="3">
        <f ca="1">IFERROR(__xludf.DUMMYFUNCTION("""COMPUTED_VALUE"""),42124.6666666666)</f>
        <v>42124.666666666599</v>
      </c>
      <c r="B2600" s="1">
        <f ca="1">IFERROR(__xludf.DUMMYFUNCTION("""COMPUTED_VALUE"""),48.64)</f>
        <v>48.64</v>
      </c>
    </row>
    <row r="2601" spans="1:2">
      <c r="A2601" s="3">
        <f ca="1">IFERROR(__xludf.DUMMYFUNCTION("""COMPUTED_VALUE"""),42125.6666666666)</f>
        <v>42125.666666666599</v>
      </c>
      <c r="B2601" s="1">
        <f ca="1">IFERROR(__xludf.DUMMYFUNCTION("""COMPUTED_VALUE"""),48.66)</f>
        <v>48.66</v>
      </c>
    </row>
    <row r="2602" spans="1:2">
      <c r="A2602" s="3">
        <f ca="1">IFERROR(__xludf.DUMMYFUNCTION("""COMPUTED_VALUE"""),42128.6666666666)</f>
        <v>42128.666666666599</v>
      </c>
      <c r="B2602" s="1">
        <f ca="1">IFERROR(__xludf.DUMMYFUNCTION("""COMPUTED_VALUE"""),48.24)</f>
        <v>48.24</v>
      </c>
    </row>
    <row r="2603" spans="1:2">
      <c r="A2603" s="3">
        <f ca="1">IFERROR(__xludf.DUMMYFUNCTION("""COMPUTED_VALUE"""),42129.6666666666)</f>
        <v>42129.666666666599</v>
      </c>
      <c r="B2603" s="1">
        <f ca="1">IFERROR(__xludf.DUMMYFUNCTION("""COMPUTED_VALUE"""),47.6)</f>
        <v>47.6</v>
      </c>
    </row>
    <row r="2604" spans="1:2">
      <c r="A2604" s="3">
        <f ca="1">IFERROR(__xludf.DUMMYFUNCTION("""COMPUTED_VALUE"""),42130.6666666666)</f>
        <v>42130.666666666599</v>
      </c>
      <c r="B2604" s="1">
        <f ca="1">IFERROR(__xludf.DUMMYFUNCTION("""COMPUTED_VALUE"""),46.28)</f>
        <v>46.28</v>
      </c>
    </row>
    <row r="2605" spans="1:2">
      <c r="A2605" s="3">
        <f ca="1">IFERROR(__xludf.DUMMYFUNCTION("""COMPUTED_VALUE"""),42131.6666666666)</f>
        <v>42131.666666666599</v>
      </c>
      <c r="B2605" s="1">
        <f ca="1">IFERROR(__xludf.DUMMYFUNCTION("""COMPUTED_VALUE"""),46.7)</f>
        <v>46.7</v>
      </c>
    </row>
    <row r="2606" spans="1:2">
      <c r="A2606" s="3">
        <f ca="1">IFERROR(__xludf.DUMMYFUNCTION("""COMPUTED_VALUE"""),42132.6666666666)</f>
        <v>42132.666666666599</v>
      </c>
      <c r="B2606" s="1">
        <f ca="1">IFERROR(__xludf.DUMMYFUNCTION("""COMPUTED_VALUE"""),47.75)</f>
        <v>47.75</v>
      </c>
    </row>
    <row r="2607" spans="1:2">
      <c r="A2607" s="3">
        <f ca="1">IFERROR(__xludf.DUMMYFUNCTION("""COMPUTED_VALUE"""),42135.6666666666)</f>
        <v>42135.666666666599</v>
      </c>
      <c r="B2607" s="1">
        <f ca="1">IFERROR(__xludf.DUMMYFUNCTION("""COMPUTED_VALUE"""),47.37)</f>
        <v>47.37</v>
      </c>
    </row>
    <row r="2608" spans="1:2">
      <c r="A2608" s="3">
        <f ca="1">IFERROR(__xludf.DUMMYFUNCTION("""COMPUTED_VALUE"""),42136.6666666666)</f>
        <v>42136.666666666599</v>
      </c>
      <c r="B2608" s="1">
        <f ca="1">IFERROR(__xludf.DUMMYFUNCTION("""COMPUTED_VALUE"""),47.35)</f>
        <v>47.35</v>
      </c>
    </row>
    <row r="2609" spans="1:2">
      <c r="A2609" s="3">
        <f ca="1">IFERROR(__xludf.DUMMYFUNCTION("""COMPUTED_VALUE"""),42137.6666666666)</f>
        <v>42137.666666666599</v>
      </c>
      <c r="B2609" s="1">
        <f ca="1">IFERROR(__xludf.DUMMYFUNCTION("""COMPUTED_VALUE"""),47.63)</f>
        <v>47.63</v>
      </c>
    </row>
    <row r="2610" spans="1:2">
      <c r="A2610" s="3">
        <f ca="1">IFERROR(__xludf.DUMMYFUNCTION("""COMPUTED_VALUE"""),42138.6666666666)</f>
        <v>42138.666666666599</v>
      </c>
      <c r="B2610" s="1">
        <f ca="1">IFERROR(__xludf.DUMMYFUNCTION("""COMPUTED_VALUE"""),48.72)</f>
        <v>48.72</v>
      </c>
    </row>
    <row r="2611" spans="1:2">
      <c r="A2611" s="3">
        <f ca="1">IFERROR(__xludf.DUMMYFUNCTION("""COMPUTED_VALUE"""),42139.6666666666)</f>
        <v>42139.666666666599</v>
      </c>
      <c r="B2611" s="1">
        <f ca="1">IFERROR(__xludf.DUMMYFUNCTION("""COMPUTED_VALUE"""),48.3)</f>
        <v>48.3</v>
      </c>
    </row>
    <row r="2612" spans="1:2">
      <c r="A2612" s="3">
        <f ca="1">IFERROR(__xludf.DUMMYFUNCTION("""COMPUTED_VALUE"""),42142.6666666666)</f>
        <v>42142.666666666599</v>
      </c>
      <c r="B2612" s="1">
        <f ca="1">IFERROR(__xludf.DUMMYFUNCTION("""COMPUTED_VALUE"""),48.01)</f>
        <v>48.01</v>
      </c>
    </row>
    <row r="2613" spans="1:2">
      <c r="A2613" s="3">
        <f ca="1">IFERROR(__xludf.DUMMYFUNCTION("""COMPUTED_VALUE"""),42143.6666666666)</f>
        <v>42143.666666666599</v>
      </c>
      <c r="B2613" s="1">
        <f ca="1">IFERROR(__xludf.DUMMYFUNCTION("""COMPUTED_VALUE"""),47.58)</f>
        <v>47.58</v>
      </c>
    </row>
    <row r="2614" spans="1:2">
      <c r="A2614" s="3">
        <f ca="1">IFERROR(__xludf.DUMMYFUNCTION("""COMPUTED_VALUE"""),42144.6666666666)</f>
        <v>42144.666666666599</v>
      </c>
      <c r="B2614" s="1">
        <f ca="1">IFERROR(__xludf.DUMMYFUNCTION("""COMPUTED_VALUE"""),47.58)</f>
        <v>47.58</v>
      </c>
    </row>
    <row r="2615" spans="1:2">
      <c r="A2615" s="3">
        <f ca="1">IFERROR(__xludf.DUMMYFUNCTION("""COMPUTED_VALUE"""),42145.6666666666)</f>
        <v>42145.666666666599</v>
      </c>
      <c r="B2615" s="1">
        <f ca="1">IFERROR(__xludf.DUMMYFUNCTION("""COMPUTED_VALUE"""),47.42)</f>
        <v>47.42</v>
      </c>
    </row>
    <row r="2616" spans="1:2">
      <c r="A2616" s="3">
        <f ca="1">IFERROR(__xludf.DUMMYFUNCTION("""COMPUTED_VALUE"""),42146.6666666666)</f>
        <v>42146.666666666599</v>
      </c>
      <c r="B2616" s="1">
        <f ca="1">IFERROR(__xludf.DUMMYFUNCTION("""COMPUTED_VALUE"""),46.9)</f>
        <v>46.9</v>
      </c>
    </row>
    <row r="2617" spans="1:2">
      <c r="A2617" s="3">
        <f ca="1">IFERROR(__xludf.DUMMYFUNCTION("""COMPUTED_VALUE"""),42150.6666666666)</f>
        <v>42150.666666666599</v>
      </c>
      <c r="B2617" s="1">
        <f ca="1">IFERROR(__xludf.DUMMYFUNCTION("""COMPUTED_VALUE"""),46.59)</f>
        <v>46.59</v>
      </c>
    </row>
    <row r="2618" spans="1:2">
      <c r="A2618" s="3">
        <f ca="1">IFERROR(__xludf.DUMMYFUNCTION("""COMPUTED_VALUE"""),42151.6666666666)</f>
        <v>42151.666666666599</v>
      </c>
      <c r="B2618" s="1">
        <f ca="1">IFERROR(__xludf.DUMMYFUNCTION("""COMPUTED_VALUE"""),47.61)</f>
        <v>47.61</v>
      </c>
    </row>
    <row r="2619" spans="1:2">
      <c r="A2619" s="3">
        <f ca="1">IFERROR(__xludf.DUMMYFUNCTION("""COMPUTED_VALUE"""),42152.6666666666)</f>
        <v>42152.666666666599</v>
      </c>
      <c r="B2619" s="1">
        <f ca="1">IFERROR(__xludf.DUMMYFUNCTION("""COMPUTED_VALUE"""),47.45)</f>
        <v>47.45</v>
      </c>
    </row>
    <row r="2620" spans="1:2">
      <c r="A2620" s="3">
        <f ca="1">IFERROR(__xludf.DUMMYFUNCTION("""COMPUTED_VALUE"""),42153.6666666666)</f>
        <v>42153.666666666599</v>
      </c>
      <c r="B2620" s="1">
        <f ca="1">IFERROR(__xludf.DUMMYFUNCTION("""COMPUTED_VALUE"""),46.86)</f>
        <v>46.86</v>
      </c>
    </row>
    <row r="2621" spans="1:2">
      <c r="A2621" s="3">
        <f ca="1">IFERROR(__xludf.DUMMYFUNCTION("""COMPUTED_VALUE"""),42156.6666666666)</f>
        <v>42156.666666666599</v>
      </c>
      <c r="B2621" s="1">
        <f ca="1">IFERROR(__xludf.DUMMYFUNCTION("""COMPUTED_VALUE"""),47.23)</f>
        <v>47.23</v>
      </c>
    </row>
    <row r="2622" spans="1:2">
      <c r="A2622" s="3">
        <f ca="1">IFERROR(__xludf.DUMMYFUNCTION("""COMPUTED_VALUE"""),42157.6666666666)</f>
        <v>42157.666666666599</v>
      </c>
      <c r="B2622" s="1">
        <f ca="1">IFERROR(__xludf.DUMMYFUNCTION("""COMPUTED_VALUE"""),46.92)</f>
        <v>46.92</v>
      </c>
    </row>
    <row r="2623" spans="1:2">
      <c r="A2623" s="3">
        <f ca="1">IFERROR(__xludf.DUMMYFUNCTION("""COMPUTED_VALUE"""),42158.6666666666)</f>
        <v>42158.666666666599</v>
      </c>
      <c r="B2623" s="1">
        <f ca="1">IFERROR(__xludf.DUMMYFUNCTION("""COMPUTED_VALUE"""),46.85)</f>
        <v>46.85</v>
      </c>
    </row>
    <row r="2624" spans="1:2">
      <c r="A2624" s="3">
        <f ca="1">IFERROR(__xludf.DUMMYFUNCTION("""COMPUTED_VALUE"""),42159.6666666666)</f>
        <v>42159.666666666599</v>
      </c>
      <c r="B2624" s="1">
        <f ca="1">IFERROR(__xludf.DUMMYFUNCTION("""COMPUTED_VALUE"""),46.36)</f>
        <v>46.36</v>
      </c>
    </row>
    <row r="2625" spans="1:2">
      <c r="A2625" s="3">
        <f ca="1">IFERROR(__xludf.DUMMYFUNCTION("""COMPUTED_VALUE"""),42160.6666666666)</f>
        <v>42160.666666666599</v>
      </c>
      <c r="B2625" s="1">
        <f ca="1">IFERROR(__xludf.DUMMYFUNCTION("""COMPUTED_VALUE"""),46.14)</f>
        <v>46.14</v>
      </c>
    </row>
    <row r="2626" spans="1:2">
      <c r="A2626" s="3">
        <f ca="1">IFERROR(__xludf.DUMMYFUNCTION("""COMPUTED_VALUE"""),42163.6666666666)</f>
        <v>42163.666666666599</v>
      </c>
      <c r="B2626" s="1">
        <f ca="1">IFERROR(__xludf.DUMMYFUNCTION("""COMPUTED_VALUE"""),45.73)</f>
        <v>45.73</v>
      </c>
    </row>
    <row r="2627" spans="1:2">
      <c r="A2627" s="3">
        <f ca="1">IFERROR(__xludf.DUMMYFUNCTION("""COMPUTED_VALUE"""),42164.6666666666)</f>
        <v>42164.666666666599</v>
      </c>
      <c r="B2627" s="1">
        <f ca="1">IFERROR(__xludf.DUMMYFUNCTION("""COMPUTED_VALUE"""),45.65)</f>
        <v>45.65</v>
      </c>
    </row>
    <row r="2628" spans="1:2">
      <c r="A2628" s="3">
        <f ca="1">IFERROR(__xludf.DUMMYFUNCTION("""COMPUTED_VALUE"""),42165.6666666666)</f>
        <v>42165.666666666599</v>
      </c>
      <c r="B2628" s="1">
        <f ca="1">IFERROR(__xludf.DUMMYFUNCTION("""COMPUTED_VALUE"""),46.61)</f>
        <v>46.61</v>
      </c>
    </row>
    <row r="2629" spans="1:2">
      <c r="A2629" s="3">
        <f ca="1">IFERROR(__xludf.DUMMYFUNCTION("""COMPUTED_VALUE"""),42166.6666666666)</f>
        <v>42166.666666666599</v>
      </c>
      <c r="B2629" s="1">
        <f ca="1">IFERROR(__xludf.DUMMYFUNCTION("""COMPUTED_VALUE"""),46.44)</f>
        <v>46.44</v>
      </c>
    </row>
    <row r="2630" spans="1:2">
      <c r="A2630" s="3">
        <f ca="1">IFERROR(__xludf.DUMMYFUNCTION("""COMPUTED_VALUE"""),42167.6666666666)</f>
        <v>42167.666666666599</v>
      </c>
      <c r="B2630" s="1">
        <f ca="1">IFERROR(__xludf.DUMMYFUNCTION("""COMPUTED_VALUE"""),45.97)</f>
        <v>45.97</v>
      </c>
    </row>
    <row r="2631" spans="1:2">
      <c r="A2631" s="3">
        <f ca="1">IFERROR(__xludf.DUMMYFUNCTION("""COMPUTED_VALUE"""),42170.6666666666)</f>
        <v>42170.666666666599</v>
      </c>
      <c r="B2631" s="1">
        <f ca="1">IFERROR(__xludf.DUMMYFUNCTION("""COMPUTED_VALUE"""),45.48)</f>
        <v>45.48</v>
      </c>
    </row>
    <row r="2632" spans="1:2">
      <c r="A2632" s="3">
        <f ca="1">IFERROR(__xludf.DUMMYFUNCTION("""COMPUTED_VALUE"""),42171.6666666666)</f>
        <v>42171.666666666599</v>
      </c>
      <c r="B2632" s="1">
        <f ca="1">IFERROR(__xludf.DUMMYFUNCTION("""COMPUTED_VALUE"""),45.83)</f>
        <v>45.83</v>
      </c>
    </row>
    <row r="2633" spans="1:2">
      <c r="A2633" s="3">
        <f ca="1">IFERROR(__xludf.DUMMYFUNCTION("""COMPUTED_VALUE"""),42172.6666666666)</f>
        <v>42172.666666666599</v>
      </c>
      <c r="B2633" s="1">
        <f ca="1">IFERROR(__xludf.DUMMYFUNCTION("""COMPUTED_VALUE"""),45.97)</f>
        <v>45.97</v>
      </c>
    </row>
    <row r="2634" spans="1:2">
      <c r="A2634" s="3">
        <f ca="1">IFERROR(__xludf.DUMMYFUNCTION("""COMPUTED_VALUE"""),42173.6666666666)</f>
        <v>42173.666666666599</v>
      </c>
      <c r="B2634" s="1">
        <f ca="1">IFERROR(__xludf.DUMMYFUNCTION("""COMPUTED_VALUE"""),46.72)</f>
        <v>46.72</v>
      </c>
    </row>
    <row r="2635" spans="1:2">
      <c r="A2635" s="3">
        <f ca="1">IFERROR(__xludf.DUMMYFUNCTION("""COMPUTED_VALUE"""),42174.6666666666)</f>
        <v>42174.666666666599</v>
      </c>
      <c r="B2635" s="1">
        <f ca="1">IFERROR(__xludf.DUMMYFUNCTION("""COMPUTED_VALUE"""),46.1)</f>
        <v>46.1</v>
      </c>
    </row>
    <row r="2636" spans="1:2">
      <c r="A2636" s="3">
        <f ca="1">IFERROR(__xludf.DUMMYFUNCTION("""COMPUTED_VALUE"""),42177.6666666666)</f>
        <v>42177.666666666599</v>
      </c>
      <c r="B2636" s="1">
        <f ca="1">IFERROR(__xludf.DUMMYFUNCTION("""COMPUTED_VALUE"""),46.23)</f>
        <v>46.23</v>
      </c>
    </row>
    <row r="2637" spans="1:2">
      <c r="A2637" s="3">
        <f ca="1">IFERROR(__xludf.DUMMYFUNCTION("""COMPUTED_VALUE"""),42178.6666666666)</f>
        <v>42178.666666666599</v>
      </c>
      <c r="B2637" s="1">
        <f ca="1">IFERROR(__xludf.DUMMYFUNCTION("""COMPUTED_VALUE"""),45.91)</f>
        <v>45.91</v>
      </c>
    </row>
    <row r="2638" spans="1:2">
      <c r="A2638" s="3">
        <f ca="1">IFERROR(__xludf.DUMMYFUNCTION("""COMPUTED_VALUE"""),42179.6666666666)</f>
        <v>42179.666666666599</v>
      </c>
      <c r="B2638" s="1">
        <f ca="1">IFERROR(__xludf.DUMMYFUNCTION("""COMPUTED_VALUE"""),45.64)</f>
        <v>45.64</v>
      </c>
    </row>
    <row r="2639" spans="1:2">
      <c r="A2639" s="3">
        <f ca="1">IFERROR(__xludf.DUMMYFUNCTION("""COMPUTED_VALUE"""),42180.6666666666)</f>
        <v>42180.666666666599</v>
      </c>
      <c r="B2639" s="1">
        <f ca="1">IFERROR(__xludf.DUMMYFUNCTION("""COMPUTED_VALUE"""),45.65)</f>
        <v>45.65</v>
      </c>
    </row>
    <row r="2640" spans="1:2">
      <c r="A2640" s="3">
        <f ca="1">IFERROR(__xludf.DUMMYFUNCTION("""COMPUTED_VALUE"""),42181.6666666666)</f>
        <v>42181.666666666599</v>
      </c>
      <c r="B2640" s="1">
        <f ca="1">IFERROR(__xludf.DUMMYFUNCTION("""COMPUTED_VALUE"""),45.26)</f>
        <v>45.26</v>
      </c>
    </row>
    <row r="2641" spans="1:2">
      <c r="A2641" s="3">
        <f ca="1">IFERROR(__xludf.DUMMYFUNCTION("""COMPUTED_VALUE"""),42184.6666666666)</f>
        <v>42184.666666666599</v>
      </c>
      <c r="B2641" s="1">
        <f ca="1">IFERROR(__xludf.DUMMYFUNCTION("""COMPUTED_VALUE"""),44.37)</f>
        <v>44.37</v>
      </c>
    </row>
    <row r="2642" spans="1:2">
      <c r="A2642" s="3">
        <f ca="1">IFERROR(__xludf.DUMMYFUNCTION("""COMPUTED_VALUE"""),42185.6666666666)</f>
        <v>42185.666666666599</v>
      </c>
      <c r="B2642" s="1">
        <f ca="1">IFERROR(__xludf.DUMMYFUNCTION("""COMPUTED_VALUE"""),44.15)</f>
        <v>44.15</v>
      </c>
    </row>
    <row r="2643" spans="1:2">
      <c r="A2643" s="3">
        <f ca="1">IFERROR(__xludf.DUMMYFUNCTION("""COMPUTED_VALUE"""),42186.6666666666)</f>
        <v>42186.666666666599</v>
      </c>
      <c r="B2643" s="1">
        <f ca="1">IFERROR(__xludf.DUMMYFUNCTION("""COMPUTED_VALUE"""),44.45)</f>
        <v>44.45</v>
      </c>
    </row>
    <row r="2644" spans="1:2">
      <c r="A2644" s="3">
        <f ca="1">IFERROR(__xludf.DUMMYFUNCTION("""COMPUTED_VALUE"""),42187.6666666666)</f>
        <v>42187.666666666599</v>
      </c>
      <c r="B2644" s="1">
        <f ca="1">IFERROR(__xludf.DUMMYFUNCTION("""COMPUTED_VALUE"""),44.4)</f>
        <v>44.4</v>
      </c>
    </row>
    <row r="2645" spans="1:2">
      <c r="A2645" s="3">
        <f ca="1">IFERROR(__xludf.DUMMYFUNCTION("""COMPUTED_VALUE"""),42191.6666666666)</f>
        <v>42191.666666666599</v>
      </c>
      <c r="B2645" s="1">
        <f ca="1">IFERROR(__xludf.DUMMYFUNCTION("""COMPUTED_VALUE"""),44.39)</f>
        <v>44.39</v>
      </c>
    </row>
    <row r="2646" spans="1:2">
      <c r="A2646" s="3">
        <f ca="1">IFERROR(__xludf.DUMMYFUNCTION("""COMPUTED_VALUE"""),42192.6666666666)</f>
        <v>42192.666666666599</v>
      </c>
      <c r="B2646" s="1">
        <f ca="1">IFERROR(__xludf.DUMMYFUNCTION("""COMPUTED_VALUE"""),44.3)</f>
        <v>44.3</v>
      </c>
    </row>
    <row r="2647" spans="1:2">
      <c r="A2647" s="3">
        <f ca="1">IFERROR(__xludf.DUMMYFUNCTION("""COMPUTED_VALUE"""),42193.6666666666)</f>
        <v>42193.666666666599</v>
      </c>
      <c r="B2647" s="1">
        <f ca="1">IFERROR(__xludf.DUMMYFUNCTION("""COMPUTED_VALUE"""),44.24)</f>
        <v>44.24</v>
      </c>
    </row>
    <row r="2648" spans="1:2">
      <c r="A2648" s="3">
        <f ca="1">IFERROR(__xludf.DUMMYFUNCTION("""COMPUTED_VALUE"""),42194.6666666666)</f>
        <v>42194.666666666599</v>
      </c>
      <c r="B2648" s="1">
        <f ca="1">IFERROR(__xludf.DUMMYFUNCTION("""COMPUTED_VALUE"""),44.52)</f>
        <v>44.52</v>
      </c>
    </row>
    <row r="2649" spans="1:2">
      <c r="A2649" s="3">
        <f ca="1">IFERROR(__xludf.DUMMYFUNCTION("""COMPUTED_VALUE"""),42195.6666666666)</f>
        <v>42195.666666666599</v>
      </c>
      <c r="B2649" s="1">
        <f ca="1">IFERROR(__xludf.DUMMYFUNCTION("""COMPUTED_VALUE"""),44.61)</f>
        <v>44.61</v>
      </c>
    </row>
    <row r="2650" spans="1:2">
      <c r="A2650" s="3">
        <f ca="1">IFERROR(__xludf.DUMMYFUNCTION("""COMPUTED_VALUE"""),42198.6666666666)</f>
        <v>42198.666666666599</v>
      </c>
      <c r="B2650" s="1">
        <f ca="1">IFERROR(__xludf.DUMMYFUNCTION("""COMPUTED_VALUE"""),45.54)</f>
        <v>45.54</v>
      </c>
    </row>
    <row r="2651" spans="1:2">
      <c r="A2651" s="3">
        <f ca="1">IFERROR(__xludf.DUMMYFUNCTION("""COMPUTED_VALUE"""),42199.6666666666)</f>
        <v>42199.666666666599</v>
      </c>
      <c r="B2651" s="1">
        <f ca="1">IFERROR(__xludf.DUMMYFUNCTION("""COMPUTED_VALUE"""),45.62)</f>
        <v>45.62</v>
      </c>
    </row>
    <row r="2652" spans="1:2">
      <c r="A2652" s="3">
        <f ca="1">IFERROR(__xludf.DUMMYFUNCTION("""COMPUTED_VALUE"""),42200.6666666666)</f>
        <v>42200.666666666599</v>
      </c>
      <c r="B2652" s="1">
        <f ca="1">IFERROR(__xludf.DUMMYFUNCTION("""COMPUTED_VALUE"""),45.76)</f>
        <v>45.76</v>
      </c>
    </row>
    <row r="2653" spans="1:2">
      <c r="A2653" s="3">
        <f ca="1">IFERROR(__xludf.DUMMYFUNCTION("""COMPUTED_VALUE"""),42201.6666666666)</f>
        <v>42201.666666666599</v>
      </c>
      <c r="B2653" s="1">
        <f ca="1">IFERROR(__xludf.DUMMYFUNCTION("""COMPUTED_VALUE"""),46.66)</f>
        <v>46.66</v>
      </c>
    </row>
    <row r="2654" spans="1:2">
      <c r="A2654" s="3">
        <f ca="1">IFERROR(__xludf.DUMMYFUNCTION("""COMPUTED_VALUE"""),42202.6666666666)</f>
        <v>42202.666666666599</v>
      </c>
      <c r="B2654" s="1">
        <f ca="1">IFERROR(__xludf.DUMMYFUNCTION("""COMPUTED_VALUE"""),46.62)</f>
        <v>46.62</v>
      </c>
    </row>
    <row r="2655" spans="1:2">
      <c r="A2655" s="3">
        <f ca="1">IFERROR(__xludf.DUMMYFUNCTION("""COMPUTED_VALUE"""),42205.6666666666)</f>
        <v>42205.666666666599</v>
      </c>
      <c r="B2655" s="1">
        <f ca="1">IFERROR(__xludf.DUMMYFUNCTION("""COMPUTED_VALUE"""),46.92)</f>
        <v>46.92</v>
      </c>
    </row>
    <row r="2656" spans="1:2">
      <c r="A2656" s="3">
        <f ca="1">IFERROR(__xludf.DUMMYFUNCTION("""COMPUTED_VALUE"""),42206.6666666666)</f>
        <v>42206.666666666599</v>
      </c>
      <c r="B2656" s="1">
        <f ca="1">IFERROR(__xludf.DUMMYFUNCTION("""COMPUTED_VALUE"""),47.28)</f>
        <v>47.28</v>
      </c>
    </row>
    <row r="2657" spans="1:2">
      <c r="A2657" s="3">
        <f ca="1">IFERROR(__xludf.DUMMYFUNCTION("""COMPUTED_VALUE"""),42207.6666666666)</f>
        <v>42207.666666666599</v>
      </c>
      <c r="B2657" s="1">
        <f ca="1">IFERROR(__xludf.DUMMYFUNCTION("""COMPUTED_VALUE"""),45.54)</f>
        <v>45.54</v>
      </c>
    </row>
    <row r="2658" spans="1:2">
      <c r="A2658" s="3">
        <f ca="1">IFERROR(__xludf.DUMMYFUNCTION("""COMPUTED_VALUE"""),42208.6666666666)</f>
        <v>42208.666666666599</v>
      </c>
      <c r="B2658" s="1">
        <f ca="1">IFERROR(__xludf.DUMMYFUNCTION("""COMPUTED_VALUE"""),46.11)</f>
        <v>46.11</v>
      </c>
    </row>
    <row r="2659" spans="1:2">
      <c r="A2659" s="3">
        <f ca="1">IFERROR(__xludf.DUMMYFUNCTION("""COMPUTED_VALUE"""),42209.6666666666)</f>
        <v>42209.666666666599</v>
      </c>
      <c r="B2659" s="1">
        <f ca="1">IFERROR(__xludf.DUMMYFUNCTION("""COMPUTED_VALUE"""),45.94)</f>
        <v>45.94</v>
      </c>
    </row>
    <row r="2660" spans="1:2">
      <c r="A2660" s="3">
        <f ca="1">IFERROR(__xludf.DUMMYFUNCTION("""COMPUTED_VALUE"""),42212.6666666666)</f>
        <v>42212.666666666599</v>
      </c>
      <c r="B2660" s="1">
        <f ca="1">IFERROR(__xludf.DUMMYFUNCTION("""COMPUTED_VALUE"""),45.35)</f>
        <v>45.35</v>
      </c>
    </row>
    <row r="2661" spans="1:2">
      <c r="A2661" s="3">
        <f ca="1">IFERROR(__xludf.DUMMYFUNCTION("""COMPUTED_VALUE"""),42213.6666666666)</f>
        <v>42213.666666666599</v>
      </c>
      <c r="B2661" s="1">
        <f ca="1">IFERROR(__xludf.DUMMYFUNCTION("""COMPUTED_VALUE"""),45.34)</f>
        <v>45.34</v>
      </c>
    </row>
    <row r="2662" spans="1:2">
      <c r="A2662" s="3">
        <f ca="1">IFERROR(__xludf.DUMMYFUNCTION("""COMPUTED_VALUE"""),42214.6666666666)</f>
        <v>42214.666666666599</v>
      </c>
      <c r="B2662" s="1">
        <f ca="1">IFERROR(__xludf.DUMMYFUNCTION("""COMPUTED_VALUE"""),46.29)</f>
        <v>46.29</v>
      </c>
    </row>
    <row r="2663" spans="1:2">
      <c r="A2663" s="3">
        <f ca="1">IFERROR(__xludf.DUMMYFUNCTION("""COMPUTED_VALUE"""),42215.6666666666)</f>
        <v>42215.666666666599</v>
      </c>
      <c r="B2663" s="1">
        <f ca="1">IFERROR(__xludf.DUMMYFUNCTION("""COMPUTED_VALUE"""),46.88)</f>
        <v>46.88</v>
      </c>
    </row>
    <row r="2664" spans="1:2">
      <c r="A2664" s="3">
        <f ca="1">IFERROR(__xludf.DUMMYFUNCTION("""COMPUTED_VALUE"""),42216.6666666666)</f>
        <v>42216.666666666599</v>
      </c>
      <c r="B2664" s="1">
        <f ca="1">IFERROR(__xludf.DUMMYFUNCTION("""COMPUTED_VALUE"""),46.7)</f>
        <v>46.7</v>
      </c>
    </row>
    <row r="2665" spans="1:2">
      <c r="A2665" s="3">
        <f ca="1">IFERROR(__xludf.DUMMYFUNCTION("""COMPUTED_VALUE"""),42219.6666666666)</f>
        <v>42219.666666666599</v>
      </c>
      <c r="B2665" s="1">
        <f ca="1">IFERROR(__xludf.DUMMYFUNCTION("""COMPUTED_VALUE"""),46.81)</f>
        <v>46.81</v>
      </c>
    </row>
    <row r="2666" spans="1:2">
      <c r="A2666" s="3">
        <f ca="1">IFERROR(__xludf.DUMMYFUNCTION("""COMPUTED_VALUE"""),42220.6666666666)</f>
        <v>42220.666666666599</v>
      </c>
      <c r="B2666" s="1">
        <f ca="1">IFERROR(__xludf.DUMMYFUNCTION("""COMPUTED_VALUE"""),47.54)</f>
        <v>47.54</v>
      </c>
    </row>
    <row r="2667" spans="1:2">
      <c r="A2667" s="3">
        <f ca="1">IFERROR(__xludf.DUMMYFUNCTION("""COMPUTED_VALUE"""),42221.6666666666)</f>
        <v>42221.666666666599</v>
      </c>
      <c r="B2667" s="1">
        <f ca="1">IFERROR(__xludf.DUMMYFUNCTION("""COMPUTED_VALUE"""),47.58)</f>
        <v>47.58</v>
      </c>
    </row>
    <row r="2668" spans="1:2">
      <c r="A2668" s="3">
        <f ca="1">IFERROR(__xludf.DUMMYFUNCTION("""COMPUTED_VALUE"""),42222.6666666666)</f>
        <v>42222.666666666599</v>
      </c>
      <c r="B2668" s="1">
        <f ca="1">IFERROR(__xludf.DUMMYFUNCTION("""COMPUTED_VALUE"""),46.62)</f>
        <v>46.62</v>
      </c>
    </row>
    <row r="2669" spans="1:2">
      <c r="A2669" s="3">
        <f ca="1">IFERROR(__xludf.DUMMYFUNCTION("""COMPUTED_VALUE"""),42223.6666666666)</f>
        <v>42223.666666666599</v>
      </c>
      <c r="B2669" s="1">
        <f ca="1">IFERROR(__xludf.DUMMYFUNCTION("""COMPUTED_VALUE"""),46.74)</f>
        <v>46.74</v>
      </c>
    </row>
    <row r="2670" spans="1:2">
      <c r="A2670" s="3">
        <f ca="1">IFERROR(__xludf.DUMMYFUNCTION("""COMPUTED_VALUE"""),42226.6666666666)</f>
        <v>42226.666666666599</v>
      </c>
      <c r="B2670" s="1">
        <f ca="1">IFERROR(__xludf.DUMMYFUNCTION("""COMPUTED_VALUE"""),47.33)</f>
        <v>47.33</v>
      </c>
    </row>
    <row r="2671" spans="1:2">
      <c r="A2671" s="3">
        <f ca="1">IFERROR(__xludf.DUMMYFUNCTION("""COMPUTED_VALUE"""),42227.6666666666)</f>
        <v>42227.666666666599</v>
      </c>
      <c r="B2671" s="1">
        <f ca="1">IFERROR(__xludf.DUMMYFUNCTION("""COMPUTED_VALUE"""),46.41)</f>
        <v>46.41</v>
      </c>
    </row>
    <row r="2672" spans="1:2">
      <c r="A2672" s="3">
        <f ca="1">IFERROR(__xludf.DUMMYFUNCTION("""COMPUTED_VALUE"""),42228.6666666666)</f>
        <v>42228.666666666599</v>
      </c>
      <c r="B2672" s="1">
        <f ca="1">IFERROR(__xludf.DUMMYFUNCTION("""COMPUTED_VALUE"""),46.74)</f>
        <v>46.74</v>
      </c>
    </row>
    <row r="2673" spans="1:2">
      <c r="A2673" s="3">
        <f ca="1">IFERROR(__xludf.DUMMYFUNCTION("""COMPUTED_VALUE"""),42229.6666666666)</f>
        <v>42229.666666666599</v>
      </c>
      <c r="B2673" s="1">
        <f ca="1">IFERROR(__xludf.DUMMYFUNCTION("""COMPUTED_VALUE"""),46.73)</f>
        <v>46.73</v>
      </c>
    </row>
    <row r="2674" spans="1:2">
      <c r="A2674" s="3">
        <f ca="1">IFERROR(__xludf.DUMMYFUNCTION("""COMPUTED_VALUE"""),42230.6666666666)</f>
        <v>42230.666666666599</v>
      </c>
      <c r="B2674" s="1">
        <f ca="1">IFERROR(__xludf.DUMMYFUNCTION("""COMPUTED_VALUE"""),47)</f>
        <v>47</v>
      </c>
    </row>
    <row r="2675" spans="1:2">
      <c r="A2675" s="3">
        <f ca="1">IFERROR(__xludf.DUMMYFUNCTION("""COMPUTED_VALUE"""),42233.6666666666)</f>
        <v>42233.666666666599</v>
      </c>
      <c r="B2675" s="1">
        <f ca="1">IFERROR(__xludf.DUMMYFUNCTION("""COMPUTED_VALUE"""),47.32)</f>
        <v>47.32</v>
      </c>
    </row>
    <row r="2676" spans="1:2">
      <c r="A2676" s="3">
        <f ca="1">IFERROR(__xludf.DUMMYFUNCTION("""COMPUTED_VALUE"""),42234.6666666666)</f>
        <v>42234.666666666599</v>
      </c>
      <c r="B2676" s="1">
        <f ca="1">IFERROR(__xludf.DUMMYFUNCTION("""COMPUTED_VALUE"""),47.27)</f>
        <v>47.27</v>
      </c>
    </row>
    <row r="2677" spans="1:2">
      <c r="A2677" s="3">
        <f ca="1">IFERROR(__xludf.DUMMYFUNCTION("""COMPUTED_VALUE"""),42235.6666666666)</f>
        <v>42235.666666666599</v>
      </c>
      <c r="B2677" s="1">
        <f ca="1">IFERROR(__xludf.DUMMYFUNCTION("""COMPUTED_VALUE"""),46.61)</f>
        <v>46.61</v>
      </c>
    </row>
    <row r="2678" spans="1:2">
      <c r="A2678" s="3">
        <f ca="1">IFERROR(__xludf.DUMMYFUNCTION("""COMPUTED_VALUE"""),42236.6666666666)</f>
        <v>42236.666666666599</v>
      </c>
      <c r="B2678" s="1">
        <f ca="1">IFERROR(__xludf.DUMMYFUNCTION("""COMPUTED_VALUE"""),45.66)</f>
        <v>45.66</v>
      </c>
    </row>
    <row r="2679" spans="1:2">
      <c r="A2679" s="3">
        <f ca="1">IFERROR(__xludf.DUMMYFUNCTION("""COMPUTED_VALUE"""),42237.6666666666)</f>
        <v>42237.666666666599</v>
      </c>
      <c r="B2679" s="1">
        <f ca="1">IFERROR(__xludf.DUMMYFUNCTION("""COMPUTED_VALUE"""),43.07)</f>
        <v>43.07</v>
      </c>
    </row>
    <row r="2680" spans="1:2">
      <c r="A2680" s="3">
        <f ca="1">IFERROR(__xludf.DUMMYFUNCTION("""COMPUTED_VALUE"""),42240.6666666666)</f>
        <v>42240.666666666599</v>
      </c>
      <c r="B2680" s="1">
        <f ca="1">IFERROR(__xludf.DUMMYFUNCTION("""COMPUTED_VALUE"""),41.68)</f>
        <v>41.68</v>
      </c>
    </row>
    <row r="2681" spans="1:2">
      <c r="A2681" s="3">
        <f ca="1">IFERROR(__xludf.DUMMYFUNCTION("""COMPUTED_VALUE"""),42241.6666666666)</f>
        <v>42241.666666666599</v>
      </c>
      <c r="B2681" s="1">
        <f ca="1">IFERROR(__xludf.DUMMYFUNCTION("""COMPUTED_VALUE"""),40.47)</f>
        <v>40.47</v>
      </c>
    </row>
    <row r="2682" spans="1:2">
      <c r="A2682" s="3">
        <f ca="1">IFERROR(__xludf.DUMMYFUNCTION("""COMPUTED_VALUE"""),42242.6666666666)</f>
        <v>42242.666666666599</v>
      </c>
      <c r="B2682" s="1">
        <f ca="1">IFERROR(__xludf.DUMMYFUNCTION("""COMPUTED_VALUE"""),42.71)</f>
        <v>42.71</v>
      </c>
    </row>
    <row r="2683" spans="1:2">
      <c r="A2683" s="3">
        <f ca="1">IFERROR(__xludf.DUMMYFUNCTION("""COMPUTED_VALUE"""),42243.6666666666)</f>
        <v>42243.666666666599</v>
      </c>
      <c r="B2683" s="1">
        <f ca="1">IFERROR(__xludf.DUMMYFUNCTION("""COMPUTED_VALUE"""),43.9)</f>
        <v>43.9</v>
      </c>
    </row>
    <row r="2684" spans="1:2">
      <c r="A2684" s="3">
        <f ca="1">IFERROR(__xludf.DUMMYFUNCTION("""COMPUTED_VALUE"""),42244.6666666666)</f>
        <v>42244.666666666599</v>
      </c>
      <c r="B2684" s="1">
        <f ca="1">IFERROR(__xludf.DUMMYFUNCTION("""COMPUTED_VALUE"""),43.93)</f>
        <v>43.93</v>
      </c>
    </row>
    <row r="2685" spans="1:2">
      <c r="A2685" s="3">
        <f ca="1">IFERROR(__xludf.DUMMYFUNCTION("""COMPUTED_VALUE"""),42247.6666666666)</f>
        <v>42247.666666666599</v>
      </c>
      <c r="B2685" s="1">
        <f ca="1">IFERROR(__xludf.DUMMYFUNCTION("""COMPUTED_VALUE"""),43.52)</f>
        <v>43.52</v>
      </c>
    </row>
    <row r="2686" spans="1:2">
      <c r="A2686" s="3">
        <f ca="1">IFERROR(__xludf.DUMMYFUNCTION("""COMPUTED_VALUE"""),42248.6666666666)</f>
        <v>42248.666666666599</v>
      </c>
      <c r="B2686" s="1">
        <f ca="1">IFERROR(__xludf.DUMMYFUNCTION("""COMPUTED_VALUE"""),41.82)</f>
        <v>41.82</v>
      </c>
    </row>
    <row r="2687" spans="1:2">
      <c r="A2687" s="3">
        <f ca="1">IFERROR(__xludf.DUMMYFUNCTION("""COMPUTED_VALUE"""),42249.6666666666)</f>
        <v>42249.666666666599</v>
      </c>
      <c r="B2687" s="1">
        <f ca="1">IFERROR(__xludf.DUMMYFUNCTION("""COMPUTED_VALUE"""),43.36)</f>
        <v>43.36</v>
      </c>
    </row>
    <row r="2688" spans="1:2">
      <c r="A2688" s="3">
        <f ca="1">IFERROR(__xludf.DUMMYFUNCTION("""COMPUTED_VALUE"""),42250.6666666666)</f>
        <v>42250.666666666599</v>
      </c>
      <c r="B2688" s="1">
        <f ca="1">IFERROR(__xludf.DUMMYFUNCTION("""COMPUTED_VALUE"""),43.5)</f>
        <v>43.5</v>
      </c>
    </row>
    <row r="2689" spans="1:2">
      <c r="A2689" s="3">
        <f ca="1">IFERROR(__xludf.DUMMYFUNCTION("""COMPUTED_VALUE"""),42251.6666666666)</f>
        <v>42251.666666666599</v>
      </c>
      <c r="B2689" s="1">
        <f ca="1">IFERROR(__xludf.DUMMYFUNCTION("""COMPUTED_VALUE"""),42.61)</f>
        <v>42.61</v>
      </c>
    </row>
    <row r="2690" spans="1:2">
      <c r="A2690" s="3">
        <f ca="1">IFERROR(__xludf.DUMMYFUNCTION("""COMPUTED_VALUE"""),42255.6666666666)</f>
        <v>42255.666666666599</v>
      </c>
      <c r="B2690" s="1">
        <f ca="1">IFERROR(__xludf.DUMMYFUNCTION("""COMPUTED_VALUE"""),43.89)</f>
        <v>43.89</v>
      </c>
    </row>
    <row r="2691" spans="1:2">
      <c r="A2691" s="3">
        <f ca="1">IFERROR(__xludf.DUMMYFUNCTION("""COMPUTED_VALUE"""),42256.6666666666)</f>
        <v>42256.666666666599</v>
      </c>
      <c r="B2691" s="1">
        <f ca="1">IFERROR(__xludf.DUMMYFUNCTION("""COMPUTED_VALUE"""),43.07)</f>
        <v>43.07</v>
      </c>
    </row>
    <row r="2692" spans="1:2">
      <c r="A2692" s="3">
        <f ca="1">IFERROR(__xludf.DUMMYFUNCTION("""COMPUTED_VALUE"""),42257.6666666666)</f>
        <v>42257.666666666599</v>
      </c>
      <c r="B2692" s="1">
        <f ca="1">IFERROR(__xludf.DUMMYFUNCTION("""COMPUTED_VALUE"""),43.29)</f>
        <v>43.29</v>
      </c>
    </row>
    <row r="2693" spans="1:2">
      <c r="A2693" s="3">
        <f ca="1">IFERROR(__xludf.DUMMYFUNCTION("""COMPUTED_VALUE"""),42258.6666666666)</f>
        <v>42258.666666666599</v>
      </c>
      <c r="B2693" s="1">
        <f ca="1">IFERROR(__xludf.DUMMYFUNCTION("""COMPUTED_VALUE"""),43.48)</f>
        <v>43.48</v>
      </c>
    </row>
    <row r="2694" spans="1:2">
      <c r="A2694" s="3">
        <f ca="1">IFERROR(__xludf.DUMMYFUNCTION("""COMPUTED_VALUE"""),42261.6666666666)</f>
        <v>42261.666666666599</v>
      </c>
      <c r="B2694" s="1">
        <f ca="1">IFERROR(__xludf.DUMMYFUNCTION("""COMPUTED_VALUE"""),43.04)</f>
        <v>43.04</v>
      </c>
    </row>
    <row r="2695" spans="1:2">
      <c r="A2695" s="3">
        <f ca="1">IFERROR(__xludf.DUMMYFUNCTION("""COMPUTED_VALUE"""),42262.6666666666)</f>
        <v>42262.666666666599</v>
      </c>
      <c r="B2695" s="1">
        <f ca="1">IFERROR(__xludf.DUMMYFUNCTION("""COMPUTED_VALUE"""),43.98)</f>
        <v>43.98</v>
      </c>
    </row>
    <row r="2696" spans="1:2">
      <c r="A2696" s="3">
        <f ca="1">IFERROR(__xludf.DUMMYFUNCTION("""COMPUTED_VALUE"""),42263.6666666666)</f>
        <v>42263.666666666599</v>
      </c>
      <c r="B2696" s="1">
        <f ca="1">IFERROR(__xludf.DUMMYFUNCTION("""COMPUTED_VALUE"""),44.3)</f>
        <v>44.3</v>
      </c>
    </row>
    <row r="2697" spans="1:2">
      <c r="A2697" s="3">
        <f ca="1">IFERROR(__xludf.DUMMYFUNCTION("""COMPUTED_VALUE"""),42264.6666666666)</f>
        <v>42264.666666666599</v>
      </c>
      <c r="B2697" s="1">
        <f ca="1">IFERROR(__xludf.DUMMYFUNCTION("""COMPUTED_VALUE"""),44.25)</f>
        <v>44.25</v>
      </c>
    </row>
    <row r="2698" spans="1:2">
      <c r="A2698" s="3">
        <f ca="1">IFERROR(__xludf.DUMMYFUNCTION("""COMPUTED_VALUE"""),42265.6666666666)</f>
        <v>42265.666666666599</v>
      </c>
      <c r="B2698" s="1">
        <f ca="1">IFERROR(__xludf.DUMMYFUNCTION("""COMPUTED_VALUE"""),43.48)</f>
        <v>43.48</v>
      </c>
    </row>
    <row r="2699" spans="1:2">
      <c r="A2699" s="3">
        <f ca="1">IFERROR(__xludf.DUMMYFUNCTION("""COMPUTED_VALUE"""),42268.6666666666)</f>
        <v>42268.666666666599</v>
      </c>
      <c r="B2699" s="1">
        <f ca="1">IFERROR(__xludf.DUMMYFUNCTION("""COMPUTED_VALUE"""),44.11)</f>
        <v>44.11</v>
      </c>
    </row>
    <row r="2700" spans="1:2">
      <c r="A2700" s="3">
        <f ca="1">IFERROR(__xludf.DUMMYFUNCTION("""COMPUTED_VALUE"""),42269.6666666666)</f>
        <v>42269.666666666599</v>
      </c>
      <c r="B2700" s="1">
        <f ca="1">IFERROR(__xludf.DUMMYFUNCTION("""COMPUTED_VALUE"""),43.9)</f>
        <v>43.9</v>
      </c>
    </row>
    <row r="2701" spans="1:2">
      <c r="A2701" s="3">
        <f ca="1">IFERROR(__xludf.DUMMYFUNCTION("""COMPUTED_VALUE"""),42270.6666666666)</f>
        <v>42270.666666666599</v>
      </c>
      <c r="B2701" s="1">
        <f ca="1">IFERROR(__xludf.DUMMYFUNCTION("""COMPUTED_VALUE"""),43.87)</f>
        <v>43.87</v>
      </c>
    </row>
    <row r="2702" spans="1:2">
      <c r="A2702" s="3">
        <f ca="1">IFERROR(__xludf.DUMMYFUNCTION("""COMPUTED_VALUE"""),42271.6666666666)</f>
        <v>42271.666666666599</v>
      </c>
      <c r="B2702" s="1">
        <f ca="1">IFERROR(__xludf.DUMMYFUNCTION("""COMPUTED_VALUE"""),43.91)</f>
        <v>43.91</v>
      </c>
    </row>
    <row r="2703" spans="1:2">
      <c r="A2703" s="3">
        <f ca="1">IFERROR(__xludf.DUMMYFUNCTION("""COMPUTED_VALUE"""),42272.6666666666)</f>
        <v>42272.666666666599</v>
      </c>
      <c r="B2703" s="1">
        <f ca="1">IFERROR(__xludf.DUMMYFUNCTION("""COMPUTED_VALUE"""),43.94)</f>
        <v>43.94</v>
      </c>
    </row>
    <row r="2704" spans="1:2">
      <c r="A2704" s="3">
        <f ca="1">IFERROR(__xludf.DUMMYFUNCTION("""COMPUTED_VALUE"""),42275.6666666666)</f>
        <v>42275.666666666599</v>
      </c>
      <c r="B2704" s="1">
        <f ca="1">IFERROR(__xludf.DUMMYFUNCTION("""COMPUTED_VALUE"""),43.29)</f>
        <v>43.29</v>
      </c>
    </row>
    <row r="2705" spans="1:2">
      <c r="A2705" s="3">
        <f ca="1">IFERROR(__xludf.DUMMYFUNCTION("""COMPUTED_VALUE"""),42276.6666666666)</f>
        <v>42276.666666666599</v>
      </c>
      <c r="B2705" s="1">
        <f ca="1">IFERROR(__xludf.DUMMYFUNCTION("""COMPUTED_VALUE"""),43.44)</f>
        <v>43.44</v>
      </c>
    </row>
    <row r="2706" spans="1:2">
      <c r="A2706" s="3">
        <f ca="1">IFERROR(__xludf.DUMMYFUNCTION("""COMPUTED_VALUE"""),42277.6666666666)</f>
        <v>42277.666666666599</v>
      </c>
      <c r="B2706" s="1">
        <f ca="1">IFERROR(__xludf.DUMMYFUNCTION("""COMPUTED_VALUE"""),44.26)</f>
        <v>44.26</v>
      </c>
    </row>
    <row r="2707" spans="1:2">
      <c r="A2707" s="3">
        <f ca="1">IFERROR(__xludf.DUMMYFUNCTION("""COMPUTED_VALUE"""),42278.6666666666)</f>
        <v>42278.666666666599</v>
      </c>
      <c r="B2707" s="1">
        <f ca="1">IFERROR(__xludf.DUMMYFUNCTION("""COMPUTED_VALUE"""),44.61)</f>
        <v>44.61</v>
      </c>
    </row>
    <row r="2708" spans="1:2">
      <c r="A2708" s="3">
        <f ca="1">IFERROR(__xludf.DUMMYFUNCTION("""COMPUTED_VALUE"""),42279.6666666666)</f>
        <v>42279.666666666599</v>
      </c>
      <c r="B2708" s="1">
        <f ca="1">IFERROR(__xludf.DUMMYFUNCTION("""COMPUTED_VALUE"""),45.57)</f>
        <v>45.57</v>
      </c>
    </row>
    <row r="2709" spans="1:2">
      <c r="A2709" s="3">
        <f ca="1">IFERROR(__xludf.DUMMYFUNCTION("""COMPUTED_VALUE"""),42282.6666666666)</f>
        <v>42282.666666666599</v>
      </c>
      <c r="B2709" s="1">
        <f ca="1">IFERROR(__xludf.DUMMYFUNCTION("""COMPUTED_VALUE"""),46.63)</f>
        <v>46.63</v>
      </c>
    </row>
    <row r="2710" spans="1:2">
      <c r="A2710" s="3">
        <f ca="1">IFERROR(__xludf.DUMMYFUNCTION("""COMPUTED_VALUE"""),42283.6666666666)</f>
        <v>42283.666666666599</v>
      </c>
      <c r="B2710" s="1">
        <f ca="1">IFERROR(__xludf.DUMMYFUNCTION("""COMPUTED_VALUE"""),46.75)</f>
        <v>46.75</v>
      </c>
    </row>
    <row r="2711" spans="1:2">
      <c r="A2711" s="3">
        <f ca="1">IFERROR(__xludf.DUMMYFUNCTION("""COMPUTED_VALUE"""),42284.6666666666)</f>
        <v>42284.666666666599</v>
      </c>
      <c r="B2711" s="1">
        <f ca="1">IFERROR(__xludf.DUMMYFUNCTION("""COMPUTED_VALUE"""),46.8)</f>
        <v>46.8</v>
      </c>
    </row>
    <row r="2712" spans="1:2">
      <c r="A2712" s="3">
        <f ca="1">IFERROR(__xludf.DUMMYFUNCTION("""COMPUTED_VALUE"""),42285.6666666666)</f>
        <v>42285.666666666599</v>
      </c>
      <c r="B2712" s="1">
        <f ca="1">IFERROR(__xludf.DUMMYFUNCTION("""COMPUTED_VALUE"""),47.45)</f>
        <v>47.45</v>
      </c>
    </row>
    <row r="2713" spans="1:2">
      <c r="A2713" s="3">
        <f ca="1">IFERROR(__xludf.DUMMYFUNCTION("""COMPUTED_VALUE"""),42286.6666666666)</f>
        <v>42286.666666666599</v>
      </c>
      <c r="B2713" s="1">
        <f ca="1">IFERROR(__xludf.DUMMYFUNCTION("""COMPUTED_VALUE"""),47.11)</f>
        <v>47.11</v>
      </c>
    </row>
    <row r="2714" spans="1:2">
      <c r="A2714" s="3">
        <f ca="1">IFERROR(__xludf.DUMMYFUNCTION("""COMPUTED_VALUE"""),42289.6666666666)</f>
        <v>42289.666666666599</v>
      </c>
      <c r="B2714" s="1">
        <f ca="1">IFERROR(__xludf.DUMMYFUNCTION("""COMPUTED_VALUE"""),47)</f>
        <v>47</v>
      </c>
    </row>
    <row r="2715" spans="1:2">
      <c r="A2715" s="3">
        <f ca="1">IFERROR(__xludf.DUMMYFUNCTION("""COMPUTED_VALUE"""),42290.6666666666)</f>
        <v>42290.666666666599</v>
      </c>
      <c r="B2715" s="1">
        <f ca="1">IFERROR(__xludf.DUMMYFUNCTION("""COMPUTED_VALUE"""),46.89)</f>
        <v>46.89</v>
      </c>
    </row>
    <row r="2716" spans="1:2">
      <c r="A2716" s="3">
        <f ca="1">IFERROR(__xludf.DUMMYFUNCTION("""COMPUTED_VALUE"""),42291.6666666666)</f>
        <v>42291.666666666599</v>
      </c>
      <c r="B2716" s="1">
        <f ca="1">IFERROR(__xludf.DUMMYFUNCTION("""COMPUTED_VALUE"""),46.68)</f>
        <v>46.68</v>
      </c>
    </row>
    <row r="2717" spans="1:2">
      <c r="A2717" s="3">
        <f ca="1">IFERROR(__xludf.DUMMYFUNCTION("""COMPUTED_VALUE"""),42292.6666666666)</f>
        <v>42292.666666666599</v>
      </c>
      <c r="B2717" s="1">
        <f ca="1">IFERROR(__xludf.DUMMYFUNCTION("""COMPUTED_VALUE"""),47.01)</f>
        <v>47.01</v>
      </c>
    </row>
    <row r="2718" spans="1:2">
      <c r="A2718" s="3">
        <f ca="1">IFERROR(__xludf.DUMMYFUNCTION("""COMPUTED_VALUE"""),42293.6666666666)</f>
        <v>42293.666666666599</v>
      </c>
      <c r="B2718" s="1">
        <f ca="1">IFERROR(__xludf.DUMMYFUNCTION("""COMPUTED_VALUE"""),47.51)</f>
        <v>47.51</v>
      </c>
    </row>
    <row r="2719" spans="1:2">
      <c r="A2719" s="3">
        <f ca="1">IFERROR(__xludf.DUMMYFUNCTION("""COMPUTED_VALUE"""),42296.6666666666)</f>
        <v>42296.666666666599</v>
      </c>
      <c r="B2719" s="1">
        <f ca="1">IFERROR(__xludf.DUMMYFUNCTION("""COMPUTED_VALUE"""),47.62)</f>
        <v>47.62</v>
      </c>
    </row>
    <row r="2720" spans="1:2">
      <c r="A2720" s="3">
        <f ca="1">IFERROR(__xludf.DUMMYFUNCTION("""COMPUTED_VALUE"""),42297.6666666666)</f>
        <v>42297.666666666599</v>
      </c>
      <c r="B2720" s="1">
        <f ca="1">IFERROR(__xludf.DUMMYFUNCTION("""COMPUTED_VALUE"""),47.77)</f>
        <v>47.77</v>
      </c>
    </row>
    <row r="2721" spans="1:2">
      <c r="A2721" s="3">
        <f ca="1">IFERROR(__xludf.DUMMYFUNCTION("""COMPUTED_VALUE"""),42298.6666666666)</f>
        <v>42298.666666666599</v>
      </c>
      <c r="B2721" s="1">
        <f ca="1">IFERROR(__xludf.DUMMYFUNCTION("""COMPUTED_VALUE"""),47.2)</f>
        <v>47.2</v>
      </c>
    </row>
    <row r="2722" spans="1:2">
      <c r="A2722" s="3">
        <f ca="1">IFERROR(__xludf.DUMMYFUNCTION("""COMPUTED_VALUE"""),42299.6666666666)</f>
        <v>42299.666666666599</v>
      </c>
      <c r="B2722" s="1">
        <f ca="1">IFERROR(__xludf.DUMMYFUNCTION("""COMPUTED_VALUE"""),48.03)</f>
        <v>48.03</v>
      </c>
    </row>
    <row r="2723" spans="1:2">
      <c r="A2723" s="3">
        <f ca="1">IFERROR(__xludf.DUMMYFUNCTION("""COMPUTED_VALUE"""),42300.6666666666)</f>
        <v>42300.666666666599</v>
      </c>
      <c r="B2723" s="1">
        <f ca="1">IFERROR(__xludf.DUMMYFUNCTION("""COMPUTED_VALUE"""),52.87)</f>
        <v>52.87</v>
      </c>
    </row>
    <row r="2724" spans="1:2">
      <c r="A2724" s="3">
        <f ca="1">IFERROR(__xludf.DUMMYFUNCTION("""COMPUTED_VALUE"""),42303.6666666666)</f>
        <v>42303.666666666599</v>
      </c>
      <c r="B2724" s="1">
        <f ca="1">IFERROR(__xludf.DUMMYFUNCTION("""COMPUTED_VALUE"""),54.25)</f>
        <v>54.25</v>
      </c>
    </row>
    <row r="2725" spans="1:2">
      <c r="A2725" s="3">
        <f ca="1">IFERROR(__xludf.DUMMYFUNCTION("""COMPUTED_VALUE"""),42304.6666666666)</f>
        <v>42304.666666666599</v>
      </c>
      <c r="B2725" s="1">
        <f ca="1">IFERROR(__xludf.DUMMYFUNCTION("""COMPUTED_VALUE"""),53.69)</f>
        <v>53.69</v>
      </c>
    </row>
    <row r="2726" spans="1:2">
      <c r="A2726" s="3">
        <f ca="1">IFERROR(__xludf.DUMMYFUNCTION("""COMPUTED_VALUE"""),42305.6666666666)</f>
        <v>42305.666666666599</v>
      </c>
      <c r="B2726" s="1">
        <f ca="1">IFERROR(__xludf.DUMMYFUNCTION("""COMPUTED_VALUE"""),53.98)</f>
        <v>53.98</v>
      </c>
    </row>
    <row r="2727" spans="1:2">
      <c r="A2727" s="3">
        <f ca="1">IFERROR(__xludf.DUMMYFUNCTION("""COMPUTED_VALUE"""),42306.6666666666)</f>
        <v>42306.666666666599</v>
      </c>
      <c r="B2727" s="1">
        <f ca="1">IFERROR(__xludf.DUMMYFUNCTION("""COMPUTED_VALUE"""),53.36)</f>
        <v>53.36</v>
      </c>
    </row>
    <row r="2728" spans="1:2">
      <c r="A2728" s="3">
        <f ca="1">IFERROR(__xludf.DUMMYFUNCTION("""COMPUTED_VALUE"""),42307.6666666666)</f>
        <v>42307.666666666599</v>
      </c>
      <c r="B2728" s="1">
        <f ca="1">IFERROR(__xludf.DUMMYFUNCTION("""COMPUTED_VALUE"""),52.64)</f>
        <v>52.64</v>
      </c>
    </row>
    <row r="2729" spans="1:2">
      <c r="A2729" s="3">
        <f ca="1">IFERROR(__xludf.DUMMYFUNCTION("""COMPUTED_VALUE"""),42310.6666666666)</f>
        <v>42310.666666666599</v>
      </c>
      <c r="B2729" s="1">
        <f ca="1">IFERROR(__xludf.DUMMYFUNCTION("""COMPUTED_VALUE"""),53.24)</f>
        <v>53.24</v>
      </c>
    </row>
    <row r="2730" spans="1:2">
      <c r="A2730" s="3">
        <f ca="1">IFERROR(__xludf.DUMMYFUNCTION("""COMPUTED_VALUE"""),42311.6666666666)</f>
        <v>42311.666666666599</v>
      </c>
      <c r="B2730" s="1">
        <f ca="1">IFERROR(__xludf.DUMMYFUNCTION("""COMPUTED_VALUE"""),54.15)</f>
        <v>54.15</v>
      </c>
    </row>
    <row r="2731" spans="1:2">
      <c r="A2731" s="3">
        <f ca="1">IFERROR(__xludf.DUMMYFUNCTION("""COMPUTED_VALUE"""),42312.6666666666)</f>
        <v>42312.666666666599</v>
      </c>
      <c r="B2731" s="1">
        <f ca="1">IFERROR(__xludf.DUMMYFUNCTION("""COMPUTED_VALUE"""),54.4)</f>
        <v>54.4</v>
      </c>
    </row>
    <row r="2732" spans="1:2">
      <c r="A2732" s="3">
        <f ca="1">IFERROR(__xludf.DUMMYFUNCTION("""COMPUTED_VALUE"""),42313.6666666666)</f>
        <v>42313.666666666599</v>
      </c>
      <c r="B2732" s="1">
        <f ca="1">IFERROR(__xludf.DUMMYFUNCTION("""COMPUTED_VALUE"""),54.38)</f>
        <v>54.38</v>
      </c>
    </row>
    <row r="2733" spans="1:2">
      <c r="A2733" s="3">
        <f ca="1">IFERROR(__xludf.DUMMYFUNCTION("""COMPUTED_VALUE"""),42314.6666666666)</f>
        <v>42314.666666666599</v>
      </c>
      <c r="B2733" s="1">
        <f ca="1">IFERROR(__xludf.DUMMYFUNCTION("""COMPUTED_VALUE"""),54.92)</f>
        <v>54.92</v>
      </c>
    </row>
    <row r="2734" spans="1:2">
      <c r="A2734" s="3">
        <f ca="1">IFERROR(__xludf.DUMMYFUNCTION("""COMPUTED_VALUE"""),42317.6666666666)</f>
        <v>42317.666666666599</v>
      </c>
      <c r="B2734" s="1">
        <f ca="1">IFERROR(__xludf.DUMMYFUNCTION("""COMPUTED_VALUE"""),54.16)</f>
        <v>54.16</v>
      </c>
    </row>
    <row r="2735" spans="1:2">
      <c r="A2735" s="3">
        <f ca="1">IFERROR(__xludf.DUMMYFUNCTION("""COMPUTED_VALUE"""),42318.6666666666)</f>
        <v>42318.666666666599</v>
      </c>
      <c r="B2735" s="1">
        <f ca="1">IFERROR(__xludf.DUMMYFUNCTION("""COMPUTED_VALUE"""),53.51)</f>
        <v>53.51</v>
      </c>
    </row>
    <row r="2736" spans="1:2">
      <c r="A2736" s="3">
        <f ca="1">IFERROR(__xludf.DUMMYFUNCTION("""COMPUTED_VALUE"""),42319.6666666666)</f>
        <v>42319.666666666599</v>
      </c>
      <c r="B2736" s="1">
        <f ca="1">IFERROR(__xludf.DUMMYFUNCTION("""COMPUTED_VALUE"""),53.65)</f>
        <v>53.65</v>
      </c>
    </row>
    <row r="2737" spans="1:2">
      <c r="A2737" s="3">
        <f ca="1">IFERROR(__xludf.DUMMYFUNCTION("""COMPUTED_VALUE"""),42320.6666666666)</f>
        <v>42320.666666666599</v>
      </c>
      <c r="B2737" s="1">
        <f ca="1">IFERROR(__xludf.DUMMYFUNCTION("""COMPUTED_VALUE"""),53.32)</f>
        <v>53.32</v>
      </c>
    </row>
    <row r="2738" spans="1:2">
      <c r="A2738" s="3">
        <f ca="1">IFERROR(__xludf.DUMMYFUNCTION("""COMPUTED_VALUE"""),42321.6666666666)</f>
        <v>42321.666666666599</v>
      </c>
      <c r="B2738" s="1">
        <f ca="1">IFERROR(__xludf.DUMMYFUNCTION("""COMPUTED_VALUE"""),52.84)</f>
        <v>52.84</v>
      </c>
    </row>
    <row r="2739" spans="1:2">
      <c r="A2739" s="3">
        <f ca="1">IFERROR(__xludf.DUMMYFUNCTION("""COMPUTED_VALUE"""),42324.6666666666)</f>
        <v>42324.666666666599</v>
      </c>
      <c r="B2739" s="1">
        <f ca="1">IFERROR(__xludf.DUMMYFUNCTION("""COMPUTED_VALUE"""),53.77)</f>
        <v>53.77</v>
      </c>
    </row>
    <row r="2740" spans="1:2">
      <c r="A2740" s="3">
        <f ca="1">IFERROR(__xludf.DUMMYFUNCTION("""COMPUTED_VALUE"""),42325.6666666666)</f>
        <v>42325.666666666599</v>
      </c>
      <c r="B2740" s="1">
        <f ca="1">IFERROR(__xludf.DUMMYFUNCTION("""COMPUTED_VALUE"""),52.97)</f>
        <v>52.97</v>
      </c>
    </row>
    <row r="2741" spans="1:2">
      <c r="A2741" s="3">
        <f ca="1">IFERROR(__xludf.DUMMYFUNCTION("""COMPUTED_VALUE"""),42326.6666666666)</f>
        <v>42326.666666666599</v>
      </c>
      <c r="B2741" s="1">
        <f ca="1">IFERROR(__xludf.DUMMYFUNCTION("""COMPUTED_VALUE"""),53.85)</f>
        <v>53.85</v>
      </c>
    </row>
    <row r="2742" spans="1:2">
      <c r="A2742" s="3">
        <f ca="1">IFERROR(__xludf.DUMMYFUNCTION("""COMPUTED_VALUE"""),42327.6666666666)</f>
        <v>42327.666666666599</v>
      </c>
      <c r="B2742" s="1">
        <f ca="1">IFERROR(__xludf.DUMMYFUNCTION("""COMPUTED_VALUE"""),53.94)</f>
        <v>53.94</v>
      </c>
    </row>
    <row r="2743" spans="1:2">
      <c r="A2743" s="3">
        <f ca="1">IFERROR(__xludf.DUMMYFUNCTION("""COMPUTED_VALUE"""),42328.6666666666)</f>
        <v>42328.666666666599</v>
      </c>
      <c r="B2743" s="1">
        <f ca="1">IFERROR(__xludf.DUMMYFUNCTION("""COMPUTED_VALUE"""),54.19)</f>
        <v>54.19</v>
      </c>
    </row>
    <row r="2744" spans="1:2">
      <c r="A2744" s="3">
        <f ca="1">IFERROR(__xludf.DUMMYFUNCTION("""COMPUTED_VALUE"""),42331.6666666666)</f>
        <v>42331.666666666599</v>
      </c>
      <c r="B2744" s="1">
        <f ca="1">IFERROR(__xludf.DUMMYFUNCTION("""COMPUTED_VALUE"""),54.19)</f>
        <v>54.19</v>
      </c>
    </row>
    <row r="2745" spans="1:2">
      <c r="A2745" s="3">
        <f ca="1">IFERROR(__xludf.DUMMYFUNCTION("""COMPUTED_VALUE"""),42332.6666666666)</f>
        <v>42332.666666666599</v>
      </c>
      <c r="B2745" s="1">
        <f ca="1">IFERROR(__xludf.DUMMYFUNCTION("""COMPUTED_VALUE"""),54.25)</f>
        <v>54.25</v>
      </c>
    </row>
    <row r="2746" spans="1:2">
      <c r="A2746" s="3">
        <f ca="1">IFERROR(__xludf.DUMMYFUNCTION("""COMPUTED_VALUE"""),42333.6666666666)</f>
        <v>42333.666666666599</v>
      </c>
      <c r="B2746" s="1">
        <f ca="1">IFERROR(__xludf.DUMMYFUNCTION("""COMPUTED_VALUE"""),53.69)</f>
        <v>53.69</v>
      </c>
    </row>
    <row r="2747" spans="1:2">
      <c r="A2747" s="3">
        <f ca="1">IFERROR(__xludf.DUMMYFUNCTION("""COMPUTED_VALUE"""),42335.6666666666)</f>
        <v>42335.666666666599</v>
      </c>
      <c r="B2747" s="1">
        <f ca="1">IFERROR(__xludf.DUMMYFUNCTION("""COMPUTED_VALUE"""),53.93)</f>
        <v>53.93</v>
      </c>
    </row>
    <row r="2748" spans="1:2">
      <c r="A2748" s="3">
        <f ca="1">IFERROR(__xludf.DUMMYFUNCTION("""COMPUTED_VALUE"""),42338.6666666666)</f>
        <v>42338.666666666599</v>
      </c>
      <c r="B2748" s="1">
        <f ca="1">IFERROR(__xludf.DUMMYFUNCTION("""COMPUTED_VALUE"""),54.35)</f>
        <v>54.35</v>
      </c>
    </row>
    <row r="2749" spans="1:2">
      <c r="A2749" s="3">
        <f ca="1">IFERROR(__xludf.DUMMYFUNCTION("""COMPUTED_VALUE"""),42339.6666666666)</f>
        <v>42339.666666666599</v>
      </c>
      <c r="B2749" s="1">
        <f ca="1">IFERROR(__xludf.DUMMYFUNCTION("""COMPUTED_VALUE"""),55.22)</f>
        <v>55.22</v>
      </c>
    </row>
    <row r="2750" spans="1:2">
      <c r="A2750" s="3">
        <f ca="1">IFERROR(__xludf.DUMMYFUNCTION("""COMPUTED_VALUE"""),42340.6666666666)</f>
        <v>42340.666666666599</v>
      </c>
      <c r="B2750" s="1">
        <f ca="1">IFERROR(__xludf.DUMMYFUNCTION("""COMPUTED_VALUE"""),55.21)</f>
        <v>55.21</v>
      </c>
    </row>
    <row r="2751" spans="1:2">
      <c r="A2751" s="3">
        <f ca="1">IFERROR(__xludf.DUMMYFUNCTION("""COMPUTED_VALUE"""),42341.6666666666)</f>
        <v>42341.666666666599</v>
      </c>
      <c r="B2751" s="1">
        <f ca="1">IFERROR(__xludf.DUMMYFUNCTION("""COMPUTED_VALUE"""),54.2)</f>
        <v>54.2</v>
      </c>
    </row>
    <row r="2752" spans="1:2">
      <c r="A2752" s="3">
        <f ca="1">IFERROR(__xludf.DUMMYFUNCTION("""COMPUTED_VALUE"""),42342.6666666666)</f>
        <v>42342.666666666599</v>
      </c>
      <c r="B2752" s="1">
        <f ca="1">IFERROR(__xludf.DUMMYFUNCTION("""COMPUTED_VALUE"""),55.91)</f>
        <v>55.91</v>
      </c>
    </row>
    <row r="2753" spans="1:2">
      <c r="A2753" s="3">
        <f ca="1">IFERROR(__xludf.DUMMYFUNCTION("""COMPUTED_VALUE"""),42345.6666666666)</f>
        <v>42345.666666666599</v>
      </c>
      <c r="B2753" s="1">
        <f ca="1">IFERROR(__xludf.DUMMYFUNCTION("""COMPUTED_VALUE"""),55.81)</f>
        <v>55.81</v>
      </c>
    </row>
    <row r="2754" spans="1:2">
      <c r="A2754" s="3">
        <f ca="1">IFERROR(__xludf.DUMMYFUNCTION("""COMPUTED_VALUE"""),42346.6666666666)</f>
        <v>42346.666666666599</v>
      </c>
      <c r="B2754" s="1">
        <f ca="1">IFERROR(__xludf.DUMMYFUNCTION("""COMPUTED_VALUE"""),55.79)</f>
        <v>55.79</v>
      </c>
    </row>
    <row r="2755" spans="1:2">
      <c r="A2755" s="3">
        <f ca="1">IFERROR(__xludf.DUMMYFUNCTION("""COMPUTED_VALUE"""),42347.6666666666)</f>
        <v>42347.666666666599</v>
      </c>
      <c r="B2755" s="1">
        <f ca="1">IFERROR(__xludf.DUMMYFUNCTION("""COMPUTED_VALUE"""),54.98)</f>
        <v>54.98</v>
      </c>
    </row>
    <row r="2756" spans="1:2">
      <c r="A2756" s="3">
        <f ca="1">IFERROR(__xludf.DUMMYFUNCTION("""COMPUTED_VALUE"""),42348.6666666666)</f>
        <v>42348.666666666599</v>
      </c>
      <c r="B2756" s="1">
        <f ca="1">IFERROR(__xludf.DUMMYFUNCTION("""COMPUTED_VALUE"""),55.27)</f>
        <v>55.27</v>
      </c>
    </row>
    <row r="2757" spans="1:2">
      <c r="A2757" s="3">
        <f ca="1">IFERROR(__xludf.DUMMYFUNCTION("""COMPUTED_VALUE"""),42349.6666666666)</f>
        <v>42349.666666666599</v>
      </c>
      <c r="B2757" s="1">
        <f ca="1">IFERROR(__xludf.DUMMYFUNCTION("""COMPUTED_VALUE"""),54.06)</f>
        <v>54.06</v>
      </c>
    </row>
    <row r="2758" spans="1:2">
      <c r="A2758" s="3">
        <f ca="1">IFERROR(__xludf.DUMMYFUNCTION("""COMPUTED_VALUE"""),42352.6666666666)</f>
        <v>42352.666666666599</v>
      </c>
      <c r="B2758" s="1">
        <f ca="1">IFERROR(__xludf.DUMMYFUNCTION("""COMPUTED_VALUE"""),55.14)</f>
        <v>55.14</v>
      </c>
    </row>
    <row r="2759" spans="1:2">
      <c r="A2759" s="3">
        <f ca="1">IFERROR(__xludf.DUMMYFUNCTION("""COMPUTED_VALUE"""),42353.6666666666)</f>
        <v>42353.666666666599</v>
      </c>
      <c r="B2759" s="1">
        <f ca="1">IFERROR(__xludf.DUMMYFUNCTION("""COMPUTED_VALUE"""),55.2)</f>
        <v>55.2</v>
      </c>
    </row>
    <row r="2760" spans="1:2">
      <c r="A2760" s="3">
        <f ca="1">IFERROR(__xludf.DUMMYFUNCTION("""COMPUTED_VALUE"""),42354.6666666666)</f>
        <v>42354.666666666599</v>
      </c>
      <c r="B2760" s="1">
        <f ca="1">IFERROR(__xludf.DUMMYFUNCTION("""COMPUTED_VALUE"""),56.13)</f>
        <v>56.13</v>
      </c>
    </row>
    <row r="2761" spans="1:2">
      <c r="A2761" s="3">
        <f ca="1">IFERROR(__xludf.DUMMYFUNCTION("""COMPUTED_VALUE"""),42355.6666666666)</f>
        <v>42355.666666666599</v>
      </c>
      <c r="B2761" s="1">
        <f ca="1">IFERROR(__xludf.DUMMYFUNCTION("""COMPUTED_VALUE"""),55.7)</f>
        <v>55.7</v>
      </c>
    </row>
    <row r="2762" spans="1:2">
      <c r="A2762" s="3">
        <f ca="1">IFERROR(__xludf.DUMMYFUNCTION("""COMPUTED_VALUE"""),42356.6666666666)</f>
        <v>42356.666666666599</v>
      </c>
      <c r="B2762" s="1">
        <f ca="1">IFERROR(__xludf.DUMMYFUNCTION("""COMPUTED_VALUE"""),54.13)</f>
        <v>54.13</v>
      </c>
    </row>
    <row r="2763" spans="1:2">
      <c r="A2763" s="3">
        <f ca="1">IFERROR(__xludf.DUMMYFUNCTION("""COMPUTED_VALUE"""),42359.6666666666)</f>
        <v>42359.666666666599</v>
      </c>
      <c r="B2763" s="1">
        <f ca="1">IFERROR(__xludf.DUMMYFUNCTION("""COMPUTED_VALUE"""),54.83)</f>
        <v>54.83</v>
      </c>
    </row>
    <row r="2764" spans="1:2">
      <c r="A2764" s="3">
        <f ca="1">IFERROR(__xludf.DUMMYFUNCTION("""COMPUTED_VALUE"""),42360.6666666666)</f>
        <v>42360.666666666599</v>
      </c>
      <c r="B2764" s="1">
        <f ca="1">IFERROR(__xludf.DUMMYFUNCTION("""COMPUTED_VALUE"""),55.35)</f>
        <v>55.35</v>
      </c>
    </row>
    <row r="2765" spans="1:2">
      <c r="A2765" s="3">
        <f ca="1">IFERROR(__xludf.DUMMYFUNCTION("""COMPUTED_VALUE"""),42361.6666666666)</f>
        <v>42361.666666666599</v>
      </c>
      <c r="B2765" s="1">
        <f ca="1">IFERROR(__xludf.DUMMYFUNCTION("""COMPUTED_VALUE"""),55.82)</f>
        <v>55.82</v>
      </c>
    </row>
    <row r="2766" spans="1:2">
      <c r="A2766" s="3">
        <f ca="1">IFERROR(__xludf.DUMMYFUNCTION("""COMPUTED_VALUE"""),42362.6666666666)</f>
        <v>42362.666666666599</v>
      </c>
      <c r="B2766" s="1">
        <f ca="1">IFERROR(__xludf.DUMMYFUNCTION("""COMPUTED_VALUE"""),55.67)</f>
        <v>55.67</v>
      </c>
    </row>
    <row r="2767" spans="1:2">
      <c r="A2767" s="3">
        <f ca="1">IFERROR(__xludf.DUMMYFUNCTION("""COMPUTED_VALUE"""),42366.6666666666)</f>
        <v>42366.666666666599</v>
      </c>
      <c r="B2767" s="1">
        <f ca="1">IFERROR(__xludf.DUMMYFUNCTION("""COMPUTED_VALUE"""),55.95)</f>
        <v>55.95</v>
      </c>
    </row>
    <row r="2768" spans="1:2">
      <c r="A2768" s="3">
        <f ca="1">IFERROR(__xludf.DUMMYFUNCTION("""COMPUTED_VALUE"""),42367.6666666666)</f>
        <v>42367.666666666599</v>
      </c>
      <c r="B2768" s="1">
        <f ca="1">IFERROR(__xludf.DUMMYFUNCTION("""COMPUTED_VALUE"""),56.55)</f>
        <v>56.55</v>
      </c>
    </row>
    <row r="2769" spans="1:2">
      <c r="A2769" s="3">
        <f ca="1">IFERROR(__xludf.DUMMYFUNCTION("""COMPUTED_VALUE"""),42368.6666666666)</f>
        <v>42368.666666666599</v>
      </c>
      <c r="B2769" s="1">
        <f ca="1">IFERROR(__xludf.DUMMYFUNCTION("""COMPUTED_VALUE"""),56.31)</f>
        <v>56.31</v>
      </c>
    </row>
    <row r="2770" spans="1:2">
      <c r="A2770" s="3">
        <f ca="1">IFERROR(__xludf.DUMMYFUNCTION("""COMPUTED_VALUE"""),42369.6666666666)</f>
        <v>42369.666666666599</v>
      </c>
      <c r="B2770" s="1">
        <f ca="1">IFERROR(__xludf.DUMMYFUNCTION("""COMPUTED_VALUE"""),55.48)</f>
        <v>55.48</v>
      </c>
    </row>
    <row r="2771" spans="1:2">
      <c r="A2771" s="3">
        <f ca="1">IFERROR(__xludf.DUMMYFUNCTION("""COMPUTED_VALUE"""),42373.6666666666)</f>
        <v>42373.666666666599</v>
      </c>
      <c r="B2771" s="1">
        <f ca="1">IFERROR(__xludf.DUMMYFUNCTION("""COMPUTED_VALUE"""),54.8)</f>
        <v>54.8</v>
      </c>
    </row>
    <row r="2772" spans="1:2">
      <c r="A2772" s="3">
        <f ca="1">IFERROR(__xludf.DUMMYFUNCTION("""COMPUTED_VALUE"""),42374.6666666666)</f>
        <v>42374.666666666599</v>
      </c>
      <c r="B2772" s="1">
        <f ca="1">IFERROR(__xludf.DUMMYFUNCTION("""COMPUTED_VALUE"""),55.05)</f>
        <v>55.05</v>
      </c>
    </row>
    <row r="2773" spans="1:2">
      <c r="A2773" s="3">
        <f ca="1">IFERROR(__xludf.DUMMYFUNCTION("""COMPUTED_VALUE"""),42375.6666666666)</f>
        <v>42375.666666666599</v>
      </c>
      <c r="B2773" s="1">
        <f ca="1">IFERROR(__xludf.DUMMYFUNCTION("""COMPUTED_VALUE"""),54.05)</f>
        <v>54.05</v>
      </c>
    </row>
    <row r="2774" spans="1:2">
      <c r="A2774" s="3">
        <f ca="1">IFERROR(__xludf.DUMMYFUNCTION("""COMPUTED_VALUE"""),42376.6666666666)</f>
        <v>42376.666666666599</v>
      </c>
      <c r="B2774" s="1">
        <f ca="1">IFERROR(__xludf.DUMMYFUNCTION("""COMPUTED_VALUE"""),52.17)</f>
        <v>52.17</v>
      </c>
    </row>
    <row r="2775" spans="1:2">
      <c r="A2775" s="3">
        <f ca="1">IFERROR(__xludf.DUMMYFUNCTION("""COMPUTED_VALUE"""),42377.6666666666)</f>
        <v>42377.666666666599</v>
      </c>
      <c r="B2775" s="1">
        <f ca="1">IFERROR(__xludf.DUMMYFUNCTION("""COMPUTED_VALUE"""),52.33)</f>
        <v>52.33</v>
      </c>
    </row>
    <row r="2776" spans="1:2">
      <c r="A2776" s="3">
        <f ca="1">IFERROR(__xludf.DUMMYFUNCTION("""COMPUTED_VALUE"""),42380.6666666666)</f>
        <v>42380.666666666599</v>
      </c>
      <c r="B2776" s="1">
        <f ca="1">IFERROR(__xludf.DUMMYFUNCTION("""COMPUTED_VALUE"""),52.3)</f>
        <v>52.3</v>
      </c>
    </row>
    <row r="2777" spans="1:2">
      <c r="A2777" s="3">
        <f ca="1">IFERROR(__xludf.DUMMYFUNCTION("""COMPUTED_VALUE"""),42381.6666666666)</f>
        <v>42381.666666666599</v>
      </c>
      <c r="B2777" s="1">
        <f ca="1">IFERROR(__xludf.DUMMYFUNCTION("""COMPUTED_VALUE"""),52.78)</f>
        <v>52.78</v>
      </c>
    </row>
    <row r="2778" spans="1:2">
      <c r="A2778" s="3">
        <f ca="1">IFERROR(__xludf.DUMMYFUNCTION("""COMPUTED_VALUE"""),42382.6666666666)</f>
        <v>42382.666666666599</v>
      </c>
      <c r="B2778" s="1">
        <f ca="1">IFERROR(__xludf.DUMMYFUNCTION("""COMPUTED_VALUE"""),51.64)</f>
        <v>51.64</v>
      </c>
    </row>
    <row r="2779" spans="1:2">
      <c r="A2779" s="3">
        <f ca="1">IFERROR(__xludf.DUMMYFUNCTION("""COMPUTED_VALUE"""),42383.6666666666)</f>
        <v>42383.666666666599</v>
      </c>
      <c r="B2779" s="1">
        <f ca="1">IFERROR(__xludf.DUMMYFUNCTION("""COMPUTED_VALUE"""),53.11)</f>
        <v>53.11</v>
      </c>
    </row>
    <row r="2780" spans="1:2">
      <c r="A2780" s="3">
        <f ca="1">IFERROR(__xludf.DUMMYFUNCTION("""COMPUTED_VALUE"""),42384.6666666666)</f>
        <v>42384.666666666599</v>
      </c>
      <c r="B2780" s="1">
        <f ca="1">IFERROR(__xludf.DUMMYFUNCTION("""COMPUTED_VALUE"""),50.99)</f>
        <v>50.99</v>
      </c>
    </row>
    <row r="2781" spans="1:2">
      <c r="A2781" s="3">
        <f ca="1">IFERROR(__xludf.DUMMYFUNCTION("""COMPUTED_VALUE"""),42388.6666666666)</f>
        <v>42388.666666666599</v>
      </c>
      <c r="B2781" s="1">
        <f ca="1">IFERROR(__xludf.DUMMYFUNCTION("""COMPUTED_VALUE"""),50.56)</f>
        <v>50.56</v>
      </c>
    </row>
    <row r="2782" spans="1:2">
      <c r="A2782" s="3">
        <f ca="1">IFERROR(__xludf.DUMMYFUNCTION("""COMPUTED_VALUE"""),42389.6666666666)</f>
        <v>42389.666666666599</v>
      </c>
      <c r="B2782" s="1">
        <f ca="1">IFERROR(__xludf.DUMMYFUNCTION("""COMPUTED_VALUE"""),50.79)</f>
        <v>50.79</v>
      </c>
    </row>
    <row r="2783" spans="1:2">
      <c r="A2783" s="3">
        <f ca="1">IFERROR(__xludf.DUMMYFUNCTION("""COMPUTED_VALUE"""),42390.6666666666)</f>
        <v>42390.666666666599</v>
      </c>
      <c r="B2783" s="1">
        <f ca="1">IFERROR(__xludf.DUMMYFUNCTION("""COMPUTED_VALUE"""),50.48)</f>
        <v>50.48</v>
      </c>
    </row>
    <row r="2784" spans="1:2">
      <c r="A2784" s="3">
        <f ca="1">IFERROR(__xludf.DUMMYFUNCTION("""COMPUTED_VALUE"""),42391.6666666666)</f>
        <v>42391.666666666599</v>
      </c>
      <c r="B2784" s="1">
        <f ca="1">IFERROR(__xludf.DUMMYFUNCTION("""COMPUTED_VALUE"""),52.29)</f>
        <v>52.29</v>
      </c>
    </row>
    <row r="2785" spans="1:2">
      <c r="A2785" s="3">
        <f ca="1">IFERROR(__xludf.DUMMYFUNCTION("""COMPUTED_VALUE"""),42394.6666666666)</f>
        <v>42394.666666666599</v>
      </c>
      <c r="B2785" s="1">
        <f ca="1">IFERROR(__xludf.DUMMYFUNCTION("""COMPUTED_VALUE"""),51.79)</f>
        <v>51.79</v>
      </c>
    </row>
    <row r="2786" spans="1:2">
      <c r="A2786" s="3">
        <f ca="1">IFERROR(__xludf.DUMMYFUNCTION("""COMPUTED_VALUE"""),42395.6666666666)</f>
        <v>42395.666666666599</v>
      </c>
      <c r="B2786" s="1">
        <f ca="1">IFERROR(__xludf.DUMMYFUNCTION("""COMPUTED_VALUE"""),52.17)</f>
        <v>52.17</v>
      </c>
    </row>
    <row r="2787" spans="1:2">
      <c r="A2787" s="3">
        <f ca="1">IFERROR(__xludf.DUMMYFUNCTION("""COMPUTED_VALUE"""),42396.6666666666)</f>
        <v>42396.666666666599</v>
      </c>
      <c r="B2787" s="1">
        <f ca="1">IFERROR(__xludf.DUMMYFUNCTION("""COMPUTED_VALUE"""),51.22)</f>
        <v>51.22</v>
      </c>
    </row>
    <row r="2788" spans="1:2">
      <c r="A2788" s="3">
        <f ca="1">IFERROR(__xludf.DUMMYFUNCTION("""COMPUTED_VALUE"""),42397.6666666666)</f>
        <v>42397.666666666599</v>
      </c>
      <c r="B2788" s="1">
        <f ca="1">IFERROR(__xludf.DUMMYFUNCTION("""COMPUTED_VALUE"""),52.06)</f>
        <v>52.06</v>
      </c>
    </row>
    <row r="2789" spans="1:2">
      <c r="A2789" s="3">
        <f ca="1">IFERROR(__xludf.DUMMYFUNCTION("""COMPUTED_VALUE"""),42398.6666666666)</f>
        <v>42398.666666666599</v>
      </c>
      <c r="B2789" s="1">
        <f ca="1">IFERROR(__xludf.DUMMYFUNCTION("""COMPUTED_VALUE"""),55.09)</f>
        <v>55.09</v>
      </c>
    </row>
    <row r="2790" spans="1:2">
      <c r="A2790" s="3">
        <f ca="1">IFERROR(__xludf.DUMMYFUNCTION("""COMPUTED_VALUE"""),42401.6666666666)</f>
        <v>42401.666666666599</v>
      </c>
      <c r="B2790" s="1">
        <f ca="1">IFERROR(__xludf.DUMMYFUNCTION("""COMPUTED_VALUE"""),54.71)</f>
        <v>54.71</v>
      </c>
    </row>
    <row r="2791" spans="1:2">
      <c r="A2791" s="3">
        <f ca="1">IFERROR(__xludf.DUMMYFUNCTION("""COMPUTED_VALUE"""),42402.6666666666)</f>
        <v>42402.666666666599</v>
      </c>
      <c r="B2791" s="1">
        <f ca="1">IFERROR(__xludf.DUMMYFUNCTION("""COMPUTED_VALUE"""),53)</f>
        <v>53</v>
      </c>
    </row>
    <row r="2792" spans="1:2">
      <c r="A2792" s="3">
        <f ca="1">IFERROR(__xludf.DUMMYFUNCTION("""COMPUTED_VALUE"""),42403.6666666666)</f>
        <v>42403.666666666599</v>
      </c>
      <c r="B2792" s="1">
        <f ca="1">IFERROR(__xludf.DUMMYFUNCTION("""COMPUTED_VALUE"""),52.16)</f>
        <v>52.16</v>
      </c>
    </row>
    <row r="2793" spans="1:2">
      <c r="A2793" s="3">
        <f ca="1">IFERROR(__xludf.DUMMYFUNCTION("""COMPUTED_VALUE"""),42404.6666666666)</f>
        <v>42404.666666666599</v>
      </c>
      <c r="B2793" s="1">
        <f ca="1">IFERROR(__xludf.DUMMYFUNCTION("""COMPUTED_VALUE"""),52)</f>
        <v>52</v>
      </c>
    </row>
    <row r="2794" spans="1:2">
      <c r="A2794" s="3">
        <f ca="1">IFERROR(__xludf.DUMMYFUNCTION("""COMPUTED_VALUE"""),42405.6666666666)</f>
        <v>42405.666666666599</v>
      </c>
      <c r="B2794" s="1">
        <f ca="1">IFERROR(__xludf.DUMMYFUNCTION("""COMPUTED_VALUE"""),50.16)</f>
        <v>50.16</v>
      </c>
    </row>
    <row r="2795" spans="1:2">
      <c r="A2795" s="3">
        <f ca="1">IFERROR(__xludf.DUMMYFUNCTION("""COMPUTED_VALUE"""),42408.6666666666)</f>
        <v>42408.666666666599</v>
      </c>
      <c r="B2795" s="1">
        <f ca="1">IFERROR(__xludf.DUMMYFUNCTION("""COMPUTED_VALUE"""),49.41)</f>
        <v>49.41</v>
      </c>
    </row>
    <row r="2796" spans="1:2">
      <c r="A2796" s="3">
        <f ca="1">IFERROR(__xludf.DUMMYFUNCTION("""COMPUTED_VALUE"""),42409.6666666666)</f>
        <v>42409.666666666599</v>
      </c>
      <c r="B2796" s="1">
        <f ca="1">IFERROR(__xludf.DUMMYFUNCTION("""COMPUTED_VALUE"""),49.28)</f>
        <v>49.28</v>
      </c>
    </row>
    <row r="2797" spans="1:2">
      <c r="A2797" s="3">
        <f ca="1">IFERROR(__xludf.DUMMYFUNCTION("""COMPUTED_VALUE"""),42410.6666666666)</f>
        <v>42410.666666666599</v>
      </c>
      <c r="B2797" s="1">
        <f ca="1">IFERROR(__xludf.DUMMYFUNCTION("""COMPUTED_VALUE"""),49.71)</f>
        <v>49.71</v>
      </c>
    </row>
    <row r="2798" spans="1:2">
      <c r="A2798" s="3">
        <f ca="1">IFERROR(__xludf.DUMMYFUNCTION("""COMPUTED_VALUE"""),42411.6666666666)</f>
        <v>42411.666666666599</v>
      </c>
      <c r="B2798" s="1">
        <f ca="1">IFERROR(__xludf.DUMMYFUNCTION("""COMPUTED_VALUE"""),49.69)</f>
        <v>49.69</v>
      </c>
    </row>
    <row r="2799" spans="1:2">
      <c r="A2799" s="3">
        <f ca="1">IFERROR(__xludf.DUMMYFUNCTION("""COMPUTED_VALUE"""),42412.6666666666)</f>
        <v>42412.666666666599</v>
      </c>
      <c r="B2799" s="1">
        <f ca="1">IFERROR(__xludf.DUMMYFUNCTION("""COMPUTED_VALUE"""),50.5)</f>
        <v>50.5</v>
      </c>
    </row>
    <row r="2800" spans="1:2">
      <c r="A2800" s="3">
        <f ca="1">IFERROR(__xludf.DUMMYFUNCTION("""COMPUTED_VALUE"""),42416.6666666666)</f>
        <v>42416.666666666599</v>
      </c>
      <c r="B2800" s="1">
        <f ca="1">IFERROR(__xludf.DUMMYFUNCTION("""COMPUTED_VALUE"""),51.09)</f>
        <v>51.09</v>
      </c>
    </row>
    <row r="2801" spans="1:2">
      <c r="A2801" s="3">
        <f ca="1">IFERROR(__xludf.DUMMYFUNCTION("""COMPUTED_VALUE"""),42417.6666666666)</f>
        <v>42417.666666666599</v>
      </c>
      <c r="B2801" s="1">
        <f ca="1">IFERROR(__xludf.DUMMYFUNCTION("""COMPUTED_VALUE"""),52.42)</f>
        <v>52.42</v>
      </c>
    </row>
    <row r="2802" spans="1:2">
      <c r="A2802" s="3">
        <f ca="1">IFERROR(__xludf.DUMMYFUNCTION("""COMPUTED_VALUE"""),42418.6666666666)</f>
        <v>42418.666666666599</v>
      </c>
      <c r="B2802" s="1">
        <f ca="1">IFERROR(__xludf.DUMMYFUNCTION("""COMPUTED_VALUE"""),52.19)</f>
        <v>52.19</v>
      </c>
    </row>
    <row r="2803" spans="1:2">
      <c r="A2803" s="3">
        <f ca="1">IFERROR(__xludf.DUMMYFUNCTION("""COMPUTED_VALUE"""),42419.6666666666)</f>
        <v>42419.666666666599</v>
      </c>
      <c r="B2803" s="1">
        <f ca="1">IFERROR(__xludf.DUMMYFUNCTION("""COMPUTED_VALUE"""),51.82)</f>
        <v>51.82</v>
      </c>
    </row>
    <row r="2804" spans="1:2">
      <c r="A2804" s="3">
        <f ca="1">IFERROR(__xludf.DUMMYFUNCTION("""COMPUTED_VALUE"""),42422.6666666666)</f>
        <v>42422.666666666599</v>
      </c>
      <c r="B2804" s="1">
        <f ca="1">IFERROR(__xludf.DUMMYFUNCTION("""COMPUTED_VALUE"""),52.65)</f>
        <v>52.65</v>
      </c>
    </row>
    <row r="2805" spans="1:2">
      <c r="A2805" s="3">
        <f ca="1">IFERROR(__xludf.DUMMYFUNCTION("""COMPUTED_VALUE"""),42423.6666666666)</f>
        <v>42423.666666666599</v>
      </c>
      <c r="B2805" s="1">
        <f ca="1">IFERROR(__xludf.DUMMYFUNCTION("""COMPUTED_VALUE"""),51.18)</f>
        <v>51.18</v>
      </c>
    </row>
    <row r="2806" spans="1:2">
      <c r="A2806" s="3">
        <f ca="1">IFERROR(__xludf.DUMMYFUNCTION("""COMPUTED_VALUE"""),42424.6666666666)</f>
        <v>42424.666666666599</v>
      </c>
      <c r="B2806" s="1">
        <f ca="1">IFERROR(__xludf.DUMMYFUNCTION("""COMPUTED_VALUE"""),51.36)</f>
        <v>51.36</v>
      </c>
    </row>
    <row r="2807" spans="1:2">
      <c r="A2807" s="3">
        <f ca="1">IFERROR(__xludf.DUMMYFUNCTION("""COMPUTED_VALUE"""),42425.6666666666)</f>
        <v>42425.666666666599</v>
      </c>
      <c r="B2807" s="1">
        <f ca="1">IFERROR(__xludf.DUMMYFUNCTION("""COMPUTED_VALUE"""),52.1)</f>
        <v>52.1</v>
      </c>
    </row>
    <row r="2808" spans="1:2">
      <c r="A2808" s="3">
        <f ca="1">IFERROR(__xludf.DUMMYFUNCTION("""COMPUTED_VALUE"""),42426.6666666666)</f>
        <v>42426.666666666599</v>
      </c>
      <c r="B2808" s="1">
        <f ca="1">IFERROR(__xludf.DUMMYFUNCTION("""COMPUTED_VALUE"""),51.3)</f>
        <v>51.3</v>
      </c>
    </row>
    <row r="2809" spans="1:2">
      <c r="A2809" s="3">
        <f ca="1">IFERROR(__xludf.DUMMYFUNCTION("""COMPUTED_VALUE"""),42429.6666666666)</f>
        <v>42429.666666666599</v>
      </c>
      <c r="B2809" s="1">
        <f ca="1">IFERROR(__xludf.DUMMYFUNCTION("""COMPUTED_VALUE"""),50.88)</f>
        <v>50.88</v>
      </c>
    </row>
    <row r="2810" spans="1:2">
      <c r="A2810" s="3">
        <f ca="1">IFERROR(__xludf.DUMMYFUNCTION("""COMPUTED_VALUE"""),42430.6666666666)</f>
        <v>42430.666666666599</v>
      </c>
      <c r="B2810" s="1">
        <f ca="1">IFERROR(__xludf.DUMMYFUNCTION("""COMPUTED_VALUE"""),52.58)</f>
        <v>52.58</v>
      </c>
    </row>
    <row r="2811" spans="1:2">
      <c r="A2811" s="3">
        <f ca="1">IFERROR(__xludf.DUMMYFUNCTION("""COMPUTED_VALUE"""),42431.6666666666)</f>
        <v>42431.666666666599</v>
      </c>
      <c r="B2811" s="1">
        <f ca="1">IFERROR(__xludf.DUMMYFUNCTION("""COMPUTED_VALUE"""),52.95)</f>
        <v>52.95</v>
      </c>
    </row>
    <row r="2812" spans="1:2">
      <c r="A2812" s="3">
        <f ca="1">IFERROR(__xludf.DUMMYFUNCTION("""COMPUTED_VALUE"""),42432.6666666666)</f>
        <v>42432.666666666599</v>
      </c>
      <c r="B2812" s="1">
        <f ca="1">IFERROR(__xludf.DUMMYFUNCTION("""COMPUTED_VALUE"""),52.35)</f>
        <v>52.35</v>
      </c>
    </row>
    <row r="2813" spans="1:2">
      <c r="A2813" s="3">
        <f ca="1">IFERROR(__xludf.DUMMYFUNCTION("""COMPUTED_VALUE"""),42433.6666666666)</f>
        <v>42433.666666666599</v>
      </c>
      <c r="B2813" s="1">
        <f ca="1">IFERROR(__xludf.DUMMYFUNCTION("""COMPUTED_VALUE"""),52.03)</f>
        <v>52.03</v>
      </c>
    </row>
    <row r="2814" spans="1:2">
      <c r="A2814" s="3">
        <f ca="1">IFERROR(__xludf.DUMMYFUNCTION("""COMPUTED_VALUE"""),42436.6666666666)</f>
        <v>42436.666666666599</v>
      </c>
      <c r="B2814" s="1">
        <f ca="1">IFERROR(__xludf.DUMMYFUNCTION("""COMPUTED_VALUE"""),51.03)</f>
        <v>51.03</v>
      </c>
    </row>
    <row r="2815" spans="1:2">
      <c r="A2815" s="3">
        <f ca="1">IFERROR(__xludf.DUMMYFUNCTION("""COMPUTED_VALUE"""),42437.6666666666)</f>
        <v>42437.666666666599</v>
      </c>
      <c r="B2815" s="1">
        <f ca="1">IFERROR(__xludf.DUMMYFUNCTION("""COMPUTED_VALUE"""),51.65)</f>
        <v>51.65</v>
      </c>
    </row>
    <row r="2816" spans="1:2">
      <c r="A2816" s="3">
        <f ca="1">IFERROR(__xludf.DUMMYFUNCTION("""COMPUTED_VALUE"""),42438.6666666666)</f>
        <v>42438.666666666599</v>
      </c>
      <c r="B2816" s="1">
        <f ca="1">IFERROR(__xludf.DUMMYFUNCTION("""COMPUTED_VALUE"""),52.84)</f>
        <v>52.84</v>
      </c>
    </row>
    <row r="2817" spans="1:2">
      <c r="A2817" s="3">
        <f ca="1">IFERROR(__xludf.DUMMYFUNCTION("""COMPUTED_VALUE"""),42439.6666666666)</f>
        <v>42439.666666666599</v>
      </c>
      <c r="B2817" s="1">
        <f ca="1">IFERROR(__xludf.DUMMYFUNCTION("""COMPUTED_VALUE"""),52.05)</f>
        <v>52.05</v>
      </c>
    </row>
    <row r="2818" spans="1:2">
      <c r="A2818" s="3">
        <f ca="1">IFERROR(__xludf.DUMMYFUNCTION("""COMPUTED_VALUE"""),42440.6666666666)</f>
        <v>42440.666666666599</v>
      </c>
      <c r="B2818" s="1">
        <f ca="1">IFERROR(__xludf.DUMMYFUNCTION("""COMPUTED_VALUE"""),53.07)</f>
        <v>53.07</v>
      </c>
    </row>
    <row r="2819" spans="1:2">
      <c r="A2819" s="3">
        <f ca="1">IFERROR(__xludf.DUMMYFUNCTION("""COMPUTED_VALUE"""),42443.6666666666)</f>
        <v>42443.666666666599</v>
      </c>
      <c r="B2819" s="1">
        <f ca="1">IFERROR(__xludf.DUMMYFUNCTION("""COMPUTED_VALUE"""),53.17)</f>
        <v>53.17</v>
      </c>
    </row>
    <row r="2820" spans="1:2">
      <c r="A2820" s="3">
        <f ca="1">IFERROR(__xludf.DUMMYFUNCTION("""COMPUTED_VALUE"""),42444.6666666666)</f>
        <v>42444.666666666599</v>
      </c>
      <c r="B2820" s="1">
        <f ca="1">IFERROR(__xludf.DUMMYFUNCTION("""COMPUTED_VALUE"""),53.59)</f>
        <v>53.59</v>
      </c>
    </row>
    <row r="2821" spans="1:2">
      <c r="A2821" s="3">
        <f ca="1">IFERROR(__xludf.DUMMYFUNCTION("""COMPUTED_VALUE"""),42445.6666666666)</f>
        <v>42445.666666666599</v>
      </c>
      <c r="B2821" s="1">
        <f ca="1">IFERROR(__xludf.DUMMYFUNCTION("""COMPUTED_VALUE"""),54.35)</f>
        <v>54.35</v>
      </c>
    </row>
    <row r="2822" spans="1:2">
      <c r="A2822" s="3">
        <f ca="1">IFERROR(__xludf.DUMMYFUNCTION("""COMPUTED_VALUE"""),42446.6666666666)</f>
        <v>42446.666666666599</v>
      </c>
      <c r="B2822" s="1">
        <f ca="1">IFERROR(__xludf.DUMMYFUNCTION("""COMPUTED_VALUE"""),54.66)</f>
        <v>54.66</v>
      </c>
    </row>
    <row r="2823" spans="1:2">
      <c r="A2823" s="3">
        <f ca="1">IFERROR(__xludf.DUMMYFUNCTION("""COMPUTED_VALUE"""),42447.6666666666)</f>
        <v>42447.666666666599</v>
      </c>
      <c r="B2823" s="1">
        <f ca="1">IFERROR(__xludf.DUMMYFUNCTION("""COMPUTED_VALUE"""),53.49)</f>
        <v>53.49</v>
      </c>
    </row>
    <row r="2824" spans="1:2">
      <c r="A2824" s="3">
        <f ca="1">IFERROR(__xludf.DUMMYFUNCTION("""COMPUTED_VALUE"""),42450.6666666666)</f>
        <v>42450.666666666599</v>
      </c>
      <c r="B2824" s="1">
        <f ca="1">IFERROR(__xludf.DUMMYFUNCTION("""COMPUTED_VALUE"""),53.86)</f>
        <v>53.86</v>
      </c>
    </row>
    <row r="2825" spans="1:2">
      <c r="A2825" s="3">
        <f ca="1">IFERROR(__xludf.DUMMYFUNCTION("""COMPUTED_VALUE"""),42451.6666666666)</f>
        <v>42451.666666666599</v>
      </c>
      <c r="B2825" s="1">
        <f ca="1">IFERROR(__xludf.DUMMYFUNCTION("""COMPUTED_VALUE"""),54.07)</f>
        <v>54.07</v>
      </c>
    </row>
    <row r="2826" spans="1:2">
      <c r="A2826" s="3">
        <f ca="1">IFERROR(__xludf.DUMMYFUNCTION("""COMPUTED_VALUE"""),42452.6666666666)</f>
        <v>42452.666666666599</v>
      </c>
      <c r="B2826" s="1">
        <f ca="1">IFERROR(__xludf.DUMMYFUNCTION("""COMPUTED_VALUE"""),53.97)</f>
        <v>53.97</v>
      </c>
    </row>
    <row r="2827" spans="1:2">
      <c r="A2827" s="3">
        <f ca="1">IFERROR(__xludf.DUMMYFUNCTION("""COMPUTED_VALUE"""),42453.6666666666)</f>
        <v>42453.666666666599</v>
      </c>
      <c r="B2827" s="1">
        <f ca="1">IFERROR(__xludf.DUMMYFUNCTION("""COMPUTED_VALUE"""),54.21)</f>
        <v>54.21</v>
      </c>
    </row>
    <row r="2828" spans="1:2">
      <c r="A2828" s="3">
        <f ca="1">IFERROR(__xludf.DUMMYFUNCTION("""COMPUTED_VALUE"""),42457.6666666666)</f>
        <v>42457.666666666599</v>
      </c>
      <c r="B2828" s="1">
        <f ca="1">IFERROR(__xludf.DUMMYFUNCTION("""COMPUTED_VALUE"""),53.54)</f>
        <v>53.54</v>
      </c>
    </row>
    <row r="2829" spans="1:2">
      <c r="A2829" s="3">
        <f ca="1">IFERROR(__xludf.DUMMYFUNCTION("""COMPUTED_VALUE"""),42458.6666666666)</f>
        <v>42458.666666666599</v>
      </c>
      <c r="B2829" s="1">
        <f ca="1">IFERROR(__xludf.DUMMYFUNCTION("""COMPUTED_VALUE"""),54.71)</f>
        <v>54.71</v>
      </c>
    </row>
    <row r="2830" spans="1:2">
      <c r="A2830" s="3">
        <f ca="1">IFERROR(__xludf.DUMMYFUNCTION("""COMPUTED_VALUE"""),42459.6666666666)</f>
        <v>42459.666666666599</v>
      </c>
      <c r="B2830" s="1">
        <f ca="1">IFERROR(__xludf.DUMMYFUNCTION("""COMPUTED_VALUE"""),55.05)</f>
        <v>55.05</v>
      </c>
    </row>
    <row r="2831" spans="1:2">
      <c r="A2831" s="3">
        <f ca="1">IFERROR(__xludf.DUMMYFUNCTION("""COMPUTED_VALUE"""),42460.6666666666)</f>
        <v>42460.666666666599</v>
      </c>
      <c r="B2831" s="1">
        <f ca="1">IFERROR(__xludf.DUMMYFUNCTION("""COMPUTED_VALUE"""),55.23)</f>
        <v>55.23</v>
      </c>
    </row>
    <row r="2832" spans="1:2">
      <c r="A2832" s="3">
        <f ca="1">IFERROR(__xludf.DUMMYFUNCTION("""COMPUTED_VALUE"""),42461.6666666666)</f>
        <v>42461.666666666599</v>
      </c>
      <c r="B2832" s="1">
        <f ca="1">IFERROR(__xludf.DUMMYFUNCTION("""COMPUTED_VALUE"""),55.57)</f>
        <v>55.57</v>
      </c>
    </row>
    <row r="2833" spans="1:2">
      <c r="A2833" s="3">
        <f ca="1">IFERROR(__xludf.DUMMYFUNCTION("""COMPUTED_VALUE"""),42464.6666666666)</f>
        <v>42464.666666666599</v>
      </c>
      <c r="B2833" s="1">
        <f ca="1">IFERROR(__xludf.DUMMYFUNCTION("""COMPUTED_VALUE"""),55.43)</f>
        <v>55.43</v>
      </c>
    </row>
    <row r="2834" spans="1:2">
      <c r="A2834" s="3">
        <f ca="1">IFERROR(__xludf.DUMMYFUNCTION("""COMPUTED_VALUE"""),42465.6666666666)</f>
        <v>42465.666666666599</v>
      </c>
      <c r="B2834" s="1">
        <f ca="1">IFERROR(__xludf.DUMMYFUNCTION("""COMPUTED_VALUE"""),54.56)</f>
        <v>54.56</v>
      </c>
    </row>
    <row r="2835" spans="1:2">
      <c r="A2835" s="3">
        <f ca="1">IFERROR(__xludf.DUMMYFUNCTION("""COMPUTED_VALUE"""),42466.6666666666)</f>
        <v>42466.666666666599</v>
      </c>
      <c r="B2835" s="1">
        <f ca="1">IFERROR(__xludf.DUMMYFUNCTION("""COMPUTED_VALUE"""),55.12)</f>
        <v>55.12</v>
      </c>
    </row>
    <row r="2836" spans="1:2">
      <c r="A2836" s="3">
        <f ca="1">IFERROR(__xludf.DUMMYFUNCTION("""COMPUTED_VALUE"""),42467.6666666666)</f>
        <v>42467.666666666599</v>
      </c>
      <c r="B2836" s="1">
        <f ca="1">IFERROR(__xludf.DUMMYFUNCTION("""COMPUTED_VALUE"""),54.46)</f>
        <v>54.46</v>
      </c>
    </row>
    <row r="2837" spans="1:2">
      <c r="A2837" s="3">
        <f ca="1">IFERROR(__xludf.DUMMYFUNCTION("""COMPUTED_VALUE"""),42468.6666666666)</f>
        <v>42468.666666666599</v>
      </c>
      <c r="B2837" s="1">
        <f ca="1">IFERROR(__xludf.DUMMYFUNCTION("""COMPUTED_VALUE"""),54.42)</f>
        <v>54.42</v>
      </c>
    </row>
    <row r="2838" spans="1:2">
      <c r="A2838" s="3">
        <f ca="1">IFERROR(__xludf.DUMMYFUNCTION("""COMPUTED_VALUE"""),42471.6666666666)</f>
        <v>42471.666666666599</v>
      </c>
      <c r="B2838" s="1">
        <f ca="1">IFERROR(__xludf.DUMMYFUNCTION("""COMPUTED_VALUE"""),54.31)</f>
        <v>54.31</v>
      </c>
    </row>
    <row r="2839" spans="1:2">
      <c r="A2839" s="3">
        <f ca="1">IFERROR(__xludf.DUMMYFUNCTION("""COMPUTED_VALUE"""),42472.6666666666)</f>
        <v>42472.666666666599</v>
      </c>
      <c r="B2839" s="1">
        <f ca="1">IFERROR(__xludf.DUMMYFUNCTION("""COMPUTED_VALUE"""),54.65)</f>
        <v>54.65</v>
      </c>
    </row>
    <row r="2840" spans="1:2">
      <c r="A2840" s="3">
        <f ca="1">IFERROR(__xludf.DUMMYFUNCTION("""COMPUTED_VALUE"""),42473.6666666666)</f>
        <v>42473.666666666599</v>
      </c>
      <c r="B2840" s="1">
        <f ca="1">IFERROR(__xludf.DUMMYFUNCTION("""COMPUTED_VALUE"""),55.35)</f>
        <v>55.35</v>
      </c>
    </row>
    <row r="2841" spans="1:2">
      <c r="A2841" s="3">
        <f ca="1">IFERROR(__xludf.DUMMYFUNCTION("""COMPUTED_VALUE"""),42474.6666666666)</f>
        <v>42474.666666666599</v>
      </c>
      <c r="B2841" s="1">
        <f ca="1">IFERROR(__xludf.DUMMYFUNCTION("""COMPUTED_VALUE"""),55.36)</f>
        <v>55.36</v>
      </c>
    </row>
    <row r="2842" spans="1:2">
      <c r="A2842" s="3">
        <f ca="1">IFERROR(__xludf.DUMMYFUNCTION("""COMPUTED_VALUE"""),42475.6666666666)</f>
        <v>42475.666666666599</v>
      </c>
      <c r="B2842" s="1">
        <f ca="1">IFERROR(__xludf.DUMMYFUNCTION("""COMPUTED_VALUE"""),55.65)</f>
        <v>55.65</v>
      </c>
    </row>
    <row r="2843" spans="1:2">
      <c r="A2843" s="3">
        <f ca="1">IFERROR(__xludf.DUMMYFUNCTION("""COMPUTED_VALUE"""),42478.6666666666)</f>
        <v>42478.666666666599</v>
      </c>
      <c r="B2843" s="1">
        <f ca="1">IFERROR(__xludf.DUMMYFUNCTION("""COMPUTED_VALUE"""),56.46)</f>
        <v>56.46</v>
      </c>
    </row>
    <row r="2844" spans="1:2">
      <c r="A2844" s="3">
        <f ca="1">IFERROR(__xludf.DUMMYFUNCTION("""COMPUTED_VALUE"""),42479.6666666666)</f>
        <v>42479.666666666599</v>
      </c>
      <c r="B2844" s="1">
        <f ca="1">IFERROR(__xludf.DUMMYFUNCTION("""COMPUTED_VALUE"""),56.39)</f>
        <v>56.39</v>
      </c>
    </row>
    <row r="2845" spans="1:2">
      <c r="A2845" s="3">
        <f ca="1">IFERROR(__xludf.DUMMYFUNCTION("""COMPUTED_VALUE"""),42480.6666666666)</f>
        <v>42480.666666666599</v>
      </c>
      <c r="B2845" s="1">
        <f ca="1">IFERROR(__xludf.DUMMYFUNCTION("""COMPUTED_VALUE"""),55.59)</f>
        <v>55.59</v>
      </c>
    </row>
    <row r="2846" spans="1:2">
      <c r="A2846" s="3">
        <f ca="1">IFERROR(__xludf.DUMMYFUNCTION("""COMPUTED_VALUE"""),42481.6666666666)</f>
        <v>42481.666666666599</v>
      </c>
      <c r="B2846" s="1">
        <f ca="1">IFERROR(__xludf.DUMMYFUNCTION("""COMPUTED_VALUE"""),55.78)</f>
        <v>55.78</v>
      </c>
    </row>
    <row r="2847" spans="1:2">
      <c r="A2847" s="3">
        <f ca="1">IFERROR(__xludf.DUMMYFUNCTION("""COMPUTED_VALUE"""),42482.6666666666)</f>
        <v>42482.666666666599</v>
      </c>
      <c r="B2847" s="1">
        <f ca="1">IFERROR(__xludf.DUMMYFUNCTION("""COMPUTED_VALUE"""),51.78)</f>
        <v>51.78</v>
      </c>
    </row>
    <row r="2848" spans="1:2">
      <c r="A2848" s="3">
        <f ca="1">IFERROR(__xludf.DUMMYFUNCTION("""COMPUTED_VALUE"""),42485.6666666666)</f>
        <v>42485.666666666599</v>
      </c>
      <c r="B2848" s="1">
        <f ca="1">IFERROR(__xludf.DUMMYFUNCTION("""COMPUTED_VALUE"""),52.11)</f>
        <v>52.11</v>
      </c>
    </row>
    <row r="2849" spans="1:2">
      <c r="A2849" s="3">
        <f ca="1">IFERROR(__xludf.DUMMYFUNCTION("""COMPUTED_VALUE"""),42486.6666666666)</f>
        <v>42486.666666666599</v>
      </c>
      <c r="B2849" s="1">
        <f ca="1">IFERROR(__xludf.DUMMYFUNCTION("""COMPUTED_VALUE"""),51.44)</f>
        <v>51.44</v>
      </c>
    </row>
    <row r="2850" spans="1:2">
      <c r="A2850" s="3">
        <f ca="1">IFERROR(__xludf.DUMMYFUNCTION("""COMPUTED_VALUE"""),42487.6666666666)</f>
        <v>42487.666666666599</v>
      </c>
      <c r="B2850" s="1">
        <f ca="1">IFERROR(__xludf.DUMMYFUNCTION("""COMPUTED_VALUE"""),50.94)</f>
        <v>50.94</v>
      </c>
    </row>
    <row r="2851" spans="1:2">
      <c r="A2851" s="3">
        <f ca="1">IFERROR(__xludf.DUMMYFUNCTION("""COMPUTED_VALUE"""),42488.6666666666)</f>
        <v>42488.666666666599</v>
      </c>
      <c r="B2851" s="1">
        <f ca="1">IFERROR(__xludf.DUMMYFUNCTION("""COMPUTED_VALUE"""),49.9)</f>
        <v>49.9</v>
      </c>
    </row>
    <row r="2852" spans="1:2">
      <c r="A2852" s="3">
        <f ca="1">IFERROR(__xludf.DUMMYFUNCTION("""COMPUTED_VALUE"""),42489.6666666666)</f>
        <v>42489.666666666599</v>
      </c>
      <c r="B2852" s="1">
        <f ca="1">IFERROR(__xludf.DUMMYFUNCTION("""COMPUTED_VALUE"""),49.87)</f>
        <v>49.87</v>
      </c>
    </row>
    <row r="2853" spans="1:2">
      <c r="A2853" s="3">
        <f ca="1">IFERROR(__xludf.DUMMYFUNCTION("""COMPUTED_VALUE"""),42492.6666666666)</f>
        <v>42492.666666666599</v>
      </c>
      <c r="B2853" s="1">
        <f ca="1">IFERROR(__xludf.DUMMYFUNCTION("""COMPUTED_VALUE"""),50.61)</f>
        <v>50.61</v>
      </c>
    </row>
    <row r="2854" spans="1:2">
      <c r="A2854" s="3">
        <f ca="1">IFERROR(__xludf.DUMMYFUNCTION("""COMPUTED_VALUE"""),42493.6666666666)</f>
        <v>42493.666666666599</v>
      </c>
      <c r="B2854" s="1">
        <f ca="1">IFERROR(__xludf.DUMMYFUNCTION("""COMPUTED_VALUE"""),49.78)</f>
        <v>49.78</v>
      </c>
    </row>
    <row r="2855" spans="1:2">
      <c r="A2855" s="3">
        <f ca="1">IFERROR(__xludf.DUMMYFUNCTION("""COMPUTED_VALUE"""),42494.6666666666)</f>
        <v>42494.666666666599</v>
      </c>
      <c r="B2855" s="1">
        <f ca="1">IFERROR(__xludf.DUMMYFUNCTION("""COMPUTED_VALUE"""),49.87)</f>
        <v>49.87</v>
      </c>
    </row>
    <row r="2856" spans="1:2">
      <c r="A2856" s="3">
        <f ca="1">IFERROR(__xludf.DUMMYFUNCTION("""COMPUTED_VALUE"""),42495.6666666666)</f>
        <v>42495.666666666599</v>
      </c>
      <c r="B2856" s="1">
        <f ca="1">IFERROR(__xludf.DUMMYFUNCTION("""COMPUTED_VALUE"""),49.94)</f>
        <v>49.94</v>
      </c>
    </row>
    <row r="2857" spans="1:2">
      <c r="A2857" s="3">
        <f ca="1">IFERROR(__xludf.DUMMYFUNCTION("""COMPUTED_VALUE"""),42496.6666666666)</f>
        <v>42496.666666666599</v>
      </c>
      <c r="B2857" s="1">
        <f ca="1">IFERROR(__xludf.DUMMYFUNCTION("""COMPUTED_VALUE"""),50.39)</f>
        <v>50.39</v>
      </c>
    </row>
    <row r="2858" spans="1:2">
      <c r="A2858" s="3">
        <f ca="1">IFERROR(__xludf.DUMMYFUNCTION("""COMPUTED_VALUE"""),42499.6666666666)</f>
        <v>42499.666666666599</v>
      </c>
      <c r="B2858" s="1">
        <f ca="1">IFERROR(__xludf.DUMMYFUNCTION("""COMPUTED_VALUE"""),50.07)</f>
        <v>50.07</v>
      </c>
    </row>
    <row r="2859" spans="1:2">
      <c r="A2859" s="3">
        <f ca="1">IFERROR(__xludf.DUMMYFUNCTION("""COMPUTED_VALUE"""),42500.6666666666)</f>
        <v>42500.666666666599</v>
      </c>
      <c r="B2859" s="1">
        <f ca="1">IFERROR(__xludf.DUMMYFUNCTION("""COMPUTED_VALUE"""),51.02)</f>
        <v>51.02</v>
      </c>
    </row>
    <row r="2860" spans="1:2">
      <c r="A2860" s="3">
        <f ca="1">IFERROR(__xludf.DUMMYFUNCTION("""COMPUTED_VALUE"""),42501.6666666666)</f>
        <v>42501.666666666599</v>
      </c>
      <c r="B2860" s="1">
        <f ca="1">IFERROR(__xludf.DUMMYFUNCTION("""COMPUTED_VALUE"""),51.05)</f>
        <v>51.05</v>
      </c>
    </row>
    <row r="2861" spans="1:2">
      <c r="A2861" s="3">
        <f ca="1">IFERROR(__xludf.DUMMYFUNCTION("""COMPUTED_VALUE"""),42502.6666666666)</f>
        <v>42502.666666666599</v>
      </c>
      <c r="B2861" s="1">
        <f ca="1">IFERROR(__xludf.DUMMYFUNCTION("""COMPUTED_VALUE"""),51.51)</f>
        <v>51.51</v>
      </c>
    </row>
    <row r="2862" spans="1:2">
      <c r="A2862" s="3">
        <f ca="1">IFERROR(__xludf.DUMMYFUNCTION("""COMPUTED_VALUE"""),42503.6666666666)</f>
        <v>42503.666666666599</v>
      </c>
      <c r="B2862" s="1">
        <f ca="1">IFERROR(__xludf.DUMMYFUNCTION("""COMPUTED_VALUE"""),51.08)</f>
        <v>51.08</v>
      </c>
    </row>
    <row r="2863" spans="1:2">
      <c r="A2863" s="3">
        <f ca="1">IFERROR(__xludf.DUMMYFUNCTION("""COMPUTED_VALUE"""),42506.6666666666)</f>
        <v>42506.666666666599</v>
      </c>
      <c r="B2863" s="1">
        <f ca="1">IFERROR(__xludf.DUMMYFUNCTION("""COMPUTED_VALUE"""),51.83)</f>
        <v>51.83</v>
      </c>
    </row>
    <row r="2864" spans="1:2">
      <c r="A2864" s="3">
        <f ca="1">IFERROR(__xludf.DUMMYFUNCTION("""COMPUTED_VALUE"""),42507.6666666666)</f>
        <v>42507.666666666599</v>
      </c>
      <c r="B2864" s="1">
        <f ca="1">IFERROR(__xludf.DUMMYFUNCTION("""COMPUTED_VALUE"""),50.51)</f>
        <v>50.51</v>
      </c>
    </row>
    <row r="2865" spans="1:2">
      <c r="A2865" s="3">
        <f ca="1">IFERROR(__xludf.DUMMYFUNCTION("""COMPUTED_VALUE"""),42508.6666666666)</f>
        <v>42508.666666666599</v>
      </c>
      <c r="B2865" s="1">
        <f ca="1">IFERROR(__xludf.DUMMYFUNCTION("""COMPUTED_VALUE"""),50.81)</f>
        <v>50.81</v>
      </c>
    </row>
    <row r="2866" spans="1:2">
      <c r="A2866" s="3">
        <f ca="1">IFERROR(__xludf.DUMMYFUNCTION("""COMPUTED_VALUE"""),42509.6666666666)</f>
        <v>42509.666666666599</v>
      </c>
      <c r="B2866" s="1">
        <f ca="1">IFERROR(__xludf.DUMMYFUNCTION("""COMPUTED_VALUE"""),50.32)</f>
        <v>50.32</v>
      </c>
    </row>
    <row r="2867" spans="1:2">
      <c r="A2867" s="3">
        <f ca="1">IFERROR(__xludf.DUMMYFUNCTION("""COMPUTED_VALUE"""),42510.6666666666)</f>
        <v>42510.666666666599</v>
      </c>
      <c r="B2867" s="1">
        <f ca="1">IFERROR(__xludf.DUMMYFUNCTION("""COMPUTED_VALUE"""),50.62)</f>
        <v>50.62</v>
      </c>
    </row>
    <row r="2868" spans="1:2">
      <c r="A2868" s="3">
        <f ca="1">IFERROR(__xludf.DUMMYFUNCTION("""COMPUTED_VALUE"""),42513.6666666666)</f>
        <v>42513.666666666599</v>
      </c>
      <c r="B2868" s="1">
        <f ca="1">IFERROR(__xludf.DUMMYFUNCTION("""COMPUTED_VALUE"""),50.03)</f>
        <v>50.03</v>
      </c>
    </row>
    <row r="2869" spans="1:2">
      <c r="A2869" s="3">
        <f ca="1">IFERROR(__xludf.DUMMYFUNCTION("""COMPUTED_VALUE"""),42514.6666666666)</f>
        <v>42514.666666666599</v>
      </c>
      <c r="B2869" s="1">
        <f ca="1">IFERROR(__xludf.DUMMYFUNCTION("""COMPUTED_VALUE"""),51.59)</f>
        <v>51.59</v>
      </c>
    </row>
    <row r="2870" spans="1:2">
      <c r="A2870" s="3">
        <f ca="1">IFERROR(__xludf.DUMMYFUNCTION("""COMPUTED_VALUE"""),42515.6666666666)</f>
        <v>42515.666666666599</v>
      </c>
      <c r="B2870" s="1">
        <f ca="1">IFERROR(__xludf.DUMMYFUNCTION("""COMPUTED_VALUE"""),52.12)</f>
        <v>52.12</v>
      </c>
    </row>
    <row r="2871" spans="1:2">
      <c r="A2871" s="3">
        <f ca="1">IFERROR(__xludf.DUMMYFUNCTION("""COMPUTED_VALUE"""),42516.6666666666)</f>
        <v>42516.666666666599</v>
      </c>
      <c r="B2871" s="1">
        <f ca="1">IFERROR(__xludf.DUMMYFUNCTION("""COMPUTED_VALUE"""),51.89)</f>
        <v>51.89</v>
      </c>
    </row>
    <row r="2872" spans="1:2">
      <c r="A2872" s="3">
        <f ca="1">IFERROR(__xludf.DUMMYFUNCTION("""COMPUTED_VALUE"""),42517.6666666666)</f>
        <v>42517.666666666599</v>
      </c>
      <c r="B2872" s="1">
        <f ca="1">IFERROR(__xludf.DUMMYFUNCTION("""COMPUTED_VALUE"""),52.32)</f>
        <v>52.32</v>
      </c>
    </row>
    <row r="2873" spans="1:2">
      <c r="A2873" s="3">
        <f ca="1">IFERROR(__xludf.DUMMYFUNCTION("""COMPUTED_VALUE"""),42521.6666666666)</f>
        <v>42521.666666666599</v>
      </c>
      <c r="B2873" s="1">
        <f ca="1">IFERROR(__xludf.DUMMYFUNCTION("""COMPUTED_VALUE"""),53)</f>
        <v>53</v>
      </c>
    </row>
    <row r="2874" spans="1:2">
      <c r="A2874" s="3">
        <f ca="1">IFERROR(__xludf.DUMMYFUNCTION("""COMPUTED_VALUE"""),42522.6666666666)</f>
        <v>42522.666666666599</v>
      </c>
      <c r="B2874" s="1">
        <f ca="1">IFERROR(__xludf.DUMMYFUNCTION("""COMPUTED_VALUE"""),52.85)</f>
        <v>52.85</v>
      </c>
    </row>
    <row r="2875" spans="1:2">
      <c r="A2875" s="3">
        <f ca="1">IFERROR(__xludf.DUMMYFUNCTION("""COMPUTED_VALUE"""),42523.6666666666)</f>
        <v>42523.666666666599</v>
      </c>
      <c r="B2875" s="1">
        <f ca="1">IFERROR(__xludf.DUMMYFUNCTION("""COMPUTED_VALUE"""),52.48)</f>
        <v>52.48</v>
      </c>
    </row>
    <row r="2876" spans="1:2">
      <c r="A2876" s="3">
        <f ca="1">IFERROR(__xludf.DUMMYFUNCTION("""COMPUTED_VALUE"""),42524.6666666666)</f>
        <v>42524.666666666599</v>
      </c>
      <c r="B2876" s="1">
        <f ca="1">IFERROR(__xludf.DUMMYFUNCTION("""COMPUTED_VALUE"""),51.79)</f>
        <v>51.79</v>
      </c>
    </row>
    <row r="2877" spans="1:2">
      <c r="A2877" s="3">
        <f ca="1">IFERROR(__xludf.DUMMYFUNCTION("""COMPUTED_VALUE"""),42527.6666666666)</f>
        <v>42527.666666666599</v>
      </c>
      <c r="B2877" s="1">
        <f ca="1">IFERROR(__xludf.DUMMYFUNCTION("""COMPUTED_VALUE"""),52.13)</f>
        <v>52.13</v>
      </c>
    </row>
    <row r="2878" spans="1:2">
      <c r="A2878" s="3">
        <f ca="1">IFERROR(__xludf.DUMMYFUNCTION("""COMPUTED_VALUE"""),42528.6666666666)</f>
        <v>42528.666666666599</v>
      </c>
      <c r="B2878" s="1">
        <f ca="1">IFERROR(__xludf.DUMMYFUNCTION("""COMPUTED_VALUE"""),52.1)</f>
        <v>52.1</v>
      </c>
    </row>
    <row r="2879" spans="1:2">
      <c r="A2879" s="3">
        <f ca="1">IFERROR(__xludf.DUMMYFUNCTION("""COMPUTED_VALUE"""),42529.6666666666)</f>
        <v>42529.666666666599</v>
      </c>
      <c r="B2879" s="1">
        <f ca="1">IFERROR(__xludf.DUMMYFUNCTION("""COMPUTED_VALUE"""),52.04)</f>
        <v>52.04</v>
      </c>
    </row>
    <row r="2880" spans="1:2">
      <c r="A2880" s="3">
        <f ca="1">IFERROR(__xludf.DUMMYFUNCTION("""COMPUTED_VALUE"""),42530.6666666666)</f>
        <v>42530.666666666599</v>
      </c>
      <c r="B2880" s="1">
        <f ca="1">IFERROR(__xludf.DUMMYFUNCTION("""COMPUTED_VALUE"""),51.62)</f>
        <v>51.62</v>
      </c>
    </row>
    <row r="2881" spans="1:2">
      <c r="A2881" s="3">
        <f ca="1">IFERROR(__xludf.DUMMYFUNCTION("""COMPUTED_VALUE"""),42531.6666666666)</f>
        <v>42531.666666666599</v>
      </c>
      <c r="B2881" s="1">
        <f ca="1">IFERROR(__xludf.DUMMYFUNCTION("""COMPUTED_VALUE"""),51.48)</f>
        <v>51.48</v>
      </c>
    </row>
    <row r="2882" spans="1:2">
      <c r="A2882" s="3">
        <f ca="1">IFERROR(__xludf.DUMMYFUNCTION("""COMPUTED_VALUE"""),42534.6666666666)</f>
        <v>42534.666666666599</v>
      </c>
      <c r="B2882" s="1">
        <f ca="1">IFERROR(__xludf.DUMMYFUNCTION("""COMPUTED_VALUE"""),50.14)</f>
        <v>50.14</v>
      </c>
    </row>
    <row r="2883" spans="1:2">
      <c r="A2883" s="3">
        <f ca="1">IFERROR(__xludf.DUMMYFUNCTION("""COMPUTED_VALUE"""),42535.6666666666)</f>
        <v>42535.666666666599</v>
      </c>
      <c r="B2883" s="1">
        <f ca="1">IFERROR(__xludf.DUMMYFUNCTION("""COMPUTED_VALUE"""),49.83)</f>
        <v>49.83</v>
      </c>
    </row>
    <row r="2884" spans="1:2">
      <c r="A2884" s="3">
        <f ca="1">IFERROR(__xludf.DUMMYFUNCTION("""COMPUTED_VALUE"""),42536.6666666666)</f>
        <v>42536.666666666599</v>
      </c>
      <c r="B2884" s="1">
        <f ca="1">IFERROR(__xludf.DUMMYFUNCTION("""COMPUTED_VALUE"""),49.69)</f>
        <v>49.69</v>
      </c>
    </row>
    <row r="2885" spans="1:2">
      <c r="A2885" s="3">
        <f ca="1">IFERROR(__xludf.DUMMYFUNCTION("""COMPUTED_VALUE"""),42537.6666666666)</f>
        <v>42537.666666666599</v>
      </c>
      <c r="B2885" s="1">
        <f ca="1">IFERROR(__xludf.DUMMYFUNCTION("""COMPUTED_VALUE"""),50.39)</f>
        <v>50.39</v>
      </c>
    </row>
    <row r="2886" spans="1:2">
      <c r="A2886" s="3">
        <f ca="1">IFERROR(__xludf.DUMMYFUNCTION("""COMPUTED_VALUE"""),42538.6666666666)</f>
        <v>42538.666666666599</v>
      </c>
      <c r="B2886" s="1">
        <f ca="1">IFERROR(__xludf.DUMMYFUNCTION("""COMPUTED_VALUE"""),50.13)</f>
        <v>50.13</v>
      </c>
    </row>
    <row r="2887" spans="1:2">
      <c r="A2887" s="3">
        <f ca="1">IFERROR(__xludf.DUMMYFUNCTION("""COMPUTED_VALUE"""),42541.6666666666)</f>
        <v>42541.666666666599</v>
      </c>
      <c r="B2887" s="1">
        <f ca="1">IFERROR(__xludf.DUMMYFUNCTION("""COMPUTED_VALUE"""),50.07)</f>
        <v>50.07</v>
      </c>
    </row>
    <row r="2888" spans="1:2">
      <c r="A2888" s="3">
        <f ca="1">IFERROR(__xludf.DUMMYFUNCTION("""COMPUTED_VALUE"""),42542.6666666666)</f>
        <v>42542.666666666599</v>
      </c>
      <c r="B2888" s="1">
        <f ca="1">IFERROR(__xludf.DUMMYFUNCTION("""COMPUTED_VALUE"""),51.19)</f>
        <v>51.19</v>
      </c>
    </row>
    <row r="2889" spans="1:2">
      <c r="A2889" s="3">
        <f ca="1">IFERROR(__xludf.DUMMYFUNCTION("""COMPUTED_VALUE"""),42543.6666666666)</f>
        <v>42543.666666666599</v>
      </c>
      <c r="B2889" s="1">
        <f ca="1">IFERROR(__xludf.DUMMYFUNCTION("""COMPUTED_VALUE"""),50.99)</f>
        <v>50.99</v>
      </c>
    </row>
    <row r="2890" spans="1:2">
      <c r="A2890" s="3">
        <f ca="1">IFERROR(__xludf.DUMMYFUNCTION("""COMPUTED_VALUE"""),42544.6666666666)</f>
        <v>42544.666666666599</v>
      </c>
      <c r="B2890" s="1">
        <f ca="1">IFERROR(__xludf.DUMMYFUNCTION("""COMPUTED_VALUE"""),51.91)</f>
        <v>51.91</v>
      </c>
    </row>
    <row r="2891" spans="1:2">
      <c r="A2891" s="3">
        <f ca="1">IFERROR(__xludf.DUMMYFUNCTION("""COMPUTED_VALUE"""),42545.6666666666)</f>
        <v>42545.666666666599</v>
      </c>
      <c r="B2891" s="1">
        <f ca="1">IFERROR(__xludf.DUMMYFUNCTION("""COMPUTED_VALUE"""),49.83)</f>
        <v>49.83</v>
      </c>
    </row>
    <row r="2892" spans="1:2">
      <c r="A2892" s="3">
        <f ca="1">IFERROR(__xludf.DUMMYFUNCTION("""COMPUTED_VALUE"""),42548.6666666666)</f>
        <v>42548.666666666599</v>
      </c>
      <c r="B2892" s="1">
        <f ca="1">IFERROR(__xludf.DUMMYFUNCTION("""COMPUTED_VALUE"""),48.43)</f>
        <v>48.43</v>
      </c>
    </row>
    <row r="2893" spans="1:2">
      <c r="A2893" s="3">
        <f ca="1">IFERROR(__xludf.DUMMYFUNCTION("""COMPUTED_VALUE"""),42549.6666666666)</f>
        <v>42549.666666666599</v>
      </c>
      <c r="B2893" s="1">
        <f ca="1">IFERROR(__xludf.DUMMYFUNCTION("""COMPUTED_VALUE"""),49.44)</f>
        <v>49.44</v>
      </c>
    </row>
    <row r="2894" spans="1:2">
      <c r="A2894" s="3">
        <f ca="1">IFERROR(__xludf.DUMMYFUNCTION("""COMPUTED_VALUE"""),42550.6666666666)</f>
        <v>42550.666666666599</v>
      </c>
      <c r="B2894" s="1">
        <f ca="1">IFERROR(__xludf.DUMMYFUNCTION("""COMPUTED_VALUE"""),50.54)</f>
        <v>50.54</v>
      </c>
    </row>
    <row r="2895" spans="1:2">
      <c r="A2895" s="3">
        <f ca="1">IFERROR(__xludf.DUMMYFUNCTION("""COMPUTED_VALUE"""),42551.6666666666)</f>
        <v>42551.666666666599</v>
      </c>
      <c r="B2895" s="1">
        <f ca="1">IFERROR(__xludf.DUMMYFUNCTION("""COMPUTED_VALUE"""),51.17)</f>
        <v>51.17</v>
      </c>
    </row>
    <row r="2896" spans="1:2">
      <c r="A2896" s="3">
        <f ca="1">IFERROR(__xludf.DUMMYFUNCTION("""COMPUTED_VALUE"""),42552.6666666666)</f>
        <v>42552.666666666599</v>
      </c>
      <c r="B2896" s="1">
        <f ca="1">IFERROR(__xludf.DUMMYFUNCTION("""COMPUTED_VALUE"""),51.16)</f>
        <v>51.16</v>
      </c>
    </row>
    <row r="2897" spans="1:2">
      <c r="A2897" s="3">
        <f ca="1">IFERROR(__xludf.DUMMYFUNCTION("""COMPUTED_VALUE"""),42556.6666666666)</f>
        <v>42556.666666666599</v>
      </c>
      <c r="B2897" s="1">
        <f ca="1">IFERROR(__xludf.DUMMYFUNCTION("""COMPUTED_VALUE"""),51.17)</f>
        <v>51.17</v>
      </c>
    </row>
    <row r="2898" spans="1:2">
      <c r="A2898" s="3">
        <f ca="1">IFERROR(__xludf.DUMMYFUNCTION("""COMPUTED_VALUE"""),42557.6666666666)</f>
        <v>42557.666666666599</v>
      </c>
      <c r="B2898" s="1">
        <f ca="1">IFERROR(__xludf.DUMMYFUNCTION("""COMPUTED_VALUE"""),51.38)</f>
        <v>51.38</v>
      </c>
    </row>
    <row r="2899" spans="1:2">
      <c r="A2899" s="3">
        <f ca="1">IFERROR(__xludf.DUMMYFUNCTION("""COMPUTED_VALUE"""),42558.6666666666)</f>
        <v>42558.666666666599</v>
      </c>
      <c r="B2899" s="1">
        <f ca="1">IFERROR(__xludf.DUMMYFUNCTION("""COMPUTED_VALUE"""),51.38)</f>
        <v>51.38</v>
      </c>
    </row>
    <row r="2900" spans="1:2">
      <c r="A2900" s="3">
        <f ca="1">IFERROR(__xludf.DUMMYFUNCTION("""COMPUTED_VALUE"""),42559.6666666666)</f>
        <v>42559.666666666599</v>
      </c>
      <c r="B2900" s="1">
        <f ca="1">IFERROR(__xludf.DUMMYFUNCTION("""COMPUTED_VALUE"""),52.3)</f>
        <v>52.3</v>
      </c>
    </row>
    <row r="2901" spans="1:2">
      <c r="A2901" s="3">
        <f ca="1">IFERROR(__xludf.DUMMYFUNCTION("""COMPUTED_VALUE"""),42562.6666666666)</f>
        <v>42562.666666666599</v>
      </c>
      <c r="B2901" s="1">
        <f ca="1">IFERROR(__xludf.DUMMYFUNCTION("""COMPUTED_VALUE"""),52.59)</f>
        <v>52.59</v>
      </c>
    </row>
    <row r="2902" spans="1:2">
      <c r="A2902" s="3">
        <f ca="1">IFERROR(__xludf.DUMMYFUNCTION("""COMPUTED_VALUE"""),42563.6666666666)</f>
        <v>42563.666666666599</v>
      </c>
      <c r="B2902" s="1">
        <f ca="1">IFERROR(__xludf.DUMMYFUNCTION("""COMPUTED_VALUE"""),53.21)</f>
        <v>53.21</v>
      </c>
    </row>
    <row r="2903" spans="1:2">
      <c r="A2903" s="3">
        <f ca="1">IFERROR(__xludf.DUMMYFUNCTION("""COMPUTED_VALUE"""),42564.6666666666)</f>
        <v>42564.666666666599</v>
      </c>
      <c r="B2903" s="1">
        <f ca="1">IFERROR(__xludf.DUMMYFUNCTION("""COMPUTED_VALUE"""),53.51)</f>
        <v>53.51</v>
      </c>
    </row>
    <row r="2904" spans="1:2">
      <c r="A2904" s="3">
        <f ca="1">IFERROR(__xludf.DUMMYFUNCTION("""COMPUTED_VALUE"""),42565.6666666666)</f>
        <v>42565.666666666599</v>
      </c>
      <c r="B2904" s="1">
        <f ca="1">IFERROR(__xludf.DUMMYFUNCTION("""COMPUTED_VALUE"""),53.74)</f>
        <v>53.74</v>
      </c>
    </row>
    <row r="2905" spans="1:2">
      <c r="A2905" s="3">
        <f ca="1">IFERROR(__xludf.DUMMYFUNCTION("""COMPUTED_VALUE"""),42566.6666666666)</f>
        <v>42566.666666666599</v>
      </c>
      <c r="B2905" s="1">
        <f ca="1">IFERROR(__xludf.DUMMYFUNCTION("""COMPUTED_VALUE"""),53.7)</f>
        <v>53.7</v>
      </c>
    </row>
    <row r="2906" spans="1:2">
      <c r="A2906" s="3">
        <f ca="1">IFERROR(__xludf.DUMMYFUNCTION("""COMPUTED_VALUE"""),42569.6666666666)</f>
        <v>42569.666666666599</v>
      </c>
      <c r="B2906" s="1">
        <f ca="1">IFERROR(__xludf.DUMMYFUNCTION("""COMPUTED_VALUE"""),53.96)</f>
        <v>53.96</v>
      </c>
    </row>
    <row r="2907" spans="1:2">
      <c r="A2907" s="3">
        <f ca="1">IFERROR(__xludf.DUMMYFUNCTION("""COMPUTED_VALUE"""),42570.6666666666)</f>
        <v>42570.666666666599</v>
      </c>
      <c r="B2907" s="1">
        <f ca="1">IFERROR(__xludf.DUMMYFUNCTION("""COMPUTED_VALUE"""),53.09)</f>
        <v>53.09</v>
      </c>
    </row>
    <row r="2908" spans="1:2">
      <c r="A2908" s="3">
        <f ca="1">IFERROR(__xludf.DUMMYFUNCTION("""COMPUTED_VALUE"""),42571.6666666666)</f>
        <v>42571.666666666599</v>
      </c>
      <c r="B2908" s="1">
        <f ca="1">IFERROR(__xludf.DUMMYFUNCTION("""COMPUTED_VALUE"""),55.91)</f>
        <v>55.91</v>
      </c>
    </row>
    <row r="2909" spans="1:2">
      <c r="A2909" s="3">
        <f ca="1">IFERROR(__xludf.DUMMYFUNCTION("""COMPUTED_VALUE"""),42572.6666666666)</f>
        <v>42572.666666666599</v>
      </c>
      <c r="B2909" s="1">
        <f ca="1">IFERROR(__xludf.DUMMYFUNCTION("""COMPUTED_VALUE"""),55.8)</f>
        <v>55.8</v>
      </c>
    </row>
    <row r="2910" spans="1:2">
      <c r="A2910" s="3">
        <f ca="1">IFERROR(__xludf.DUMMYFUNCTION("""COMPUTED_VALUE"""),42573.6666666666)</f>
        <v>42573.666666666599</v>
      </c>
      <c r="B2910" s="1">
        <f ca="1">IFERROR(__xludf.DUMMYFUNCTION("""COMPUTED_VALUE"""),56.57)</f>
        <v>56.57</v>
      </c>
    </row>
    <row r="2911" spans="1:2">
      <c r="A2911" s="3">
        <f ca="1">IFERROR(__xludf.DUMMYFUNCTION("""COMPUTED_VALUE"""),42576.6666666666)</f>
        <v>42576.666666666599</v>
      </c>
      <c r="B2911" s="1">
        <f ca="1">IFERROR(__xludf.DUMMYFUNCTION("""COMPUTED_VALUE"""),56.73)</f>
        <v>56.73</v>
      </c>
    </row>
    <row r="2912" spans="1:2">
      <c r="A2912" s="3">
        <f ca="1">IFERROR(__xludf.DUMMYFUNCTION("""COMPUTED_VALUE"""),42577.6666666666)</f>
        <v>42577.666666666599</v>
      </c>
      <c r="B2912" s="1">
        <f ca="1">IFERROR(__xludf.DUMMYFUNCTION("""COMPUTED_VALUE"""),56.76)</f>
        <v>56.76</v>
      </c>
    </row>
    <row r="2913" spans="1:2">
      <c r="A2913" s="3">
        <f ca="1">IFERROR(__xludf.DUMMYFUNCTION("""COMPUTED_VALUE"""),42578.6666666666)</f>
        <v>42578.666666666599</v>
      </c>
      <c r="B2913" s="1">
        <f ca="1">IFERROR(__xludf.DUMMYFUNCTION("""COMPUTED_VALUE"""),56.19)</f>
        <v>56.19</v>
      </c>
    </row>
    <row r="2914" spans="1:2">
      <c r="A2914" s="3">
        <f ca="1">IFERROR(__xludf.DUMMYFUNCTION("""COMPUTED_VALUE"""),42579.6666666666)</f>
        <v>42579.666666666599</v>
      </c>
      <c r="B2914" s="1">
        <f ca="1">IFERROR(__xludf.DUMMYFUNCTION("""COMPUTED_VALUE"""),56.21)</f>
        <v>56.21</v>
      </c>
    </row>
    <row r="2915" spans="1:2">
      <c r="A2915" s="3">
        <f ca="1">IFERROR(__xludf.DUMMYFUNCTION("""COMPUTED_VALUE"""),42580.6666666666)</f>
        <v>42580.666666666599</v>
      </c>
      <c r="B2915" s="1">
        <f ca="1">IFERROR(__xludf.DUMMYFUNCTION("""COMPUTED_VALUE"""),56.68)</f>
        <v>56.68</v>
      </c>
    </row>
    <row r="2916" spans="1:2">
      <c r="A2916" s="3">
        <f ca="1">IFERROR(__xludf.DUMMYFUNCTION("""COMPUTED_VALUE"""),42583.6666666666)</f>
        <v>42583.666666666599</v>
      </c>
      <c r="B2916" s="1">
        <f ca="1">IFERROR(__xludf.DUMMYFUNCTION("""COMPUTED_VALUE"""),56.58)</f>
        <v>56.58</v>
      </c>
    </row>
    <row r="2917" spans="1:2">
      <c r="A2917" s="3">
        <f ca="1">IFERROR(__xludf.DUMMYFUNCTION("""COMPUTED_VALUE"""),42584.6666666666)</f>
        <v>42584.666666666599</v>
      </c>
      <c r="B2917" s="1">
        <f ca="1">IFERROR(__xludf.DUMMYFUNCTION("""COMPUTED_VALUE"""),56.58)</f>
        <v>56.58</v>
      </c>
    </row>
    <row r="2918" spans="1:2">
      <c r="A2918" s="3">
        <f ca="1">IFERROR(__xludf.DUMMYFUNCTION("""COMPUTED_VALUE"""),42585.6666666666)</f>
        <v>42585.666666666599</v>
      </c>
      <c r="B2918" s="1">
        <f ca="1">IFERROR(__xludf.DUMMYFUNCTION("""COMPUTED_VALUE"""),56.97)</f>
        <v>56.97</v>
      </c>
    </row>
    <row r="2919" spans="1:2">
      <c r="A2919" s="3">
        <f ca="1">IFERROR(__xludf.DUMMYFUNCTION("""COMPUTED_VALUE"""),42586.6666666666)</f>
        <v>42586.666666666599</v>
      </c>
      <c r="B2919" s="1">
        <f ca="1">IFERROR(__xludf.DUMMYFUNCTION("""COMPUTED_VALUE"""),57.39)</f>
        <v>57.39</v>
      </c>
    </row>
    <row r="2920" spans="1:2">
      <c r="A2920" s="3">
        <f ca="1">IFERROR(__xludf.DUMMYFUNCTION("""COMPUTED_VALUE"""),42587.6666666666)</f>
        <v>42587.666666666599</v>
      </c>
      <c r="B2920" s="1">
        <f ca="1">IFERROR(__xludf.DUMMYFUNCTION("""COMPUTED_VALUE"""),57.96)</f>
        <v>57.96</v>
      </c>
    </row>
    <row r="2921" spans="1:2">
      <c r="A2921" s="3">
        <f ca="1">IFERROR(__xludf.DUMMYFUNCTION("""COMPUTED_VALUE"""),42590.6666666666)</f>
        <v>42590.666666666599</v>
      </c>
      <c r="B2921" s="1">
        <f ca="1">IFERROR(__xludf.DUMMYFUNCTION("""COMPUTED_VALUE"""),58.06)</f>
        <v>58.06</v>
      </c>
    </row>
    <row r="2922" spans="1:2">
      <c r="A2922" s="3">
        <f ca="1">IFERROR(__xludf.DUMMYFUNCTION("""COMPUTED_VALUE"""),42591.6666666666)</f>
        <v>42591.666666666599</v>
      </c>
      <c r="B2922" s="1">
        <f ca="1">IFERROR(__xludf.DUMMYFUNCTION("""COMPUTED_VALUE"""),58.2)</f>
        <v>58.2</v>
      </c>
    </row>
    <row r="2923" spans="1:2">
      <c r="A2923" s="3">
        <f ca="1">IFERROR(__xludf.DUMMYFUNCTION("""COMPUTED_VALUE"""),42592.6666666666)</f>
        <v>42592.666666666599</v>
      </c>
      <c r="B2923" s="1">
        <f ca="1">IFERROR(__xludf.DUMMYFUNCTION("""COMPUTED_VALUE"""),58.02)</f>
        <v>58.02</v>
      </c>
    </row>
    <row r="2924" spans="1:2">
      <c r="A2924" s="3">
        <f ca="1">IFERROR(__xludf.DUMMYFUNCTION("""COMPUTED_VALUE"""),42593.6666666666)</f>
        <v>42593.666666666599</v>
      </c>
      <c r="B2924" s="1">
        <f ca="1">IFERROR(__xludf.DUMMYFUNCTION("""COMPUTED_VALUE"""),58.3)</f>
        <v>58.3</v>
      </c>
    </row>
    <row r="2925" spans="1:2">
      <c r="A2925" s="3">
        <f ca="1">IFERROR(__xludf.DUMMYFUNCTION("""COMPUTED_VALUE"""),42594.6666666666)</f>
        <v>42594.666666666599</v>
      </c>
      <c r="B2925" s="1">
        <f ca="1">IFERROR(__xludf.DUMMYFUNCTION("""COMPUTED_VALUE"""),57.94)</f>
        <v>57.94</v>
      </c>
    </row>
    <row r="2926" spans="1:2">
      <c r="A2926" s="3">
        <f ca="1">IFERROR(__xludf.DUMMYFUNCTION("""COMPUTED_VALUE"""),42597.6666666666)</f>
        <v>42597.666666666599</v>
      </c>
      <c r="B2926" s="1">
        <f ca="1">IFERROR(__xludf.DUMMYFUNCTION("""COMPUTED_VALUE"""),58.12)</f>
        <v>58.12</v>
      </c>
    </row>
    <row r="2927" spans="1:2">
      <c r="A2927" s="3">
        <f ca="1">IFERROR(__xludf.DUMMYFUNCTION("""COMPUTED_VALUE"""),42598.6666666666)</f>
        <v>42598.666666666599</v>
      </c>
      <c r="B2927" s="1">
        <f ca="1">IFERROR(__xludf.DUMMYFUNCTION("""COMPUTED_VALUE"""),57.44)</f>
        <v>57.44</v>
      </c>
    </row>
    <row r="2928" spans="1:2">
      <c r="A2928" s="3">
        <f ca="1">IFERROR(__xludf.DUMMYFUNCTION("""COMPUTED_VALUE"""),42599.6666666666)</f>
        <v>42599.666666666599</v>
      </c>
      <c r="B2928" s="1">
        <f ca="1">IFERROR(__xludf.DUMMYFUNCTION("""COMPUTED_VALUE"""),57.56)</f>
        <v>57.56</v>
      </c>
    </row>
    <row r="2929" spans="1:2">
      <c r="A2929" s="3">
        <f ca="1">IFERROR(__xludf.DUMMYFUNCTION("""COMPUTED_VALUE"""),42600.6666666666)</f>
        <v>42600.666666666599</v>
      </c>
      <c r="B2929" s="1">
        <f ca="1">IFERROR(__xludf.DUMMYFUNCTION("""COMPUTED_VALUE"""),57.6)</f>
        <v>57.6</v>
      </c>
    </row>
    <row r="2930" spans="1:2">
      <c r="A2930" s="3">
        <f ca="1">IFERROR(__xludf.DUMMYFUNCTION("""COMPUTED_VALUE"""),42601.6666666666)</f>
        <v>42601.666666666599</v>
      </c>
      <c r="B2930" s="1">
        <f ca="1">IFERROR(__xludf.DUMMYFUNCTION("""COMPUTED_VALUE"""),57.62)</f>
        <v>57.62</v>
      </c>
    </row>
    <row r="2931" spans="1:2">
      <c r="A2931" s="3">
        <f ca="1">IFERROR(__xludf.DUMMYFUNCTION("""COMPUTED_VALUE"""),42604.6666666666)</f>
        <v>42604.666666666599</v>
      </c>
      <c r="B2931" s="1">
        <f ca="1">IFERROR(__xludf.DUMMYFUNCTION("""COMPUTED_VALUE"""),57.67)</f>
        <v>57.67</v>
      </c>
    </row>
    <row r="2932" spans="1:2">
      <c r="A2932" s="3">
        <f ca="1">IFERROR(__xludf.DUMMYFUNCTION("""COMPUTED_VALUE"""),42605.6666666666)</f>
        <v>42605.666666666599</v>
      </c>
      <c r="B2932" s="1">
        <f ca="1">IFERROR(__xludf.DUMMYFUNCTION("""COMPUTED_VALUE"""),57.89)</f>
        <v>57.89</v>
      </c>
    </row>
    <row r="2933" spans="1:2">
      <c r="A2933" s="3">
        <f ca="1">IFERROR(__xludf.DUMMYFUNCTION("""COMPUTED_VALUE"""),42606.6666666666)</f>
        <v>42606.666666666599</v>
      </c>
      <c r="B2933" s="1">
        <f ca="1">IFERROR(__xludf.DUMMYFUNCTION("""COMPUTED_VALUE"""),57.95)</f>
        <v>57.95</v>
      </c>
    </row>
    <row r="2934" spans="1:2">
      <c r="A2934" s="3">
        <f ca="1">IFERROR(__xludf.DUMMYFUNCTION("""COMPUTED_VALUE"""),42607.6666666666)</f>
        <v>42607.666666666599</v>
      </c>
      <c r="B2934" s="1">
        <f ca="1">IFERROR(__xludf.DUMMYFUNCTION("""COMPUTED_VALUE"""),58.17)</f>
        <v>58.17</v>
      </c>
    </row>
    <row r="2935" spans="1:2">
      <c r="A2935" s="3">
        <f ca="1">IFERROR(__xludf.DUMMYFUNCTION("""COMPUTED_VALUE"""),42608.6666666666)</f>
        <v>42608.666666666599</v>
      </c>
      <c r="B2935" s="1">
        <f ca="1">IFERROR(__xludf.DUMMYFUNCTION("""COMPUTED_VALUE"""),58.03)</f>
        <v>58.03</v>
      </c>
    </row>
    <row r="2936" spans="1:2">
      <c r="A2936" s="3">
        <f ca="1">IFERROR(__xludf.DUMMYFUNCTION("""COMPUTED_VALUE"""),42611.6666666666)</f>
        <v>42611.666666666599</v>
      </c>
      <c r="B2936" s="1">
        <f ca="1">IFERROR(__xludf.DUMMYFUNCTION("""COMPUTED_VALUE"""),58.1)</f>
        <v>58.1</v>
      </c>
    </row>
    <row r="2937" spans="1:2">
      <c r="A2937" s="3">
        <f ca="1">IFERROR(__xludf.DUMMYFUNCTION("""COMPUTED_VALUE"""),42612.6666666666)</f>
        <v>42612.666666666599</v>
      </c>
      <c r="B2937" s="1">
        <f ca="1">IFERROR(__xludf.DUMMYFUNCTION("""COMPUTED_VALUE"""),57.89)</f>
        <v>57.89</v>
      </c>
    </row>
    <row r="2938" spans="1:2">
      <c r="A2938" s="3">
        <f ca="1">IFERROR(__xludf.DUMMYFUNCTION("""COMPUTED_VALUE"""),42613.6666666666)</f>
        <v>42613.666666666599</v>
      </c>
      <c r="B2938" s="1">
        <f ca="1">IFERROR(__xludf.DUMMYFUNCTION("""COMPUTED_VALUE"""),57.46)</f>
        <v>57.46</v>
      </c>
    </row>
    <row r="2939" spans="1:2">
      <c r="A2939" s="3">
        <f ca="1">IFERROR(__xludf.DUMMYFUNCTION("""COMPUTED_VALUE"""),42614.6666666666)</f>
        <v>42614.666666666599</v>
      </c>
      <c r="B2939" s="1">
        <f ca="1">IFERROR(__xludf.DUMMYFUNCTION("""COMPUTED_VALUE"""),57.59)</f>
        <v>57.59</v>
      </c>
    </row>
    <row r="2940" spans="1:2">
      <c r="A2940" s="3">
        <f ca="1">IFERROR(__xludf.DUMMYFUNCTION("""COMPUTED_VALUE"""),42615.6666666666)</f>
        <v>42615.666666666599</v>
      </c>
      <c r="B2940" s="1">
        <f ca="1">IFERROR(__xludf.DUMMYFUNCTION("""COMPUTED_VALUE"""),57.67)</f>
        <v>57.67</v>
      </c>
    </row>
    <row r="2941" spans="1:2">
      <c r="A2941" s="3">
        <f ca="1">IFERROR(__xludf.DUMMYFUNCTION("""COMPUTED_VALUE"""),42619.6666666666)</f>
        <v>42619.666666666599</v>
      </c>
      <c r="B2941" s="1">
        <f ca="1">IFERROR(__xludf.DUMMYFUNCTION("""COMPUTED_VALUE"""),57.61)</f>
        <v>57.61</v>
      </c>
    </row>
    <row r="2942" spans="1:2">
      <c r="A2942" s="3">
        <f ca="1">IFERROR(__xludf.DUMMYFUNCTION("""COMPUTED_VALUE"""),42620.6666666666)</f>
        <v>42620.666666666599</v>
      </c>
      <c r="B2942" s="1">
        <f ca="1">IFERROR(__xludf.DUMMYFUNCTION("""COMPUTED_VALUE"""),57.66)</f>
        <v>57.66</v>
      </c>
    </row>
    <row r="2943" spans="1:2">
      <c r="A2943" s="3">
        <f ca="1">IFERROR(__xludf.DUMMYFUNCTION("""COMPUTED_VALUE"""),42621.6666666666)</f>
        <v>42621.666666666599</v>
      </c>
      <c r="B2943" s="1">
        <f ca="1">IFERROR(__xludf.DUMMYFUNCTION("""COMPUTED_VALUE"""),57.43)</f>
        <v>57.43</v>
      </c>
    </row>
    <row r="2944" spans="1:2">
      <c r="A2944" s="3">
        <f ca="1">IFERROR(__xludf.DUMMYFUNCTION("""COMPUTED_VALUE"""),42622.6666666666)</f>
        <v>42622.666666666599</v>
      </c>
      <c r="B2944" s="1">
        <f ca="1">IFERROR(__xludf.DUMMYFUNCTION("""COMPUTED_VALUE"""),56.21)</f>
        <v>56.21</v>
      </c>
    </row>
    <row r="2945" spans="1:2">
      <c r="A2945" s="3">
        <f ca="1">IFERROR(__xludf.DUMMYFUNCTION("""COMPUTED_VALUE"""),42625.6666666666)</f>
        <v>42625.666666666599</v>
      </c>
      <c r="B2945" s="1">
        <f ca="1">IFERROR(__xludf.DUMMYFUNCTION("""COMPUTED_VALUE"""),57.05)</f>
        <v>57.05</v>
      </c>
    </row>
    <row r="2946" spans="1:2">
      <c r="A2946" s="3">
        <f ca="1">IFERROR(__xludf.DUMMYFUNCTION("""COMPUTED_VALUE"""),42626.6666666666)</f>
        <v>42626.666666666599</v>
      </c>
      <c r="B2946" s="1">
        <f ca="1">IFERROR(__xludf.DUMMYFUNCTION("""COMPUTED_VALUE"""),56.53)</f>
        <v>56.53</v>
      </c>
    </row>
    <row r="2947" spans="1:2">
      <c r="A2947" s="3">
        <f ca="1">IFERROR(__xludf.DUMMYFUNCTION("""COMPUTED_VALUE"""),42627.6666666666)</f>
        <v>42627.666666666599</v>
      </c>
      <c r="B2947" s="1">
        <f ca="1">IFERROR(__xludf.DUMMYFUNCTION("""COMPUTED_VALUE"""),56.26)</f>
        <v>56.26</v>
      </c>
    </row>
    <row r="2948" spans="1:2">
      <c r="A2948" s="3">
        <f ca="1">IFERROR(__xludf.DUMMYFUNCTION("""COMPUTED_VALUE"""),42628.6666666666)</f>
        <v>42628.666666666599</v>
      </c>
      <c r="B2948" s="1">
        <f ca="1">IFERROR(__xludf.DUMMYFUNCTION("""COMPUTED_VALUE"""),57.19)</f>
        <v>57.19</v>
      </c>
    </row>
    <row r="2949" spans="1:2">
      <c r="A2949" s="3">
        <f ca="1">IFERROR(__xludf.DUMMYFUNCTION("""COMPUTED_VALUE"""),42629.6666666666)</f>
        <v>42629.666666666599</v>
      </c>
      <c r="B2949" s="1">
        <f ca="1">IFERROR(__xludf.DUMMYFUNCTION("""COMPUTED_VALUE"""),57.25)</f>
        <v>57.25</v>
      </c>
    </row>
    <row r="2950" spans="1:2">
      <c r="A2950" s="3">
        <f ca="1">IFERROR(__xludf.DUMMYFUNCTION("""COMPUTED_VALUE"""),42632.6666666666)</f>
        <v>42632.666666666599</v>
      </c>
      <c r="B2950" s="1">
        <f ca="1">IFERROR(__xludf.DUMMYFUNCTION("""COMPUTED_VALUE"""),56.93)</f>
        <v>56.93</v>
      </c>
    </row>
    <row r="2951" spans="1:2">
      <c r="A2951" s="3">
        <f ca="1">IFERROR(__xludf.DUMMYFUNCTION("""COMPUTED_VALUE"""),42633.6666666666)</f>
        <v>42633.666666666599</v>
      </c>
      <c r="B2951" s="1">
        <f ca="1">IFERROR(__xludf.DUMMYFUNCTION("""COMPUTED_VALUE"""),56.81)</f>
        <v>56.81</v>
      </c>
    </row>
    <row r="2952" spans="1:2">
      <c r="A2952" s="3">
        <f ca="1">IFERROR(__xludf.DUMMYFUNCTION("""COMPUTED_VALUE"""),42634.6666666666)</f>
        <v>42634.666666666599</v>
      </c>
      <c r="B2952" s="1">
        <f ca="1">IFERROR(__xludf.DUMMYFUNCTION("""COMPUTED_VALUE"""),57.76)</f>
        <v>57.76</v>
      </c>
    </row>
    <row r="2953" spans="1:2">
      <c r="A2953" s="3">
        <f ca="1">IFERROR(__xludf.DUMMYFUNCTION("""COMPUTED_VALUE"""),42635.6666666666)</f>
        <v>42635.666666666599</v>
      </c>
      <c r="B2953" s="1">
        <f ca="1">IFERROR(__xludf.DUMMYFUNCTION("""COMPUTED_VALUE"""),57.82)</f>
        <v>57.82</v>
      </c>
    </row>
    <row r="2954" spans="1:2">
      <c r="A2954" s="3">
        <f ca="1">IFERROR(__xludf.DUMMYFUNCTION("""COMPUTED_VALUE"""),42636.6666666666)</f>
        <v>42636.666666666599</v>
      </c>
      <c r="B2954" s="1">
        <f ca="1">IFERROR(__xludf.DUMMYFUNCTION("""COMPUTED_VALUE"""),57.43)</f>
        <v>57.43</v>
      </c>
    </row>
    <row r="2955" spans="1:2">
      <c r="A2955" s="3">
        <f ca="1">IFERROR(__xludf.DUMMYFUNCTION("""COMPUTED_VALUE"""),42639.6666666666)</f>
        <v>42639.666666666599</v>
      </c>
      <c r="B2955" s="1">
        <f ca="1">IFERROR(__xludf.DUMMYFUNCTION("""COMPUTED_VALUE"""),56.9)</f>
        <v>56.9</v>
      </c>
    </row>
    <row r="2956" spans="1:2">
      <c r="A2956" s="3">
        <f ca="1">IFERROR(__xludf.DUMMYFUNCTION("""COMPUTED_VALUE"""),42640.6666666666)</f>
        <v>42640.666666666599</v>
      </c>
      <c r="B2956" s="1">
        <f ca="1">IFERROR(__xludf.DUMMYFUNCTION("""COMPUTED_VALUE"""),57.95)</f>
        <v>57.95</v>
      </c>
    </row>
    <row r="2957" spans="1:2">
      <c r="A2957" s="3">
        <f ca="1">IFERROR(__xludf.DUMMYFUNCTION("""COMPUTED_VALUE"""),42641.6666666666)</f>
        <v>42641.666666666599</v>
      </c>
      <c r="B2957" s="1">
        <f ca="1">IFERROR(__xludf.DUMMYFUNCTION("""COMPUTED_VALUE"""),58.03)</f>
        <v>58.03</v>
      </c>
    </row>
    <row r="2958" spans="1:2">
      <c r="A2958" s="3">
        <f ca="1">IFERROR(__xludf.DUMMYFUNCTION("""COMPUTED_VALUE"""),42642.6666666666)</f>
        <v>42642.666666666599</v>
      </c>
      <c r="B2958" s="1">
        <f ca="1">IFERROR(__xludf.DUMMYFUNCTION("""COMPUTED_VALUE"""),57.4)</f>
        <v>57.4</v>
      </c>
    </row>
    <row r="2959" spans="1:2">
      <c r="A2959" s="3">
        <f ca="1">IFERROR(__xludf.DUMMYFUNCTION("""COMPUTED_VALUE"""),42643.6666666666)</f>
        <v>42643.666666666599</v>
      </c>
      <c r="B2959" s="1">
        <f ca="1">IFERROR(__xludf.DUMMYFUNCTION("""COMPUTED_VALUE"""),57.6)</f>
        <v>57.6</v>
      </c>
    </row>
    <row r="2960" spans="1:2">
      <c r="A2960" s="3">
        <f ca="1">IFERROR(__xludf.DUMMYFUNCTION("""COMPUTED_VALUE"""),42646.6666666666)</f>
        <v>42646.666666666599</v>
      </c>
      <c r="B2960" s="1">
        <f ca="1">IFERROR(__xludf.DUMMYFUNCTION("""COMPUTED_VALUE"""),57.42)</f>
        <v>57.42</v>
      </c>
    </row>
    <row r="2961" spans="1:2">
      <c r="A2961" s="3">
        <f ca="1">IFERROR(__xludf.DUMMYFUNCTION("""COMPUTED_VALUE"""),42647.6666666666)</f>
        <v>42647.666666666599</v>
      </c>
      <c r="B2961" s="1">
        <f ca="1">IFERROR(__xludf.DUMMYFUNCTION("""COMPUTED_VALUE"""),57.24)</f>
        <v>57.24</v>
      </c>
    </row>
    <row r="2962" spans="1:2">
      <c r="A2962" s="3">
        <f ca="1">IFERROR(__xludf.DUMMYFUNCTION("""COMPUTED_VALUE"""),42648.6666666666)</f>
        <v>42648.666666666599</v>
      </c>
      <c r="B2962" s="1">
        <f ca="1">IFERROR(__xludf.DUMMYFUNCTION("""COMPUTED_VALUE"""),57.64)</f>
        <v>57.64</v>
      </c>
    </row>
    <row r="2963" spans="1:2">
      <c r="A2963" s="3">
        <f ca="1">IFERROR(__xludf.DUMMYFUNCTION("""COMPUTED_VALUE"""),42649.6666666666)</f>
        <v>42649.666666666599</v>
      </c>
      <c r="B2963" s="1">
        <f ca="1">IFERROR(__xludf.DUMMYFUNCTION("""COMPUTED_VALUE"""),57.74)</f>
        <v>57.74</v>
      </c>
    </row>
    <row r="2964" spans="1:2">
      <c r="A2964" s="3">
        <f ca="1">IFERROR(__xludf.DUMMYFUNCTION("""COMPUTED_VALUE"""),42650.6666666666)</f>
        <v>42650.666666666599</v>
      </c>
      <c r="B2964" s="1">
        <f ca="1">IFERROR(__xludf.DUMMYFUNCTION("""COMPUTED_VALUE"""),57.8)</f>
        <v>57.8</v>
      </c>
    </row>
    <row r="2965" spans="1:2">
      <c r="A2965" s="3">
        <f ca="1">IFERROR(__xludf.DUMMYFUNCTION("""COMPUTED_VALUE"""),42653.6666666666)</f>
        <v>42653.666666666599</v>
      </c>
      <c r="B2965" s="1">
        <f ca="1">IFERROR(__xludf.DUMMYFUNCTION("""COMPUTED_VALUE"""),58.04)</f>
        <v>58.04</v>
      </c>
    </row>
    <row r="2966" spans="1:2">
      <c r="A2966" s="3">
        <f ca="1">IFERROR(__xludf.DUMMYFUNCTION("""COMPUTED_VALUE"""),42654.6666666666)</f>
        <v>42654.666666666599</v>
      </c>
      <c r="B2966" s="1">
        <f ca="1">IFERROR(__xludf.DUMMYFUNCTION("""COMPUTED_VALUE"""),57.19)</f>
        <v>57.19</v>
      </c>
    </row>
    <row r="2967" spans="1:2">
      <c r="A2967" s="3">
        <f ca="1">IFERROR(__xludf.DUMMYFUNCTION("""COMPUTED_VALUE"""),42655.6666666666)</f>
        <v>42655.666666666599</v>
      </c>
      <c r="B2967" s="1">
        <f ca="1">IFERROR(__xludf.DUMMYFUNCTION("""COMPUTED_VALUE"""),57.11)</f>
        <v>57.11</v>
      </c>
    </row>
    <row r="2968" spans="1:2">
      <c r="A2968" s="3">
        <f ca="1">IFERROR(__xludf.DUMMYFUNCTION("""COMPUTED_VALUE"""),42656.6666666666)</f>
        <v>42656.666666666599</v>
      </c>
      <c r="B2968" s="1">
        <f ca="1">IFERROR(__xludf.DUMMYFUNCTION("""COMPUTED_VALUE"""),56.92)</f>
        <v>56.92</v>
      </c>
    </row>
    <row r="2969" spans="1:2">
      <c r="A2969" s="3">
        <f ca="1">IFERROR(__xludf.DUMMYFUNCTION("""COMPUTED_VALUE"""),42657.6666666666)</f>
        <v>42657.666666666599</v>
      </c>
      <c r="B2969" s="1">
        <f ca="1">IFERROR(__xludf.DUMMYFUNCTION("""COMPUTED_VALUE"""),57.42)</f>
        <v>57.42</v>
      </c>
    </row>
    <row r="2970" spans="1:2">
      <c r="A2970" s="3">
        <f ca="1">IFERROR(__xludf.DUMMYFUNCTION("""COMPUTED_VALUE"""),42660.6666666666)</f>
        <v>42660.666666666599</v>
      </c>
      <c r="B2970" s="1">
        <f ca="1">IFERROR(__xludf.DUMMYFUNCTION("""COMPUTED_VALUE"""),57.22)</f>
        <v>57.22</v>
      </c>
    </row>
    <row r="2971" spans="1:2">
      <c r="A2971" s="3">
        <f ca="1">IFERROR(__xludf.DUMMYFUNCTION("""COMPUTED_VALUE"""),42661.6666666666)</f>
        <v>42661.666666666599</v>
      </c>
      <c r="B2971" s="1">
        <f ca="1">IFERROR(__xludf.DUMMYFUNCTION("""COMPUTED_VALUE"""),57.66)</f>
        <v>57.66</v>
      </c>
    </row>
    <row r="2972" spans="1:2">
      <c r="A2972" s="3">
        <f ca="1">IFERROR(__xludf.DUMMYFUNCTION("""COMPUTED_VALUE"""),42662.6666666666)</f>
        <v>42662.666666666599</v>
      </c>
      <c r="B2972" s="1">
        <f ca="1">IFERROR(__xludf.DUMMYFUNCTION("""COMPUTED_VALUE"""),57.53)</f>
        <v>57.53</v>
      </c>
    </row>
    <row r="2973" spans="1:2">
      <c r="A2973" s="3">
        <f ca="1">IFERROR(__xludf.DUMMYFUNCTION("""COMPUTED_VALUE"""),42663.6666666666)</f>
        <v>42663.666666666599</v>
      </c>
      <c r="B2973" s="1">
        <f ca="1">IFERROR(__xludf.DUMMYFUNCTION("""COMPUTED_VALUE"""),57.25)</f>
        <v>57.25</v>
      </c>
    </row>
    <row r="2974" spans="1:2">
      <c r="A2974" s="3">
        <f ca="1">IFERROR(__xludf.DUMMYFUNCTION("""COMPUTED_VALUE"""),42664.6666666666)</f>
        <v>42664.666666666599</v>
      </c>
      <c r="B2974" s="1">
        <f ca="1">IFERROR(__xludf.DUMMYFUNCTION("""COMPUTED_VALUE"""),59.66)</f>
        <v>59.66</v>
      </c>
    </row>
    <row r="2975" spans="1:2">
      <c r="A2975" s="3">
        <f ca="1">IFERROR(__xludf.DUMMYFUNCTION("""COMPUTED_VALUE"""),42667.6666666666)</f>
        <v>42667.666666666599</v>
      </c>
      <c r="B2975" s="1">
        <f ca="1">IFERROR(__xludf.DUMMYFUNCTION("""COMPUTED_VALUE"""),61)</f>
        <v>61</v>
      </c>
    </row>
    <row r="2976" spans="1:2">
      <c r="A2976" s="3">
        <f ca="1">IFERROR(__xludf.DUMMYFUNCTION("""COMPUTED_VALUE"""),42668.6666666666)</f>
        <v>42668.666666666599</v>
      </c>
      <c r="B2976" s="1">
        <f ca="1">IFERROR(__xludf.DUMMYFUNCTION("""COMPUTED_VALUE"""),60.99)</f>
        <v>60.99</v>
      </c>
    </row>
    <row r="2977" spans="1:2">
      <c r="A2977" s="3">
        <f ca="1">IFERROR(__xludf.DUMMYFUNCTION("""COMPUTED_VALUE"""),42669.6666666666)</f>
        <v>42669.666666666599</v>
      </c>
      <c r="B2977" s="1">
        <f ca="1">IFERROR(__xludf.DUMMYFUNCTION("""COMPUTED_VALUE"""),60.63)</f>
        <v>60.63</v>
      </c>
    </row>
    <row r="2978" spans="1:2">
      <c r="A2978" s="3">
        <f ca="1">IFERROR(__xludf.DUMMYFUNCTION("""COMPUTED_VALUE"""),42670.6666666666)</f>
        <v>42670.666666666599</v>
      </c>
      <c r="B2978" s="1">
        <f ca="1">IFERROR(__xludf.DUMMYFUNCTION("""COMPUTED_VALUE"""),60.1)</f>
        <v>60.1</v>
      </c>
    </row>
    <row r="2979" spans="1:2">
      <c r="A2979" s="3">
        <f ca="1">IFERROR(__xludf.DUMMYFUNCTION("""COMPUTED_VALUE"""),42671.6666666666)</f>
        <v>42671.666666666599</v>
      </c>
      <c r="B2979" s="1">
        <f ca="1">IFERROR(__xludf.DUMMYFUNCTION("""COMPUTED_VALUE"""),59.87)</f>
        <v>59.87</v>
      </c>
    </row>
    <row r="2980" spans="1:2">
      <c r="A2980" s="3">
        <f ca="1">IFERROR(__xludf.DUMMYFUNCTION("""COMPUTED_VALUE"""),42674.6666666666)</f>
        <v>42674.666666666599</v>
      </c>
      <c r="B2980" s="1">
        <f ca="1">IFERROR(__xludf.DUMMYFUNCTION("""COMPUTED_VALUE"""),59.92)</f>
        <v>59.92</v>
      </c>
    </row>
    <row r="2981" spans="1:2">
      <c r="A2981" s="3">
        <f ca="1">IFERROR(__xludf.DUMMYFUNCTION("""COMPUTED_VALUE"""),42675.6666666666)</f>
        <v>42675.666666666599</v>
      </c>
      <c r="B2981" s="1">
        <f ca="1">IFERROR(__xludf.DUMMYFUNCTION("""COMPUTED_VALUE"""),59.8)</f>
        <v>59.8</v>
      </c>
    </row>
    <row r="2982" spans="1:2">
      <c r="A2982" s="3">
        <f ca="1">IFERROR(__xludf.DUMMYFUNCTION("""COMPUTED_VALUE"""),42676.6666666666)</f>
        <v>42676.666666666599</v>
      </c>
      <c r="B2982" s="1">
        <f ca="1">IFERROR(__xludf.DUMMYFUNCTION("""COMPUTED_VALUE"""),59.43)</f>
        <v>59.43</v>
      </c>
    </row>
    <row r="2983" spans="1:2">
      <c r="A2983" s="3">
        <f ca="1">IFERROR(__xludf.DUMMYFUNCTION("""COMPUTED_VALUE"""),42677.6666666666)</f>
        <v>42677.666666666599</v>
      </c>
      <c r="B2983" s="1">
        <f ca="1">IFERROR(__xludf.DUMMYFUNCTION("""COMPUTED_VALUE"""),59.21)</f>
        <v>59.21</v>
      </c>
    </row>
    <row r="2984" spans="1:2">
      <c r="A2984" s="3">
        <f ca="1">IFERROR(__xludf.DUMMYFUNCTION("""COMPUTED_VALUE"""),42678.6666666666)</f>
        <v>42678.666666666599</v>
      </c>
      <c r="B2984" s="1">
        <f ca="1">IFERROR(__xludf.DUMMYFUNCTION("""COMPUTED_VALUE"""),58.71)</f>
        <v>58.71</v>
      </c>
    </row>
    <row r="2985" spans="1:2">
      <c r="A2985" s="3">
        <f ca="1">IFERROR(__xludf.DUMMYFUNCTION("""COMPUTED_VALUE"""),42681.6666666666)</f>
        <v>42681.666666666599</v>
      </c>
      <c r="B2985" s="1">
        <f ca="1">IFERROR(__xludf.DUMMYFUNCTION("""COMPUTED_VALUE"""),60.42)</f>
        <v>60.42</v>
      </c>
    </row>
    <row r="2986" spans="1:2">
      <c r="A2986" s="3">
        <f ca="1">IFERROR(__xludf.DUMMYFUNCTION("""COMPUTED_VALUE"""),42682.6666666666)</f>
        <v>42682.666666666599</v>
      </c>
      <c r="B2986" s="1">
        <f ca="1">IFERROR(__xludf.DUMMYFUNCTION("""COMPUTED_VALUE"""),60.47)</f>
        <v>60.47</v>
      </c>
    </row>
    <row r="2987" spans="1:2">
      <c r="A2987" s="3">
        <f ca="1">IFERROR(__xludf.DUMMYFUNCTION("""COMPUTED_VALUE"""),42683.6666666666)</f>
        <v>42683.666666666599</v>
      </c>
      <c r="B2987" s="1">
        <f ca="1">IFERROR(__xludf.DUMMYFUNCTION("""COMPUTED_VALUE"""),60.17)</f>
        <v>60.17</v>
      </c>
    </row>
    <row r="2988" spans="1:2">
      <c r="A2988" s="3">
        <f ca="1">IFERROR(__xludf.DUMMYFUNCTION("""COMPUTED_VALUE"""),42684.6666666666)</f>
        <v>42684.666666666599</v>
      </c>
      <c r="B2988" s="1">
        <f ca="1">IFERROR(__xludf.DUMMYFUNCTION("""COMPUTED_VALUE"""),58.7)</f>
        <v>58.7</v>
      </c>
    </row>
    <row r="2989" spans="1:2">
      <c r="A2989" s="3">
        <f ca="1">IFERROR(__xludf.DUMMYFUNCTION("""COMPUTED_VALUE"""),42685.6666666666)</f>
        <v>42685.666666666599</v>
      </c>
      <c r="B2989" s="1">
        <f ca="1">IFERROR(__xludf.DUMMYFUNCTION("""COMPUTED_VALUE"""),59.02)</f>
        <v>59.02</v>
      </c>
    </row>
    <row r="2990" spans="1:2">
      <c r="A2990" s="3">
        <f ca="1">IFERROR(__xludf.DUMMYFUNCTION("""COMPUTED_VALUE"""),42688.6666666666)</f>
        <v>42688.666666666599</v>
      </c>
      <c r="B2990" s="1">
        <f ca="1">IFERROR(__xludf.DUMMYFUNCTION("""COMPUTED_VALUE"""),58.12)</f>
        <v>58.12</v>
      </c>
    </row>
    <row r="2991" spans="1:2">
      <c r="A2991" s="3">
        <f ca="1">IFERROR(__xludf.DUMMYFUNCTION("""COMPUTED_VALUE"""),42689.6666666666)</f>
        <v>42689.666666666599</v>
      </c>
      <c r="B2991" s="1">
        <f ca="1">IFERROR(__xludf.DUMMYFUNCTION("""COMPUTED_VALUE"""),58.87)</f>
        <v>58.87</v>
      </c>
    </row>
    <row r="2992" spans="1:2">
      <c r="A2992" s="3">
        <f ca="1">IFERROR(__xludf.DUMMYFUNCTION("""COMPUTED_VALUE"""),42690.6666666666)</f>
        <v>42690.666666666599</v>
      </c>
      <c r="B2992" s="1">
        <f ca="1">IFERROR(__xludf.DUMMYFUNCTION("""COMPUTED_VALUE"""),59.65)</f>
        <v>59.65</v>
      </c>
    </row>
    <row r="2993" spans="1:2">
      <c r="A2993" s="3">
        <f ca="1">IFERROR(__xludf.DUMMYFUNCTION("""COMPUTED_VALUE"""),42691.6666666666)</f>
        <v>42691.666666666599</v>
      </c>
      <c r="B2993" s="1">
        <f ca="1">IFERROR(__xludf.DUMMYFUNCTION("""COMPUTED_VALUE"""),60.64)</f>
        <v>60.64</v>
      </c>
    </row>
    <row r="2994" spans="1:2">
      <c r="A2994" s="3">
        <f ca="1">IFERROR(__xludf.DUMMYFUNCTION("""COMPUTED_VALUE"""),42692.6666666666)</f>
        <v>42692.666666666599</v>
      </c>
      <c r="B2994" s="1">
        <f ca="1">IFERROR(__xludf.DUMMYFUNCTION("""COMPUTED_VALUE"""),60.35)</f>
        <v>60.35</v>
      </c>
    </row>
    <row r="2995" spans="1:2">
      <c r="A2995" s="3">
        <f ca="1">IFERROR(__xludf.DUMMYFUNCTION("""COMPUTED_VALUE"""),42695.6666666666)</f>
        <v>42695.666666666599</v>
      </c>
      <c r="B2995" s="1">
        <f ca="1">IFERROR(__xludf.DUMMYFUNCTION("""COMPUTED_VALUE"""),60.86)</f>
        <v>60.86</v>
      </c>
    </row>
    <row r="2996" spans="1:2">
      <c r="A2996" s="3">
        <f ca="1">IFERROR(__xludf.DUMMYFUNCTION("""COMPUTED_VALUE"""),42696.6666666666)</f>
        <v>42696.666666666599</v>
      </c>
      <c r="B2996" s="1">
        <f ca="1">IFERROR(__xludf.DUMMYFUNCTION("""COMPUTED_VALUE"""),61.12)</f>
        <v>61.12</v>
      </c>
    </row>
    <row r="2997" spans="1:2">
      <c r="A2997" s="3">
        <f ca="1">IFERROR(__xludf.DUMMYFUNCTION("""COMPUTED_VALUE"""),42697.6666666666)</f>
        <v>42697.666666666599</v>
      </c>
      <c r="B2997" s="1">
        <f ca="1">IFERROR(__xludf.DUMMYFUNCTION("""COMPUTED_VALUE"""),60.4)</f>
        <v>60.4</v>
      </c>
    </row>
    <row r="2998" spans="1:2">
      <c r="A2998" s="3">
        <f ca="1">IFERROR(__xludf.DUMMYFUNCTION("""COMPUTED_VALUE"""),42699.6666666666)</f>
        <v>42699.666666666599</v>
      </c>
      <c r="B2998" s="1">
        <f ca="1">IFERROR(__xludf.DUMMYFUNCTION("""COMPUTED_VALUE"""),60.53)</f>
        <v>60.53</v>
      </c>
    </row>
    <row r="2999" spans="1:2">
      <c r="A2999" s="3">
        <f ca="1">IFERROR(__xludf.DUMMYFUNCTION("""COMPUTED_VALUE"""),42702.6666666666)</f>
        <v>42702.666666666599</v>
      </c>
      <c r="B2999" s="1">
        <f ca="1">IFERROR(__xludf.DUMMYFUNCTION("""COMPUTED_VALUE"""),60.61)</f>
        <v>60.61</v>
      </c>
    </row>
    <row r="3000" spans="1:2">
      <c r="A3000" s="3">
        <f ca="1">IFERROR(__xludf.DUMMYFUNCTION("""COMPUTED_VALUE"""),42703.6666666666)</f>
        <v>42703.666666666599</v>
      </c>
      <c r="B3000" s="1">
        <f ca="1">IFERROR(__xludf.DUMMYFUNCTION("""COMPUTED_VALUE"""),61.09)</f>
        <v>61.09</v>
      </c>
    </row>
    <row r="3001" spans="1:2">
      <c r="A3001" s="3">
        <f ca="1">IFERROR(__xludf.DUMMYFUNCTION("""COMPUTED_VALUE"""),42704.6666666666)</f>
        <v>42704.666666666599</v>
      </c>
      <c r="B3001" s="1">
        <f ca="1">IFERROR(__xludf.DUMMYFUNCTION("""COMPUTED_VALUE"""),60.26)</f>
        <v>60.26</v>
      </c>
    </row>
    <row r="3002" spans="1:2">
      <c r="A3002" s="3">
        <f ca="1">IFERROR(__xludf.DUMMYFUNCTION("""COMPUTED_VALUE"""),42705.6666666666)</f>
        <v>42705.666666666599</v>
      </c>
      <c r="B3002" s="1">
        <f ca="1">IFERROR(__xludf.DUMMYFUNCTION("""COMPUTED_VALUE"""),59.2)</f>
        <v>59.2</v>
      </c>
    </row>
    <row r="3003" spans="1:2">
      <c r="A3003" s="3">
        <f ca="1">IFERROR(__xludf.DUMMYFUNCTION("""COMPUTED_VALUE"""),42706.6666666666)</f>
        <v>42706.666666666599</v>
      </c>
      <c r="B3003" s="1">
        <f ca="1">IFERROR(__xludf.DUMMYFUNCTION("""COMPUTED_VALUE"""),59.25)</f>
        <v>59.25</v>
      </c>
    </row>
    <row r="3004" spans="1:2">
      <c r="A3004" s="3">
        <f ca="1">IFERROR(__xludf.DUMMYFUNCTION("""COMPUTED_VALUE"""),42709.6666666666)</f>
        <v>42709.666666666599</v>
      </c>
      <c r="B3004" s="1">
        <f ca="1">IFERROR(__xludf.DUMMYFUNCTION("""COMPUTED_VALUE"""),60.22)</f>
        <v>60.22</v>
      </c>
    </row>
    <row r="3005" spans="1:2">
      <c r="A3005" s="3">
        <f ca="1">IFERROR(__xludf.DUMMYFUNCTION("""COMPUTED_VALUE"""),42710.6666666666)</f>
        <v>42710.666666666599</v>
      </c>
      <c r="B3005" s="1">
        <f ca="1">IFERROR(__xludf.DUMMYFUNCTION("""COMPUTED_VALUE"""),59.95)</f>
        <v>59.95</v>
      </c>
    </row>
    <row r="3006" spans="1:2">
      <c r="A3006" s="3">
        <f ca="1">IFERROR(__xludf.DUMMYFUNCTION("""COMPUTED_VALUE"""),42711.6666666666)</f>
        <v>42711.666666666599</v>
      </c>
      <c r="B3006" s="1">
        <f ca="1">IFERROR(__xludf.DUMMYFUNCTION("""COMPUTED_VALUE"""),61.37)</f>
        <v>61.37</v>
      </c>
    </row>
    <row r="3007" spans="1:2">
      <c r="A3007" s="3">
        <f ca="1">IFERROR(__xludf.DUMMYFUNCTION("""COMPUTED_VALUE"""),42712.6666666666)</f>
        <v>42712.666666666599</v>
      </c>
      <c r="B3007" s="1">
        <f ca="1">IFERROR(__xludf.DUMMYFUNCTION("""COMPUTED_VALUE"""),61.01)</f>
        <v>61.01</v>
      </c>
    </row>
    <row r="3008" spans="1:2">
      <c r="A3008" s="3">
        <f ca="1">IFERROR(__xludf.DUMMYFUNCTION("""COMPUTED_VALUE"""),42713.6666666666)</f>
        <v>42713.666666666599</v>
      </c>
      <c r="B3008" s="1">
        <f ca="1">IFERROR(__xludf.DUMMYFUNCTION("""COMPUTED_VALUE"""),61.97)</f>
        <v>61.97</v>
      </c>
    </row>
    <row r="3009" spans="1:2">
      <c r="A3009" s="3">
        <f ca="1">IFERROR(__xludf.DUMMYFUNCTION("""COMPUTED_VALUE"""),42716.6666666666)</f>
        <v>42716.666666666599</v>
      </c>
      <c r="B3009" s="1">
        <f ca="1">IFERROR(__xludf.DUMMYFUNCTION("""COMPUTED_VALUE"""),62.17)</f>
        <v>62.17</v>
      </c>
    </row>
    <row r="3010" spans="1:2">
      <c r="A3010" s="3">
        <f ca="1">IFERROR(__xludf.DUMMYFUNCTION("""COMPUTED_VALUE"""),42717.6666666666)</f>
        <v>42717.666666666599</v>
      </c>
      <c r="B3010" s="1">
        <f ca="1">IFERROR(__xludf.DUMMYFUNCTION("""COMPUTED_VALUE"""),62.98)</f>
        <v>62.98</v>
      </c>
    </row>
    <row r="3011" spans="1:2">
      <c r="A3011" s="3">
        <f ca="1">IFERROR(__xludf.DUMMYFUNCTION("""COMPUTED_VALUE"""),42718.6666666666)</f>
        <v>42718.666666666599</v>
      </c>
      <c r="B3011" s="1">
        <f ca="1">IFERROR(__xludf.DUMMYFUNCTION("""COMPUTED_VALUE"""),62.68)</f>
        <v>62.68</v>
      </c>
    </row>
    <row r="3012" spans="1:2">
      <c r="A3012" s="3">
        <f ca="1">IFERROR(__xludf.DUMMYFUNCTION("""COMPUTED_VALUE"""),42719.6666666666)</f>
        <v>42719.666666666599</v>
      </c>
      <c r="B3012" s="1">
        <f ca="1">IFERROR(__xludf.DUMMYFUNCTION("""COMPUTED_VALUE"""),62.58)</f>
        <v>62.58</v>
      </c>
    </row>
    <row r="3013" spans="1:2">
      <c r="A3013" s="3">
        <f ca="1">IFERROR(__xludf.DUMMYFUNCTION("""COMPUTED_VALUE"""),42720.6666666666)</f>
        <v>42720.666666666599</v>
      </c>
      <c r="B3013" s="1">
        <f ca="1">IFERROR(__xludf.DUMMYFUNCTION("""COMPUTED_VALUE"""),62.3)</f>
        <v>62.3</v>
      </c>
    </row>
    <row r="3014" spans="1:2">
      <c r="A3014" s="3">
        <f ca="1">IFERROR(__xludf.DUMMYFUNCTION("""COMPUTED_VALUE"""),42723.6666666666)</f>
        <v>42723.666666666599</v>
      </c>
      <c r="B3014" s="1">
        <f ca="1">IFERROR(__xludf.DUMMYFUNCTION("""COMPUTED_VALUE"""),63.62)</f>
        <v>63.62</v>
      </c>
    </row>
    <row r="3015" spans="1:2">
      <c r="A3015" s="3">
        <f ca="1">IFERROR(__xludf.DUMMYFUNCTION("""COMPUTED_VALUE"""),42724.6666666666)</f>
        <v>42724.666666666599</v>
      </c>
      <c r="B3015" s="1">
        <f ca="1">IFERROR(__xludf.DUMMYFUNCTION("""COMPUTED_VALUE"""),63.54)</f>
        <v>63.54</v>
      </c>
    </row>
    <row r="3016" spans="1:2">
      <c r="A3016" s="3">
        <f ca="1">IFERROR(__xludf.DUMMYFUNCTION("""COMPUTED_VALUE"""),42725.6666666666)</f>
        <v>42725.666666666599</v>
      </c>
      <c r="B3016" s="1">
        <f ca="1">IFERROR(__xludf.DUMMYFUNCTION("""COMPUTED_VALUE"""),63.54)</f>
        <v>63.54</v>
      </c>
    </row>
    <row r="3017" spans="1:2">
      <c r="A3017" s="3">
        <f ca="1">IFERROR(__xludf.DUMMYFUNCTION("""COMPUTED_VALUE"""),42726.6666666666)</f>
        <v>42726.666666666599</v>
      </c>
      <c r="B3017" s="1">
        <f ca="1">IFERROR(__xludf.DUMMYFUNCTION("""COMPUTED_VALUE"""),63.55)</f>
        <v>63.55</v>
      </c>
    </row>
    <row r="3018" spans="1:2">
      <c r="A3018" s="3">
        <f ca="1">IFERROR(__xludf.DUMMYFUNCTION("""COMPUTED_VALUE"""),42727.6666666666)</f>
        <v>42727.666666666599</v>
      </c>
      <c r="B3018" s="1">
        <f ca="1">IFERROR(__xludf.DUMMYFUNCTION("""COMPUTED_VALUE"""),63.24)</f>
        <v>63.24</v>
      </c>
    </row>
    <row r="3019" spans="1:2">
      <c r="A3019" s="3">
        <f ca="1">IFERROR(__xludf.DUMMYFUNCTION("""COMPUTED_VALUE"""),42731.6666666666)</f>
        <v>42731.666666666599</v>
      </c>
      <c r="B3019" s="1">
        <f ca="1">IFERROR(__xludf.DUMMYFUNCTION("""COMPUTED_VALUE"""),63.28)</f>
        <v>63.28</v>
      </c>
    </row>
    <row r="3020" spans="1:2">
      <c r="A3020" s="3">
        <f ca="1">IFERROR(__xludf.DUMMYFUNCTION("""COMPUTED_VALUE"""),42732.6666666666)</f>
        <v>42732.666666666599</v>
      </c>
      <c r="B3020" s="1">
        <f ca="1">IFERROR(__xludf.DUMMYFUNCTION("""COMPUTED_VALUE"""),62.99)</f>
        <v>62.99</v>
      </c>
    </row>
    <row r="3021" spans="1:2">
      <c r="A3021" s="3">
        <f ca="1">IFERROR(__xludf.DUMMYFUNCTION("""COMPUTED_VALUE"""),42733.6666666666)</f>
        <v>42733.666666666599</v>
      </c>
      <c r="B3021" s="1">
        <f ca="1">IFERROR(__xludf.DUMMYFUNCTION("""COMPUTED_VALUE"""),62.9)</f>
        <v>62.9</v>
      </c>
    </row>
    <row r="3022" spans="1:2">
      <c r="A3022" s="3">
        <f ca="1">IFERROR(__xludf.DUMMYFUNCTION("""COMPUTED_VALUE"""),42734.6666666666)</f>
        <v>42734.666666666599</v>
      </c>
      <c r="B3022" s="1">
        <f ca="1">IFERROR(__xludf.DUMMYFUNCTION("""COMPUTED_VALUE"""),62.14)</f>
        <v>62.14</v>
      </c>
    </row>
    <row r="3023" spans="1:2">
      <c r="A3023" s="3">
        <f ca="1">IFERROR(__xludf.DUMMYFUNCTION("""COMPUTED_VALUE"""),42738.6666666666)</f>
        <v>42738.666666666599</v>
      </c>
      <c r="B3023" s="1">
        <f ca="1">IFERROR(__xludf.DUMMYFUNCTION("""COMPUTED_VALUE"""),62.58)</f>
        <v>62.58</v>
      </c>
    </row>
    <row r="3024" spans="1:2">
      <c r="A3024" s="3">
        <f ca="1">IFERROR(__xludf.DUMMYFUNCTION("""COMPUTED_VALUE"""),42739.6666666666)</f>
        <v>42739.666666666599</v>
      </c>
      <c r="B3024" s="1">
        <f ca="1">IFERROR(__xludf.DUMMYFUNCTION("""COMPUTED_VALUE"""),62.3)</f>
        <v>62.3</v>
      </c>
    </row>
    <row r="3025" spans="1:2">
      <c r="A3025" s="3">
        <f ca="1">IFERROR(__xludf.DUMMYFUNCTION("""COMPUTED_VALUE"""),42740.6666666666)</f>
        <v>42740.666666666599</v>
      </c>
      <c r="B3025" s="1">
        <f ca="1">IFERROR(__xludf.DUMMYFUNCTION("""COMPUTED_VALUE"""),62.3)</f>
        <v>62.3</v>
      </c>
    </row>
    <row r="3026" spans="1:2">
      <c r="A3026" s="3">
        <f ca="1">IFERROR(__xludf.DUMMYFUNCTION("""COMPUTED_VALUE"""),42741.6666666666)</f>
        <v>42741.666666666599</v>
      </c>
      <c r="B3026" s="1">
        <f ca="1">IFERROR(__xludf.DUMMYFUNCTION("""COMPUTED_VALUE"""),62.84)</f>
        <v>62.84</v>
      </c>
    </row>
    <row r="3027" spans="1:2">
      <c r="A3027" s="3">
        <f ca="1">IFERROR(__xludf.DUMMYFUNCTION("""COMPUTED_VALUE"""),42744.6666666666)</f>
        <v>42744.666666666599</v>
      </c>
      <c r="B3027" s="1">
        <f ca="1">IFERROR(__xludf.DUMMYFUNCTION("""COMPUTED_VALUE"""),62.64)</f>
        <v>62.64</v>
      </c>
    </row>
    <row r="3028" spans="1:2">
      <c r="A3028" s="3">
        <f ca="1">IFERROR(__xludf.DUMMYFUNCTION("""COMPUTED_VALUE"""),42745.6666666666)</f>
        <v>42745.666666666599</v>
      </c>
      <c r="B3028" s="1">
        <f ca="1">IFERROR(__xludf.DUMMYFUNCTION("""COMPUTED_VALUE"""),62.62)</f>
        <v>62.62</v>
      </c>
    </row>
    <row r="3029" spans="1:2">
      <c r="A3029" s="3">
        <f ca="1">IFERROR(__xludf.DUMMYFUNCTION("""COMPUTED_VALUE"""),42746.6666666666)</f>
        <v>42746.666666666599</v>
      </c>
      <c r="B3029" s="1">
        <f ca="1">IFERROR(__xludf.DUMMYFUNCTION("""COMPUTED_VALUE"""),63.19)</f>
        <v>63.19</v>
      </c>
    </row>
    <row r="3030" spans="1:2">
      <c r="A3030" s="3">
        <f ca="1">IFERROR(__xludf.DUMMYFUNCTION("""COMPUTED_VALUE"""),42747.6666666666)</f>
        <v>42747.666666666599</v>
      </c>
      <c r="B3030" s="1">
        <f ca="1">IFERROR(__xludf.DUMMYFUNCTION("""COMPUTED_VALUE"""),62.61)</f>
        <v>62.61</v>
      </c>
    </row>
    <row r="3031" spans="1:2">
      <c r="A3031" s="3">
        <f ca="1">IFERROR(__xludf.DUMMYFUNCTION("""COMPUTED_VALUE"""),42748.6666666666)</f>
        <v>42748.666666666599</v>
      </c>
      <c r="B3031" s="1">
        <f ca="1">IFERROR(__xludf.DUMMYFUNCTION("""COMPUTED_VALUE"""),62.7)</f>
        <v>62.7</v>
      </c>
    </row>
    <row r="3032" spans="1:2">
      <c r="A3032" s="3">
        <f ca="1">IFERROR(__xludf.DUMMYFUNCTION("""COMPUTED_VALUE"""),42752.6666666666)</f>
        <v>42752.666666666599</v>
      </c>
      <c r="B3032" s="1">
        <f ca="1">IFERROR(__xludf.DUMMYFUNCTION("""COMPUTED_VALUE"""),62.53)</f>
        <v>62.53</v>
      </c>
    </row>
    <row r="3033" spans="1:2">
      <c r="A3033" s="3">
        <f ca="1">IFERROR(__xludf.DUMMYFUNCTION("""COMPUTED_VALUE"""),42753.6666666666)</f>
        <v>42753.666666666599</v>
      </c>
      <c r="B3033" s="1">
        <f ca="1">IFERROR(__xludf.DUMMYFUNCTION("""COMPUTED_VALUE"""),62.5)</f>
        <v>62.5</v>
      </c>
    </row>
    <row r="3034" spans="1:2">
      <c r="A3034" s="3">
        <f ca="1">IFERROR(__xludf.DUMMYFUNCTION("""COMPUTED_VALUE"""),42754.6666666666)</f>
        <v>42754.666666666599</v>
      </c>
      <c r="B3034" s="1">
        <f ca="1">IFERROR(__xludf.DUMMYFUNCTION("""COMPUTED_VALUE"""),62.3)</f>
        <v>62.3</v>
      </c>
    </row>
    <row r="3035" spans="1:2">
      <c r="A3035" s="3">
        <f ca="1">IFERROR(__xludf.DUMMYFUNCTION("""COMPUTED_VALUE"""),42755.6666666666)</f>
        <v>42755.666666666599</v>
      </c>
      <c r="B3035" s="1">
        <f ca="1">IFERROR(__xludf.DUMMYFUNCTION("""COMPUTED_VALUE"""),62.74)</f>
        <v>62.74</v>
      </c>
    </row>
    <row r="3036" spans="1:2">
      <c r="A3036" s="3">
        <f ca="1">IFERROR(__xludf.DUMMYFUNCTION("""COMPUTED_VALUE"""),42758.6666666666)</f>
        <v>42758.666666666599</v>
      </c>
      <c r="B3036" s="1">
        <f ca="1">IFERROR(__xludf.DUMMYFUNCTION("""COMPUTED_VALUE"""),62.96)</f>
        <v>62.96</v>
      </c>
    </row>
    <row r="3037" spans="1:2">
      <c r="A3037" s="3">
        <f ca="1">IFERROR(__xludf.DUMMYFUNCTION("""COMPUTED_VALUE"""),42759.6666666666)</f>
        <v>42759.666666666599</v>
      </c>
      <c r="B3037" s="1">
        <f ca="1">IFERROR(__xludf.DUMMYFUNCTION("""COMPUTED_VALUE"""),63.52)</f>
        <v>63.52</v>
      </c>
    </row>
    <row r="3038" spans="1:2">
      <c r="A3038" s="3">
        <f ca="1">IFERROR(__xludf.DUMMYFUNCTION("""COMPUTED_VALUE"""),42760.6666666666)</f>
        <v>42760.666666666599</v>
      </c>
      <c r="B3038" s="1">
        <f ca="1">IFERROR(__xludf.DUMMYFUNCTION("""COMPUTED_VALUE"""),63.68)</f>
        <v>63.68</v>
      </c>
    </row>
    <row r="3039" spans="1:2">
      <c r="A3039" s="3">
        <f ca="1">IFERROR(__xludf.DUMMYFUNCTION("""COMPUTED_VALUE"""),42761.6666666666)</f>
        <v>42761.666666666599</v>
      </c>
      <c r="B3039" s="1">
        <f ca="1">IFERROR(__xludf.DUMMYFUNCTION("""COMPUTED_VALUE"""),64.27)</f>
        <v>64.27</v>
      </c>
    </row>
    <row r="3040" spans="1:2">
      <c r="A3040" s="3">
        <f ca="1">IFERROR(__xludf.DUMMYFUNCTION("""COMPUTED_VALUE"""),42762.6666666666)</f>
        <v>42762.666666666599</v>
      </c>
      <c r="B3040" s="1">
        <f ca="1">IFERROR(__xludf.DUMMYFUNCTION("""COMPUTED_VALUE"""),65.78)</f>
        <v>65.78</v>
      </c>
    </row>
    <row r="3041" spans="1:2">
      <c r="A3041" s="3">
        <f ca="1">IFERROR(__xludf.DUMMYFUNCTION("""COMPUTED_VALUE"""),42765.6666666666)</f>
        <v>42765.666666666599</v>
      </c>
      <c r="B3041" s="1">
        <f ca="1">IFERROR(__xludf.DUMMYFUNCTION("""COMPUTED_VALUE"""),65.13)</f>
        <v>65.13</v>
      </c>
    </row>
    <row r="3042" spans="1:2">
      <c r="A3042" s="3">
        <f ca="1">IFERROR(__xludf.DUMMYFUNCTION("""COMPUTED_VALUE"""),42766.6666666666)</f>
        <v>42766.666666666599</v>
      </c>
      <c r="B3042" s="1">
        <f ca="1">IFERROR(__xludf.DUMMYFUNCTION("""COMPUTED_VALUE"""),64.65)</f>
        <v>64.650000000000006</v>
      </c>
    </row>
    <row r="3043" spans="1:2">
      <c r="A3043" s="3">
        <f ca="1">IFERROR(__xludf.DUMMYFUNCTION("""COMPUTED_VALUE"""),42767.6666666666)</f>
        <v>42767.666666666599</v>
      </c>
      <c r="B3043" s="1">
        <f ca="1">IFERROR(__xludf.DUMMYFUNCTION("""COMPUTED_VALUE"""),63.58)</f>
        <v>63.58</v>
      </c>
    </row>
    <row r="3044" spans="1:2">
      <c r="A3044" s="3">
        <f ca="1">IFERROR(__xludf.DUMMYFUNCTION("""COMPUTED_VALUE"""),42768.6666666666)</f>
        <v>42768.666666666599</v>
      </c>
      <c r="B3044" s="1">
        <f ca="1">IFERROR(__xludf.DUMMYFUNCTION("""COMPUTED_VALUE"""),63.17)</f>
        <v>63.17</v>
      </c>
    </row>
    <row r="3045" spans="1:2">
      <c r="A3045" s="3">
        <f ca="1">IFERROR(__xludf.DUMMYFUNCTION("""COMPUTED_VALUE"""),42769.6666666666)</f>
        <v>42769.666666666599</v>
      </c>
      <c r="B3045" s="1">
        <f ca="1">IFERROR(__xludf.DUMMYFUNCTION("""COMPUTED_VALUE"""),63.68)</f>
        <v>63.68</v>
      </c>
    </row>
    <row r="3046" spans="1:2">
      <c r="A3046" s="3">
        <f ca="1">IFERROR(__xludf.DUMMYFUNCTION("""COMPUTED_VALUE"""),42772.6666666666)</f>
        <v>42772.666666666599</v>
      </c>
      <c r="B3046" s="1">
        <f ca="1">IFERROR(__xludf.DUMMYFUNCTION("""COMPUTED_VALUE"""),63.64)</f>
        <v>63.64</v>
      </c>
    </row>
    <row r="3047" spans="1:2">
      <c r="A3047" s="3">
        <f ca="1">IFERROR(__xludf.DUMMYFUNCTION("""COMPUTED_VALUE"""),42773.6666666666)</f>
        <v>42773.666666666599</v>
      </c>
      <c r="B3047" s="1">
        <f ca="1">IFERROR(__xludf.DUMMYFUNCTION("""COMPUTED_VALUE"""),63.43)</f>
        <v>63.43</v>
      </c>
    </row>
    <row r="3048" spans="1:2">
      <c r="A3048" s="3">
        <f ca="1">IFERROR(__xludf.DUMMYFUNCTION("""COMPUTED_VALUE"""),42774.6666666666)</f>
        <v>42774.666666666599</v>
      </c>
      <c r="B3048" s="1">
        <f ca="1">IFERROR(__xludf.DUMMYFUNCTION("""COMPUTED_VALUE"""),63.34)</f>
        <v>63.34</v>
      </c>
    </row>
    <row r="3049" spans="1:2">
      <c r="A3049" s="3">
        <f ca="1">IFERROR(__xludf.DUMMYFUNCTION("""COMPUTED_VALUE"""),42775.6666666666)</f>
        <v>42775.666666666599</v>
      </c>
      <c r="B3049" s="1">
        <f ca="1">IFERROR(__xludf.DUMMYFUNCTION("""COMPUTED_VALUE"""),64.06)</f>
        <v>64.06</v>
      </c>
    </row>
    <row r="3050" spans="1:2">
      <c r="A3050" s="3">
        <f ca="1">IFERROR(__xludf.DUMMYFUNCTION("""COMPUTED_VALUE"""),42776.6666666666)</f>
        <v>42776.666666666599</v>
      </c>
      <c r="B3050" s="1">
        <f ca="1">IFERROR(__xludf.DUMMYFUNCTION("""COMPUTED_VALUE"""),64)</f>
        <v>64</v>
      </c>
    </row>
    <row r="3051" spans="1:2">
      <c r="A3051" s="3">
        <f ca="1">IFERROR(__xludf.DUMMYFUNCTION("""COMPUTED_VALUE"""),42779.6666666666)</f>
        <v>42779.666666666599</v>
      </c>
      <c r="B3051" s="1">
        <f ca="1">IFERROR(__xludf.DUMMYFUNCTION("""COMPUTED_VALUE"""),64.72)</f>
        <v>64.72</v>
      </c>
    </row>
    <row r="3052" spans="1:2">
      <c r="A3052" s="3">
        <f ca="1">IFERROR(__xludf.DUMMYFUNCTION("""COMPUTED_VALUE"""),42780.6666666666)</f>
        <v>42780.666666666599</v>
      </c>
      <c r="B3052" s="1">
        <f ca="1">IFERROR(__xludf.DUMMYFUNCTION("""COMPUTED_VALUE"""),64.57)</f>
        <v>64.569999999999993</v>
      </c>
    </row>
    <row r="3053" spans="1:2">
      <c r="A3053" s="3">
        <f ca="1">IFERROR(__xludf.DUMMYFUNCTION("""COMPUTED_VALUE"""),42781.6666666666)</f>
        <v>42781.666666666599</v>
      </c>
      <c r="B3053" s="1">
        <f ca="1">IFERROR(__xludf.DUMMYFUNCTION("""COMPUTED_VALUE"""),64.53)</f>
        <v>64.53</v>
      </c>
    </row>
    <row r="3054" spans="1:2">
      <c r="A3054" s="3">
        <f ca="1">IFERROR(__xludf.DUMMYFUNCTION("""COMPUTED_VALUE"""),42782.6666666666)</f>
        <v>42782.666666666599</v>
      </c>
      <c r="B3054" s="1">
        <f ca="1">IFERROR(__xludf.DUMMYFUNCTION("""COMPUTED_VALUE"""),64.52)</f>
        <v>64.52</v>
      </c>
    </row>
    <row r="3055" spans="1:2">
      <c r="A3055" s="3">
        <f ca="1">IFERROR(__xludf.DUMMYFUNCTION("""COMPUTED_VALUE"""),42783.6666666666)</f>
        <v>42783.666666666599</v>
      </c>
      <c r="B3055" s="1">
        <f ca="1">IFERROR(__xludf.DUMMYFUNCTION("""COMPUTED_VALUE"""),64.62)</f>
        <v>64.62</v>
      </c>
    </row>
    <row r="3056" spans="1:2">
      <c r="A3056" s="3">
        <f ca="1">IFERROR(__xludf.DUMMYFUNCTION("""COMPUTED_VALUE"""),42787.6666666666)</f>
        <v>42787.666666666599</v>
      </c>
      <c r="B3056" s="1">
        <f ca="1">IFERROR(__xludf.DUMMYFUNCTION("""COMPUTED_VALUE"""),64.49)</f>
        <v>64.489999999999995</v>
      </c>
    </row>
    <row r="3057" spans="1:2">
      <c r="A3057" s="3">
        <f ca="1">IFERROR(__xludf.DUMMYFUNCTION("""COMPUTED_VALUE"""),42788.6666666666)</f>
        <v>42788.666666666599</v>
      </c>
      <c r="B3057" s="1">
        <f ca="1">IFERROR(__xludf.DUMMYFUNCTION("""COMPUTED_VALUE"""),64.36)</f>
        <v>64.36</v>
      </c>
    </row>
    <row r="3058" spans="1:2">
      <c r="A3058" s="3">
        <f ca="1">IFERROR(__xludf.DUMMYFUNCTION("""COMPUTED_VALUE"""),42789.6666666666)</f>
        <v>42789.666666666599</v>
      </c>
      <c r="B3058" s="1">
        <f ca="1">IFERROR(__xludf.DUMMYFUNCTION("""COMPUTED_VALUE"""),64.62)</f>
        <v>64.62</v>
      </c>
    </row>
    <row r="3059" spans="1:2">
      <c r="A3059" s="3">
        <f ca="1">IFERROR(__xludf.DUMMYFUNCTION("""COMPUTED_VALUE"""),42790.6666666666)</f>
        <v>42790.666666666599</v>
      </c>
      <c r="B3059" s="1">
        <f ca="1">IFERROR(__xludf.DUMMYFUNCTION("""COMPUTED_VALUE"""),64.62)</f>
        <v>64.62</v>
      </c>
    </row>
    <row r="3060" spans="1:2">
      <c r="A3060" s="3">
        <f ca="1">IFERROR(__xludf.DUMMYFUNCTION("""COMPUTED_VALUE"""),42793.6666666666)</f>
        <v>42793.666666666599</v>
      </c>
      <c r="B3060" s="1">
        <f ca="1">IFERROR(__xludf.DUMMYFUNCTION("""COMPUTED_VALUE"""),64.23)</f>
        <v>64.23</v>
      </c>
    </row>
    <row r="3061" spans="1:2">
      <c r="A3061" s="3">
        <f ca="1">IFERROR(__xludf.DUMMYFUNCTION("""COMPUTED_VALUE"""),42794.6666666666)</f>
        <v>42794.666666666599</v>
      </c>
      <c r="B3061" s="1">
        <f ca="1">IFERROR(__xludf.DUMMYFUNCTION("""COMPUTED_VALUE"""),63.98)</f>
        <v>63.98</v>
      </c>
    </row>
    <row r="3062" spans="1:2">
      <c r="A3062" s="3">
        <f ca="1">IFERROR(__xludf.DUMMYFUNCTION("""COMPUTED_VALUE"""),42795.6666666666)</f>
        <v>42795.666666666599</v>
      </c>
      <c r="B3062" s="1">
        <f ca="1">IFERROR(__xludf.DUMMYFUNCTION("""COMPUTED_VALUE"""),64.94)</f>
        <v>64.94</v>
      </c>
    </row>
    <row r="3063" spans="1:2">
      <c r="A3063" s="3">
        <f ca="1">IFERROR(__xludf.DUMMYFUNCTION("""COMPUTED_VALUE"""),42796.6666666666)</f>
        <v>42796.666666666599</v>
      </c>
      <c r="B3063" s="1">
        <f ca="1">IFERROR(__xludf.DUMMYFUNCTION("""COMPUTED_VALUE"""),64.01)</f>
        <v>64.010000000000005</v>
      </c>
    </row>
    <row r="3064" spans="1:2">
      <c r="A3064" s="3">
        <f ca="1">IFERROR(__xludf.DUMMYFUNCTION("""COMPUTED_VALUE"""),42797.6666666666)</f>
        <v>42797.666666666599</v>
      </c>
      <c r="B3064" s="1">
        <f ca="1">IFERROR(__xludf.DUMMYFUNCTION("""COMPUTED_VALUE"""),64.25)</f>
        <v>64.25</v>
      </c>
    </row>
    <row r="3065" spans="1:2">
      <c r="A3065" s="3">
        <f ca="1">IFERROR(__xludf.DUMMYFUNCTION("""COMPUTED_VALUE"""),42800.6666666666)</f>
        <v>42800.666666666599</v>
      </c>
      <c r="B3065" s="1">
        <f ca="1">IFERROR(__xludf.DUMMYFUNCTION("""COMPUTED_VALUE"""),64.27)</f>
        <v>64.27</v>
      </c>
    </row>
    <row r="3066" spans="1:2">
      <c r="A3066" s="3">
        <f ca="1">IFERROR(__xludf.DUMMYFUNCTION("""COMPUTED_VALUE"""),42801.6666666666)</f>
        <v>42801.666666666599</v>
      </c>
      <c r="B3066" s="1">
        <f ca="1">IFERROR(__xludf.DUMMYFUNCTION("""COMPUTED_VALUE"""),64.4)</f>
        <v>64.400000000000006</v>
      </c>
    </row>
    <row r="3067" spans="1:2">
      <c r="A3067" s="3">
        <f ca="1">IFERROR(__xludf.DUMMYFUNCTION("""COMPUTED_VALUE"""),42802.6666666666)</f>
        <v>42802.666666666599</v>
      </c>
      <c r="B3067" s="1">
        <f ca="1">IFERROR(__xludf.DUMMYFUNCTION("""COMPUTED_VALUE"""),64.99)</f>
        <v>64.989999999999995</v>
      </c>
    </row>
    <row r="3068" spans="1:2">
      <c r="A3068" s="3">
        <f ca="1">IFERROR(__xludf.DUMMYFUNCTION("""COMPUTED_VALUE"""),42803.6666666666)</f>
        <v>42803.666666666599</v>
      </c>
      <c r="B3068" s="1">
        <f ca="1">IFERROR(__xludf.DUMMYFUNCTION("""COMPUTED_VALUE"""),64.73)</f>
        <v>64.73</v>
      </c>
    </row>
    <row r="3069" spans="1:2">
      <c r="A3069" s="3">
        <f ca="1">IFERROR(__xludf.DUMMYFUNCTION("""COMPUTED_VALUE"""),42804.6666666666)</f>
        <v>42804.666666666599</v>
      </c>
      <c r="B3069" s="1">
        <f ca="1">IFERROR(__xludf.DUMMYFUNCTION("""COMPUTED_VALUE"""),64.93)</f>
        <v>64.930000000000007</v>
      </c>
    </row>
    <row r="3070" spans="1:2">
      <c r="A3070" s="3">
        <f ca="1">IFERROR(__xludf.DUMMYFUNCTION("""COMPUTED_VALUE"""),42807.6666666666)</f>
        <v>42807.666666666599</v>
      </c>
      <c r="B3070" s="1">
        <f ca="1">IFERROR(__xludf.DUMMYFUNCTION("""COMPUTED_VALUE"""),64.71)</f>
        <v>64.709999999999994</v>
      </c>
    </row>
    <row r="3071" spans="1:2">
      <c r="A3071" s="3">
        <f ca="1">IFERROR(__xludf.DUMMYFUNCTION("""COMPUTED_VALUE"""),42808.6666666666)</f>
        <v>42808.666666666599</v>
      </c>
      <c r="B3071" s="1">
        <f ca="1">IFERROR(__xludf.DUMMYFUNCTION("""COMPUTED_VALUE"""),64.41)</f>
        <v>64.41</v>
      </c>
    </row>
    <row r="3072" spans="1:2">
      <c r="A3072" s="3">
        <f ca="1">IFERROR(__xludf.DUMMYFUNCTION("""COMPUTED_VALUE"""),42809.6666666666)</f>
        <v>42809.666666666599</v>
      </c>
      <c r="B3072" s="1">
        <f ca="1">IFERROR(__xludf.DUMMYFUNCTION("""COMPUTED_VALUE"""),64.75)</f>
        <v>64.75</v>
      </c>
    </row>
    <row r="3073" spans="1:2">
      <c r="A3073" s="3">
        <f ca="1">IFERROR(__xludf.DUMMYFUNCTION("""COMPUTED_VALUE"""),42810.6666666666)</f>
        <v>42810.666666666599</v>
      </c>
      <c r="B3073" s="1">
        <f ca="1">IFERROR(__xludf.DUMMYFUNCTION("""COMPUTED_VALUE"""),64.64)</f>
        <v>64.64</v>
      </c>
    </row>
    <row r="3074" spans="1:2">
      <c r="A3074" s="3">
        <f ca="1">IFERROR(__xludf.DUMMYFUNCTION("""COMPUTED_VALUE"""),42811.6666666666)</f>
        <v>42811.666666666599</v>
      </c>
      <c r="B3074" s="1">
        <f ca="1">IFERROR(__xludf.DUMMYFUNCTION("""COMPUTED_VALUE"""),64.87)</f>
        <v>64.87</v>
      </c>
    </row>
    <row r="3075" spans="1:2">
      <c r="A3075" s="3">
        <f ca="1">IFERROR(__xludf.DUMMYFUNCTION("""COMPUTED_VALUE"""),42814.6666666666)</f>
        <v>42814.666666666599</v>
      </c>
      <c r="B3075" s="1">
        <f ca="1">IFERROR(__xludf.DUMMYFUNCTION("""COMPUTED_VALUE"""),64.93)</f>
        <v>64.930000000000007</v>
      </c>
    </row>
    <row r="3076" spans="1:2">
      <c r="A3076" s="3">
        <f ca="1">IFERROR(__xludf.DUMMYFUNCTION("""COMPUTED_VALUE"""),42815.6666666666)</f>
        <v>42815.666666666599</v>
      </c>
      <c r="B3076" s="1">
        <f ca="1">IFERROR(__xludf.DUMMYFUNCTION("""COMPUTED_VALUE"""),64.21)</f>
        <v>64.209999999999994</v>
      </c>
    </row>
    <row r="3077" spans="1:2">
      <c r="A3077" s="3">
        <f ca="1">IFERROR(__xludf.DUMMYFUNCTION("""COMPUTED_VALUE"""),42816.6666666666)</f>
        <v>42816.666666666599</v>
      </c>
      <c r="B3077" s="1">
        <f ca="1">IFERROR(__xludf.DUMMYFUNCTION("""COMPUTED_VALUE"""),65.03)</f>
        <v>65.03</v>
      </c>
    </row>
    <row r="3078" spans="1:2">
      <c r="A3078" s="3">
        <f ca="1">IFERROR(__xludf.DUMMYFUNCTION("""COMPUTED_VALUE"""),42817.6666666666)</f>
        <v>42817.666666666599</v>
      </c>
      <c r="B3078" s="1">
        <f ca="1">IFERROR(__xludf.DUMMYFUNCTION("""COMPUTED_VALUE"""),64.87)</f>
        <v>64.87</v>
      </c>
    </row>
    <row r="3079" spans="1:2">
      <c r="A3079" s="3">
        <f ca="1">IFERROR(__xludf.DUMMYFUNCTION("""COMPUTED_VALUE"""),42818.6666666666)</f>
        <v>42818.666666666599</v>
      </c>
      <c r="B3079" s="1">
        <f ca="1">IFERROR(__xludf.DUMMYFUNCTION("""COMPUTED_VALUE"""),64.98)</f>
        <v>64.98</v>
      </c>
    </row>
    <row r="3080" spans="1:2">
      <c r="A3080" s="3">
        <f ca="1">IFERROR(__xludf.DUMMYFUNCTION("""COMPUTED_VALUE"""),42821.6666666666)</f>
        <v>42821.666666666599</v>
      </c>
      <c r="B3080" s="1">
        <f ca="1">IFERROR(__xludf.DUMMYFUNCTION("""COMPUTED_VALUE"""),65.1)</f>
        <v>65.099999999999994</v>
      </c>
    </row>
    <row r="3081" spans="1:2">
      <c r="A3081" s="3">
        <f ca="1">IFERROR(__xludf.DUMMYFUNCTION("""COMPUTED_VALUE"""),42822.6666666666)</f>
        <v>42822.666666666599</v>
      </c>
      <c r="B3081" s="1">
        <f ca="1">IFERROR(__xludf.DUMMYFUNCTION("""COMPUTED_VALUE"""),65.29)</f>
        <v>65.290000000000006</v>
      </c>
    </row>
    <row r="3082" spans="1:2">
      <c r="A3082" s="3">
        <f ca="1">IFERROR(__xludf.DUMMYFUNCTION("""COMPUTED_VALUE"""),42823.6666666666)</f>
        <v>42823.666666666599</v>
      </c>
      <c r="B3082" s="1">
        <f ca="1">IFERROR(__xludf.DUMMYFUNCTION("""COMPUTED_VALUE"""),65.47)</f>
        <v>65.47</v>
      </c>
    </row>
    <row r="3083" spans="1:2">
      <c r="A3083" s="3">
        <f ca="1">IFERROR(__xludf.DUMMYFUNCTION("""COMPUTED_VALUE"""),42824.6666666666)</f>
        <v>42824.666666666599</v>
      </c>
      <c r="B3083" s="1">
        <f ca="1">IFERROR(__xludf.DUMMYFUNCTION("""COMPUTED_VALUE"""),65.71)</f>
        <v>65.709999999999994</v>
      </c>
    </row>
    <row r="3084" spans="1:2">
      <c r="A3084" s="3">
        <f ca="1">IFERROR(__xludf.DUMMYFUNCTION("""COMPUTED_VALUE"""),42825.6666666666)</f>
        <v>42825.666666666599</v>
      </c>
      <c r="B3084" s="1">
        <f ca="1">IFERROR(__xludf.DUMMYFUNCTION("""COMPUTED_VALUE"""),65.86)</f>
        <v>65.86</v>
      </c>
    </row>
    <row r="3085" spans="1:2">
      <c r="A3085" s="3">
        <f ca="1">IFERROR(__xludf.DUMMYFUNCTION("""COMPUTED_VALUE"""),42828.6666666666)</f>
        <v>42828.666666666599</v>
      </c>
      <c r="B3085" s="1">
        <f ca="1">IFERROR(__xludf.DUMMYFUNCTION("""COMPUTED_VALUE"""),65.55)</f>
        <v>65.55</v>
      </c>
    </row>
    <row r="3086" spans="1:2">
      <c r="A3086" s="3">
        <f ca="1">IFERROR(__xludf.DUMMYFUNCTION("""COMPUTED_VALUE"""),42829.6666666666)</f>
        <v>42829.666666666599</v>
      </c>
      <c r="B3086" s="1">
        <f ca="1">IFERROR(__xludf.DUMMYFUNCTION("""COMPUTED_VALUE"""),65.73)</f>
        <v>65.73</v>
      </c>
    </row>
    <row r="3087" spans="1:2">
      <c r="A3087" s="3">
        <f ca="1">IFERROR(__xludf.DUMMYFUNCTION("""COMPUTED_VALUE"""),42830.6666666666)</f>
        <v>42830.666666666599</v>
      </c>
      <c r="B3087" s="1">
        <f ca="1">IFERROR(__xludf.DUMMYFUNCTION("""COMPUTED_VALUE"""),65.56)</f>
        <v>65.56</v>
      </c>
    </row>
    <row r="3088" spans="1:2">
      <c r="A3088" s="3">
        <f ca="1">IFERROR(__xludf.DUMMYFUNCTION("""COMPUTED_VALUE"""),42831.6666666666)</f>
        <v>42831.666666666599</v>
      </c>
      <c r="B3088" s="1">
        <f ca="1">IFERROR(__xludf.DUMMYFUNCTION("""COMPUTED_VALUE"""),65.73)</f>
        <v>65.73</v>
      </c>
    </row>
    <row r="3089" spans="1:2">
      <c r="A3089" s="3">
        <f ca="1">IFERROR(__xludf.DUMMYFUNCTION("""COMPUTED_VALUE"""),42832.6666666666)</f>
        <v>42832.666666666599</v>
      </c>
      <c r="B3089" s="1">
        <f ca="1">IFERROR(__xludf.DUMMYFUNCTION("""COMPUTED_VALUE"""),65.68)</f>
        <v>65.680000000000007</v>
      </c>
    </row>
    <row r="3090" spans="1:2">
      <c r="A3090" s="3">
        <f ca="1">IFERROR(__xludf.DUMMYFUNCTION("""COMPUTED_VALUE"""),42835.6666666666)</f>
        <v>42835.666666666599</v>
      </c>
      <c r="B3090" s="1">
        <f ca="1">IFERROR(__xludf.DUMMYFUNCTION("""COMPUTED_VALUE"""),65.53)</f>
        <v>65.53</v>
      </c>
    </row>
    <row r="3091" spans="1:2">
      <c r="A3091" s="3">
        <f ca="1">IFERROR(__xludf.DUMMYFUNCTION("""COMPUTED_VALUE"""),42836.6666666666)</f>
        <v>42836.666666666599</v>
      </c>
      <c r="B3091" s="1">
        <f ca="1">IFERROR(__xludf.DUMMYFUNCTION("""COMPUTED_VALUE"""),65.48)</f>
        <v>65.48</v>
      </c>
    </row>
    <row r="3092" spans="1:2">
      <c r="A3092" s="3">
        <f ca="1">IFERROR(__xludf.DUMMYFUNCTION("""COMPUTED_VALUE"""),42837.6666666666)</f>
        <v>42837.666666666599</v>
      </c>
      <c r="B3092" s="1">
        <f ca="1">IFERROR(__xludf.DUMMYFUNCTION("""COMPUTED_VALUE"""),65.23)</f>
        <v>65.23</v>
      </c>
    </row>
    <row r="3093" spans="1:2">
      <c r="A3093" s="3">
        <f ca="1">IFERROR(__xludf.DUMMYFUNCTION("""COMPUTED_VALUE"""),42838.6666666666)</f>
        <v>42838.666666666599</v>
      </c>
      <c r="B3093" s="1">
        <f ca="1">IFERROR(__xludf.DUMMYFUNCTION("""COMPUTED_VALUE"""),64.95)</f>
        <v>64.95</v>
      </c>
    </row>
    <row r="3094" spans="1:2">
      <c r="A3094" s="3">
        <f ca="1">IFERROR(__xludf.DUMMYFUNCTION("""COMPUTED_VALUE"""),42842.6666666666)</f>
        <v>42842.666666666599</v>
      </c>
      <c r="B3094" s="1">
        <f ca="1">IFERROR(__xludf.DUMMYFUNCTION("""COMPUTED_VALUE"""),65.48)</f>
        <v>65.48</v>
      </c>
    </row>
    <row r="3095" spans="1:2">
      <c r="A3095" s="3">
        <f ca="1">IFERROR(__xludf.DUMMYFUNCTION("""COMPUTED_VALUE"""),42843.6666666666)</f>
        <v>42843.666666666599</v>
      </c>
      <c r="B3095" s="1">
        <f ca="1">IFERROR(__xludf.DUMMYFUNCTION("""COMPUTED_VALUE"""),65.39)</f>
        <v>65.39</v>
      </c>
    </row>
    <row r="3096" spans="1:2">
      <c r="A3096" s="3">
        <f ca="1">IFERROR(__xludf.DUMMYFUNCTION("""COMPUTED_VALUE"""),42844.6666666666)</f>
        <v>42844.666666666599</v>
      </c>
      <c r="B3096" s="1">
        <f ca="1">IFERROR(__xludf.DUMMYFUNCTION("""COMPUTED_VALUE"""),65.04)</f>
        <v>65.040000000000006</v>
      </c>
    </row>
    <row r="3097" spans="1:2">
      <c r="A3097" s="3">
        <f ca="1">IFERROR(__xludf.DUMMYFUNCTION("""COMPUTED_VALUE"""),42845.6666666666)</f>
        <v>42845.666666666599</v>
      </c>
      <c r="B3097" s="1">
        <f ca="1">IFERROR(__xludf.DUMMYFUNCTION("""COMPUTED_VALUE"""),65.5)</f>
        <v>65.5</v>
      </c>
    </row>
    <row r="3098" spans="1:2">
      <c r="A3098" s="3">
        <f ca="1">IFERROR(__xludf.DUMMYFUNCTION("""COMPUTED_VALUE"""),42846.6666666666)</f>
        <v>42846.666666666599</v>
      </c>
      <c r="B3098" s="1">
        <f ca="1">IFERROR(__xludf.DUMMYFUNCTION("""COMPUTED_VALUE"""),66.4)</f>
        <v>66.400000000000006</v>
      </c>
    </row>
    <row r="3099" spans="1:2">
      <c r="A3099" s="3">
        <f ca="1">IFERROR(__xludf.DUMMYFUNCTION("""COMPUTED_VALUE"""),42849.6666666666)</f>
        <v>42849.666666666599</v>
      </c>
      <c r="B3099" s="1">
        <f ca="1">IFERROR(__xludf.DUMMYFUNCTION("""COMPUTED_VALUE"""),67.53)</f>
        <v>67.53</v>
      </c>
    </row>
    <row r="3100" spans="1:2">
      <c r="A3100" s="3">
        <f ca="1">IFERROR(__xludf.DUMMYFUNCTION("""COMPUTED_VALUE"""),42850.6666666666)</f>
        <v>42850.666666666599</v>
      </c>
      <c r="B3100" s="1">
        <f ca="1">IFERROR(__xludf.DUMMYFUNCTION("""COMPUTED_VALUE"""),67.92)</f>
        <v>67.92</v>
      </c>
    </row>
    <row r="3101" spans="1:2">
      <c r="A3101" s="3">
        <f ca="1">IFERROR(__xludf.DUMMYFUNCTION("""COMPUTED_VALUE"""),42851.6666666666)</f>
        <v>42851.666666666599</v>
      </c>
      <c r="B3101" s="1">
        <f ca="1">IFERROR(__xludf.DUMMYFUNCTION("""COMPUTED_VALUE"""),67.83)</f>
        <v>67.83</v>
      </c>
    </row>
    <row r="3102" spans="1:2">
      <c r="A3102" s="3">
        <f ca="1">IFERROR(__xludf.DUMMYFUNCTION("""COMPUTED_VALUE"""),42852.6666666666)</f>
        <v>42852.666666666599</v>
      </c>
      <c r="B3102" s="1">
        <f ca="1">IFERROR(__xludf.DUMMYFUNCTION("""COMPUTED_VALUE"""),68.27)</f>
        <v>68.27</v>
      </c>
    </row>
    <row r="3103" spans="1:2">
      <c r="A3103" s="3">
        <f ca="1">IFERROR(__xludf.DUMMYFUNCTION("""COMPUTED_VALUE"""),42853.6666666666)</f>
        <v>42853.666666666599</v>
      </c>
      <c r="B3103" s="1">
        <f ca="1">IFERROR(__xludf.DUMMYFUNCTION("""COMPUTED_VALUE"""),68.46)</f>
        <v>68.459999999999994</v>
      </c>
    </row>
    <row r="3104" spans="1:2">
      <c r="A3104" s="3">
        <f ca="1">IFERROR(__xludf.DUMMYFUNCTION("""COMPUTED_VALUE"""),42856.6666666666)</f>
        <v>42856.666666666599</v>
      </c>
      <c r="B3104" s="1">
        <f ca="1">IFERROR(__xludf.DUMMYFUNCTION("""COMPUTED_VALUE"""),69.41)</f>
        <v>69.41</v>
      </c>
    </row>
    <row r="3105" spans="1:2">
      <c r="A3105" s="3">
        <f ca="1">IFERROR(__xludf.DUMMYFUNCTION("""COMPUTED_VALUE"""),42857.6666666666)</f>
        <v>42857.666666666599</v>
      </c>
      <c r="B3105" s="1">
        <f ca="1">IFERROR(__xludf.DUMMYFUNCTION("""COMPUTED_VALUE"""),69.3)</f>
        <v>69.3</v>
      </c>
    </row>
    <row r="3106" spans="1:2">
      <c r="A3106" s="3">
        <f ca="1">IFERROR(__xludf.DUMMYFUNCTION("""COMPUTED_VALUE"""),42858.6666666666)</f>
        <v>42858.666666666599</v>
      </c>
      <c r="B3106" s="1">
        <f ca="1">IFERROR(__xludf.DUMMYFUNCTION("""COMPUTED_VALUE"""),69.08)</f>
        <v>69.08</v>
      </c>
    </row>
    <row r="3107" spans="1:2">
      <c r="A3107" s="3">
        <f ca="1">IFERROR(__xludf.DUMMYFUNCTION("""COMPUTED_VALUE"""),42859.6666666666)</f>
        <v>42859.666666666599</v>
      </c>
      <c r="B3107" s="1">
        <f ca="1">IFERROR(__xludf.DUMMYFUNCTION("""COMPUTED_VALUE"""),68.81)</f>
        <v>68.81</v>
      </c>
    </row>
    <row r="3108" spans="1:2">
      <c r="A3108" s="3">
        <f ca="1">IFERROR(__xludf.DUMMYFUNCTION("""COMPUTED_VALUE"""),42860.6666666666)</f>
        <v>42860.666666666599</v>
      </c>
      <c r="B3108" s="1">
        <f ca="1">IFERROR(__xludf.DUMMYFUNCTION("""COMPUTED_VALUE"""),69)</f>
        <v>69</v>
      </c>
    </row>
    <row r="3109" spans="1:2">
      <c r="A3109" s="3">
        <f ca="1">IFERROR(__xludf.DUMMYFUNCTION("""COMPUTED_VALUE"""),42863.6666666666)</f>
        <v>42863.666666666599</v>
      </c>
      <c r="B3109" s="1">
        <f ca="1">IFERROR(__xludf.DUMMYFUNCTION("""COMPUTED_VALUE"""),68.94)</f>
        <v>68.94</v>
      </c>
    </row>
    <row r="3110" spans="1:2">
      <c r="A3110" s="3">
        <f ca="1">IFERROR(__xludf.DUMMYFUNCTION("""COMPUTED_VALUE"""),42864.6666666666)</f>
        <v>42864.666666666599</v>
      </c>
      <c r="B3110" s="1">
        <f ca="1">IFERROR(__xludf.DUMMYFUNCTION("""COMPUTED_VALUE"""),69.04)</f>
        <v>69.040000000000006</v>
      </c>
    </row>
    <row r="3111" spans="1:2">
      <c r="A3111" s="3">
        <f ca="1">IFERROR(__xludf.DUMMYFUNCTION("""COMPUTED_VALUE"""),42865.6666666666)</f>
        <v>42865.666666666599</v>
      </c>
      <c r="B3111" s="1">
        <f ca="1">IFERROR(__xludf.DUMMYFUNCTION("""COMPUTED_VALUE"""),69.31)</f>
        <v>69.31</v>
      </c>
    </row>
    <row r="3112" spans="1:2">
      <c r="A3112" s="3">
        <f ca="1">IFERROR(__xludf.DUMMYFUNCTION("""COMPUTED_VALUE"""),42866.6666666666)</f>
        <v>42866.666666666599</v>
      </c>
      <c r="B3112" s="1">
        <f ca="1">IFERROR(__xludf.DUMMYFUNCTION("""COMPUTED_VALUE"""),68.46)</f>
        <v>68.459999999999994</v>
      </c>
    </row>
    <row r="3113" spans="1:2">
      <c r="A3113" s="3">
        <f ca="1">IFERROR(__xludf.DUMMYFUNCTION("""COMPUTED_VALUE"""),42867.6666666666)</f>
        <v>42867.666666666599</v>
      </c>
      <c r="B3113" s="1">
        <f ca="1">IFERROR(__xludf.DUMMYFUNCTION("""COMPUTED_VALUE"""),68.38)</f>
        <v>68.38</v>
      </c>
    </row>
    <row r="3114" spans="1:2">
      <c r="A3114" s="3">
        <f ca="1">IFERROR(__xludf.DUMMYFUNCTION("""COMPUTED_VALUE"""),42870.6666666666)</f>
        <v>42870.666666666599</v>
      </c>
      <c r="B3114" s="1">
        <f ca="1">IFERROR(__xludf.DUMMYFUNCTION("""COMPUTED_VALUE"""),68.43)</f>
        <v>68.430000000000007</v>
      </c>
    </row>
    <row r="3115" spans="1:2">
      <c r="A3115" s="3">
        <f ca="1">IFERROR(__xludf.DUMMYFUNCTION("""COMPUTED_VALUE"""),42871.6666666666)</f>
        <v>42871.666666666599</v>
      </c>
      <c r="B3115" s="1">
        <f ca="1">IFERROR(__xludf.DUMMYFUNCTION("""COMPUTED_VALUE"""),69.41)</f>
        <v>69.41</v>
      </c>
    </row>
    <row r="3116" spans="1:2">
      <c r="A3116" s="3">
        <f ca="1">IFERROR(__xludf.DUMMYFUNCTION("""COMPUTED_VALUE"""),42872.6666666666)</f>
        <v>42872.666666666599</v>
      </c>
      <c r="B3116" s="1">
        <f ca="1">IFERROR(__xludf.DUMMYFUNCTION("""COMPUTED_VALUE"""),67.48)</f>
        <v>67.48</v>
      </c>
    </row>
    <row r="3117" spans="1:2">
      <c r="A3117" s="3">
        <f ca="1">IFERROR(__xludf.DUMMYFUNCTION("""COMPUTED_VALUE"""),42873.6666666666)</f>
        <v>42873.666666666599</v>
      </c>
      <c r="B3117" s="1">
        <f ca="1">IFERROR(__xludf.DUMMYFUNCTION("""COMPUTED_VALUE"""),67.71)</f>
        <v>67.709999999999994</v>
      </c>
    </row>
    <row r="3118" spans="1:2">
      <c r="A3118" s="3">
        <f ca="1">IFERROR(__xludf.DUMMYFUNCTION("""COMPUTED_VALUE"""),42874.6666666666)</f>
        <v>42874.666666666599</v>
      </c>
      <c r="B3118" s="1">
        <f ca="1">IFERROR(__xludf.DUMMYFUNCTION("""COMPUTED_VALUE"""),67.69)</f>
        <v>67.69</v>
      </c>
    </row>
    <row r="3119" spans="1:2">
      <c r="A3119" s="3">
        <f ca="1">IFERROR(__xludf.DUMMYFUNCTION("""COMPUTED_VALUE"""),42877.6666666666)</f>
        <v>42877.666666666599</v>
      </c>
      <c r="B3119" s="1">
        <f ca="1">IFERROR(__xludf.DUMMYFUNCTION("""COMPUTED_VALUE"""),68.45)</f>
        <v>68.45</v>
      </c>
    </row>
    <row r="3120" spans="1:2">
      <c r="A3120" s="3">
        <f ca="1">IFERROR(__xludf.DUMMYFUNCTION("""COMPUTED_VALUE"""),42878.6666666666)</f>
        <v>42878.666666666599</v>
      </c>
      <c r="B3120" s="1">
        <f ca="1">IFERROR(__xludf.DUMMYFUNCTION("""COMPUTED_VALUE"""),68.68)</f>
        <v>68.680000000000007</v>
      </c>
    </row>
    <row r="3121" spans="1:2">
      <c r="A3121" s="3">
        <f ca="1">IFERROR(__xludf.DUMMYFUNCTION("""COMPUTED_VALUE"""),42879.6666666666)</f>
        <v>42879.666666666599</v>
      </c>
      <c r="B3121" s="1">
        <f ca="1">IFERROR(__xludf.DUMMYFUNCTION("""COMPUTED_VALUE"""),68.77)</f>
        <v>68.77</v>
      </c>
    </row>
    <row r="3122" spans="1:2">
      <c r="A3122" s="3">
        <f ca="1">IFERROR(__xludf.DUMMYFUNCTION("""COMPUTED_VALUE"""),42880.6666666666)</f>
        <v>42880.666666666599</v>
      </c>
      <c r="B3122" s="1">
        <f ca="1">IFERROR(__xludf.DUMMYFUNCTION("""COMPUTED_VALUE"""),69.62)</f>
        <v>69.62</v>
      </c>
    </row>
    <row r="3123" spans="1:2">
      <c r="A3123" s="3">
        <f ca="1">IFERROR(__xludf.DUMMYFUNCTION("""COMPUTED_VALUE"""),42881.6666666666)</f>
        <v>42881.666666666599</v>
      </c>
      <c r="B3123" s="1">
        <f ca="1">IFERROR(__xludf.DUMMYFUNCTION("""COMPUTED_VALUE"""),69.96)</f>
        <v>69.959999999999994</v>
      </c>
    </row>
    <row r="3124" spans="1:2">
      <c r="A3124" s="3">
        <f ca="1">IFERROR(__xludf.DUMMYFUNCTION("""COMPUTED_VALUE"""),42885.6666666666)</f>
        <v>42885.666666666599</v>
      </c>
      <c r="B3124" s="1">
        <f ca="1">IFERROR(__xludf.DUMMYFUNCTION("""COMPUTED_VALUE"""),70.41)</f>
        <v>70.41</v>
      </c>
    </row>
    <row r="3125" spans="1:2">
      <c r="A3125" s="3">
        <f ca="1">IFERROR(__xludf.DUMMYFUNCTION("""COMPUTED_VALUE"""),42886.6666666666)</f>
        <v>42886.666666666599</v>
      </c>
      <c r="B3125" s="1">
        <f ca="1">IFERROR(__xludf.DUMMYFUNCTION("""COMPUTED_VALUE"""),69.84)</f>
        <v>69.84</v>
      </c>
    </row>
    <row r="3126" spans="1:2">
      <c r="A3126" s="3">
        <f ca="1">IFERROR(__xludf.DUMMYFUNCTION("""COMPUTED_VALUE"""),42887.6666666666)</f>
        <v>42887.666666666599</v>
      </c>
      <c r="B3126" s="1">
        <f ca="1">IFERROR(__xludf.DUMMYFUNCTION("""COMPUTED_VALUE"""),70.1)</f>
        <v>70.099999999999994</v>
      </c>
    </row>
    <row r="3127" spans="1:2">
      <c r="A3127" s="3">
        <f ca="1">IFERROR(__xludf.DUMMYFUNCTION("""COMPUTED_VALUE"""),42888.6666666666)</f>
        <v>42888.666666666599</v>
      </c>
      <c r="B3127" s="1">
        <f ca="1">IFERROR(__xludf.DUMMYFUNCTION("""COMPUTED_VALUE"""),71.76)</f>
        <v>71.760000000000005</v>
      </c>
    </row>
    <row r="3128" spans="1:2">
      <c r="A3128" s="3">
        <f ca="1">IFERROR(__xludf.DUMMYFUNCTION("""COMPUTED_VALUE"""),42891.6666666666)</f>
        <v>42891.666666666599</v>
      </c>
      <c r="B3128" s="1">
        <f ca="1">IFERROR(__xludf.DUMMYFUNCTION("""COMPUTED_VALUE"""),72.28)</f>
        <v>72.28</v>
      </c>
    </row>
    <row r="3129" spans="1:2">
      <c r="A3129" s="3">
        <f ca="1">IFERROR(__xludf.DUMMYFUNCTION("""COMPUTED_VALUE"""),42892.6666666666)</f>
        <v>42892.666666666599</v>
      </c>
      <c r="B3129" s="1">
        <f ca="1">IFERROR(__xludf.DUMMYFUNCTION("""COMPUTED_VALUE"""),72.52)</f>
        <v>72.52</v>
      </c>
    </row>
    <row r="3130" spans="1:2">
      <c r="A3130" s="3">
        <f ca="1">IFERROR(__xludf.DUMMYFUNCTION("""COMPUTED_VALUE"""),42893.6666666666)</f>
        <v>42893.666666666599</v>
      </c>
      <c r="B3130" s="1">
        <f ca="1">IFERROR(__xludf.DUMMYFUNCTION("""COMPUTED_VALUE"""),72.39)</f>
        <v>72.39</v>
      </c>
    </row>
    <row r="3131" spans="1:2">
      <c r="A3131" s="3">
        <f ca="1">IFERROR(__xludf.DUMMYFUNCTION("""COMPUTED_VALUE"""),42894.6666666666)</f>
        <v>42894.666666666599</v>
      </c>
      <c r="B3131" s="1">
        <f ca="1">IFERROR(__xludf.DUMMYFUNCTION("""COMPUTED_VALUE"""),71.95)</f>
        <v>71.95</v>
      </c>
    </row>
    <row r="3132" spans="1:2">
      <c r="A3132" s="3">
        <f ca="1">IFERROR(__xludf.DUMMYFUNCTION("""COMPUTED_VALUE"""),42895.6666666666)</f>
        <v>42895.666666666599</v>
      </c>
      <c r="B3132" s="1">
        <f ca="1">IFERROR(__xludf.DUMMYFUNCTION("""COMPUTED_VALUE"""),70.32)</f>
        <v>70.319999999999993</v>
      </c>
    </row>
    <row r="3133" spans="1:2">
      <c r="A3133" s="3">
        <f ca="1">IFERROR(__xludf.DUMMYFUNCTION("""COMPUTED_VALUE"""),42898.6666666666)</f>
        <v>42898.666666666599</v>
      </c>
      <c r="B3133" s="1">
        <f ca="1">IFERROR(__xludf.DUMMYFUNCTION("""COMPUTED_VALUE"""),69.78)</f>
        <v>69.78</v>
      </c>
    </row>
    <row r="3134" spans="1:2">
      <c r="A3134" s="3">
        <f ca="1">IFERROR(__xludf.DUMMYFUNCTION("""COMPUTED_VALUE"""),42899.6666666666)</f>
        <v>42899.666666666599</v>
      </c>
      <c r="B3134" s="1">
        <f ca="1">IFERROR(__xludf.DUMMYFUNCTION("""COMPUTED_VALUE"""),70.65)</f>
        <v>70.650000000000006</v>
      </c>
    </row>
    <row r="3135" spans="1:2">
      <c r="A3135" s="3">
        <f ca="1">IFERROR(__xludf.DUMMYFUNCTION("""COMPUTED_VALUE"""),42900.6666666666)</f>
        <v>42900.666666666599</v>
      </c>
      <c r="B3135" s="1">
        <f ca="1">IFERROR(__xludf.DUMMYFUNCTION("""COMPUTED_VALUE"""),70.27)</f>
        <v>70.27</v>
      </c>
    </row>
    <row r="3136" spans="1:2">
      <c r="A3136" s="3">
        <f ca="1">IFERROR(__xludf.DUMMYFUNCTION("""COMPUTED_VALUE"""),42901.6666666666)</f>
        <v>42901.666666666599</v>
      </c>
      <c r="B3136" s="1">
        <f ca="1">IFERROR(__xludf.DUMMYFUNCTION("""COMPUTED_VALUE"""),69.9)</f>
        <v>69.900000000000006</v>
      </c>
    </row>
    <row r="3137" spans="1:2">
      <c r="A3137" s="3">
        <f ca="1">IFERROR(__xludf.DUMMYFUNCTION("""COMPUTED_VALUE"""),42902.6666666666)</f>
        <v>42902.666666666599</v>
      </c>
      <c r="B3137" s="1">
        <f ca="1">IFERROR(__xludf.DUMMYFUNCTION("""COMPUTED_VALUE"""),70)</f>
        <v>70</v>
      </c>
    </row>
    <row r="3138" spans="1:2">
      <c r="A3138" s="3">
        <f ca="1">IFERROR(__xludf.DUMMYFUNCTION("""COMPUTED_VALUE"""),42905.6666666666)</f>
        <v>42905.666666666599</v>
      </c>
      <c r="B3138" s="1">
        <f ca="1">IFERROR(__xludf.DUMMYFUNCTION("""COMPUTED_VALUE"""),70.87)</f>
        <v>70.87</v>
      </c>
    </row>
    <row r="3139" spans="1:2">
      <c r="A3139" s="3">
        <f ca="1">IFERROR(__xludf.DUMMYFUNCTION("""COMPUTED_VALUE"""),42906.6666666666)</f>
        <v>42906.666666666599</v>
      </c>
      <c r="B3139" s="1">
        <f ca="1">IFERROR(__xludf.DUMMYFUNCTION("""COMPUTED_VALUE"""),69.91)</f>
        <v>69.91</v>
      </c>
    </row>
    <row r="3140" spans="1:2">
      <c r="A3140" s="3">
        <f ca="1">IFERROR(__xludf.DUMMYFUNCTION("""COMPUTED_VALUE"""),42907.6666666666)</f>
        <v>42907.666666666599</v>
      </c>
      <c r="B3140" s="1">
        <f ca="1">IFERROR(__xludf.DUMMYFUNCTION("""COMPUTED_VALUE"""),70.27)</f>
        <v>70.27</v>
      </c>
    </row>
    <row r="3141" spans="1:2">
      <c r="A3141" s="3">
        <f ca="1">IFERROR(__xludf.DUMMYFUNCTION("""COMPUTED_VALUE"""),42908.6666666666)</f>
        <v>42908.666666666599</v>
      </c>
      <c r="B3141" s="1">
        <f ca="1">IFERROR(__xludf.DUMMYFUNCTION("""COMPUTED_VALUE"""),70.26)</f>
        <v>70.260000000000005</v>
      </c>
    </row>
    <row r="3142" spans="1:2">
      <c r="A3142" s="3">
        <f ca="1">IFERROR(__xludf.DUMMYFUNCTION("""COMPUTED_VALUE"""),42909.6666666666)</f>
        <v>42909.666666666599</v>
      </c>
      <c r="B3142" s="1">
        <f ca="1">IFERROR(__xludf.DUMMYFUNCTION("""COMPUTED_VALUE"""),71.21)</f>
        <v>71.209999999999994</v>
      </c>
    </row>
    <row r="3143" spans="1:2">
      <c r="A3143" s="3">
        <f ca="1">IFERROR(__xludf.DUMMYFUNCTION("""COMPUTED_VALUE"""),42912.6666666666)</f>
        <v>42912.666666666599</v>
      </c>
      <c r="B3143" s="1">
        <f ca="1">IFERROR(__xludf.DUMMYFUNCTION("""COMPUTED_VALUE"""),70.53)</f>
        <v>70.53</v>
      </c>
    </row>
    <row r="3144" spans="1:2">
      <c r="A3144" s="3">
        <f ca="1">IFERROR(__xludf.DUMMYFUNCTION("""COMPUTED_VALUE"""),42913.6666666666)</f>
        <v>42913.666666666599</v>
      </c>
      <c r="B3144" s="1">
        <f ca="1">IFERROR(__xludf.DUMMYFUNCTION("""COMPUTED_VALUE"""),69.21)</f>
        <v>69.209999999999994</v>
      </c>
    </row>
    <row r="3145" spans="1:2">
      <c r="A3145" s="3">
        <f ca="1">IFERROR(__xludf.DUMMYFUNCTION("""COMPUTED_VALUE"""),42914.6666666666)</f>
        <v>42914.666666666599</v>
      </c>
      <c r="B3145" s="1">
        <f ca="1">IFERROR(__xludf.DUMMYFUNCTION("""COMPUTED_VALUE"""),69.8)</f>
        <v>69.8</v>
      </c>
    </row>
    <row r="3146" spans="1:2">
      <c r="A3146" s="3">
        <f ca="1">IFERROR(__xludf.DUMMYFUNCTION("""COMPUTED_VALUE"""),42915.6666666666)</f>
        <v>42915.666666666599</v>
      </c>
      <c r="B3146" s="1">
        <f ca="1">IFERROR(__xludf.DUMMYFUNCTION("""COMPUTED_VALUE"""),68.49)</f>
        <v>68.489999999999995</v>
      </c>
    </row>
    <row r="3147" spans="1:2">
      <c r="A3147" s="3">
        <f ca="1">IFERROR(__xludf.DUMMYFUNCTION("""COMPUTED_VALUE"""),42916.6666666666)</f>
        <v>42916.666666666599</v>
      </c>
      <c r="B3147" s="1">
        <f ca="1">IFERROR(__xludf.DUMMYFUNCTION("""COMPUTED_VALUE"""),68.93)</f>
        <v>68.930000000000007</v>
      </c>
    </row>
    <row r="3148" spans="1:2">
      <c r="A3148" s="3">
        <f ca="1">IFERROR(__xludf.DUMMYFUNCTION("""COMPUTED_VALUE"""),42919.6666666666)</f>
        <v>42919.666666666599</v>
      </c>
      <c r="B3148" s="1">
        <f ca="1">IFERROR(__xludf.DUMMYFUNCTION("""COMPUTED_VALUE"""),68.17)</f>
        <v>68.17</v>
      </c>
    </row>
    <row r="3149" spans="1:2">
      <c r="A3149" s="3">
        <f ca="1">IFERROR(__xludf.DUMMYFUNCTION("""COMPUTED_VALUE"""),42921.6666666666)</f>
        <v>42921.666666666599</v>
      </c>
      <c r="B3149" s="1">
        <f ca="1">IFERROR(__xludf.DUMMYFUNCTION("""COMPUTED_VALUE"""),69.08)</f>
        <v>69.08</v>
      </c>
    </row>
    <row r="3150" spans="1:2">
      <c r="A3150" s="3">
        <f ca="1">IFERROR(__xludf.DUMMYFUNCTION("""COMPUTED_VALUE"""),42922.6666666666)</f>
        <v>42922.666666666599</v>
      </c>
      <c r="B3150" s="1">
        <f ca="1">IFERROR(__xludf.DUMMYFUNCTION("""COMPUTED_VALUE"""),68.57)</f>
        <v>68.569999999999993</v>
      </c>
    </row>
    <row r="3151" spans="1:2">
      <c r="A3151" s="3">
        <f ca="1">IFERROR(__xludf.DUMMYFUNCTION("""COMPUTED_VALUE"""),42923.6666666666)</f>
        <v>42923.666666666599</v>
      </c>
      <c r="B3151" s="1">
        <f ca="1">IFERROR(__xludf.DUMMYFUNCTION("""COMPUTED_VALUE"""),69.46)</f>
        <v>69.459999999999994</v>
      </c>
    </row>
    <row r="3152" spans="1:2">
      <c r="A3152" s="3">
        <f ca="1">IFERROR(__xludf.DUMMYFUNCTION("""COMPUTED_VALUE"""),42926.6666666666)</f>
        <v>42926.666666666599</v>
      </c>
      <c r="B3152" s="1">
        <f ca="1">IFERROR(__xludf.DUMMYFUNCTION("""COMPUTED_VALUE"""),69.98)</f>
        <v>69.98</v>
      </c>
    </row>
    <row r="3153" spans="1:2">
      <c r="A3153" s="3">
        <f ca="1">IFERROR(__xludf.DUMMYFUNCTION("""COMPUTED_VALUE"""),42927.6666666666)</f>
        <v>42927.666666666599</v>
      </c>
      <c r="B3153" s="1">
        <f ca="1">IFERROR(__xludf.DUMMYFUNCTION("""COMPUTED_VALUE"""),69.99)</f>
        <v>69.989999999999995</v>
      </c>
    </row>
    <row r="3154" spans="1:2">
      <c r="A3154" s="3">
        <f ca="1">IFERROR(__xludf.DUMMYFUNCTION("""COMPUTED_VALUE"""),42928.6666666666)</f>
        <v>42928.666666666599</v>
      </c>
      <c r="B3154" s="1">
        <f ca="1">IFERROR(__xludf.DUMMYFUNCTION("""COMPUTED_VALUE"""),71.15)</f>
        <v>71.150000000000006</v>
      </c>
    </row>
    <row r="3155" spans="1:2">
      <c r="A3155" s="3">
        <f ca="1">IFERROR(__xludf.DUMMYFUNCTION("""COMPUTED_VALUE"""),42929.6666666666)</f>
        <v>42929.666666666599</v>
      </c>
      <c r="B3155" s="1">
        <f ca="1">IFERROR(__xludf.DUMMYFUNCTION("""COMPUTED_VALUE"""),71.77)</f>
        <v>71.77</v>
      </c>
    </row>
    <row r="3156" spans="1:2">
      <c r="A3156" s="3">
        <f ca="1">IFERROR(__xludf.DUMMYFUNCTION("""COMPUTED_VALUE"""),42930.6666666666)</f>
        <v>42930.666666666599</v>
      </c>
      <c r="B3156" s="1">
        <f ca="1">IFERROR(__xludf.DUMMYFUNCTION("""COMPUTED_VALUE"""),72.78)</f>
        <v>72.78</v>
      </c>
    </row>
    <row r="3157" spans="1:2">
      <c r="A3157" s="3">
        <f ca="1">IFERROR(__xludf.DUMMYFUNCTION("""COMPUTED_VALUE"""),42933.6666666666)</f>
        <v>42933.666666666599</v>
      </c>
      <c r="B3157" s="1">
        <f ca="1">IFERROR(__xludf.DUMMYFUNCTION("""COMPUTED_VALUE"""),73.35)</f>
        <v>73.349999999999994</v>
      </c>
    </row>
    <row r="3158" spans="1:2">
      <c r="A3158" s="3">
        <f ca="1">IFERROR(__xludf.DUMMYFUNCTION("""COMPUTED_VALUE"""),42934.6666666666)</f>
        <v>42934.666666666599</v>
      </c>
      <c r="B3158" s="1">
        <f ca="1">IFERROR(__xludf.DUMMYFUNCTION("""COMPUTED_VALUE"""),73.3)</f>
        <v>73.3</v>
      </c>
    </row>
    <row r="3159" spans="1:2">
      <c r="A3159" s="3">
        <f ca="1">IFERROR(__xludf.DUMMYFUNCTION("""COMPUTED_VALUE"""),42935.6666666666)</f>
        <v>42935.666666666599</v>
      </c>
      <c r="B3159" s="1">
        <f ca="1">IFERROR(__xludf.DUMMYFUNCTION("""COMPUTED_VALUE"""),73.86)</f>
        <v>73.86</v>
      </c>
    </row>
    <row r="3160" spans="1:2">
      <c r="A3160" s="3">
        <f ca="1">IFERROR(__xludf.DUMMYFUNCTION("""COMPUTED_VALUE"""),42936.6666666666)</f>
        <v>42936.666666666599</v>
      </c>
      <c r="B3160" s="1">
        <f ca="1">IFERROR(__xludf.DUMMYFUNCTION("""COMPUTED_VALUE"""),74.22)</f>
        <v>74.22</v>
      </c>
    </row>
    <row r="3161" spans="1:2">
      <c r="A3161" s="3">
        <f ca="1">IFERROR(__xludf.DUMMYFUNCTION("""COMPUTED_VALUE"""),42937.6666666666)</f>
        <v>42937.666666666599</v>
      </c>
      <c r="B3161" s="1">
        <f ca="1">IFERROR(__xludf.DUMMYFUNCTION("""COMPUTED_VALUE"""),73.79)</f>
        <v>73.790000000000006</v>
      </c>
    </row>
    <row r="3162" spans="1:2">
      <c r="A3162" s="3">
        <f ca="1">IFERROR(__xludf.DUMMYFUNCTION("""COMPUTED_VALUE"""),42940.6666666666)</f>
        <v>42940.666666666599</v>
      </c>
      <c r="B3162" s="1">
        <f ca="1">IFERROR(__xludf.DUMMYFUNCTION("""COMPUTED_VALUE"""),73.6)</f>
        <v>73.599999999999994</v>
      </c>
    </row>
    <row r="3163" spans="1:2">
      <c r="A3163" s="3">
        <f ca="1">IFERROR(__xludf.DUMMYFUNCTION("""COMPUTED_VALUE"""),42941.6666666666)</f>
        <v>42941.666666666599</v>
      </c>
      <c r="B3163" s="1">
        <f ca="1">IFERROR(__xludf.DUMMYFUNCTION("""COMPUTED_VALUE"""),74.19)</f>
        <v>74.19</v>
      </c>
    </row>
    <row r="3164" spans="1:2">
      <c r="A3164" s="3">
        <f ca="1">IFERROR(__xludf.DUMMYFUNCTION("""COMPUTED_VALUE"""),42942.6666666666)</f>
        <v>42942.666666666599</v>
      </c>
      <c r="B3164" s="1">
        <f ca="1">IFERROR(__xludf.DUMMYFUNCTION("""COMPUTED_VALUE"""),74.05)</f>
        <v>74.05</v>
      </c>
    </row>
    <row r="3165" spans="1:2">
      <c r="A3165" s="3">
        <f ca="1">IFERROR(__xludf.DUMMYFUNCTION("""COMPUTED_VALUE"""),42943.6666666666)</f>
        <v>42943.666666666599</v>
      </c>
      <c r="B3165" s="1">
        <f ca="1">IFERROR(__xludf.DUMMYFUNCTION("""COMPUTED_VALUE"""),73.16)</f>
        <v>73.16</v>
      </c>
    </row>
    <row r="3166" spans="1:2">
      <c r="A3166" s="3">
        <f ca="1">IFERROR(__xludf.DUMMYFUNCTION("""COMPUTED_VALUE"""),42944.6666666666)</f>
        <v>42944.666666666599</v>
      </c>
      <c r="B3166" s="1">
        <f ca="1">IFERROR(__xludf.DUMMYFUNCTION("""COMPUTED_VALUE"""),73.04)</f>
        <v>73.040000000000006</v>
      </c>
    </row>
    <row r="3167" spans="1:2">
      <c r="A3167" s="3">
        <f ca="1">IFERROR(__xludf.DUMMYFUNCTION("""COMPUTED_VALUE"""),42947.6666666666)</f>
        <v>42947.666666666599</v>
      </c>
      <c r="B3167" s="1">
        <f ca="1">IFERROR(__xludf.DUMMYFUNCTION("""COMPUTED_VALUE"""),72.7)</f>
        <v>72.7</v>
      </c>
    </row>
    <row r="3168" spans="1:2">
      <c r="A3168" s="3">
        <f ca="1">IFERROR(__xludf.DUMMYFUNCTION("""COMPUTED_VALUE"""),42948.6666666666)</f>
        <v>42948.666666666599</v>
      </c>
      <c r="B3168" s="1">
        <f ca="1">IFERROR(__xludf.DUMMYFUNCTION("""COMPUTED_VALUE"""),72.58)</f>
        <v>72.58</v>
      </c>
    </row>
    <row r="3169" spans="1:2">
      <c r="A3169" s="3">
        <f ca="1">IFERROR(__xludf.DUMMYFUNCTION("""COMPUTED_VALUE"""),42949.6666666666)</f>
        <v>42949.666666666599</v>
      </c>
      <c r="B3169" s="1">
        <f ca="1">IFERROR(__xludf.DUMMYFUNCTION("""COMPUTED_VALUE"""),72.26)</f>
        <v>72.260000000000005</v>
      </c>
    </row>
    <row r="3170" spans="1:2">
      <c r="A3170" s="3">
        <f ca="1">IFERROR(__xludf.DUMMYFUNCTION("""COMPUTED_VALUE"""),42950.6666666666)</f>
        <v>42950.666666666599</v>
      </c>
      <c r="B3170" s="1">
        <f ca="1">IFERROR(__xludf.DUMMYFUNCTION("""COMPUTED_VALUE"""),72.15)</f>
        <v>72.150000000000006</v>
      </c>
    </row>
    <row r="3171" spans="1:2">
      <c r="A3171" s="3">
        <f ca="1">IFERROR(__xludf.DUMMYFUNCTION("""COMPUTED_VALUE"""),42951.6666666666)</f>
        <v>42951.666666666599</v>
      </c>
      <c r="B3171" s="1">
        <f ca="1">IFERROR(__xludf.DUMMYFUNCTION("""COMPUTED_VALUE"""),72.68)</f>
        <v>72.680000000000007</v>
      </c>
    </row>
    <row r="3172" spans="1:2">
      <c r="A3172" s="3">
        <f ca="1">IFERROR(__xludf.DUMMYFUNCTION("""COMPUTED_VALUE"""),42954.6666666666)</f>
        <v>42954.666666666599</v>
      </c>
      <c r="B3172" s="1">
        <f ca="1">IFERROR(__xludf.DUMMYFUNCTION("""COMPUTED_VALUE"""),72.4)</f>
        <v>72.400000000000006</v>
      </c>
    </row>
    <row r="3173" spans="1:2">
      <c r="A3173" s="3">
        <f ca="1">IFERROR(__xludf.DUMMYFUNCTION("""COMPUTED_VALUE"""),42955.6666666666)</f>
        <v>42955.666666666599</v>
      </c>
      <c r="B3173" s="1">
        <f ca="1">IFERROR(__xludf.DUMMYFUNCTION("""COMPUTED_VALUE"""),72.79)</f>
        <v>72.790000000000006</v>
      </c>
    </row>
    <row r="3174" spans="1:2">
      <c r="A3174" s="3">
        <f ca="1">IFERROR(__xludf.DUMMYFUNCTION("""COMPUTED_VALUE"""),42956.6666666666)</f>
        <v>42956.666666666599</v>
      </c>
      <c r="B3174" s="1">
        <f ca="1">IFERROR(__xludf.DUMMYFUNCTION("""COMPUTED_VALUE"""),72.47)</f>
        <v>72.47</v>
      </c>
    </row>
    <row r="3175" spans="1:2">
      <c r="A3175" s="3">
        <f ca="1">IFERROR(__xludf.DUMMYFUNCTION("""COMPUTED_VALUE"""),42957.6666666666)</f>
        <v>42957.666666666599</v>
      </c>
      <c r="B3175" s="1">
        <f ca="1">IFERROR(__xludf.DUMMYFUNCTION("""COMPUTED_VALUE"""),71.41)</f>
        <v>71.41</v>
      </c>
    </row>
    <row r="3176" spans="1:2">
      <c r="A3176" s="3">
        <f ca="1">IFERROR(__xludf.DUMMYFUNCTION("""COMPUTED_VALUE"""),42958.6666666666)</f>
        <v>42958.666666666599</v>
      </c>
      <c r="B3176" s="1">
        <f ca="1">IFERROR(__xludf.DUMMYFUNCTION("""COMPUTED_VALUE"""),72.5)</f>
        <v>72.5</v>
      </c>
    </row>
    <row r="3177" spans="1:2">
      <c r="A3177" s="3">
        <f ca="1">IFERROR(__xludf.DUMMYFUNCTION("""COMPUTED_VALUE"""),42961.6666666666)</f>
        <v>42961.666666666599</v>
      </c>
      <c r="B3177" s="1">
        <f ca="1">IFERROR(__xludf.DUMMYFUNCTION("""COMPUTED_VALUE"""),73.59)</f>
        <v>73.59</v>
      </c>
    </row>
    <row r="3178" spans="1:2">
      <c r="A3178" s="3">
        <f ca="1">IFERROR(__xludf.DUMMYFUNCTION("""COMPUTED_VALUE"""),42962.6666666666)</f>
        <v>42962.666666666599</v>
      </c>
      <c r="B3178" s="1">
        <f ca="1">IFERROR(__xludf.DUMMYFUNCTION("""COMPUTED_VALUE"""),73.22)</f>
        <v>73.22</v>
      </c>
    </row>
    <row r="3179" spans="1:2">
      <c r="A3179" s="3">
        <f ca="1">IFERROR(__xludf.DUMMYFUNCTION("""COMPUTED_VALUE"""),42963.6666666666)</f>
        <v>42963.666666666599</v>
      </c>
      <c r="B3179" s="1">
        <f ca="1">IFERROR(__xludf.DUMMYFUNCTION("""COMPUTED_VALUE"""),73.65)</f>
        <v>73.650000000000006</v>
      </c>
    </row>
    <row r="3180" spans="1:2">
      <c r="A3180" s="3">
        <f ca="1">IFERROR(__xludf.DUMMYFUNCTION("""COMPUTED_VALUE"""),42964.6666666666)</f>
        <v>42964.666666666599</v>
      </c>
      <c r="B3180" s="1">
        <f ca="1">IFERROR(__xludf.DUMMYFUNCTION("""COMPUTED_VALUE"""),72.4)</f>
        <v>72.400000000000006</v>
      </c>
    </row>
    <row r="3181" spans="1:2">
      <c r="A3181" s="3">
        <f ca="1">IFERROR(__xludf.DUMMYFUNCTION("""COMPUTED_VALUE"""),42965.6666666666)</f>
        <v>42965.666666666599</v>
      </c>
      <c r="B3181" s="1">
        <f ca="1">IFERROR(__xludf.DUMMYFUNCTION("""COMPUTED_VALUE"""),72.49)</f>
        <v>72.489999999999995</v>
      </c>
    </row>
    <row r="3182" spans="1:2">
      <c r="A3182" s="3">
        <f ca="1">IFERROR(__xludf.DUMMYFUNCTION("""COMPUTED_VALUE"""),42968.6666666666)</f>
        <v>42968.666666666599</v>
      </c>
      <c r="B3182" s="1">
        <f ca="1">IFERROR(__xludf.DUMMYFUNCTION("""COMPUTED_VALUE"""),72.15)</f>
        <v>72.150000000000006</v>
      </c>
    </row>
    <row r="3183" spans="1:2">
      <c r="A3183" s="3">
        <f ca="1">IFERROR(__xludf.DUMMYFUNCTION("""COMPUTED_VALUE"""),42969.6666666666)</f>
        <v>42969.666666666599</v>
      </c>
      <c r="B3183" s="1">
        <f ca="1">IFERROR(__xludf.DUMMYFUNCTION("""COMPUTED_VALUE"""),73.16)</f>
        <v>73.16</v>
      </c>
    </row>
    <row r="3184" spans="1:2">
      <c r="A3184" s="3">
        <f ca="1">IFERROR(__xludf.DUMMYFUNCTION("""COMPUTED_VALUE"""),42970.6666666666)</f>
        <v>42970.666666666599</v>
      </c>
      <c r="B3184" s="1">
        <f ca="1">IFERROR(__xludf.DUMMYFUNCTION("""COMPUTED_VALUE"""),72.72)</f>
        <v>72.72</v>
      </c>
    </row>
    <row r="3185" spans="1:2">
      <c r="A3185" s="3">
        <f ca="1">IFERROR(__xludf.DUMMYFUNCTION("""COMPUTED_VALUE"""),42971.6666666666)</f>
        <v>42971.666666666599</v>
      </c>
      <c r="B3185" s="1">
        <f ca="1">IFERROR(__xludf.DUMMYFUNCTION("""COMPUTED_VALUE"""),72.69)</f>
        <v>72.69</v>
      </c>
    </row>
    <row r="3186" spans="1:2">
      <c r="A3186" s="3">
        <f ca="1">IFERROR(__xludf.DUMMYFUNCTION("""COMPUTED_VALUE"""),42972.6666666666)</f>
        <v>42972.666666666599</v>
      </c>
      <c r="B3186" s="1">
        <f ca="1">IFERROR(__xludf.DUMMYFUNCTION("""COMPUTED_VALUE"""),72.82)</f>
        <v>72.819999999999993</v>
      </c>
    </row>
    <row r="3187" spans="1:2">
      <c r="A3187" s="3">
        <f ca="1">IFERROR(__xludf.DUMMYFUNCTION("""COMPUTED_VALUE"""),42975.6666666666)</f>
        <v>42975.666666666599</v>
      </c>
      <c r="B3187" s="1">
        <f ca="1">IFERROR(__xludf.DUMMYFUNCTION("""COMPUTED_VALUE"""),72.83)</f>
        <v>72.83</v>
      </c>
    </row>
    <row r="3188" spans="1:2">
      <c r="A3188" s="3">
        <f ca="1">IFERROR(__xludf.DUMMYFUNCTION("""COMPUTED_VALUE"""),42976.6666666666)</f>
        <v>42976.666666666599</v>
      </c>
      <c r="B3188" s="1">
        <f ca="1">IFERROR(__xludf.DUMMYFUNCTION("""COMPUTED_VALUE"""),73.05)</f>
        <v>73.05</v>
      </c>
    </row>
    <row r="3189" spans="1:2">
      <c r="A3189" s="3">
        <f ca="1">IFERROR(__xludf.DUMMYFUNCTION("""COMPUTED_VALUE"""),42977.6666666666)</f>
        <v>42977.666666666599</v>
      </c>
      <c r="B3189" s="1">
        <f ca="1">IFERROR(__xludf.DUMMYFUNCTION("""COMPUTED_VALUE"""),74.01)</f>
        <v>74.010000000000005</v>
      </c>
    </row>
    <row r="3190" spans="1:2">
      <c r="A3190" s="3">
        <f ca="1">IFERROR(__xludf.DUMMYFUNCTION("""COMPUTED_VALUE"""),42978.6666666666)</f>
        <v>42978.666666666599</v>
      </c>
      <c r="B3190" s="1">
        <f ca="1">IFERROR(__xludf.DUMMYFUNCTION("""COMPUTED_VALUE"""),74.77)</f>
        <v>74.77</v>
      </c>
    </row>
    <row r="3191" spans="1:2">
      <c r="A3191" s="3">
        <f ca="1">IFERROR(__xludf.DUMMYFUNCTION("""COMPUTED_VALUE"""),42979.6666666666)</f>
        <v>42979.666666666599</v>
      </c>
      <c r="B3191" s="1">
        <f ca="1">IFERROR(__xludf.DUMMYFUNCTION("""COMPUTED_VALUE"""),73.94)</f>
        <v>73.94</v>
      </c>
    </row>
    <row r="3192" spans="1:2">
      <c r="A3192" s="3">
        <f ca="1">IFERROR(__xludf.DUMMYFUNCTION("""COMPUTED_VALUE"""),42983.6666666666)</f>
        <v>42983.666666666599</v>
      </c>
      <c r="B3192" s="1">
        <f ca="1">IFERROR(__xludf.DUMMYFUNCTION("""COMPUTED_VALUE"""),73.61)</f>
        <v>73.61</v>
      </c>
    </row>
    <row r="3193" spans="1:2">
      <c r="A3193" s="3">
        <f ca="1">IFERROR(__xludf.DUMMYFUNCTION("""COMPUTED_VALUE"""),42984.6666666666)</f>
        <v>42984.666666666599</v>
      </c>
      <c r="B3193" s="1">
        <f ca="1">IFERROR(__xludf.DUMMYFUNCTION("""COMPUTED_VALUE"""),73.4)</f>
        <v>73.400000000000006</v>
      </c>
    </row>
    <row r="3194" spans="1:2">
      <c r="A3194" s="3">
        <f ca="1">IFERROR(__xludf.DUMMYFUNCTION("""COMPUTED_VALUE"""),42985.6666666666)</f>
        <v>42985.666666666599</v>
      </c>
      <c r="B3194" s="1">
        <f ca="1">IFERROR(__xludf.DUMMYFUNCTION("""COMPUTED_VALUE"""),74.34)</f>
        <v>74.34</v>
      </c>
    </row>
    <row r="3195" spans="1:2">
      <c r="A3195" s="3">
        <f ca="1">IFERROR(__xludf.DUMMYFUNCTION("""COMPUTED_VALUE"""),42986.6666666666)</f>
        <v>42986.666666666599</v>
      </c>
      <c r="B3195" s="1">
        <f ca="1">IFERROR(__xludf.DUMMYFUNCTION("""COMPUTED_VALUE"""),73.98)</f>
        <v>73.98</v>
      </c>
    </row>
    <row r="3196" spans="1:2">
      <c r="A3196" s="3">
        <f ca="1">IFERROR(__xludf.DUMMYFUNCTION("""COMPUTED_VALUE"""),42989.6666666666)</f>
        <v>42989.666666666599</v>
      </c>
      <c r="B3196" s="1">
        <f ca="1">IFERROR(__xludf.DUMMYFUNCTION("""COMPUTED_VALUE"""),74.76)</f>
        <v>74.760000000000005</v>
      </c>
    </row>
    <row r="3197" spans="1:2">
      <c r="A3197" s="3">
        <f ca="1">IFERROR(__xludf.DUMMYFUNCTION("""COMPUTED_VALUE"""),42990.6666666666)</f>
        <v>42990.666666666599</v>
      </c>
      <c r="B3197" s="1">
        <f ca="1">IFERROR(__xludf.DUMMYFUNCTION("""COMPUTED_VALUE"""),74.68)</f>
        <v>74.680000000000007</v>
      </c>
    </row>
    <row r="3198" spans="1:2">
      <c r="A3198" s="3">
        <f ca="1">IFERROR(__xludf.DUMMYFUNCTION("""COMPUTED_VALUE"""),42991.6666666666)</f>
        <v>42991.666666666599</v>
      </c>
      <c r="B3198" s="1">
        <f ca="1">IFERROR(__xludf.DUMMYFUNCTION("""COMPUTED_VALUE"""),75.21)</f>
        <v>75.209999999999994</v>
      </c>
    </row>
    <row r="3199" spans="1:2">
      <c r="A3199" s="3">
        <f ca="1">IFERROR(__xludf.DUMMYFUNCTION("""COMPUTED_VALUE"""),42992.6666666666)</f>
        <v>42992.666666666599</v>
      </c>
      <c r="B3199" s="1">
        <f ca="1">IFERROR(__xludf.DUMMYFUNCTION("""COMPUTED_VALUE"""),74.77)</f>
        <v>74.77</v>
      </c>
    </row>
    <row r="3200" spans="1:2">
      <c r="A3200" s="3">
        <f ca="1">IFERROR(__xludf.DUMMYFUNCTION("""COMPUTED_VALUE"""),42993.6666666666)</f>
        <v>42993.666666666599</v>
      </c>
      <c r="B3200" s="1">
        <f ca="1">IFERROR(__xludf.DUMMYFUNCTION("""COMPUTED_VALUE"""),75.31)</f>
        <v>75.31</v>
      </c>
    </row>
    <row r="3201" spans="1:2">
      <c r="A3201" s="3">
        <f ca="1">IFERROR(__xludf.DUMMYFUNCTION("""COMPUTED_VALUE"""),42996.6666666666)</f>
        <v>42996.666666666599</v>
      </c>
      <c r="B3201" s="1">
        <f ca="1">IFERROR(__xludf.DUMMYFUNCTION("""COMPUTED_VALUE"""),75.16)</f>
        <v>75.16</v>
      </c>
    </row>
    <row r="3202" spans="1:2">
      <c r="A3202" s="3">
        <f ca="1">IFERROR(__xludf.DUMMYFUNCTION("""COMPUTED_VALUE"""),42997.6666666666)</f>
        <v>42997.666666666599</v>
      </c>
      <c r="B3202" s="1">
        <f ca="1">IFERROR(__xludf.DUMMYFUNCTION("""COMPUTED_VALUE"""),75.44)</f>
        <v>75.44</v>
      </c>
    </row>
    <row r="3203" spans="1:2">
      <c r="A3203" s="3">
        <f ca="1">IFERROR(__xludf.DUMMYFUNCTION("""COMPUTED_VALUE"""),42998.6666666666)</f>
        <v>42998.666666666599</v>
      </c>
      <c r="B3203" s="1">
        <f ca="1">IFERROR(__xludf.DUMMYFUNCTION("""COMPUTED_VALUE"""),74.94)</f>
        <v>74.94</v>
      </c>
    </row>
    <row r="3204" spans="1:2">
      <c r="A3204" s="3">
        <f ca="1">IFERROR(__xludf.DUMMYFUNCTION("""COMPUTED_VALUE"""),42999.6666666666)</f>
        <v>42999.666666666599</v>
      </c>
      <c r="B3204" s="1">
        <f ca="1">IFERROR(__xludf.DUMMYFUNCTION("""COMPUTED_VALUE"""),74.21)</f>
        <v>74.209999999999994</v>
      </c>
    </row>
    <row r="3205" spans="1:2">
      <c r="A3205" s="3">
        <f ca="1">IFERROR(__xludf.DUMMYFUNCTION("""COMPUTED_VALUE"""),43000.6666666666)</f>
        <v>43000.666666666599</v>
      </c>
      <c r="B3205" s="1">
        <f ca="1">IFERROR(__xludf.DUMMYFUNCTION("""COMPUTED_VALUE"""),74.41)</f>
        <v>74.41</v>
      </c>
    </row>
    <row r="3206" spans="1:2">
      <c r="A3206" s="3">
        <f ca="1">IFERROR(__xludf.DUMMYFUNCTION("""COMPUTED_VALUE"""),43003.6666666666)</f>
        <v>43003.666666666599</v>
      </c>
      <c r="B3206" s="1">
        <f ca="1">IFERROR(__xludf.DUMMYFUNCTION("""COMPUTED_VALUE"""),73.26)</f>
        <v>73.260000000000005</v>
      </c>
    </row>
    <row r="3207" spans="1:2">
      <c r="A3207" s="3">
        <f ca="1">IFERROR(__xludf.DUMMYFUNCTION("""COMPUTED_VALUE"""),43004.6666666666)</f>
        <v>43004.666666666599</v>
      </c>
      <c r="B3207" s="1">
        <f ca="1">IFERROR(__xludf.DUMMYFUNCTION("""COMPUTED_VALUE"""),73.26)</f>
        <v>73.260000000000005</v>
      </c>
    </row>
    <row r="3208" spans="1:2">
      <c r="A3208" s="3">
        <f ca="1">IFERROR(__xludf.DUMMYFUNCTION("""COMPUTED_VALUE"""),43005.6666666666)</f>
        <v>43005.666666666599</v>
      </c>
      <c r="B3208" s="1">
        <f ca="1">IFERROR(__xludf.DUMMYFUNCTION("""COMPUTED_VALUE"""),73.85)</f>
        <v>73.849999999999994</v>
      </c>
    </row>
    <row r="3209" spans="1:2">
      <c r="A3209" s="3">
        <f ca="1">IFERROR(__xludf.DUMMYFUNCTION("""COMPUTED_VALUE"""),43006.6666666666)</f>
        <v>43006.666666666599</v>
      </c>
      <c r="B3209" s="1">
        <f ca="1">IFERROR(__xludf.DUMMYFUNCTION("""COMPUTED_VALUE"""),73.87)</f>
        <v>73.87</v>
      </c>
    </row>
    <row r="3210" spans="1:2">
      <c r="A3210" s="3">
        <f ca="1">IFERROR(__xludf.DUMMYFUNCTION("""COMPUTED_VALUE"""),43007.6666666666)</f>
        <v>43007.666666666599</v>
      </c>
      <c r="B3210" s="1">
        <f ca="1">IFERROR(__xludf.DUMMYFUNCTION("""COMPUTED_VALUE"""),74.49)</f>
        <v>74.489999999999995</v>
      </c>
    </row>
    <row r="3211" spans="1:2">
      <c r="A3211" s="3">
        <f ca="1">IFERROR(__xludf.DUMMYFUNCTION("""COMPUTED_VALUE"""),43010.6666666666)</f>
        <v>43010.666666666599</v>
      </c>
      <c r="B3211" s="1">
        <f ca="1">IFERROR(__xludf.DUMMYFUNCTION("""COMPUTED_VALUE"""),74.61)</f>
        <v>74.61</v>
      </c>
    </row>
    <row r="3212" spans="1:2">
      <c r="A3212" s="3">
        <f ca="1">IFERROR(__xludf.DUMMYFUNCTION("""COMPUTED_VALUE"""),43011.6666666666)</f>
        <v>43011.666666666599</v>
      </c>
      <c r="B3212" s="1">
        <f ca="1">IFERROR(__xludf.DUMMYFUNCTION("""COMPUTED_VALUE"""),74.26)</f>
        <v>74.260000000000005</v>
      </c>
    </row>
    <row r="3213" spans="1:2">
      <c r="A3213" s="3">
        <f ca="1">IFERROR(__xludf.DUMMYFUNCTION("""COMPUTED_VALUE"""),43012.6666666666)</f>
        <v>43012.666666666599</v>
      </c>
      <c r="B3213" s="1">
        <f ca="1">IFERROR(__xludf.DUMMYFUNCTION("""COMPUTED_VALUE"""),74.69)</f>
        <v>74.69</v>
      </c>
    </row>
    <row r="3214" spans="1:2">
      <c r="A3214" s="3">
        <f ca="1">IFERROR(__xludf.DUMMYFUNCTION("""COMPUTED_VALUE"""),43013.6666666666)</f>
        <v>43013.666666666599</v>
      </c>
      <c r="B3214" s="1">
        <f ca="1">IFERROR(__xludf.DUMMYFUNCTION("""COMPUTED_VALUE"""),75.97)</f>
        <v>75.97</v>
      </c>
    </row>
    <row r="3215" spans="1:2">
      <c r="A3215" s="3">
        <f ca="1">IFERROR(__xludf.DUMMYFUNCTION("""COMPUTED_VALUE"""),43014.6666666666)</f>
        <v>43014.666666666599</v>
      </c>
      <c r="B3215" s="1">
        <f ca="1">IFERROR(__xludf.DUMMYFUNCTION("""COMPUTED_VALUE"""),76)</f>
        <v>76</v>
      </c>
    </row>
    <row r="3216" spans="1:2">
      <c r="A3216" s="3">
        <f ca="1">IFERROR(__xludf.DUMMYFUNCTION("""COMPUTED_VALUE"""),43017.6666666666)</f>
        <v>43017.666666666599</v>
      </c>
      <c r="B3216" s="1">
        <f ca="1">IFERROR(__xludf.DUMMYFUNCTION("""COMPUTED_VALUE"""),76.29)</f>
        <v>76.290000000000006</v>
      </c>
    </row>
    <row r="3217" spans="1:2">
      <c r="A3217" s="3">
        <f ca="1">IFERROR(__xludf.DUMMYFUNCTION("""COMPUTED_VALUE"""),43018.6666666666)</f>
        <v>43018.666666666599</v>
      </c>
      <c r="B3217" s="1">
        <f ca="1">IFERROR(__xludf.DUMMYFUNCTION("""COMPUTED_VALUE"""),76.29)</f>
        <v>76.290000000000006</v>
      </c>
    </row>
    <row r="3218" spans="1:2">
      <c r="A3218" s="3">
        <f ca="1">IFERROR(__xludf.DUMMYFUNCTION("""COMPUTED_VALUE"""),43019.6666666666)</f>
        <v>43019.666666666599</v>
      </c>
      <c r="B3218" s="1">
        <f ca="1">IFERROR(__xludf.DUMMYFUNCTION("""COMPUTED_VALUE"""),76.42)</f>
        <v>76.42</v>
      </c>
    </row>
    <row r="3219" spans="1:2">
      <c r="A3219" s="3">
        <f ca="1">IFERROR(__xludf.DUMMYFUNCTION("""COMPUTED_VALUE"""),43020.6666666666)</f>
        <v>43020.666666666599</v>
      </c>
      <c r="B3219" s="1">
        <f ca="1">IFERROR(__xludf.DUMMYFUNCTION("""COMPUTED_VALUE"""),77.12)</f>
        <v>77.12</v>
      </c>
    </row>
    <row r="3220" spans="1:2">
      <c r="A3220" s="3">
        <f ca="1">IFERROR(__xludf.DUMMYFUNCTION("""COMPUTED_VALUE"""),43021.6666666666)</f>
        <v>43021.666666666599</v>
      </c>
      <c r="B3220" s="1">
        <f ca="1">IFERROR(__xludf.DUMMYFUNCTION("""COMPUTED_VALUE"""),77.49)</f>
        <v>77.489999999999995</v>
      </c>
    </row>
    <row r="3221" spans="1:2">
      <c r="A3221" s="3">
        <f ca="1">IFERROR(__xludf.DUMMYFUNCTION("""COMPUTED_VALUE"""),43024.6666666666)</f>
        <v>43024.666666666599</v>
      </c>
      <c r="B3221" s="1">
        <f ca="1">IFERROR(__xludf.DUMMYFUNCTION("""COMPUTED_VALUE"""),77.65)</f>
        <v>77.650000000000006</v>
      </c>
    </row>
    <row r="3222" spans="1:2">
      <c r="A3222" s="3">
        <f ca="1">IFERROR(__xludf.DUMMYFUNCTION("""COMPUTED_VALUE"""),43025.6666666666)</f>
        <v>43025.666666666599</v>
      </c>
      <c r="B3222" s="1">
        <f ca="1">IFERROR(__xludf.DUMMYFUNCTION("""COMPUTED_VALUE"""),77.59)</f>
        <v>77.59</v>
      </c>
    </row>
    <row r="3223" spans="1:2">
      <c r="A3223" s="3">
        <f ca="1">IFERROR(__xludf.DUMMYFUNCTION("""COMPUTED_VALUE"""),43026.6666666666)</f>
        <v>43026.666666666599</v>
      </c>
      <c r="B3223" s="1">
        <f ca="1">IFERROR(__xludf.DUMMYFUNCTION("""COMPUTED_VALUE"""),77.61)</f>
        <v>77.61</v>
      </c>
    </row>
    <row r="3224" spans="1:2">
      <c r="A3224" s="3">
        <f ca="1">IFERROR(__xludf.DUMMYFUNCTION("""COMPUTED_VALUE"""),43027.6666666666)</f>
        <v>43027.666666666599</v>
      </c>
      <c r="B3224" s="1">
        <f ca="1">IFERROR(__xludf.DUMMYFUNCTION("""COMPUTED_VALUE"""),77.91)</f>
        <v>77.91</v>
      </c>
    </row>
    <row r="3225" spans="1:2">
      <c r="A3225" s="3">
        <f ca="1">IFERROR(__xludf.DUMMYFUNCTION("""COMPUTED_VALUE"""),43028.6666666666)</f>
        <v>43028.666666666599</v>
      </c>
      <c r="B3225" s="1">
        <f ca="1">IFERROR(__xludf.DUMMYFUNCTION("""COMPUTED_VALUE"""),78.81)</f>
        <v>78.81</v>
      </c>
    </row>
    <row r="3226" spans="1:2">
      <c r="A3226" s="3">
        <f ca="1">IFERROR(__xludf.DUMMYFUNCTION("""COMPUTED_VALUE"""),43031.6666666666)</f>
        <v>43031.666666666599</v>
      </c>
      <c r="B3226" s="1">
        <f ca="1">IFERROR(__xludf.DUMMYFUNCTION("""COMPUTED_VALUE"""),78.83)</f>
        <v>78.83</v>
      </c>
    </row>
    <row r="3227" spans="1:2">
      <c r="A3227" s="3">
        <f ca="1">IFERROR(__xludf.DUMMYFUNCTION("""COMPUTED_VALUE"""),43032.6666666666)</f>
        <v>43032.666666666599</v>
      </c>
      <c r="B3227" s="1">
        <f ca="1">IFERROR(__xludf.DUMMYFUNCTION("""COMPUTED_VALUE"""),78.86)</f>
        <v>78.86</v>
      </c>
    </row>
    <row r="3228" spans="1:2">
      <c r="A3228" s="3">
        <f ca="1">IFERROR(__xludf.DUMMYFUNCTION("""COMPUTED_VALUE"""),43033.6666666666)</f>
        <v>43033.666666666599</v>
      </c>
      <c r="B3228" s="1">
        <f ca="1">IFERROR(__xludf.DUMMYFUNCTION("""COMPUTED_VALUE"""),78.63)</f>
        <v>78.63</v>
      </c>
    </row>
    <row r="3229" spans="1:2">
      <c r="A3229" s="3">
        <f ca="1">IFERROR(__xludf.DUMMYFUNCTION("""COMPUTED_VALUE"""),43034.6666666666)</f>
        <v>43034.666666666599</v>
      </c>
      <c r="B3229" s="1">
        <f ca="1">IFERROR(__xludf.DUMMYFUNCTION("""COMPUTED_VALUE"""),78.76)</f>
        <v>78.760000000000005</v>
      </c>
    </row>
    <row r="3230" spans="1:2">
      <c r="A3230" s="3">
        <f ca="1">IFERROR(__xludf.DUMMYFUNCTION("""COMPUTED_VALUE"""),43035.6666666666)</f>
        <v>43035.666666666599</v>
      </c>
      <c r="B3230" s="1">
        <f ca="1">IFERROR(__xludf.DUMMYFUNCTION("""COMPUTED_VALUE"""),83.81)</f>
        <v>83.81</v>
      </c>
    </row>
    <row r="3231" spans="1:2">
      <c r="A3231" s="3">
        <f ca="1">IFERROR(__xludf.DUMMYFUNCTION("""COMPUTED_VALUE"""),43038.6666666666)</f>
        <v>43038.666666666599</v>
      </c>
      <c r="B3231" s="1">
        <f ca="1">IFERROR(__xludf.DUMMYFUNCTION("""COMPUTED_VALUE"""),83.89)</f>
        <v>83.89</v>
      </c>
    </row>
    <row r="3232" spans="1:2">
      <c r="A3232" s="3">
        <f ca="1">IFERROR(__xludf.DUMMYFUNCTION("""COMPUTED_VALUE"""),43039.6666666666)</f>
        <v>43039.666666666599</v>
      </c>
      <c r="B3232" s="1">
        <f ca="1">IFERROR(__xludf.DUMMYFUNCTION("""COMPUTED_VALUE"""),83.18)</f>
        <v>83.18</v>
      </c>
    </row>
    <row r="3233" spans="1:2">
      <c r="A3233" s="3">
        <f ca="1">IFERROR(__xludf.DUMMYFUNCTION("""COMPUTED_VALUE"""),43040.6666666666)</f>
        <v>43040.666666666599</v>
      </c>
      <c r="B3233" s="1">
        <f ca="1">IFERROR(__xludf.DUMMYFUNCTION("""COMPUTED_VALUE"""),83.18)</f>
        <v>83.18</v>
      </c>
    </row>
    <row r="3234" spans="1:2">
      <c r="A3234" s="3">
        <f ca="1">IFERROR(__xludf.DUMMYFUNCTION("""COMPUTED_VALUE"""),43041.6666666666)</f>
        <v>43041.666666666599</v>
      </c>
      <c r="B3234" s="1">
        <f ca="1">IFERROR(__xludf.DUMMYFUNCTION("""COMPUTED_VALUE"""),84.05)</f>
        <v>84.05</v>
      </c>
    </row>
    <row r="3235" spans="1:2">
      <c r="A3235" s="3">
        <f ca="1">IFERROR(__xludf.DUMMYFUNCTION("""COMPUTED_VALUE"""),43042.6666666666)</f>
        <v>43042.666666666599</v>
      </c>
      <c r="B3235" s="1">
        <f ca="1">IFERROR(__xludf.DUMMYFUNCTION("""COMPUTED_VALUE"""),84.14)</f>
        <v>84.14</v>
      </c>
    </row>
    <row r="3236" spans="1:2">
      <c r="A3236" s="3">
        <f ca="1">IFERROR(__xludf.DUMMYFUNCTION("""COMPUTED_VALUE"""),43045.6666666666)</f>
        <v>43045.666666666599</v>
      </c>
      <c r="B3236" s="1">
        <f ca="1">IFERROR(__xludf.DUMMYFUNCTION("""COMPUTED_VALUE"""),84.47)</f>
        <v>84.47</v>
      </c>
    </row>
    <row r="3237" spans="1:2">
      <c r="A3237" s="3">
        <f ca="1">IFERROR(__xludf.DUMMYFUNCTION("""COMPUTED_VALUE"""),43046.6666666666)</f>
        <v>43046.666666666599</v>
      </c>
      <c r="B3237" s="1">
        <f ca="1">IFERROR(__xludf.DUMMYFUNCTION("""COMPUTED_VALUE"""),84.27)</f>
        <v>84.27</v>
      </c>
    </row>
    <row r="3238" spans="1:2">
      <c r="A3238" s="3">
        <f ca="1">IFERROR(__xludf.DUMMYFUNCTION("""COMPUTED_VALUE"""),43047.6666666666)</f>
        <v>43047.666666666599</v>
      </c>
      <c r="B3238" s="1">
        <f ca="1">IFERROR(__xludf.DUMMYFUNCTION("""COMPUTED_VALUE"""),84.56)</f>
        <v>84.56</v>
      </c>
    </row>
    <row r="3239" spans="1:2">
      <c r="A3239" s="3">
        <f ca="1">IFERROR(__xludf.DUMMYFUNCTION("""COMPUTED_VALUE"""),43048.6666666666)</f>
        <v>43048.666666666599</v>
      </c>
      <c r="B3239" s="1">
        <f ca="1">IFERROR(__xludf.DUMMYFUNCTION("""COMPUTED_VALUE"""),84.09)</f>
        <v>84.09</v>
      </c>
    </row>
    <row r="3240" spans="1:2">
      <c r="A3240" s="3">
        <f ca="1">IFERROR(__xludf.DUMMYFUNCTION("""COMPUTED_VALUE"""),43049.6666666666)</f>
        <v>43049.666666666599</v>
      </c>
      <c r="B3240" s="1">
        <f ca="1">IFERROR(__xludf.DUMMYFUNCTION("""COMPUTED_VALUE"""),83.87)</f>
        <v>83.87</v>
      </c>
    </row>
    <row r="3241" spans="1:2">
      <c r="A3241" s="3">
        <f ca="1">IFERROR(__xludf.DUMMYFUNCTION("""COMPUTED_VALUE"""),43052.6666666666)</f>
        <v>43052.666666666599</v>
      </c>
      <c r="B3241" s="1">
        <f ca="1">IFERROR(__xludf.DUMMYFUNCTION("""COMPUTED_VALUE"""),83.93)</f>
        <v>83.93</v>
      </c>
    </row>
    <row r="3242" spans="1:2">
      <c r="A3242" s="3">
        <f ca="1">IFERROR(__xludf.DUMMYFUNCTION("""COMPUTED_VALUE"""),43053.6666666666)</f>
        <v>43053.666666666599</v>
      </c>
      <c r="B3242" s="1">
        <f ca="1">IFERROR(__xludf.DUMMYFUNCTION("""COMPUTED_VALUE"""),84.05)</f>
        <v>84.05</v>
      </c>
    </row>
    <row r="3243" spans="1:2">
      <c r="A3243" s="3">
        <f ca="1">IFERROR(__xludf.DUMMYFUNCTION("""COMPUTED_VALUE"""),43054.6666666666)</f>
        <v>43054.666666666599</v>
      </c>
      <c r="B3243" s="1">
        <f ca="1">IFERROR(__xludf.DUMMYFUNCTION("""COMPUTED_VALUE"""),82.98)</f>
        <v>82.98</v>
      </c>
    </row>
    <row r="3244" spans="1:2">
      <c r="A3244" s="3">
        <f ca="1">IFERROR(__xludf.DUMMYFUNCTION("""COMPUTED_VALUE"""),43055.6666666666)</f>
        <v>43055.666666666599</v>
      </c>
      <c r="B3244" s="1">
        <f ca="1">IFERROR(__xludf.DUMMYFUNCTION("""COMPUTED_VALUE"""),83.2)</f>
        <v>83.2</v>
      </c>
    </row>
    <row r="3245" spans="1:2">
      <c r="A3245" s="3">
        <f ca="1">IFERROR(__xludf.DUMMYFUNCTION("""COMPUTED_VALUE"""),43056.6666666666)</f>
        <v>43056.666666666599</v>
      </c>
      <c r="B3245" s="1">
        <f ca="1">IFERROR(__xludf.DUMMYFUNCTION("""COMPUTED_VALUE"""),82.4)</f>
        <v>82.4</v>
      </c>
    </row>
    <row r="3246" spans="1:2">
      <c r="A3246" s="3">
        <f ca="1">IFERROR(__xludf.DUMMYFUNCTION("""COMPUTED_VALUE"""),43059.6666666666)</f>
        <v>43059.666666666599</v>
      </c>
      <c r="B3246" s="1">
        <f ca="1">IFERROR(__xludf.DUMMYFUNCTION("""COMPUTED_VALUE"""),82.53)</f>
        <v>82.53</v>
      </c>
    </row>
    <row r="3247" spans="1:2">
      <c r="A3247" s="3">
        <f ca="1">IFERROR(__xludf.DUMMYFUNCTION("""COMPUTED_VALUE"""),43060.6666666666)</f>
        <v>43060.666666666599</v>
      </c>
      <c r="B3247" s="1">
        <f ca="1">IFERROR(__xludf.DUMMYFUNCTION("""COMPUTED_VALUE"""),83.72)</f>
        <v>83.72</v>
      </c>
    </row>
    <row r="3248" spans="1:2">
      <c r="A3248" s="3">
        <f ca="1">IFERROR(__xludf.DUMMYFUNCTION("""COMPUTED_VALUE"""),43061.6666666666)</f>
        <v>43061.666666666599</v>
      </c>
      <c r="B3248" s="1">
        <f ca="1">IFERROR(__xludf.DUMMYFUNCTION("""COMPUTED_VALUE"""),83.11)</f>
        <v>83.11</v>
      </c>
    </row>
    <row r="3249" spans="1:2">
      <c r="A3249" s="3">
        <f ca="1">IFERROR(__xludf.DUMMYFUNCTION("""COMPUTED_VALUE"""),43063.5416666666)</f>
        <v>43063.541666666599</v>
      </c>
      <c r="B3249" s="1">
        <f ca="1">IFERROR(__xludf.DUMMYFUNCTION("""COMPUTED_VALUE"""),83.26)</f>
        <v>83.26</v>
      </c>
    </row>
    <row r="3250" spans="1:2">
      <c r="A3250" s="3">
        <f ca="1">IFERROR(__xludf.DUMMYFUNCTION("""COMPUTED_VALUE"""),43066.6666666666)</f>
        <v>43066.666666666599</v>
      </c>
      <c r="B3250" s="1">
        <f ca="1">IFERROR(__xludf.DUMMYFUNCTION("""COMPUTED_VALUE"""),83.87)</f>
        <v>83.87</v>
      </c>
    </row>
    <row r="3251" spans="1:2">
      <c r="A3251" s="3">
        <f ca="1">IFERROR(__xludf.DUMMYFUNCTION("""COMPUTED_VALUE"""),43067.6666666666)</f>
        <v>43067.666666666599</v>
      </c>
      <c r="B3251" s="1">
        <f ca="1">IFERROR(__xludf.DUMMYFUNCTION("""COMPUTED_VALUE"""),84.88)</f>
        <v>84.88</v>
      </c>
    </row>
    <row r="3252" spans="1:2">
      <c r="A3252" s="3">
        <f ca="1">IFERROR(__xludf.DUMMYFUNCTION("""COMPUTED_VALUE"""),43068.6666666666)</f>
        <v>43068.666666666599</v>
      </c>
      <c r="B3252" s="1">
        <f ca="1">IFERROR(__xludf.DUMMYFUNCTION("""COMPUTED_VALUE"""),83.34)</f>
        <v>83.34</v>
      </c>
    </row>
    <row r="3253" spans="1:2">
      <c r="A3253" s="3">
        <f ca="1">IFERROR(__xludf.DUMMYFUNCTION("""COMPUTED_VALUE"""),43069.6666666666)</f>
        <v>43069.666666666599</v>
      </c>
      <c r="B3253" s="1">
        <f ca="1">IFERROR(__xludf.DUMMYFUNCTION("""COMPUTED_VALUE"""),84.17)</f>
        <v>84.17</v>
      </c>
    </row>
    <row r="3254" spans="1:2">
      <c r="A3254" s="3">
        <f ca="1">IFERROR(__xludf.DUMMYFUNCTION("""COMPUTED_VALUE"""),43070.6666666666)</f>
        <v>43070.666666666599</v>
      </c>
      <c r="B3254" s="1">
        <f ca="1">IFERROR(__xludf.DUMMYFUNCTION("""COMPUTED_VALUE"""),84.26)</f>
        <v>84.26</v>
      </c>
    </row>
    <row r="3255" spans="1:2">
      <c r="A3255" s="3">
        <f ca="1">IFERROR(__xludf.DUMMYFUNCTION("""COMPUTED_VALUE"""),43073.6666666666)</f>
        <v>43073.666666666599</v>
      </c>
      <c r="B3255" s="1">
        <f ca="1">IFERROR(__xludf.DUMMYFUNCTION("""COMPUTED_VALUE"""),81.08)</f>
        <v>81.08</v>
      </c>
    </row>
    <row r="3256" spans="1:2">
      <c r="A3256" s="3">
        <f ca="1">IFERROR(__xludf.DUMMYFUNCTION("""COMPUTED_VALUE"""),43074.6666666666)</f>
        <v>43074.666666666599</v>
      </c>
      <c r="B3256" s="1">
        <f ca="1">IFERROR(__xludf.DUMMYFUNCTION("""COMPUTED_VALUE"""),81.59)</f>
        <v>81.59</v>
      </c>
    </row>
    <row r="3257" spans="1:2">
      <c r="A3257" s="3">
        <f ca="1">IFERROR(__xludf.DUMMYFUNCTION("""COMPUTED_VALUE"""),43075.6666666666)</f>
        <v>43075.666666666599</v>
      </c>
      <c r="B3257" s="1">
        <f ca="1">IFERROR(__xludf.DUMMYFUNCTION("""COMPUTED_VALUE"""),82.78)</f>
        <v>82.78</v>
      </c>
    </row>
    <row r="3258" spans="1:2">
      <c r="A3258" s="3">
        <f ca="1">IFERROR(__xludf.DUMMYFUNCTION("""COMPUTED_VALUE"""),43076.6666666666)</f>
        <v>43076.666666666599</v>
      </c>
      <c r="B3258" s="1">
        <f ca="1">IFERROR(__xludf.DUMMYFUNCTION("""COMPUTED_VALUE"""),82.49)</f>
        <v>82.49</v>
      </c>
    </row>
    <row r="3259" spans="1:2">
      <c r="A3259" s="3">
        <f ca="1">IFERROR(__xludf.DUMMYFUNCTION("""COMPUTED_VALUE"""),43077.6666666666)</f>
        <v>43077.666666666599</v>
      </c>
      <c r="B3259" s="1">
        <f ca="1">IFERROR(__xludf.DUMMYFUNCTION("""COMPUTED_VALUE"""),84.16)</f>
        <v>84.16</v>
      </c>
    </row>
    <row r="3260" spans="1:2">
      <c r="A3260" s="3">
        <f ca="1">IFERROR(__xludf.DUMMYFUNCTION("""COMPUTED_VALUE"""),43080.6666666666)</f>
        <v>43080.666666666599</v>
      </c>
      <c r="B3260" s="1">
        <f ca="1">IFERROR(__xludf.DUMMYFUNCTION("""COMPUTED_VALUE"""),85.23)</f>
        <v>85.23</v>
      </c>
    </row>
    <row r="3261" spans="1:2">
      <c r="A3261" s="3">
        <f ca="1">IFERROR(__xludf.DUMMYFUNCTION("""COMPUTED_VALUE"""),43081.6666666666)</f>
        <v>43081.666666666599</v>
      </c>
      <c r="B3261" s="1">
        <f ca="1">IFERROR(__xludf.DUMMYFUNCTION("""COMPUTED_VALUE"""),85.58)</f>
        <v>85.58</v>
      </c>
    </row>
    <row r="3262" spans="1:2">
      <c r="A3262" s="3">
        <f ca="1">IFERROR(__xludf.DUMMYFUNCTION("""COMPUTED_VALUE"""),43082.6666666666)</f>
        <v>43082.666666666599</v>
      </c>
      <c r="B3262" s="1">
        <f ca="1">IFERROR(__xludf.DUMMYFUNCTION("""COMPUTED_VALUE"""),85.35)</f>
        <v>85.35</v>
      </c>
    </row>
    <row r="3263" spans="1:2">
      <c r="A3263" s="3">
        <f ca="1">IFERROR(__xludf.DUMMYFUNCTION("""COMPUTED_VALUE"""),43083.6666666666)</f>
        <v>43083.666666666599</v>
      </c>
      <c r="B3263" s="1">
        <f ca="1">IFERROR(__xludf.DUMMYFUNCTION("""COMPUTED_VALUE"""),84.69)</f>
        <v>84.69</v>
      </c>
    </row>
    <row r="3264" spans="1:2">
      <c r="A3264" s="3">
        <f ca="1">IFERROR(__xludf.DUMMYFUNCTION("""COMPUTED_VALUE"""),43084.6666666666)</f>
        <v>43084.666666666599</v>
      </c>
      <c r="B3264" s="1">
        <f ca="1">IFERROR(__xludf.DUMMYFUNCTION("""COMPUTED_VALUE"""),86.85)</f>
        <v>86.85</v>
      </c>
    </row>
    <row r="3265" spans="1:2">
      <c r="A3265" s="3">
        <f ca="1">IFERROR(__xludf.DUMMYFUNCTION("""COMPUTED_VALUE"""),43087.6666666666)</f>
        <v>43087.666666666599</v>
      </c>
      <c r="B3265" s="1">
        <f ca="1">IFERROR(__xludf.DUMMYFUNCTION("""COMPUTED_VALUE"""),86.38)</f>
        <v>86.38</v>
      </c>
    </row>
    <row r="3266" spans="1:2">
      <c r="A3266" s="3">
        <f ca="1">IFERROR(__xludf.DUMMYFUNCTION("""COMPUTED_VALUE"""),43088.6666666666)</f>
        <v>43088.666666666599</v>
      </c>
      <c r="B3266" s="1">
        <f ca="1">IFERROR(__xludf.DUMMYFUNCTION("""COMPUTED_VALUE"""),85.83)</f>
        <v>85.83</v>
      </c>
    </row>
    <row r="3267" spans="1:2">
      <c r="A3267" s="3">
        <f ca="1">IFERROR(__xludf.DUMMYFUNCTION("""COMPUTED_VALUE"""),43089.6666666666)</f>
        <v>43089.666666666599</v>
      </c>
      <c r="B3267" s="1">
        <f ca="1">IFERROR(__xludf.DUMMYFUNCTION("""COMPUTED_VALUE"""),85.52)</f>
        <v>85.52</v>
      </c>
    </row>
    <row r="3268" spans="1:2">
      <c r="A3268" s="3">
        <f ca="1">IFERROR(__xludf.DUMMYFUNCTION("""COMPUTED_VALUE"""),43090.6666666666)</f>
        <v>43090.666666666599</v>
      </c>
      <c r="B3268" s="1">
        <f ca="1">IFERROR(__xludf.DUMMYFUNCTION("""COMPUTED_VALUE"""),85.5)</f>
        <v>85.5</v>
      </c>
    </row>
    <row r="3269" spans="1:2">
      <c r="A3269" s="3">
        <f ca="1">IFERROR(__xludf.DUMMYFUNCTION("""COMPUTED_VALUE"""),43091.6666666666)</f>
        <v>43091.666666666599</v>
      </c>
      <c r="B3269" s="1">
        <f ca="1">IFERROR(__xludf.DUMMYFUNCTION("""COMPUTED_VALUE"""),85.51)</f>
        <v>85.51</v>
      </c>
    </row>
    <row r="3270" spans="1:2">
      <c r="A3270" s="3">
        <f ca="1">IFERROR(__xludf.DUMMYFUNCTION("""COMPUTED_VALUE"""),43095.6666666666)</f>
        <v>43095.666666666599</v>
      </c>
      <c r="B3270" s="1">
        <f ca="1">IFERROR(__xludf.DUMMYFUNCTION("""COMPUTED_VALUE"""),85.4)</f>
        <v>85.4</v>
      </c>
    </row>
    <row r="3271" spans="1:2">
      <c r="A3271" s="3">
        <f ca="1">IFERROR(__xludf.DUMMYFUNCTION("""COMPUTED_VALUE"""),43096.6666666666)</f>
        <v>43096.666666666599</v>
      </c>
      <c r="B3271" s="1">
        <f ca="1">IFERROR(__xludf.DUMMYFUNCTION("""COMPUTED_VALUE"""),85.71)</f>
        <v>85.71</v>
      </c>
    </row>
    <row r="3272" spans="1:2">
      <c r="A3272" s="3">
        <f ca="1">IFERROR(__xludf.DUMMYFUNCTION("""COMPUTED_VALUE"""),43097.6666666666)</f>
        <v>43097.666666666599</v>
      </c>
      <c r="B3272" s="1">
        <f ca="1">IFERROR(__xludf.DUMMYFUNCTION("""COMPUTED_VALUE"""),85.72)</f>
        <v>85.72</v>
      </c>
    </row>
    <row r="3273" spans="1:2">
      <c r="A3273" s="3">
        <f ca="1">IFERROR(__xludf.DUMMYFUNCTION("""COMPUTED_VALUE"""),43098.6666666666)</f>
        <v>43098.666666666599</v>
      </c>
      <c r="B3273" s="1">
        <f ca="1">IFERROR(__xludf.DUMMYFUNCTION("""COMPUTED_VALUE"""),85.54)</f>
        <v>85.54</v>
      </c>
    </row>
    <row r="3274" spans="1:2">
      <c r="A3274" s="3">
        <f ca="1">IFERROR(__xludf.DUMMYFUNCTION("""COMPUTED_VALUE"""),43102.6666666666)</f>
        <v>43102.666666666599</v>
      </c>
      <c r="B3274" s="1">
        <f ca="1">IFERROR(__xludf.DUMMYFUNCTION("""COMPUTED_VALUE"""),85.95)</f>
        <v>85.95</v>
      </c>
    </row>
    <row r="3275" spans="1:2">
      <c r="A3275" s="3">
        <f ca="1">IFERROR(__xludf.DUMMYFUNCTION("""COMPUTED_VALUE"""),43103.6666666666)</f>
        <v>43103.666666666599</v>
      </c>
      <c r="B3275" s="1">
        <f ca="1">IFERROR(__xludf.DUMMYFUNCTION("""COMPUTED_VALUE"""),86.35)</f>
        <v>86.35</v>
      </c>
    </row>
    <row r="3276" spans="1:2">
      <c r="A3276" s="3">
        <f ca="1">IFERROR(__xludf.DUMMYFUNCTION("""COMPUTED_VALUE"""),43104.6666666666)</f>
        <v>43104.666666666599</v>
      </c>
      <c r="B3276" s="1">
        <f ca="1">IFERROR(__xludf.DUMMYFUNCTION("""COMPUTED_VALUE"""),87.11)</f>
        <v>87.11</v>
      </c>
    </row>
    <row r="3277" spans="1:2">
      <c r="A3277" s="3">
        <f ca="1">IFERROR(__xludf.DUMMYFUNCTION("""COMPUTED_VALUE"""),43105.6666666666)</f>
        <v>43105.666666666599</v>
      </c>
      <c r="B3277" s="1">
        <f ca="1">IFERROR(__xludf.DUMMYFUNCTION("""COMPUTED_VALUE"""),88.19)</f>
        <v>88.19</v>
      </c>
    </row>
    <row r="3278" spans="1:2">
      <c r="A3278" s="3">
        <f ca="1">IFERROR(__xludf.DUMMYFUNCTION("""COMPUTED_VALUE"""),43108.6666666666)</f>
        <v>43108.666666666599</v>
      </c>
      <c r="B3278" s="1">
        <f ca="1">IFERROR(__xludf.DUMMYFUNCTION("""COMPUTED_VALUE"""),88.28)</f>
        <v>88.28</v>
      </c>
    </row>
    <row r="3279" spans="1:2">
      <c r="A3279" s="3">
        <f ca="1">IFERROR(__xludf.DUMMYFUNCTION("""COMPUTED_VALUE"""),43109.6666666666)</f>
        <v>43109.666666666599</v>
      </c>
      <c r="B3279" s="1">
        <f ca="1">IFERROR(__xludf.DUMMYFUNCTION("""COMPUTED_VALUE"""),88.22)</f>
        <v>88.22</v>
      </c>
    </row>
    <row r="3280" spans="1:2">
      <c r="A3280" s="3">
        <f ca="1">IFERROR(__xludf.DUMMYFUNCTION("""COMPUTED_VALUE"""),43110.6666666666)</f>
        <v>43110.666666666599</v>
      </c>
      <c r="B3280" s="1">
        <f ca="1">IFERROR(__xludf.DUMMYFUNCTION("""COMPUTED_VALUE"""),87.82)</f>
        <v>87.82</v>
      </c>
    </row>
    <row r="3281" spans="1:2">
      <c r="A3281" s="3">
        <f ca="1">IFERROR(__xludf.DUMMYFUNCTION("""COMPUTED_VALUE"""),43111.6666666666)</f>
        <v>43111.666666666599</v>
      </c>
      <c r="B3281" s="1">
        <f ca="1">IFERROR(__xludf.DUMMYFUNCTION("""COMPUTED_VALUE"""),88.08)</f>
        <v>88.08</v>
      </c>
    </row>
    <row r="3282" spans="1:2">
      <c r="A3282" s="3">
        <f ca="1">IFERROR(__xludf.DUMMYFUNCTION("""COMPUTED_VALUE"""),43112.6666666666)</f>
        <v>43112.666666666599</v>
      </c>
      <c r="B3282" s="1">
        <f ca="1">IFERROR(__xludf.DUMMYFUNCTION("""COMPUTED_VALUE"""),89.6)</f>
        <v>89.6</v>
      </c>
    </row>
    <row r="3283" spans="1:2">
      <c r="A3283" s="3">
        <f ca="1">IFERROR(__xludf.DUMMYFUNCTION("""COMPUTED_VALUE"""),43116.6666666666)</f>
        <v>43116.666666666599</v>
      </c>
      <c r="B3283" s="1">
        <f ca="1">IFERROR(__xludf.DUMMYFUNCTION("""COMPUTED_VALUE"""),88.35)</f>
        <v>88.35</v>
      </c>
    </row>
    <row r="3284" spans="1:2">
      <c r="A3284" s="3">
        <f ca="1">IFERROR(__xludf.DUMMYFUNCTION("""COMPUTED_VALUE"""),43117.6666666666)</f>
        <v>43117.666666666599</v>
      </c>
      <c r="B3284" s="1">
        <f ca="1">IFERROR(__xludf.DUMMYFUNCTION("""COMPUTED_VALUE"""),90.14)</f>
        <v>90.14</v>
      </c>
    </row>
    <row r="3285" spans="1:2">
      <c r="A3285" s="3">
        <f ca="1">IFERROR(__xludf.DUMMYFUNCTION("""COMPUTED_VALUE"""),43118.6666666666)</f>
        <v>43118.666666666599</v>
      </c>
      <c r="B3285" s="1">
        <f ca="1">IFERROR(__xludf.DUMMYFUNCTION("""COMPUTED_VALUE"""),90.1)</f>
        <v>90.1</v>
      </c>
    </row>
    <row r="3286" spans="1:2">
      <c r="A3286" s="3">
        <f ca="1">IFERROR(__xludf.DUMMYFUNCTION("""COMPUTED_VALUE"""),43119.6666666666)</f>
        <v>43119.666666666599</v>
      </c>
      <c r="B3286" s="1">
        <f ca="1">IFERROR(__xludf.DUMMYFUNCTION("""COMPUTED_VALUE"""),90)</f>
        <v>90</v>
      </c>
    </row>
    <row r="3287" spans="1:2">
      <c r="A3287" s="3">
        <f ca="1">IFERROR(__xludf.DUMMYFUNCTION("""COMPUTED_VALUE"""),43122.6666666666)</f>
        <v>43122.666666666599</v>
      </c>
      <c r="B3287" s="1">
        <f ca="1">IFERROR(__xludf.DUMMYFUNCTION("""COMPUTED_VALUE"""),91.61)</f>
        <v>91.61</v>
      </c>
    </row>
    <row r="3288" spans="1:2">
      <c r="A3288" s="3">
        <f ca="1">IFERROR(__xludf.DUMMYFUNCTION("""COMPUTED_VALUE"""),43123.6666666666)</f>
        <v>43123.666666666599</v>
      </c>
      <c r="B3288" s="1">
        <f ca="1">IFERROR(__xludf.DUMMYFUNCTION("""COMPUTED_VALUE"""),91.9)</f>
        <v>91.9</v>
      </c>
    </row>
    <row r="3289" spans="1:2">
      <c r="A3289" s="3">
        <f ca="1">IFERROR(__xludf.DUMMYFUNCTION("""COMPUTED_VALUE"""),43124.6666666666)</f>
        <v>43124.666666666599</v>
      </c>
      <c r="B3289" s="1">
        <f ca="1">IFERROR(__xludf.DUMMYFUNCTION("""COMPUTED_VALUE"""),91.82)</f>
        <v>91.82</v>
      </c>
    </row>
    <row r="3290" spans="1:2">
      <c r="A3290" s="3">
        <f ca="1">IFERROR(__xludf.DUMMYFUNCTION("""COMPUTED_VALUE"""),43125.6666666666)</f>
        <v>43125.666666666599</v>
      </c>
      <c r="B3290" s="1">
        <f ca="1">IFERROR(__xludf.DUMMYFUNCTION("""COMPUTED_VALUE"""),92.33)</f>
        <v>92.33</v>
      </c>
    </row>
    <row r="3291" spans="1:2">
      <c r="A3291" s="3">
        <f ca="1">IFERROR(__xludf.DUMMYFUNCTION("""COMPUTED_VALUE"""),43126.6666666666)</f>
        <v>43126.666666666599</v>
      </c>
      <c r="B3291" s="1">
        <f ca="1">IFERROR(__xludf.DUMMYFUNCTION("""COMPUTED_VALUE"""),94.06)</f>
        <v>94.06</v>
      </c>
    </row>
    <row r="3292" spans="1:2">
      <c r="A3292" s="3">
        <f ca="1">IFERROR(__xludf.DUMMYFUNCTION("""COMPUTED_VALUE"""),43129.6666666666)</f>
        <v>43129.666666666599</v>
      </c>
      <c r="B3292" s="1">
        <f ca="1">IFERROR(__xludf.DUMMYFUNCTION("""COMPUTED_VALUE"""),93.92)</f>
        <v>93.92</v>
      </c>
    </row>
    <row r="3293" spans="1:2">
      <c r="A3293" s="3">
        <f ca="1">IFERROR(__xludf.DUMMYFUNCTION("""COMPUTED_VALUE"""),43130.6666666666)</f>
        <v>43130.666666666599</v>
      </c>
      <c r="B3293" s="1">
        <f ca="1">IFERROR(__xludf.DUMMYFUNCTION("""COMPUTED_VALUE"""),92.74)</f>
        <v>92.74</v>
      </c>
    </row>
    <row r="3294" spans="1:2">
      <c r="A3294" s="3">
        <f ca="1">IFERROR(__xludf.DUMMYFUNCTION("""COMPUTED_VALUE"""),43131.6666666666)</f>
        <v>43131.666666666599</v>
      </c>
      <c r="B3294" s="1">
        <f ca="1">IFERROR(__xludf.DUMMYFUNCTION("""COMPUTED_VALUE"""),95.01)</f>
        <v>95.01</v>
      </c>
    </row>
    <row r="3295" spans="1:2">
      <c r="A3295" s="3">
        <f ca="1">IFERROR(__xludf.DUMMYFUNCTION("""COMPUTED_VALUE"""),43132.6666666666)</f>
        <v>43132.666666666599</v>
      </c>
      <c r="B3295" s="1">
        <f ca="1">IFERROR(__xludf.DUMMYFUNCTION("""COMPUTED_VALUE"""),94.26)</f>
        <v>94.26</v>
      </c>
    </row>
    <row r="3296" spans="1:2">
      <c r="A3296" s="3">
        <f ca="1">IFERROR(__xludf.DUMMYFUNCTION("""COMPUTED_VALUE"""),43133.6666666666)</f>
        <v>43133.666666666599</v>
      </c>
      <c r="B3296" s="1">
        <f ca="1">IFERROR(__xludf.DUMMYFUNCTION("""COMPUTED_VALUE"""),91.78)</f>
        <v>91.78</v>
      </c>
    </row>
    <row r="3297" spans="1:2">
      <c r="A3297" s="3">
        <f ca="1">IFERROR(__xludf.DUMMYFUNCTION("""COMPUTED_VALUE"""),43136.6666666666)</f>
        <v>43136.666666666599</v>
      </c>
      <c r="B3297" s="1">
        <f ca="1">IFERROR(__xludf.DUMMYFUNCTION("""COMPUTED_VALUE"""),88)</f>
        <v>88</v>
      </c>
    </row>
    <row r="3298" spans="1:2">
      <c r="A3298" s="3">
        <f ca="1">IFERROR(__xludf.DUMMYFUNCTION("""COMPUTED_VALUE"""),43137.6666666666)</f>
        <v>43137.666666666599</v>
      </c>
      <c r="B3298" s="1">
        <f ca="1">IFERROR(__xludf.DUMMYFUNCTION("""COMPUTED_VALUE"""),91.33)</f>
        <v>91.33</v>
      </c>
    </row>
    <row r="3299" spans="1:2">
      <c r="A3299" s="3">
        <f ca="1">IFERROR(__xludf.DUMMYFUNCTION("""COMPUTED_VALUE"""),43138.6666666666)</f>
        <v>43138.666666666599</v>
      </c>
      <c r="B3299" s="1">
        <f ca="1">IFERROR(__xludf.DUMMYFUNCTION("""COMPUTED_VALUE"""),89.61)</f>
        <v>89.61</v>
      </c>
    </row>
    <row r="3300" spans="1:2">
      <c r="A3300" s="3">
        <f ca="1">IFERROR(__xludf.DUMMYFUNCTION("""COMPUTED_VALUE"""),43139.6666666666)</f>
        <v>43139.666666666599</v>
      </c>
      <c r="B3300" s="1">
        <f ca="1">IFERROR(__xludf.DUMMYFUNCTION("""COMPUTED_VALUE"""),85.01)</f>
        <v>85.01</v>
      </c>
    </row>
    <row r="3301" spans="1:2">
      <c r="A3301" s="3">
        <f ca="1">IFERROR(__xludf.DUMMYFUNCTION("""COMPUTED_VALUE"""),43140.6666666666)</f>
        <v>43140.666666666599</v>
      </c>
      <c r="B3301" s="1">
        <f ca="1">IFERROR(__xludf.DUMMYFUNCTION("""COMPUTED_VALUE"""),88.18)</f>
        <v>88.18</v>
      </c>
    </row>
    <row r="3302" spans="1:2">
      <c r="A3302" s="3">
        <f ca="1">IFERROR(__xludf.DUMMYFUNCTION("""COMPUTED_VALUE"""),43143.6666666666)</f>
        <v>43143.666666666599</v>
      </c>
      <c r="B3302" s="1">
        <f ca="1">IFERROR(__xludf.DUMMYFUNCTION("""COMPUTED_VALUE"""),89.13)</f>
        <v>89.13</v>
      </c>
    </row>
    <row r="3303" spans="1:2">
      <c r="A3303" s="3">
        <f ca="1">IFERROR(__xludf.DUMMYFUNCTION("""COMPUTED_VALUE"""),43144.6666666666)</f>
        <v>43144.666666666599</v>
      </c>
      <c r="B3303" s="1">
        <f ca="1">IFERROR(__xludf.DUMMYFUNCTION("""COMPUTED_VALUE"""),89.83)</f>
        <v>89.83</v>
      </c>
    </row>
    <row r="3304" spans="1:2">
      <c r="A3304" s="3">
        <f ca="1">IFERROR(__xludf.DUMMYFUNCTION("""COMPUTED_VALUE"""),43145.6666666666)</f>
        <v>43145.666666666599</v>
      </c>
      <c r="B3304" s="1">
        <f ca="1">IFERROR(__xludf.DUMMYFUNCTION("""COMPUTED_VALUE"""),90.81)</f>
        <v>90.81</v>
      </c>
    </row>
    <row r="3305" spans="1:2">
      <c r="A3305" s="3">
        <f ca="1">IFERROR(__xludf.DUMMYFUNCTION("""COMPUTED_VALUE"""),43146.6666666666)</f>
        <v>43146.666666666599</v>
      </c>
      <c r="B3305" s="1">
        <f ca="1">IFERROR(__xludf.DUMMYFUNCTION("""COMPUTED_VALUE"""),92.66)</f>
        <v>92.66</v>
      </c>
    </row>
    <row r="3306" spans="1:2">
      <c r="A3306" s="3">
        <f ca="1">IFERROR(__xludf.DUMMYFUNCTION("""COMPUTED_VALUE"""),43147.6666666666)</f>
        <v>43147.666666666599</v>
      </c>
      <c r="B3306" s="1">
        <f ca="1">IFERROR(__xludf.DUMMYFUNCTION("""COMPUTED_VALUE"""),92)</f>
        <v>92</v>
      </c>
    </row>
    <row r="3307" spans="1:2">
      <c r="A3307" s="3">
        <f ca="1">IFERROR(__xludf.DUMMYFUNCTION("""COMPUTED_VALUE"""),43151.6666666666)</f>
        <v>43151.666666666599</v>
      </c>
      <c r="B3307" s="1">
        <f ca="1">IFERROR(__xludf.DUMMYFUNCTION("""COMPUTED_VALUE"""),92.72)</f>
        <v>92.72</v>
      </c>
    </row>
    <row r="3308" spans="1:2">
      <c r="A3308" s="3">
        <f ca="1">IFERROR(__xludf.DUMMYFUNCTION("""COMPUTED_VALUE"""),43152.6666666666)</f>
        <v>43152.666666666599</v>
      </c>
      <c r="B3308" s="1">
        <f ca="1">IFERROR(__xludf.DUMMYFUNCTION("""COMPUTED_VALUE"""),91.49)</f>
        <v>91.49</v>
      </c>
    </row>
    <row r="3309" spans="1:2">
      <c r="A3309" s="3">
        <f ca="1">IFERROR(__xludf.DUMMYFUNCTION("""COMPUTED_VALUE"""),43153.6666666666)</f>
        <v>43153.666666666599</v>
      </c>
      <c r="B3309" s="1">
        <f ca="1">IFERROR(__xludf.DUMMYFUNCTION("""COMPUTED_VALUE"""),91.73)</f>
        <v>91.73</v>
      </c>
    </row>
    <row r="3310" spans="1:2">
      <c r="A3310" s="3">
        <f ca="1">IFERROR(__xludf.DUMMYFUNCTION("""COMPUTED_VALUE"""),43154.6666666666)</f>
        <v>43154.666666666599</v>
      </c>
      <c r="B3310" s="1">
        <f ca="1">IFERROR(__xludf.DUMMYFUNCTION("""COMPUTED_VALUE"""),94.06)</f>
        <v>94.06</v>
      </c>
    </row>
    <row r="3311" spans="1:2">
      <c r="A3311" s="3">
        <f ca="1">IFERROR(__xludf.DUMMYFUNCTION("""COMPUTED_VALUE"""),43157.6666666666)</f>
        <v>43157.666666666599</v>
      </c>
      <c r="B3311" s="1">
        <f ca="1">IFERROR(__xludf.DUMMYFUNCTION("""COMPUTED_VALUE"""),95.42)</f>
        <v>95.42</v>
      </c>
    </row>
    <row r="3312" spans="1:2">
      <c r="A3312" s="3">
        <f ca="1">IFERROR(__xludf.DUMMYFUNCTION("""COMPUTED_VALUE"""),43158.6666666666)</f>
        <v>43158.666666666599</v>
      </c>
      <c r="B3312" s="1">
        <f ca="1">IFERROR(__xludf.DUMMYFUNCTION("""COMPUTED_VALUE"""),94.2)</f>
        <v>94.2</v>
      </c>
    </row>
    <row r="3313" spans="1:2">
      <c r="A3313" s="3">
        <f ca="1">IFERROR(__xludf.DUMMYFUNCTION("""COMPUTED_VALUE"""),43159.6666666666)</f>
        <v>43159.666666666599</v>
      </c>
      <c r="B3313" s="1">
        <f ca="1">IFERROR(__xludf.DUMMYFUNCTION("""COMPUTED_VALUE"""),93.77)</f>
        <v>93.77</v>
      </c>
    </row>
    <row r="3314" spans="1:2">
      <c r="A3314" s="3">
        <f ca="1">IFERROR(__xludf.DUMMYFUNCTION("""COMPUTED_VALUE"""),43160.6666666666)</f>
        <v>43160.666666666599</v>
      </c>
      <c r="B3314" s="1">
        <f ca="1">IFERROR(__xludf.DUMMYFUNCTION("""COMPUTED_VALUE"""),92.85)</f>
        <v>92.85</v>
      </c>
    </row>
    <row r="3315" spans="1:2">
      <c r="A3315" s="3">
        <f ca="1">IFERROR(__xludf.DUMMYFUNCTION("""COMPUTED_VALUE"""),43161.6666666666)</f>
        <v>43161.666666666599</v>
      </c>
      <c r="B3315" s="1">
        <f ca="1">IFERROR(__xludf.DUMMYFUNCTION("""COMPUTED_VALUE"""),93.05)</f>
        <v>93.05</v>
      </c>
    </row>
    <row r="3316" spans="1:2">
      <c r="A3316" s="3">
        <f ca="1">IFERROR(__xludf.DUMMYFUNCTION("""COMPUTED_VALUE"""),43164.6666666666)</f>
        <v>43164.666666666599</v>
      </c>
      <c r="B3316" s="1">
        <f ca="1">IFERROR(__xludf.DUMMYFUNCTION("""COMPUTED_VALUE"""),93.64)</f>
        <v>93.64</v>
      </c>
    </row>
    <row r="3317" spans="1:2">
      <c r="A3317" s="3">
        <f ca="1">IFERROR(__xludf.DUMMYFUNCTION("""COMPUTED_VALUE"""),43165.6666666666)</f>
        <v>43165.666666666599</v>
      </c>
      <c r="B3317" s="1">
        <f ca="1">IFERROR(__xludf.DUMMYFUNCTION("""COMPUTED_VALUE"""),93.32)</f>
        <v>93.32</v>
      </c>
    </row>
    <row r="3318" spans="1:2">
      <c r="A3318" s="3">
        <f ca="1">IFERROR(__xludf.DUMMYFUNCTION("""COMPUTED_VALUE"""),43166.6666666666)</f>
        <v>43166.666666666599</v>
      </c>
      <c r="B3318" s="1">
        <f ca="1">IFERROR(__xludf.DUMMYFUNCTION("""COMPUTED_VALUE"""),93.86)</f>
        <v>93.86</v>
      </c>
    </row>
    <row r="3319" spans="1:2">
      <c r="A3319" s="3">
        <f ca="1">IFERROR(__xludf.DUMMYFUNCTION("""COMPUTED_VALUE"""),43167.6666666666)</f>
        <v>43167.666666666599</v>
      </c>
      <c r="B3319" s="1">
        <f ca="1">IFERROR(__xludf.DUMMYFUNCTION("""COMPUTED_VALUE"""),94.43)</f>
        <v>94.43</v>
      </c>
    </row>
    <row r="3320" spans="1:2">
      <c r="A3320" s="3">
        <f ca="1">IFERROR(__xludf.DUMMYFUNCTION("""COMPUTED_VALUE"""),43168.6666666666)</f>
        <v>43168.666666666599</v>
      </c>
      <c r="B3320" s="1">
        <f ca="1">IFERROR(__xludf.DUMMYFUNCTION("""COMPUTED_VALUE"""),96.54)</f>
        <v>96.54</v>
      </c>
    </row>
    <row r="3321" spans="1:2">
      <c r="A3321" s="3">
        <f ca="1">IFERROR(__xludf.DUMMYFUNCTION("""COMPUTED_VALUE"""),43171.6666666666)</f>
        <v>43171.666666666599</v>
      </c>
      <c r="B3321" s="1">
        <f ca="1">IFERROR(__xludf.DUMMYFUNCTION("""COMPUTED_VALUE"""),96.77)</f>
        <v>96.77</v>
      </c>
    </row>
    <row r="3322" spans="1:2">
      <c r="A3322" s="3">
        <f ca="1">IFERROR(__xludf.DUMMYFUNCTION("""COMPUTED_VALUE"""),43172.6666666666)</f>
        <v>43172.666666666599</v>
      </c>
      <c r="B3322" s="1">
        <f ca="1">IFERROR(__xludf.DUMMYFUNCTION("""COMPUTED_VALUE"""),94.41)</f>
        <v>94.41</v>
      </c>
    </row>
    <row r="3323" spans="1:2">
      <c r="A3323" s="3">
        <f ca="1">IFERROR(__xludf.DUMMYFUNCTION("""COMPUTED_VALUE"""),43173.6666666666)</f>
        <v>43173.666666666599</v>
      </c>
      <c r="B3323" s="1">
        <f ca="1">IFERROR(__xludf.DUMMYFUNCTION("""COMPUTED_VALUE"""),93.85)</f>
        <v>93.85</v>
      </c>
    </row>
    <row r="3324" spans="1:2">
      <c r="A3324" s="3">
        <f ca="1">IFERROR(__xludf.DUMMYFUNCTION("""COMPUTED_VALUE"""),43174.6666666666)</f>
        <v>43174.666666666599</v>
      </c>
      <c r="B3324" s="1">
        <f ca="1">IFERROR(__xludf.DUMMYFUNCTION("""COMPUTED_VALUE"""),94.18)</f>
        <v>94.18</v>
      </c>
    </row>
    <row r="3325" spans="1:2">
      <c r="A3325" s="3">
        <f ca="1">IFERROR(__xludf.DUMMYFUNCTION("""COMPUTED_VALUE"""),43175.6666666666)</f>
        <v>43175.666666666599</v>
      </c>
      <c r="B3325" s="1">
        <f ca="1">IFERROR(__xludf.DUMMYFUNCTION("""COMPUTED_VALUE"""),94.6)</f>
        <v>94.6</v>
      </c>
    </row>
    <row r="3326" spans="1:2">
      <c r="A3326" s="3">
        <f ca="1">IFERROR(__xludf.DUMMYFUNCTION("""COMPUTED_VALUE"""),43178.6666666666)</f>
        <v>43178.666666666599</v>
      </c>
      <c r="B3326" s="1">
        <f ca="1">IFERROR(__xludf.DUMMYFUNCTION("""COMPUTED_VALUE"""),92.89)</f>
        <v>92.89</v>
      </c>
    </row>
    <row r="3327" spans="1:2">
      <c r="A3327" s="3">
        <f ca="1">IFERROR(__xludf.DUMMYFUNCTION("""COMPUTED_VALUE"""),43179.6666666666)</f>
        <v>43179.666666666599</v>
      </c>
      <c r="B3327" s="1">
        <f ca="1">IFERROR(__xludf.DUMMYFUNCTION("""COMPUTED_VALUE"""),93.13)</f>
        <v>93.13</v>
      </c>
    </row>
    <row r="3328" spans="1:2">
      <c r="A3328" s="3">
        <f ca="1">IFERROR(__xludf.DUMMYFUNCTION("""COMPUTED_VALUE"""),43180.6666666666)</f>
        <v>43180.666666666599</v>
      </c>
      <c r="B3328" s="1">
        <f ca="1">IFERROR(__xludf.DUMMYFUNCTION("""COMPUTED_VALUE"""),92.48)</f>
        <v>92.48</v>
      </c>
    </row>
    <row r="3329" spans="1:2">
      <c r="A3329" s="3">
        <f ca="1">IFERROR(__xludf.DUMMYFUNCTION("""COMPUTED_VALUE"""),43181.6666666666)</f>
        <v>43181.666666666599</v>
      </c>
      <c r="B3329" s="1">
        <f ca="1">IFERROR(__xludf.DUMMYFUNCTION("""COMPUTED_VALUE"""),89.79)</f>
        <v>89.79</v>
      </c>
    </row>
    <row r="3330" spans="1:2">
      <c r="A3330" s="3">
        <f ca="1">IFERROR(__xludf.DUMMYFUNCTION("""COMPUTED_VALUE"""),43182.6666666666)</f>
        <v>43182.666666666599</v>
      </c>
      <c r="B3330" s="1">
        <f ca="1">IFERROR(__xludf.DUMMYFUNCTION("""COMPUTED_VALUE"""),87.18)</f>
        <v>87.18</v>
      </c>
    </row>
    <row r="3331" spans="1:2">
      <c r="A3331" s="3">
        <f ca="1">IFERROR(__xludf.DUMMYFUNCTION("""COMPUTED_VALUE"""),43185.6666666666)</f>
        <v>43185.666666666599</v>
      </c>
      <c r="B3331" s="1">
        <f ca="1">IFERROR(__xludf.DUMMYFUNCTION("""COMPUTED_VALUE"""),93.78)</f>
        <v>93.78</v>
      </c>
    </row>
    <row r="3332" spans="1:2">
      <c r="A3332" s="3">
        <f ca="1">IFERROR(__xludf.DUMMYFUNCTION("""COMPUTED_VALUE"""),43186.6666666666)</f>
        <v>43186.666666666599</v>
      </c>
      <c r="B3332" s="1">
        <f ca="1">IFERROR(__xludf.DUMMYFUNCTION("""COMPUTED_VALUE"""),89.47)</f>
        <v>89.47</v>
      </c>
    </row>
    <row r="3333" spans="1:2">
      <c r="A3333" s="3">
        <f ca="1">IFERROR(__xludf.DUMMYFUNCTION("""COMPUTED_VALUE"""),43187.6666666666)</f>
        <v>43187.666666666599</v>
      </c>
      <c r="B3333" s="1">
        <f ca="1">IFERROR(__xludf.DUMMYFUNCTION("""COMPUTED_VALUE"""),89.39)</f>
        <v>89.39</v>
      </c>
    </row>
    <row r="3334" spans="1:2">
      <c r="A3334" s="3">
        <f ca="1">IFERROR(__xludf.DUMMYFUNCTION("""COMPUTED_VALUE"""),43188.6666666666)</f>
        <v>43188.666666666599</v>
      </c>
      <c r="B3334" s="1">
        <f ca="1">IFERROR(__xludf.DUMMYFUNCTION("""COMPUTED_VALUE"""),91.27)</f>
        <v>91.27</v>
      </c>
    </row>
    <row r="3335" spans="1:2">
      <c r="A3335" s="3">
        <f ca="1">IFERROR(__xludf.DUMMYFUNCTION("""COMPUTED_VALUE"""),43192.6666666666)</f>
        <v>43192.666666666599</v>
      </c>
      <c r="B3335" s="1">
        <f ca="1">IFERROR(__xludf.DUMMYFUNCTION("""COMPUTED_VALUE"""),88.52)</f>
        <v>88.52</v>
      </c>
    </row>
    <row r="3336" spans="1:2">
      <c r="A3336" s="3">
        <f ca="1">IFERROR(__xludf.DUMMYFUNCTION("""COMPUTED_VALUE"""),43193.6666666666)</f>
        <v>43193.666666666599</v>
      </c>
      <c r="B3336" s="1">
        <f ca="1">IFERROR(__xludf.DUMMYFUNCTION("""COMPUTED_VALUE"""),89.71)</f>
        <v>89.71</v>
      </c>
    </row>
    <row r="3337" spans="1:2">
      <c r="A3337" s="3">
        <f ca="1">IFERROR(__xludf.DUMMYFUNCTION("""COMPUTED_VALUE"""),43194.6666666666)</f>
        <v>43194.666666666599</v>
      </c>
      <c r="B3337" s="1">
        <f ca="1">IFERROR(__xludf.DUMMYFUNCTION("""COMPUTED_VALUE"""),92.33)</f>
        <v>92.33</v>
      </c>
    </row>
    <row r="3338" spans="1:2">
      <c r="A3338" s="3">
        <f ca="1">IFERROR(__xludf.DUMMYFUNCTION("""COMPUTED_VALUE"""),43195.6666666666)</f>
        <v>43195.666666666599</v>
      </c>
      <c r="B3338" s="1">
        <f ca="1">IFERROR(__xludf.DUMMYFUNCTION("""COMPUTED_VALUE"""),92.38)</f>
        <v>92.38</v>
      </c>
    </row>
    <row r="3339" spans="1:2">
      <c r="A3339" s="3">
        <f ca="1">IFERROR(__xludf.DUMMYFUNCTION("""COMPUTED_VALUE"""),43196.6666666666)</f>
        <v>43196.666666666599</v>
      </c>
      <c r="B3339" s="1">
        <f ca="1">IFERROR(__xludf.DUMMYFUNCTION("""COMPUTED_VALUE"""),90.23)</f>
        <v>90.23</v>
      </c>
    </row>
    <row r="3340" spans="1:2">
      <c r="A3340" s="3">
        <f ca="1">IFERROR(__xludf.DUMMYFUNCTION("""COMPUTED_VALUE"""),43199.6666666666)</f>
        <v>43199.666666666599</v>
      </c>
      <c r="B3340" s="1">
        <f ca="1">IFERROR(__xludf.DUMMYFUNCTION("""COMPUTED_VALUE"""),90.77)</f>
        <v>90.77</v>
      </c>
    </row>
    <row r="3341" spans="1:2">
      <c r="A3341" s="3">
        <f ca="1">IFERROR(__xludf.DUMMYFUNCTION("""COMPUTED_VALUE"""),43200.6666666666)</f>
        <v>43200.666666666599</v>
      </c>
      <c r="B3341" s="1">
        <f ca="1">IFERROR(__xludf.DUMMYFUNCTION("""COMPUTED_VALUE"""),92.88)</f>
        <v>92.88</v>
      </c>
    </row>
    <row r="3342" spans="1:2">
      <c r="A3342" s="3">
        <f ca="1">IFERROR(__xludf.DUMMYFUNCTION("""COMPUTED_VALUE"""),43201.6666666666)</f>
        <v>43201.666666666599</v>
      </c>
      <c r="B3342" s="1">
        <f ca="1">IFERROR(__xludf.DUMMYFUNCTION("""COMPUTED_VALUE"""),91.86)</f>
        <v>91.86</v>
      </c>
    </row>
    <row r="3343" spans="1:2">
      <c r="A3343" s="3">
        <f ca="1">IFERROR(__xludf.DUMMYFUNCTION("""COMPUTED_VALUE"""),43202.6666666666)</f>
        <v>43202.666666666599</v>
      </c>
      <c r="B3343" s="1">
        <f ca="1">IFERROR(__xludf.DUMMYFUNCTION("""COMPUTED_VALUE"""),93.58)</f>
        <v>93.58</v>
      </c>
    </row>
    <row r="3344" spans="1:2">
      <c r="A3344" s="3">
        <f ca="1">IFERROR(__xludf.DUMMYFUNCTION("""COMPUTED_VALUE"""),43203.6666666666)</f>
        <v>43203.666666666599</v>
      </c>
      <c r="B3344" s="1">
        <f ca="1">IFERROR(__xludf.DUMMYFUNCTION("""COMPUTED_VALUE"""),93.08)</f>
        <v>93.08</v>
      </c>
    </row>
    <row r="3345" spans="1:2">
      <c r="A3345" s="3">
        <f ca="1">IFERROR(__xludf.DUMMYFUNCTION("""COMPUTED_VALUE"""),43206.6666666666)</f>
        <v>43206.666666666599</v>
      </c>
      <c r="B3345" s="1">
        <f ca="1">IFERROR(__xludf.DUMMYFUNCTION("""COMPUTED_VALUE"""),94.17)</f>
        <v>94.17</v>
      </c>
    </row>
    <row r="3346" spans="1:2">
      <c r="A3346" s="3">
        <f ca="1">IFERROR(__xludf.DUMMYFUNCTION("""COMPUTED_VALUE"""),43207.6666666666)</f>
        <v>43207.666666666599</v>
      </c>
      <c r="B3346" s="1">
        <f ca="1">IFERROR(__xludf.DUMMYFUNCTION("""COMPUTED_VALUE"""),96.07)</f>
        <v>96.07</v>
      </c>
    </row>
    <row r="3347" spans="1:2">
      <c r="A3347" s="3">
        <f ca="1">IFERROR(__xludf.DUMMYFUNCTION("""COMPUTED_VALUE"""),43208.6666666666)</f>
        <v>43208.666666666599</v>
      </c>
      <c r="B3347" s="1">
        <f ca="1">IFERROR(__xludf.DUMMYFUNCTION("""COMPUTED_VALUE"""),96.44)</f>
        <v>96.44</v>
      </c>
    </row>
    <row r="3348" spans="1:2">
      <c r="A3348" s="3">
        <f ca="1">IFERROR(__xludf.DUMMYFUNCTION("""COMPUTED_VALUE"""),43209.6666666666)</f>
        <v>43209.666666666599</v>
      </c>
      <c r="B3348" s="1">
        <f ca="1">IFERROR(__xludf.DUMMYFUNCTION("""COMPUTED_VALUE"""),96.11)</f>
        <v>96.11</v>
      </c>
    </row>
    <row r="3349" spans="1:2">
      <c r="A3349" s="3">
        <f ca="1">IFERROR(__xludf.DUMMYFUNCTION("""COMPUTED_VALUE"""),43210.6666666666)</f>
        <v>43210.666666666599</v>
      </c>
      <c r="B3349" s="1">
        <f ca="1">IFERROR(__xludf.DUMMYFUNCTION("""COMPUTED_VALUE"""),95)</f>
        <v>95</v>
      </c>
    </row>
    <row r="3350" spans="1:2">
      <c r="A3350" s="3">
        <f ca="1">IFERROR(__xludf.DUMMYFUNCTION("""COMPUTED_VALUE"""),43213.6666666666)</f>
        <v>43213.666666666599</v>
      </c>
      <c r="B3350" s="1">
        <f ca="1">IFERROR(__xludf.DUMMYFUNCTION("""COMPUTED_VALUE"""),95.35)</f>
        <v>95.35</v>
      </c>
    </row>
    <row r="3351" spans="1:2">
      <c r="A3351" s="3">
        <f ca="1">IFERROR(__xludf.DUMMYFUNCTION("""COMPUTED_VALUE"""),43214.6666666666)</f>
        <v>43214.666666666599</v>
      </c>
      <c r="B3351" s="1">
        <f ca="1">IFERROR(__xludf.DUMMYFUNCTION("""COMPUTED_VALUE"""),93.12)</f>
        <v>93.12</v>
      </c>
    </row>
    <row r="3352" spans="1:2">
      <c r="A3352" s="3">
        <f ca="1">IFERROR(__xludf.DUMMYFUNCTION("""COMPUTED_VALUE"""),43215.6666666666)</f>
        <v>43215.666666666599</v>
      </c>
      <c r="B3352" s="1">
        <f ca="1">IFERROR(__xludf.DUMMYFUNCTION("""COMPUTED_VALUE"""),92.31)</f>
        <v>92.31</v>
      </c>
    </row>
    <row r="3353" spans="1:2">
      <c r="A3353" s="3">
        <f ca="1">IFERROR(__xludf.DUMMYFUNCTION("""COMPUTED_VALUE"""),43216.6666666666)</f>
        <v>43216.666666666599</v>
      </c>
      <c r="B3353" s="1">
        <f ca="1">IFERROR(__xludf.DUMMYFUNCTION("""COMPUTED_VALUE"""),94.26)</f>
        <v>94.26</v>
      </c>
    </row>
    <row r="3354" spans="1:2">
      <c r="A3354" s="3">
        <f ca="1">IFERROR(__xludf.DUMMYFUNCTION("""COMPUTED_VALUE"""),43217.6666666666)</f>
        <v>43217.666666666599</v>
      </c>
      <c r="B3354" s="1">
        <f ca="1">IFERROR(__xludf.DUMMYFUNCTION("""COMPUTED_VALUE"""),95.82)</f>
        <v>95.82</v>
      </c>
    </row>
    <row r="3355" spans="1:2">
      <c r="A3355" s="3">
        <f ca="1">IFERROR(__xludf.DUMMYFUNCTION("""COMPUTED_VALUE"""),43220.6666666666)</f>
        <v>43220.666666666599</v>
      </c>
      <c r="B3355" s="1">
        <f ca="1">IFERROR(__xludf.DUMMYFUNCTION("""COMPUTED_VALUE"""),93.52)</f>
        <v>93.52</v>
      </c>
    </row>
    <row r="3356" spans="1:2">
      <c r="A3356" s="3">
        <f ca="1">IFERROR(__xludf.DUMMYFUNCTION("""COMPUTED_VALUE"""),43221.6666666666)</f>
        <v>43221.666666666599</v>
      </c>
      <c r="B3356" s="1">
        <f ca="1">IFERROR(__xludf.DUMMYFUNCTION("""COMPUTED_VALUE"""),95)</f>
        <v>95</v>
      </c>
    </row>
    <row r="3357" spans="1:2">
      <c r="A3357" s="3">
        <f ca="1">IFERROR(__xludf.DUMMYFUNCTION("""COMPUTED_VALUE"""),43222.6666666666)</f>
        <v>43222.666666666599</v>
      </c>
      <c r="B3357" s="1">
        <f ca="1">IFERROR(__xludf.DUMMYFUNCTION("""COMPUTED_VALUE"""),93.51)</f>
        <v>93.51</v>
      </c>
    </row>
    <row r="3358" spans="1:2">
      <c r="A3358" s="3">
        <f ca="1">IFERROR(__xludf.DUMMYFUNCTION("""COMPUTED_VALUE"""),43223.6666666666)</f>
        <v>43223.666666666599</v>
      </c>
      <c r="B3358" s="1">
        <f ca="1">IFERROR(__xludf.DUMMYFUNCTION("""COMPUTED_VALUE"""),94.07)</f>
        <v>94.07</v>
      </c>
    </row>
    <row r="3359" spans="1:2">
      <c r="A3359" s="3">
        <f ca="1">IFERROR(__xludf.DUMMYFUNCTION("""COMPUTED_VALUE"""),43224.6666666666)</f>
        <v>43224.666666666599</v>
      </c>
      <c r="B3359" s="1">
        <f ca="1">IFERROR(__xludf.DUMMYFUNCTION("""COMPUTED_VALUE"""),95.16)</f>
        <v>95.16</v>
      </c>
    </row>
    <row r="3360" spans="1:2">
      <c r="A3360" s="3">
        <f ca="1">IFERROR(__xludf.DUMMYFUNCTION("""COMPUTED_VALUE"""),43227.6666666666)</f>
        <v>43227.666666666599</v>
      </c>
      <c r="B3360" s="1">
        <f ca="1">IFERROR(__xludf.DUMMYFUNCTION("""COMPUTED_VALUE"""),96.22)</f>
        <v>96.22</v>
      </c>
    </row>
    <row r="3361" spans="1:2">
      <c r="A3361" s="3">
        <f ca="1">IFERROR(__xludf.DUMMYFUNCTION("""COMPUTED_VALUE"""),43228.6666666666)</f>
        <v>43228.666666666599</v>
      </c>
      <c r="B3361" s="1">
        <f ca="1">IFERROR(__xludf.DUMMYFUNCTION("""COMPUTED_VALUE"""),95.81)</f>
        <v>95.81</v>
      </c>
    </row>
    <row r="3362" spans="1:2">
      <c r="A3362" s="3">
        <f ca="1">IFERROR(__xludf.DUMMYFUNCTION("""COMPUTED_VALUE"""),43229.6666666666)</f>
        <v>43229.666666666599</v>
      </c>
      <c r="B3362" s="1">
        <f ca="1">IFERROR(__xludf.DUMMYFUNCTION("""COMPUTED_VALUE"""),96.94)</f>
        <v>96.94</v>
      </c>
    </row>
    <row r="3363" spans="1:2">
      <c r="A3363" s="3">
        <f ca="1">IFERROR(__xludf.DUMMYFUNCTION("""COMPUTED_VALUE"""),43230.6666666666)</f>
        <v>43230.666666666599</v>
      </c>
      <c r="B3363" s="1">
        <f ca="1">IFERROR(__xludf.DUMMYFUNCTION("""COMPUTED_VALUE"""),97.91)</f>
        <v>97.91</v>
      </c>
    </row>
    <row r="3364" spans="1:2">
      <c r="A3364" s="3">
        <f ca="1">IFERROR(__xludf.DUMMYFUNCTION("""COMPUTED_VALUE"""),43231.6666666666)</f>
        <v>43231.666666666599</v>
      </c>
      <c r="B3364" s="1">
        <f ca="1">IFERROR(__xludf.DUMMYFUNCTION("""COMPUTED_VALUE"""),97.7)</f>
        <v>97.7</v>
      </c>
    </row>
    <row r="3365" spans="1:2">
      <c r="A3365" s="3">
        <f ca="1">IFERROR(__xludf.DUMMYFUNCTION("""COMPUTED_VALUE"""),43234.6666666666)</f>
        <v>43234.666666666599</v>
      </c>
      <c r="B3365" s="1">
        <f ca="1">IFERROR(__xludf.DUMMYFUNCTION("""COMPUTED_VALUE"""),98.03)</f>
        <v>98.03</v>
      </c>
    </row>
    <row r="3366" spans="1:2">
      <c r="A3366" s="3">
        <f ca="1">IFERROR(__xludf.DUMMYFUNCTION("""COMPUTED_VALUE"""),43235.6666666666)</f>
        <v>43235.666666666599</v>
      </c>
      <c r="B3366" s="1">
        <f ca="1">IFERROR(__xludf.DUMMYFUNCTION("""COMPUTED_VALUE"""),97.32)</f>
        <v>97.32</v>
      </c>
    </row>
    <row r="3367" spans="1:2">
      <c r="A3367" s="3">
        <f ca="1">IFERROR(__xludf.DUMMYFUNCTION("""COMPUTED_VALUE"""),43236.6666666666)</f>
        <v>43236.666666666599</v>
      </c>
      <c r="B3367" s="1">
        <f ca="1">IFERROR(__xludf.DUMMYFUNCTION("""COMPUTED_VALUE"""),97.15)</f>
        <v>97.15</v>
      </c>
    </row>
    <row r="3368" spans="1:2">
      <c r="A3368" s="3">
        <f ca="1">IFERROR(__xludf.DUMMYFUNCTION("""COMPUTED_VALUE"""),43237.6666666666)</f>
        <v>43237.666666666599</v>
      </c>
      <c r="B3368" s="1">
        <f ca="1">IFERROR(__xludf.DUMMYFUNCTION("""COMPUTED_VALUE"""),96.18)</f>
        <v>96.18</v>
      </c>
    </row>
    <row r="3369" spans="1:2">
      <c r="A3369" s="3">
        <f ca="1">IFERROR(__xludf.DUMMYFUNCTION("""COMPUTED_VALUE"""),43238.6666666666)</f>
        <v>43238.666666666599</v>
      </c>
      <c r="B3369" s="1">
        <f ca="1">IFERROR(__xludf.DUMMYFUNCTION("""COMPUTED_VALUE"""),96.36)</f>
        <v>96.36</v>
      </c>
    </row>
    <row r="3370" spans="1:2">
      <c r="A3370" s="3">
        <f ca="1">IFERROR(__xludf.DUMMYFUNCTION("""COMPUTED_VALUE"""),43241.6666666666)</f>
        <v>43241.666666666599</v>
      </c>
      <c r="B3370" s="1">
        <f ca="1">IFERROR(__xludf.DUMMYFUNCTION("""COMPUTED_VALUE"""),97.6)</f>
        <v>97.6</v>
      </c>
    </row>
    <row r="3371" spans="1:2">
      <c r="A3371" s="3">
        <f ca="1">IFERROR(__xludf.DUMMYFUNCTION("""COMPUTED_VALUE"""),43242.6666666666)</f>
        <v>43242.666666666599</v>
      </c>
      <c r="B3371" s="1">
        <f ca="1">IFERROR(__xludf.DUMMYFUNCTION("""COMPUTED_VALUE"""),97.5)</f>
        <v>97.5</v>
      </c>
    </row>
    <row r="3372" spans="1:2">
      <c r="A3372" s="3">
        <f ca="1">IFERROR(__xludf.DUMMYFUNCTION("""COMPUTED_VALUE"""),43243.6666666666)</f>
        <v>43243.666666666599</v>
      </c>
      <c r="B3372" s="1">
        <f ca="1">IFERROR(__xludf.DUMMYFUNCTION("""COMPUTED_VALUE"""),98.66)</f>
        <v>98.66</v>
      </c>
    </row>
    <row r="3373" spans="1:2">
      <c r="A3373" s="3">
        <f ca="1">IFERROR(__xludf.DUMMYFUNCTION("""COMPUTED_VALUE"""),43244.6666666666)</f>
        <v>43244.666666666599</v>
      </c>
      <c r="B3373" s="1">
        <f ca="1">IFERROR(__xludf.DUMMYFUNCTION("""COMPUTED_VALUE"""),98.31)</f>
        <v>98.31</v>
      </c>
    </row>
    <row r="3374" spans="1:2">
      <c r="A3374" s="3">
        <f ca="1">IFERROR(__xludf.DUMMYFUNCTION("""COMPUTED_VALUE"""),43245.6666666666)</f>
        <v>43245.666666666599</v>
      </c>
      <c r="B3374" s="1">
        <f ca="1">IFERROR(__xludf.DUMMYFUNCTION("""COMPUTED_VALUE"""),98.36)</f>
        <v>98.36</v>
      </c>
    </row>
    <row r="3375" spans="1:2">
      <c r="A3375" s="3">
        <f ca="1">IFERROR(__xludf.DUMMYFUNCTION("""COMPUTED_VALUE"""),43249.6666666666)</f>
        <v>43249.666666666599</v>
      </c>
      <c r="B3375" s="1">
        <f ca="1">IFERROR(__xludf.DUMMYFUNCTION("""COMPUTED_VALUE"""),98.01)</f>
        <v>98.01</v>
      </c>
    </row>
    <row r="3376" spans="1:2">
      <c r="A3376" s="3">
        <f ca="1">IFERROR(__xludf.DUMMYFUNCTION("""COMPUTED_VALUE"""),43250.6666666666)</f>
        <v>43250.666666666599</v>
      </c>
      <c r="B3376" s="1">
        <f ca="1">IFERROR(__xludf.DUMMYFUNCTION("""COMPUTED_VALUE"""),98.95)</f>
        <v>98.95</v>
      </c>
    </row>
    <row r="3377" spans="1:2">
      <c r="A3377" s="3">
        <f ca="1">IFERROR(__xludf.DUMMYFUNCTION("""COMPUTED_VALUE"""),43251.6666666666)</f>
        <v>43251.666666666599</v>
      </c>
      <c r="B3377" s="1">
        <f ca="1">IFERROR(__xludf.DUMMYFUNCTION("""COMPUTED_VALUE"""),98.84)</f>
        <v>98.84</v>
      </c>
    </row>
    <row r="3378" spans="1:2">
      <c r="A3378" s="3">
        <f ca="1">IFERROR(__xludf.DUMMYFUNCTION("""COMPUTED_VALUE"""),43252.6666666666)</f>
        <v>43252.666666666599</v>
      </c>
      <c r="B3378" s="1">
        <f ca="1">IFERROR(__xludf.DUMMYFUNCTION("""COMPUTED_VALUE"""),100.79)</f>
        <v>100.79</v>
      </c>
    </row>
    <row r="3379" spans="1:2">
      <c r="A3379" s="3">
        <f ca="1">IFERROR(__xludf.DUMMYFUNCTION("""COMPUTED_VALUE"""),43255.6666666666)</f>
        <v>43255.666666666599</v>
      </c>
      <c r="B3379" s="1">
        <f ca="1">IFERROR(__xludf.DUMMYFUNCTION("""COMPUTED_VALUE"""),101.67)</f>
        <v>101.67</v>
      </c>
    </row>
    <row r="3380" spans="1:2">
      <c r="A3380" s="3">
        <f ca="1">IFERROR(__xludf.DUMMYFUNCTION("""COMPUTED_VALUE"""),43256.6666666666)</f>
        <v>43256.666666666599</v>
      </c>
      <c r="B3380" s="1">
        <f ca="1">IFERROR(__xludf.DUMMYFUNCTION("""COMPUTED_VALUE"""),102.19)</f>
        <v>102.19</v>
      </c>
    </row>
    <row r="3381" spans="1:2">
      <c r="A3381" s="3">
        <f ca="1">IFERROR(__xludf.DUMMYFUNCTION("""COMPUTED_VALUE"""),43257.6666666666)</f>
        <v>43257.666666666599</v>
      </c>
      <c r="B3381" s="1">
        <f ca="1">IFERROR(__xludf.DUMMYFUNCTION("""COMPUTED_VALUE"""),102.49)</f>
        <v>102.49</v>
      </c>
    </row>
    <row r="3382" spans="1:2">
      <c r="A3382" s="3">
        <f ca="1">IFERROR(__xludf.DUMMYFUNCTION("""COMPUTED_VALUE"""),43258.6666666666)</f>
        <v>43258.666666666599</v>
      </c>
      <c r="B3382" s="1">
        <f ca="1">IFERROR(__xludf.DUMMYFUNCTION("""COMPUTED_VALUE"""),100.88)</f>
        <v>100.88</v>
      </c>
    </row>
    <row r="3383" spans="1:2">
      <c r="A3383" s="3">
        <f ca="1">IFERROR(__xludf.DUMMYFUNCTION("""COMPUTED_VALUE"""),43259.6666666666)</f>
        <v>43259.666666666599</v>
      </c>
      <c r="B3383" s="1">
        <f ca="1">IFERROR(__xludf.DUMMYFUNCTION("""COMPUTED_VALUE"""),101.63)</f>
        <v>101.63</v>
      </c>
    </row>
    <row r="3384" spans="1:2">
      <c r="A3384" s="3">
        <f ca="1">IFERROR(__xludf.DUMMYFUNCTION("""COMPUTED_VALUE"""),43262.6666666666)</f>
        <v>43262.666666666599</v>
      </c>
      <c r="B3384" s="1">
        <f ca="1">IFERROR(__xludf.DUMMYFUNCTION("""COMPUTED_VALUE"""),101.05)</f>
        <v>101.05</v>
      </c>
    </row>
    <row r="3385" spans="1:2">
      <c r="A3385" s="3">
        <f ca="1">IFERROR(__xludf.DUMMYFUNCTION("""COMPUTED_VALUE"""),43263.6666666666)</f>
        <v>43263.666666666599</v>
      </c>
      <c r="B3385" s="1">
        <f ca="1">IFERROR(__xludf.DUMMYFUNCTION("""COMPUTED_VALUE"""),101.31)</f>
        <v>101.31</v>
      </c>
    </row>
    <row r="3386" spans="1:2">
      <c r="A3386" s="3">
        <f ca="1">IFERROR(__xludf.DUMMYFUNCTION("""COMPUTED_VALUE"""),43264.6666666666)</f>
        <v>43264.666666666599</v>
      </c>
      <c r="B3386" s="1">
        <f ca="1">IFERROR(__xludf.DUMMYFUNCTION("""COMPUTED_VALUE"""),100.85)</f>
        <v>100.85</v>
      </c>
    </row>
    <row r="3387" spans="1:2">
      <c r="A3387" s="3">
        <f ca="1">IFERROR(__xludf.DUMMYFUNCTION("""COMPUTED_VALUE"""),43265.6666666666)</f>
        <v>43265.666666666599</v>
      </c>
      <c r="B3387" s="1">
        <f ca="1">IFERROR(__xludf.DUMMYFUNCTION("""COMPUTED_VALUE"""),101.42)</f>
        <v>101.42</v>
      </c>
    </row>
    <row r="3388" spans="1:2">
      <c r="A3388" s="3">
        <f ca="1">IFERROR(__xludf.DUMMYFUNCTION("""COMPUTED_VALUE"""),43266.6666666666)</f>
        <v>43266.666666666599</v>
      </c>
      <c r="B3388" s="1">
        <f ca="1">IFERROR(__xludf.DUMMYFUNCTION("""COMPUTED_VALUE"""),100.13)</f>
        <v>100.13</v>
      </c>
    </row>
    <row r="3389" spans="1:2">
      <c r="A3389" s="3">
        <f ca="1">IFERROR(__xludf.DUMMYFUNCTION("""COMPUTED_VALUE"""),43269.6666666666)</f>
        <v>43269.666666666599</v>
      </c>
      <c r="B3389" s="1">
        <f ca="1">IFERROR(__xludf.DUMMYFUNCTION("""COMPUTED_VALUE"""),100.86)</f>
        <v>100.86</v>
      </c>
    </row>
    <row r="3390" spans="1:2">
      <c r="A3390" s="3">
        <f ca="1">IFERROR(__xludf.DUMMYFUNCTION("""COMPUTED_VALUE"""),43270.6666666666)</f>
        <v>43270.666666666599</v>
      </c>
      <c r="B3390" s="1">
        <f ca="1">IFERROR(__xludf.DUMMYFUNCTION("""COMPUTED_VALUE"""),100.86)</f>
        <v>100.86</v>
      </c>
    </row>
    <row r="3391" spans="1:2">
      <c r="A3391" s="3">
        <f ca="1">IFERROR(__xludf.DUMMYFUNCTION("""COMPUTED_VALUE"""),43271.6666666666)</f>
        <v>43271.666666666599</v>
      </c>
      <c r="B3391" s="1">
        <f ca="1">IFERROR(__xludf.DUMMYFUNCTION("""COMPUTED_VALUE"""),101.87)</f>
        <v>101.87</v>
      </c>
    </row>
    <row r="3392" spans="1:2">
      <c r="A3392" s="3">
        <f ca="1">IFERROR(__xludf.DUMMYFUNCTION("""COMPUTED_VALUE"""),43272.6666666666)</f>
        <v>43272.666666666599</v>
      </c>
      <c r="B3392" s="1">
        <f ca="1">IFERROR(__xludf.DUMMYFUNCTION("""COMPUTED_VALUE"""),101.14)</f>
        <v>101.14</v>
      </c>
    </row>
    <row r="3393" spans="1:2">
      <c r="A3393" s="3">
        <f ca="1">IFERROR(__xludf.DUMMYFUNCTION("""COMPUTED_VALUE"""),43273.6666666666)</f>
        <v>43273.666666666599</v>
      </c>
      <c r="B3393" s="1">
        <f ca="1">IFERROR(__xludf.DUMMYFUNCTION("""COMPUTED_VALUE"""),100.41)</f>
        <v>100.41</v>
      </c>
    </row>
    <row r="3394" spans="1:2">
      <c r="A3394" s="3">
        <f ca="1">IFERROR(__xludf.DUMMYFUNCTION("""COMPUTED_VALUE"""),43276.6666666666)</f>
        <v>43276.666666666599</v>
      </c>
      <c r="B3394" s="1">
        <f ca="1">IFERROR(__xludf.DUMMYFUNCTION("""COMPUTED_VALUE"""),98.39)</f>
        <v>98.39</v>
      </c>
    </row>
    <row r="3395" spans="1:2">
      <c r="A3395" s="3">
        <f ca="1">IFERROR(__xludf.DUMMYFUNCTION("""COMPUTED_VALUE"""),43277.6666666666)</f>
        <v>43277.666666666599</v>
      </c>
      <c r="B3395" s="1">
        <f ca="1">IFERROR(__xludf.DUMMYFUNCTION("""COMPUTED_VALUE"""),99.08)</f>
        <v>99.08</v>
      </c>
    </row>
    <row r="3396" spans="1:2">
      <c r="A3396" s="3">
        <f ca="1">IFERROR(__xludf.DUMMYFUNCTION("""COMPUTED_VALUE"""),43278.6666666666)</f>
        <v>43278.666666666599</v>
      </c>
      <c r="B3396" s="1">
        <f ca="1">IFERROR(__xludf.DUMMYFUNCTION("""COMPUTED_VALUE"""),97.54)</f>
        <v>97.54</v>
      </c>
    </row>
    <row r="3397" spans="1:2">
      <c r="A3397" s="3">
        <f ca="1">IFERROR(__xludf.DUMMYFUNCTION("""COMPUTED_VALUE"""),43279.6666666666)</f>
        <v>43279.666666666599</v>
      </c>
      <c r="B3397" s="1">
        <f ca="1">IFERROR(__xludf.DUMMYFUNCTION("""COMPUTED_VALUE"""),98.63)</f>
        <v>98.63</v>
      </c>
    </row>
    <row r="3398" spans="1:2">
      <c r="A3398" s="3">
        <f ca="1">IFERROR(__xludf.DUMMYFUNCTION("""COMPUTED_VALUE"""),43280.6666666666)</f>
        <v>43280.666666666599</v>
      </c>
      <c r="B3398" s="1">
        <f ca="1">IFERROR(__xludf.DUMMYFUNCTION("""COMPUTED_VALUE"""),98.61)</f>
        <v>98.61</v>
      </c>
    </row>
    <row r="3399" spans="1:2">
      <c r="A3399" s="3">
        <f ca="1">IFERROR(__xludf.DUMMYFUNCTION("""COMPUTED_VALUE"""),43283.6666666666)</f>
        <v>43283.666666666599</v>
      </c>
      <c r="B3399" s="1">
        <f ca="1">IFERROR(__xludf.DUMMYFUNCTION("""COMPUTED_VALUE"""),100.01)</f>
        <v>100.01</v>
      </c>
    </row>
    <row r="3400" spans="1:2">
      <c r="A3400" s="3">
        <f ca="1">IFERROR(__xludf.DUMMYFUNCTION("""COMPUTED_VALUE"""),43284.5416666666)</f>
        <v>43284.541666666599</v>
      </c>
      <c r="B3400" s="1">
        <f ca="1">IFERROR(__xludf.DUMMYFUNCTION("""COMPUTED_VALUE"""),99.05)</f>
        <v>99.05</v>
      </c>
    </row>
    <row r="3401" spans="1:2">
      <c r="A3401" s="3">
        <f ca="1">IFERROR(__xludf.DUMMYFUNCTION("""COMPUTED_VALUE"""),43286.6666666666)</f>
        <v>43286.666666666599</v>
      </c>
      <c r="B3401" s="1">
        <f ca="1">IFERROR(__xludf.DUMMYFUNCTION("""COMPUTED_VALUE"""),99.76)</f>
        <v>99.76</v>
      </c>
    </row>
    <row r="3402" spans="1:2">
      <c r="A3402" s="3">
        <f ca="1">IFERROR(__xludf.DUMMYFUNCTION("""COMPUTED_VALUE"""),43287.6666666666)</f>
        <v>43287.666666666599</v>
      </c>
      <c r="B3402" s="1">
        <f ca="1">IFERROR(__xludf.DUMMYFUNCTION("""COMPUTED_VALUE"""),101.16)</f>
        <v>101.16</v>
      </c>
    </row>
    <row r="3403" spans="1:2">
      <c r="A3403" s="3">
        <f ca="1">IFERROR(__xludf.DUMMYFUNCTION("""COMPUTED_VALUE"""),43290.6666666666)</f>
        <v>43290.666666666599</v>
      </c>
      <c r="B3403" s="1">
        <f ca="1">IFERROR(__xludf.DUMMYFUNCTION("""COMPUTED_VALUE"""),101.85)</f>
        <v>101.85</v>
      </c>
    </row>
    <row r="3404" spans="1:2">
      <c r="A3404" s="3">
        <f ca="1">IFERROR(__xludf.DUMMYFUNCTION("""COMPUTED_VALUE"""),43291.6666666666)</f>
        <v>43291.666666666599</v>
      </c>
      <c r="B3404" s="1">
        <f ca="1">IFERROR(__xludf.DUMMYFUNCTION("""COMPUTED_VALUE"""),102.12)</f>
        <v>102.12</v>
      </c>
    </row>
    <row r="3405" spans="1:2">
      <c r="A3405" s="3">
        <f ca="1">IFERROR(__xludf.DUMMYFUNCTION("""COMPUTED_VALUE"""),43292.6666666666)</f>
        <v>43292.666666666599</v>
      </c>
      <c r="B3405" s="1">
        <f ca="1">IFERROR(__xludf.DUMMYFUNCTION("""COMPUTED_VALUE"""),101.98)</f>
        <v>101.98</v>
      </c>
    </row>
    <row r="3406" spans="1:2">
      <c r="A3406" s="3">
        <f ca="1">IFERROR(__xludf.DUMMYFUNCTION("""COMPUTED_VALUE"""),43293.6666666666)</f>
        <v>43293.666666666599</v>
      </c>
      <c r="B3406" s="1">
        <f ca="1">IFERROR(__xludf.DUMMYFUNCTION("""COMPUTED_VALUE"""),104.19)</f>
        <v>104.19</v>
      </c>
    </row>
    <row r="3407" spans="1:2">
      <c r="A3407" s="3">
        <f ca="1">IFERROR(__xludf.DUMMYFUNCTION("""COMPUTED_VALUE"""),43294.6666666666)</f>
        <v>43294.666666666599</v>
      </c>
      <c r="B3407" s="1">
        <f ca="1">IFERROR(__xludf.DUMMYFUNCTION("""COMPUTED_VALUE"""),105.43)</f>
        <v>105.43</v>
      </c>
    </row>
    <row r="3408" spans="1:2">
      <c r="A3408" s="3">
        <f ca="1">IFERROR(__xludf.DUMMYFUNCTION("""COMPUTED_VALUE"""),43297.6666666666)</f>
        <v>43297.666666666599</v>
      </c>
      <c r="B3408" s="1">
        <f ca="1">IFERROR(__xludf.DUMMYFUNCTION("""COMPUTED_VALUE"""),104.91)</f>
        <v>104.91</v>
      </c>
    </row>
    <row r="3409" spans="1:2">
      <c r="A3409" s="3">
        <f ca="1">IFERROR(__xludf.DUMMYFUNCTION("""COMPUTED_VALUE"""),43298.6666666666)</f>
        <v>43298.666666666599</v>
      </c>
      <c r="B3409" s="1">
        <f ca="1">IFERROR(__xludf.DUMMYFUNCTION("""COMPUTED_VALUE"""),105.95)</f>
        <v>105.95</v>
      </c>
    </row>
    <row r="3410" spans="1:2">
      <c r="A3410" s="3">
        <f ca="1">IFERROR(__xludf.DUMMYFUNCTION("""COMPUTED_VALUE"""),43299.6666666666)</f>
        <v>43299.666666666599</v>
      </c>
      <c r="B3410" s="1">
        <f ca="1">IFERROR(__xludf.DUMMYFUNCTION("""COMPUTED_VALUE"""),105.12)</f>
        <v>105.12</v>
      </c>
    </row>
    <row r="3411" spans="1:2">
      <c r="A3411" s="3">
        <f ca="1">IFERROR(__xludf.DUMMYFUNCTION("""COMPUTED_VALUE"""),43300.6666666666)</f>
        <v>43300.666666666599</v>
      </c>
      <c r="B3411" s="1">
        <f ca="1">IFERROR(__xludf.DUMMYFUNCTION("""COMPUTED_VALUE"""),104.4)</f>
        <v>104.4</v>
      </c>
    </row>
    <row r="3412" spans="1:2">
      <c r="A3412" s="3">
        <f ca="1">IFERROR(__xludf.DUMMYFUNCTION("""COMPUTED_VALUE"""),43301.6666666666)</f>
        <v>43301.666666666599</v>
      </c>
      <c r="B3412" s="1">
        <f ca="1">IFERROR(__xludf.DUMMYFUNCTION("""COMPUTED_VALUE"""),106.27)</f>
        <v>106.27</v>
      </c>
    </row>
    <row r="3413" spans="1:2">
      <c r="A3413" s="3">
        <f ca="1">IFERROR(__xludf.DUMMYFUNCTION("""COMPUTED_VALUE"""),43304.6666666666)</f>
        <v>43304.666666666599</v>
      </c>
      <c r="B3413" s="1">
        <f ca="1">IFERROR(__xludf.DUMMYFUNCTION("""COMPUTED_VALUE"""),107.97)</f>
        <v>107.97</v>
      </c>
    </row>
    <row r="3414" spans="1:2">
      <c r="A3414" s="3">
        <f ca="1">IFERROR(__xludf.DUMMYFUNCTION("""COMPUTED_VALUE"""),43305.6666666666)</f>
        <v>43305.666666666599</v>
      </c>
      <c r="B3414" s="1">
        <f ca="1">IFERROR(__xludf.DUMMYFUNCTION("""COMPUTED_VALUE"""),107.66)</f>
        <v>107.66</v>
      </c>
    </row>
    <row r="3415" spans="1:2">
      <c r="A3415" s="3">
        <f ca="1">IFERROR(__xludf.DUMMYFUNCTION("""COMPUTED_VALUE"""),43306.6666666666)</f>
        <v>43306.666666666599</v>
      </c>
      <c r="B3415" s="1">
        <f ca="1">IFERROR(__xludf.DUMMYFUNCTION("""COMPUTED_VALUE"""),110.83)</f>
        <v>110.83</v>
      </c>
    </row>
    <row r="3416" spans="1:2">
      <c r="A3416" s="3">
        <f ca="1">IFERROR(__xludf.DUMMYFUNCTION("""COMPUTED_VALUE"""),43307.6666666666)</f>
        <v>43307.666666666599</v>
      </c>
      <c r="B3416" s="1">
        <f ca="1">IFERROR(__xludf.DUMMYFUNCTION("""COMPUTED_VALUE"""),109.62)</f>
        <v>109.62</v>
      </c>
    </row>
    <row r="3417" spans="1:2">
      <c r="A3417" s="3">
        <f ca="1">IFERROR(__xludf.DUMMYFUNCTION("""COMPUTED_VALUE"""),43308.6666666666)</f>
        <v>43308.666666666599</v>
      </c>
      <c r="B3417" s="1">
        <f ca="1">IFERROR(__xludf.DUMMYFUNCTION("""COMPUTED_VALUE"""),107.68)</f>
        <v>107.68</v>
      </c>
    </row>
    <row r="3418" spans="1:2">
      <c r="A3418" s="3">
        <f ca="1">IFERROR(__xludf.DUMMYFUNCTION("""COMPUTED_VALUE"""),43311.6666666666)</f>
        <v>43311.666666666599</v>
      </c>
      <c r="B3418" s="1">
        <f ca="1">IFERROR(__xludf.DUMMYFUNCTION("""COMPUTED_VALUE"""),105.37)</f>
        <v>105.37</v>
      </c>
    </row>
    <row r="3419" spans="1:2">
      <c r="A3419" s="3">
        <f ca="1">IFERROR(__xludf.DUMMYFUNCTION("""COMPUTED_VALUE"""),43312.6666666666)</f>
        <v>43312.666666666599</v>
      </c>
      <c r="B3419" s="1">
        <f ca="1">IFERROR(__xludf.DUMMYFUNCTION("""COMPUTED_VALUE"""),106.08)</f>
        <v>106.08</v>
      </c>
    </row>
    <row r="3420" spans="1:2">
      <c r="A3420" s="3">
        <f ca="1">IFERROR(__xludf.DUMMYFUNCTION("""COMPUTED_VALUE"""),43313.6666666666)</f>
        <v>43313.666666666599</v>
      </c>
      <c r="B3420" s="1">
        <f ca="1">IFERROR(__xludf.DUMMYFUNCTION("""COMPUTED_VALUE"""),106.28)</f>
        <v>106.28</v>
      </c>
    </row>
    <row r="3421" spans="1:2">
      <c r="A3421" s="3">
        <f ca="1">IFERROR(__xludf.DUMMYFUNCTION("""COMPUTED_VALUE"""),43314.6666666666)</f>
        <v>43314.666666666599</v>
      </c>
      <c r="B3421" s="1">
        <f ca="1">IFERROR(__xludf.DUMMYFUNCTION("""COMPUTED_VALUE"""),107.57)</f>
        <v>107.57</v>
      </c>
    </row>
    <row r="3422" spans="1:2">
      <c r="A3422" s="3">
        <f ca="1">IFERROR(__xludf.DUMMYFUNCTION("""COMPUTED_VALUE"""),43315.6666666666)</f>
        <v>43315.666666666599</v>
      </c>
      <c r="B3422" s="1">
        <f ca="1">IFERROR(__xludf.DUMMYFUNCTION("""COMPUTED_VALUE"""),108.04)</f>
        <v>108.04</v>
      </c>
    </row>
    <row r="3423" spans="1:2">
      <c r="A3423" s="3">
        <f ca="1">IFERROR(__xludf.DUMMYFUNCTION("""COMPUTED_VALUE"""),43318.6666666666)</f>
        <v>43318.666666666599</v>
      </c>
      <c r="B3423" s="1">
        <f ca="1">IFERROR(__xludf.DUMMYFUNCTION("""COMPUTED_VALUE"""),108.13)</f>
        <v>108.13</v>
      </c>
    </row>
    <row r="3424" spans="1:2">
      <c r="A3424" s="3">
        <f ca="1">IFERROR(__xludf.DUMMYFUNCTION("""COMPUTED_VALUE"""),43319.6666666666)</f>
        <v>43319.666666666599</v>
      </c>
      <c r="B3424" s="1">
        <f ca="1">IFERROR(__xludf.DUMMYFUNCTION("""COMPUTED_VALUE"""),108.88)</f>
        <v>108.88</v>
      </c>
    </row>
    <row r="3425" spans="1:2">
      <c r="A3425" s="3">
        <f ca="1">IFERROR(__xludf.DUMMYFUNCTION("""COMPUTED_VALUE"""),43320.6666666666)</f>
        <v>43320.666666666599</v>
      </c>
      <c r="B3425" s="1">
        <f ca="1">IFERROR(__xludf.DUMMYFUNCTION("""COMPUTED_VALUE"""),109.49)</f>
        <v>109.49</v>
      </c>
    </row>
    <row r="3426" spans="1:2">
      <c r="A3426" s="3">
        <f ca="1">IFERROR(__xludf.DUMMYFUNCTION("""COMPUTED_VALUE"""),43321.6666666666)</f>
        <v>43321.666666666599</v>
      </c>
      <c r="B3426" s="1">
        <f ca="1">IFERROR(__xludf.DUMMYFUNCTION("""COMPUTED_VALUE"""),109.67)</f>
        <v>109.67</v>
      </c>
    </row>
    <row r="3427" spans="1:2">
      <c r="A3427" s="3">
        <f ca="1">IFERROR(__xludf.DUMMYFUNCTION("""COMPUTED_VALUE"""),43322.6666666666)</f>
        <v>43322.666666666599</v>
      </c>
      <c r="B3427" s="1">
        <f ca="1">IFERROR(__xludf.DUMMYFUNCTION("""COMPUTED_VALUE"""),109)</f>
        <v>109</v>
      </c>
    </row>
    <row r="3428" spans="1:2">
      <c r="A3428" s="3">
        <f ca="1">IFERROR(__xludf.DUMMYFUNCTION("""COMPUTED_VALUE"""),43325.6666666666)</f>
        <v>43325.666666666599</v>
      </c>
      <c r="B3428" s="1">
        <f ca="1">IFERROR(__xludf.DUMMYFUNCTION("""COMPUTED_VALUE"""),108.21)</f>
        <v>108.21</v>
      </c>
    </row>
    <row r="3429" spans="1:2">
      <c r="A3429" s="3">
        <f ca="1">IFERROR(__xludf.DUMMYFUNCTION("""COMPUTED_VALUE"""),43326.6666666666)</f>
        <v>43326.666666666599</v>
      </c>
      <c r="B3429" s="1">
        <f ca="1">IFERROR(__xludf.DUMMYFUNCTION("""COMPUTED_VALUE"""),109.56)</f>
        <v>109.56</v>
      </c>
    </row>
    <row r="3430" spans="1:2">
      <c r="A3430" s="3">
        <f ca="1">IFERROR(__xludf.DUMMYFUNCTION("""COMPUTED_VALUE"""),43327.6666666666)</f>
        <v>43327.666666666599</v>
      </c>
      <c r="B3430" s="1">
        <f ca="1">IFERROR(__xludf.DUMMYFUNCTION("""COMPUTED_VALUE"""),107.66)</f>
        <v>107.66</v>
      </c>
    </row>
    <row r="3431" spans="1:2">
      <c r="A3431" s="3">
        <f ca="1">IFERROR(__xludf.DUMMYFUNCTION("""COMPUTED_VALUE"""),43328.6666666666)</f>
        <v>43328.666666666599</v>
      </c>
      <c r="B3431" s="1">
        <f ca="1">IFERROR(__xludf.DUMMYFUNCTION("""COMPUTED_VALUE"""),107.64)</f>
        <v>107.64</v>
      </c>
    </row>
    <row r="3432" spans="1:2">
      <c r="A3432" s="3">
        <f ca="1">IFERROR(__xludf.DUMMYFUNCTION("""COMPUTED_VALUE"""),43329.6666666666)</f>
        <v>43329.666666666599</v>
      </c>
      <c r="B3432" s="1">
        <f ca="1">IFERROR(__xludf.DUMMYFUNCTION("""COMPUTED_VALUE"""),107.58)</f>
        <v>107.58</v>
      </c>
    </row>
    <row r="3433" spans="1:2">
      <c r="A3433" s="3">
        <f ca="1">IFERROR(__xludf.DUMMYFUNCTION("""COMPUTED_VALUE"""),43332.6666666666)</f>
        <v>43332.666666666599</v>
      </c>
      <c r="B3433" s="1">
        <f ca="1">IFERROR(__xludf.DUMMYFUNCTION("""COMPUTED_VALUE"""),106.87)</f>
        <v>106.87</v>
      </c>
    </row>
    <row r="3434" spans="1:2">
      <c r="A3434" s="3">
        <f ca="1">IFERROR(__xludf.DUMMYFUNCTION("""COMPUTED_VALUE"""),43333.6666666666)</f>
        <v>43333.666666666599</v>
      </c>
      <c r="B3434" s="1">
        <f ca="1">IFERROR(__xludf.DUMMYFUNCTION("""COMPUTED_VALUE"""),105.98)</f>
        <v>105.98</v>
      </c>
    </row>
    <row r="3435" spans="1:2">
      <c r="A3435" s="3">
        <f ca="1">IFERROR(__xludf.DUMMYFUNCTION("""COMPUTED_VALUE"""),43334.6666666666)</f>
        <v>43334.666666666599</v>
      </c>
      <c r="B3435" s="1">
        <f ca="1">IFERROR(__xludf.DUMMYFUNCTION("""COMPUTED_VALUE"""),107.06)</f>
        <v>107.06</v>
      </c>
    </row>
    <row r="3436" spans="1:2">
      <c r="A3436" s="3">
        <f ca="1">IFERROR(__xludf.DUMMYFUNCTION("""COMPUTED_VALUE"""),43335.6666666666)</f>
        <v>43335.666666666599</v>
      </c>
      <c r="B3436" s="1">
        <f ca="1">IFERROR(__xludf.DUMMYFUNCTION("""COMPUTED_VALUE"""),107.56)</f>
        <v>107.56</v>
      </c>
    </row>
    <row r="3437" spans="1:2">
      <c r="A3437" s="3">
        <f ca="1">IFERROR(__xludf.DUMMYFUNCTION("""COMPUTED_VALUE"""),43336.6666666666)</f>
        <v>43336.666666666599</v>
      </c>
      <c r="B3437" s="1">
        <f ca="1">IFERROR(__xludf.DUMMYFUNCTION("""COMPUTED_VALUE"""),108.4)</f>
        <v>108.4</v>
      </c>
    </row>
    <row r="3438" spans="1:2">
      <c r="A3438" s="3">
        <f ca="1">IFERROR(__xludf.DUMMYFUNCTION("""COMPUTED_VALUE"""),43339.6666666666)</f>
        <v>43339.666666666599</v>
      </c>
      <c r="B3438" s="1">
        <f ca="1">IFERROR(__xludf.DUMMYFUNCTION("""COMPUTED_VALUE"""),109.6)</f>
        <v>109.6</v>
      </c>
    </row>
    <row r="3439" spans="1:2">
      <c r="A3439" s="3">
        <f ca="1">IFERROR(__xludf.DUMMYFUNCTION("""COMPUTED_VALUE"""),43340.6666666666)</f>
        <v>43340.666666666599</v>
      </c>
      <c r="B3439" s="1">
        <f ca="1">IFERROR(__xludf.DUMMYFUNCTION("""COMPUTED_VALUE"""),110.26)</f>
        <v>110.26</v>
      </c>
    </row>
    <row r="3440" spans="1:2">
      <c r="A3440" s="3">
        <f ca="1">IFERROR(__xludf.DUMMYFUNCTION("""COMPUTED_VALUE"""),43341.6666666666)</f>
        <v>43341.666666666599</v>
      </c>
      <c r="B3440" s="1">
        <f ca="1">IFERROR(__xludf.DUMMYFUNCTION("""COMPUTED_VALUE"""),112.02)</f>
        <v>112.02</v>
      </c>
    </row>
    <row r="3441" spans="1:2">
      <c r="A3441" s="3">
        <f ca="1">IFERROR(__xludf.DUMMYFUNCTION("""COMPUTED_VALUE"""),43342.6666666666)</f>
        <v>43342.666666666599</v>
      </c>
      <c r="B3441" s="1">
        <f ca="1">IFERROR(__xludf.DUMMYFUNCTION("""COMPUTED_VALUE"""),111.95)</f>
        <v>111.95</v>
      </c>
    </row>
    <row r="3442" spans="1:2">
      <c r="A3442" s="3">
        <f ca="1">IFERROR(__xludf.DUMMYFUNCTION("""COMPUTED_VALUE"""),43343.6666666666)</f>
        <v>43343.666666666599</v>
      </c>
      <c r="B3442" s="1">
        <f ca="1">IFERROR(__xludf.DUMMYFUNCTION("""COMPUTED_VALUE"""),112.33)</f>
        <v>112.33</v>
      </c>
    </row>
    <row r="3443" spans="1:2">
      <c r="A3443" s="3">
        <f ca="1">IFERROR(__xludf.DUMMYFUNCTION("""COMPUTED_VALUE"""),43347.6666666666)</f>
        <v>43347.666666666599</v>
      </c>
      <c r="B3443" s="1">
        <f ca="1">IFERROR(__xludf.DUMMYFUNCTION("""COMPUTED_VALUE"""),111.71)</f>
        <v>111.71</v>
      </c>
    </row>
    <row r="3444" spans="1:2">
      <c r="A3444" s="3">
        <f ca="1">IFERROR(__xludf.DUMMYFUNCTION("""COMPUTED_VALUE"""),43348.6666666666)</f>
        <v>43348.666666666599</v>
      </c>
      <c r="B3444" s="1">
        <f ca="1">IFERROR(__xludf.DUMMYFUNCTION("""COMPUTED_VALUE"""),108.49)</f>
        <v>108.49</v>
      </c>
    </row>
    <row r="3445" spans="1:2">
      <c r="A3445" s="3">
        <f ca="1">IFERROR(__xludf.DUMMYFUNCTION("""COMPUTED_VALUE"""),43349.6666666666)</f>
        <v>43349.666666666599</v>
      </c>
      <c r="B3445" s="1">
        <f ca="1">IFERROR(__xludf.DUMMYFUNCTION("""COMPUTED_VALUE"""),108.74)</f>
        <v>108.74</v>
      </c>
    </row>
    <row r="3446" spans="1:2">
      <c r="A3446" s="3">
        <f ca="1">IFERROR(__xludf.DUMMYFUNCTION("""COMPUTED_VALUE"""),43350.6666666666)</f>
        <v>43350.666666666599</v>
      </c>
      <c r="B3446" s="1">
        <f ca="1">IFERROR(__xludf.DUMMYFUNCTION("""COMPUTED_VALUE"""),108.21)</f>
        <v>108.21</v>
      </c>
    </row>
    <row r="3447" spans="1:2">
      <c r="A3447" s="3">
        <f ca="1">IFERROR(__xludf.DUMMYFUNCTION("""COMPUTED_VALUE"""),43353.6666666666)</f>
        <v>43353.666666666599</v>
      </c>
      <c r="B3447" s="1">
        <f ca="1">IFERROR(__xludf.DUMMYFUNCTION("""COMPUTED_VALUE"""),109.38)</f>
        <v>109.38</v>
      </c>
    </row>
    <row r="3448" spans="1:2">
      <c r="A3448" s="3">
        <f ca="1">IFERROR(__xludf.DUMMYFUNCTION("""COMPUTED_VALUE"""),43354.6666666666)</f>
        <v>43354.666666666599</v>
      </c>
      <c r="B3448" s="1">
        <f ca="1">IFERROR(__xludf.DUMMYFUNCTION("""COMPUTED_VALUE"""),111.24)</f>
        <v>111.24</v>
      </c>
    </row>
    <row r="3449" spans="1:2">
      <c r="A3449" s="3">
        <f ca="1">IFERROR(__xludf.DUMMYFUNCTION("""COMPUTED_VALUE"""),43355.6666666666)</f>
        <v>43355.666666666599</v>
      </c>
      <c r="B3449" s="1">
        <f ca="1">IFERROR(__xludf.DUMMYFUNCTION("""COMPUTED_VALUE"""),111.71)</f>
        <v>111.71</v>
      </c>
    </row>
    <row r="3450" spans="1:2">
      <c r="A3450" s="3">
        <f ca="1">IFERROR(__xludf.DUMMYFUNCTION("""COMPUTED_VALUE"""),43356.6666666666)</f>
        <v>43356.666666666599</v>
      </c>
      <c r="B3450" s="1">
        <f ca="1">IFERROR(__xludf.DUMMYFUNCTION("""COMPUTED_VALUE"""),112.91)</f>
        <v>112.91</v>
      </c>
    </row>
    <row r="3451" spans="1:2">
      <c r="A3451" s="3">
        <f ca="1">IFERROR(__xludf.DUMMYFUNCTION("""COMPUTED_VALUE"""),43357.6666666666)</f>
        <v>43357.666666666599</v>
      </c>
      <c r="B3451" s="1">
        <f ca="1">IFERROR(__xludf.DUMMYFUNCTION("""COMPUTED_VALUE"""),113.37)</f>
        <v>113.37</v>
      </c>
    </row>
    <row r="3452" spans="1:2">
      <c r="A3452" s="3">
        <f ca="1">IFERROR(__xludf.DUMMYFUNCTION("""COMPUTED_VALUE"""),43360.6666666666)</f>
        <v>43360.666666666599</v>
      </c>
      <c r="B3452" s="1">
        <f ca="1">IFERROR(__xludf.DUMMYFUNCTION("""COMPUTED_VALUE"""),112.14)</f>
        <v>112.14</v>
      </c>
    </row>
    <row r="3453" spans="1:2">
      <c r="A3453" s="3">
        <f ca="1">IFERROR(__xludf.DUMMYFUNCTION("""COMPUTED_VALUE"""),43361.6666666666)</f>
        <v>43361.666666666599</v>
      </c>
      <c r="B3453" s="1">
        <f ca="1">IFERROR(__xludf.DUMMYFUNCTION("""COMPUTED_VALUE"""),113.21)</f>
        <v>113.21</v>
      </c>
    </row>
    <row r="3454" spans="1:2">
      <c r="A3454" s="3">
        <f ca="1">IFERROR(__xludf.DUMMYFUNCTION("""COMPUTED_VALUE"""),43362.6666666666)</f>
        <v>43362.666666666599</v>
      </c>
      <c r="B3454" s="1">
        <f ca="1">IFERROR(__xludf.DUMMYFUNCTION("""COMPUTED_VALUE"""),111.7)</f>
        <v>111.7</v>
      </c>
    </row>
    <row r="3455" spans="1:2">
      <c r="A3455" s="3">
        <f ca="1">IFERROR(__xludf.DUMMYFUNCTION("""COMPUTED_VALUE"""),43363.6666666666)</f>
        <v>43363.666666666599</v>
      </c>
      <c r="B3455" s="1">
        <f ca="1">IFERROR(__xludf.DUMMYFUNCTION("""COMPUTED_VALUE"""),113.57)</f>
        <v>113.57</v>
      </c>
    </row>
    <row r="3456" spans="1:2">
      <c r="A3456" s="3">
        <f ca="1">IFERROR(__xludf.DUMMYFUNCTION("""COMPUTED_VALUE"""),43364.6666666666)</f>
        <v>43364.666666666599</v>
      </c>
      <c r="B3456" s="1">
        <f ca="1">IFERROR(__xludf.DUMMYFUNCTION("""COMPUTED_VALUE"""),114.26)</f>
        <v>114.26</v>
      </c>
    </row>
    <row r="3457" spans="1:2">
      <c r="A3457" s="3">
        <f ca="1">IFERROR(__xludf.DUMMYFUNCTION("""COMPUTED_VALUE"""),43367.6666666666)</f>
        <v>43367.666666666599</v>
      </c>
      <c r="B3457" s="1">
        <f ca="1">IFERROR(__xludf.DUMMYFUNCTION("""COMPUTED_VALUE"""),114.67)</f>
        <v>114.67</v>
      </c>
    </row>
    <row r="3458" spans="1:2">
      <c r="A3458" s="3">
        <f ca="1">IFERROR(__xludf.DUMMYFUNCTION("""COMPUTED_VALUE"""),43368.6666666666)</f>
        <v>43368.666666666599</v>
      </c>
      <c r="B3458" s="1">
        <f ca="1">IFERROR(__xludf.DUMMYFUNCTION("""COMPUTED_VALUE"""),114.45)</f>
        <v>114.45</v>
      </c>
    </row>
    <row r="3459" spans="1:2">
      <c r="A3459" s="3">
        <f ca="1">IFERROR(__xludf.DUMMYFUNCTION("""COMPUTED_VALUE"""),43369.6666666666)</f>
        <v>43369.666666666599</v>
      </c>
      <c r="B3459" s="1">
        <f ca="1">IFERROR(__xludf.DUMMYFUNCTION("""COMPUTED_VALUE"""),113.98)</f>
        <v>113.98</v>
      </c>
    </row>
    <row r="3460" spans="1:2">
      <c r="A3460" s="3">
        <f ca="1">IFERROR(__xludf.DUMMYFUNCTION("""COMPUTED_VALUE"""),43370.6666666666)</f>
        <v>43370.666666666599</v>
      </c>
      <c r="B3460" s="1">
        <f ca="1">IFERROR(__xludf.DUMMYFUNCTION("""COMPUTED_VALUE"""),114.41)</f>
        <v>114.41</v>
      </c>
    </row>
    <row r="3461" spans="1:2">
      <c r="A3461" s="3">
        <f ca="1">IFERROR(__xludf.DUMMYFUNCTION("""COMPUTED_VALUE"""),43371.6666666666)</f>
        <v>43371.666666666599</v>
      </c>
      <c r="B3461" s="1">
        <f ca="1">IFERROR(__xludf.DUMMYFUNCTION("""COMPUTED_VALUE"""),114.37)</f>
        <v>114.37</v>
      </c>
    </row>
    <row r="3462" spans="1:2">
      <c r="A3462" s="3">
        <f ca="1">IFERROR(__xludf.DUMMYFUNCTION("""COMPUTED_VALUE"""),43374.6666666666)</f>
        <v>43374.666666666599</v>
      </c>
      <c r="B3462" s="1">
        <f ca="1">IFERROR(__xludf.DUMMYFUNCTION("""COMPUTED_VALUE"""),115.61)</f>
        <v>115.61</v>
      </c>
    </row>
    <row r="3463" spans="1:2">
      <c r="A3463" s="3">
        <f ca="1">IFERROR(__xludf.DUMMYFUNCTION("""COMPUTED_VALUE"""),43375.6666666666)</f>
        <v>43375.666666666599</v>
      </c>
      <c r="B3463" s="1">
        <f ca="1">IFERROR(__xludf.DUMMYFUNCTION("""COMPUTED_VALUE"""),115.15)</f>
        <v>115.15</v>
      </c>
    </row>
    <row r="3464" spans="1:2">
      <c r="A3464" s="3">
        <f ca="1">IFERROR(__xludf.DUMMYFUNCTION("""COMPUTED_VALUE"""),43376.6666666666)</f>
        <v>43376.666666666599</v>
      </c>
      <c r="B3464" s="1">
        <f ca="1">IFERROR(__xludf.DUMMYFUNCTION("""COMPUTED_VALUE"""),115.17)</f>
        <v>115.17</v>
      </c>
    </row>
    <row r="3465" spans="1:2">
      <c r="A3465" s="3">
        <f ca="1">IFERROR(__xludf.DUMMYFUNCTION("""COMPUTED_VALUE"""),43377.6666666666)</f>
        <v>43377.666666666599</v>
      </c>
      <c r="B3465" s="1">
        <f ca="1">IFERROR(__xludf.DUMMYFUNCTION("""COMPUTED_VALUE"""),112.79)</f>
        <v>112.79</v>
      </c>
    </row>
    <row r="3466" spans="1:2">
      <c r="A3466" s="3">
        <f ca="1">IFERROR(__xludf.DUMMYFUNCTION("""COMPUTED_VALUE"""),43378.6666666666)</f>
        <v>43378.666666666599</v>
      </c>
      <c r="B3466" s="1">
        <f ca="1">IFERROR(__xludf.DUMMYFUNCTION("""COMPUTED_VALUE"""),112.13)</f>
        <v>112.13</v>
      </c>
    </row>
    <row r="3467" spans="1:2">
      <c r="A3467" s="3">
        <f ca="1">IFERROR(__xludf.DUMMYFUNCTION("""COMPUTED_VALUE"""),43381.6666666666)</f>
        <v>43381.666666666599</v>
      </c>
      <c r="B3467" s="1">
        <f ca="1">IFERROR(__xludf.DUMMYFUNCTION("""COMPUTED_VALUE"""),110.85)</f>
        <v>110.85</v>
      </c>
    </row>
    <row r="3468" spans="1:2">
      <c r="A3468" s="3">
        <f ca="1">IFERROR(__xludf.DUMMYFUNCTION("""COMPUTED_VALUE"""),43382.6666666666)</f>
        <v>43382.666666666599</v>
      </c>
      <c r="B3468" s="1">
        <f ca="1">IFERROR(__xludf.DUMMYFUNCTION("""COMPUTED_VALUE"""),112.26)</f>
        <v>112.26</v>
      </c>
    </row>
    <row r="3469" spans="1:2">
      <c r="A3469" s="3">
        <f ca="1">IFERROR(__xludf.DUMMYFUNCTION("""COMPUTED_VALUE"""),43383.6666666666)</f>
        <v>43383.666666666599</v>
      </c>
      <c r="B3469" s="1">
        <f ca="1">IFERROR(__xludf.DUMMYFUNCTION("""COMPUTED_VALUE"""),106.16)</f>
        <v>106.16</v>
      </c>
    </row>
    <row r="3470" spans="1:2">
      <c r="A3470" s="3">
        <f ca="1">IFERROR(__xludf.DUMMYFUNCTION("""COMPUTED_VALUE"""),43384.6666666666)</f>
        <v>43384.666666666599</v>
      </c>
      <c r="B3470" s="1">
        <f ca="1">IFERROR(__xludf.DUMMYFUNCTION("""COMPUTED_VALUE"""),105.91)</f>
        <v>105.91</v>
      </c>
    </row>
    <row r="3471" spans="1:2">
      <c r="A3471" s="3">
        <f ca="1">IFERROR(__xludf.DUMMYFUNCTION("""COMPUTED_VALUE"""),43385.6666666666)</f>
        <v>43385.666666666599</v>
      </c>
      <c r="B3471" s="1">
        <f ca="1">IFERROR(__xludf.DUMMYFUNCTION("""COMPUTED_VALUE"""),109.57)</f>
        <v>109.57</v>
      </c>
    </row>
    <row r="3472" spans="1:2">
      <c r="A3472" s="3">
        <f ca="1">IFERROR(__xludf.DUMMYFUNCTION("""COMPUTED_VALUE"""),43388.6666666666)</f>
        <v>43388.666666666599</v>
      </c>
      <c r="B3472" s="1">
        <f ca="1">IFERROR(__xludf.DUMMYFUNCTION("""COMPUTED_VALUE"""),107.6)</f>
        <v>107.6</v>
      </c>
    </row>
    <row r="3473" spans="1:2">
      <c r="A3473" s="3">
        <f ca="1">IFERROR(__xludf.DUMMYFUNCTION("""COMPUTED_VALUE"""),43389.6666666666)</f>
        <v>43389.666666666599</v>
      </c>
      <c r="B3473" s="1">
        <f ca="1">IFERROR(__xludf.DUMMYFUNCTION("""COMPUTED_VALUE"""),111)</f>
        <v>111</v>
      </c>
    </row>
    <row r="3474" spans="1:2">
      <c r="A3474" s="3">
        <f ca="1">IFERROR(__xludf.DUMMYFUNCTION("""COMPUTED_VALUE"""),43390.6666666666)</f>
        <v>43390.666666666599</v>
      </c>
      <c r="B3474" s="1">
        <f ca="1">IFERROR(__xludf.DUMMYFUNCTION("""COMPUTED_VALUE"""),110.71)</f>
        <v>110.71</v>
      </c>
    </row>
    <row r="3475" spans="1:2">
      <c r="A3475" s="3">
        <f ca="1">IFERROR(__xludf.DUMMYFUNCTION("""COMPUTED_VALUE"""),43391.6666666666)</f>
        <v>43391.666666666599</v>
      </c>
      <c r="B3475" s="1">
        <f ca="1">IFERROR(__xludf.DUMMYFUNCTION("""COMPUTED_VALUE"""),108.5)</f>
        <v>108.5</v>
      </c>
    </row>
    <row r="3476" spans="1:2">
      <c r="A3476" s="3">
        <f ca="1">IFERROR(__xludf.DUMMYFUNCTION("""COMPUTED_VALUE"""),43392.6666666666)</f>
        <v>43392.666666666599</v>
      </c>
      <c r="B3476" s="1">
        <f ca="1">IFERROR(__xludf.DUMMYFUNCTION("""COMPUTED_VALUE"""),108.66)</f>
        <v>108.66</v>
      </c>
    </row>
    <row r="3477" spans="1:2">
      <c r="A3477" s="3">
        <f ca="1">IFERROR(__xludf.DUMMYFUNCTION("""COMPUTED_VALUE"""),43395.6666666666)</f>
        <v>43395.666666666599</v>
      </c>
      <c r="B3477" s="1">
        <f ca="1">IFERROR(__xludf.DUMMYFUNCTION("""COMPUTED_VALUE"""),109.63)</f>
        <v>109.63</v>
      </c>
    </row>
    <row r="3478" spans="1:2">
      <c r="A3478" s="3">
        <f ca="1">IFERROR(__xludf.DUMMYFUNCTION("""COMPUTED_VALUE"""),43396.6666666666)</f>
        <v>43396.666666666599</v>
      </c>
      <c r="B3478" s="1">
        <f ca="1">IFERROR(__xludf.DUMMYFUNCTION("""COMPUTED_VALUE"""),108.1)</f>
        <v>108.1</v>
      </c>
    </row>
    <row r="3479" spans="1:2">
      <c r="A3479" s="3">
        <f ca="1">IFERROR(__xludf.DUMMYFUNCTION("""COMPUTED_VALUE"""),43397.6666666666)</f>
        <v>43397.666666666599</v>
      </c>
      <c r="B3479" s="1">
        <f ca="1">IFERROR(__xludf.DUMMYFUNCTION("""COMPUTED_VALUE"""),102.32)</f>
        <v>102.32</v>
      </c>
    </row>
    <row r="3480" spans="1:2">
      <c r="A3480" s="3">
        <f ca="1">IFERROR(__xludf.DUMMYFUNCTION("""COMPUTED_VALUE"""),43398.6666666666)</f>
        <v>43398.666666666599</v>
      </c>
      <c r="B3480" s="1">
        <f ca="1">IFERROR(__xludf.DUMMYFUNCTION("""COMPUTED_VALUE"""),108.3)</f>
        <v>108.3</v>
      </c>
    </row>
    <row r="3481" spans="1:2">
      <c r="A3481" s="3">
        <f ca="1">IFERROR(__xludf.DUMMYFUNCTION("""COMPUTED_VALUE"""),43399.6666666666)</f>
        <v>43399.666666666599</v>
      </c>
      <c r="B3481" s="1">
        <f ca="1">IFERROR(__xludf.DUMMYFUNCTION("""COMPUTED_VALUE"""),106.96)</f>
        <v>106.96</v>
      </c>
    </row>
    <row r="3482" spans="1:2">
      <c r="A3482" s="3">
        <f ca="1">IFERROR(__xludf.DUMMYFUNCTION("""COMPUTED_VALUE"""),43402.6666666666)</f>
        <v>43402.666666666599</v>
      </c>
      <c r="B3482" s="1">
        <f ca="1">IFERROR(__xludf.DUMMYFUNCTION("""COMPUTED_VALUE"""),103.85)</f>
        <v>103.85</v>
      </c>
    </row>
    <row r="3483" spans="1:2">
      <c r="A3483" s="3">
        <f ca="1">IFERROR(__xludf.DUMMYFUNCTION("""COMPUTED_VALUE"""),43403.6666666666)</f>
        <v>43403.666666666599</v>
      </c>
      <c r="B3483" s="1">
        <f ca="1">IFERROR(__xludf.DUMMYFUNCTION("""COMPUTED_VALUE"""),103.73)</f>
        <v>103.73</v>
      </c>
    </row>
    <row r="3484" spans="1:2">
      <c r="A3484" s="3">
        <f ca="1">IFERROR(__xludf.DUMMYFUNCTION("""COMPUTED_VALUE"""),43404.6666666666)</f>
        <v>43404.666666666599</v>
      </c>
      <c r="B3484" s="1">
        <f ca="1">IFERROR(__xludf.DUMMYFUNCTION("""COMPUTED_VALUE"""),106.81)</f>
        <v>106.81</v>
      </c>
    </row>
    <row r="3485" spans="1:2">
      <c r="A3485" s="3">
        <f ca="1">IFERROR(__xludf.DUMMYFUNCTION("""COMPUTED_VALUE"""),43405.6666666666)</f>
        <v>43405.666666666599</v>
      </c>
      <c r="B3485" s="1">
        <f ca="1">IFERROR(__xludf.DUMMYFUNCTION("""COMPUTED_VALUE"""),105.92)</f>
        <v>105.92</v>
      </c>
    </row>
    <row r="3486" spans="1:2">
      <c r="A3486" s="3">
        <f ca="1">IFERROR(__xludf.DUMMYFUNCTION("""COMPUTED_VALUE"""),43406.6666666666)</f>
        <v>43406.666666666599</v>
      </c>
      <c r="B3486" s="1">
        <f ca="1">IFERROR(__xludf.DUMMYFUNCTION("""COMPUTED_VALUE"""),106.16)</f>
        <v>106.16</v>
      </c>
    </row>
    <row r="3487" spans="1:2">
      <c r="A3487" s="3">
        <f ca="1">IFERROR(__xludf.DUMMYFUNCTION("""COMPUTED_VALUE"""),43409.6666666666)</f>
        <v>43409.666666666599</v>
      </c>
      <c r="B3487" s="1">
        <f ca="1">IFERROR(__xludf.DUMMYFUNCTION("""COMPUTED_VALUE"""),107.51)</f>
        <v>107.51</v>
      </c>
    </row>
    <row r="3488" spans="1:2">
      <c r="A3488" s="3">
        <f ca="1">IFERROR(__xludf.DUMMYFUNCTION("""COMPUTED_VALUE"""),43410.6666666666)</f>
        <v>43410.666666666599</v>
      </c>
      <c r="B3488" s="1">
        <f ca="1">IFERROR(__xludf.DUMMYFUNCTION("""COMPUTED_VALUE"""),107.72)</f>
        <v>107.72</v>
      </c>
    </row>
    <row r="3489" spans="1:2">
      <c r="A3489" s="3">
        <f ca="1">IFERROR(__xludf.DUMMYFUNCTION("""COMPUTED_VALUE"""),43411.6666666666)</f>
        <v>43411.666666666599</v>
      </c>
      <c r="B3489" s="1">
        <f ca="1">IFERROR(__xludf.DUMMYFUNCTION("""COMPUTED_VALUE"""),111.96)</f>
        <v>111.96</v>
      </c>
    </row>
    <row r="3490" spans="1:2">
      <c r="A3490" s="3">
        <f ca="1">IFERROR(__xludf.DUMMYFUNCTION("""COMPUTED_VALUE"""),43412.6666666666)</f>
        <v>43412.666666666599</v>
      </c>
      <c r="B3490" s="1">
        <f ca="1">IFERROR(__xludf.DUMMYFUNCTION("""COMPUTED_VALUE"""),111.75)</f>
        <v>111.75</v>
      </c>
    </row>
    <row r="3491" spans="1:2">
      <c r="A3491" s="3">
        <f ca="1">IFERROR(__xludf.DUMMYFUNCTION("""COMPUTED_VALUE"""),43413.6666666666)</f>
        <v>43413.666666666599</v>
      </c>
      <c r="B3491" s="1">
        <f ca="1">IFERROR(__xludf.DUMMYFUNCTION("""COMPUTED_VALUE"""),109.57)</f>
        <v>109.57</v>
      </c>
    </row>
    <row r="3492" spans="1:2">
      <c r="A3492" s="3">
        <f ca="1">IFERROR(__xludf.DUMMYFUNCTION("""COMPUTED_VALUE"""),43416.6666666666)</f>
        <v>43416.666666666599</v>
      </c>
      <c r="B3492" s="1">
        <f ca="1">IFERROR(__xludf.DUMMYFUNCTION("""COMPUTED_VALUE"""),106.87)</f>
        <v>106.87</v>
      </c>
    </row>
    <row r="3493" spans="1:2">
      <c r="A3493" s="3">
        <f ca="1">IFERROR(__xludf.DUMMYFUNCTION("""COMPUTED_VALUE"""),43417.6666666666)</f>
        <v>43417.666666666599</v>
      </c>
      <c r="B3493" s="1">
        <f ca="1">IFERROR(__xludf.DUMMYFUNCTION("""COMPUTED_VALUE"""),106.94)</f>
        <v>106.94</v>
      </c>
    </row>
    <row r="3494" spans="1:2">
      <c r="A3494" s="3">
        <f ca="1">IFERROR(__xludf.DUMMYFUNCTION("""COMPUTED_VALUE"""),43418.6666666666)</f>
        <v>43418.666666666599</v>
      </c>
      <c r="B3494" s="1">
        <f ca="1">IFERROR(__xludf.DUMMYFUNCTION("""COMPUTED_VALUE"""),104.97)</f>
        <v>104.97</v>
      </c>
    </row>
    <row r="3495" spans="1:2">
      <c r="A3495" s="3">
        <f ca="1">IFERROR(__xludf.DUMMYFUNCTION("""COMPUTED_VALUE"""),43419.6666666666)</f>
        <v>43419.666666666599</v>
      </c>
      <c r="B3495" s="1">
        <f ca="1">IFERROR(__xludf.DUMMYFUNCTION("""COMPUTED_VALUE"""),107.28)</f>
        <v>107.28</v>
      </c>
    </row>
    <row r="3496" spans="1:2">
      <c r="A3496" s="3">
        <f ca="1">IFERROR(__xludf.DUMMYFUNCTION("""COMPUTED_VALUE"""),43420.6666666666)</f>
        <v>43420.666666666599</v>
      </c>
      <c r="B3496" s="1">
        <f ca="1">IFERROR(__xludf.DUMMYFUNCTION("""COMPUTED_VALUE"""),108.29)</f>
        <v>108.29</v>
      </c>
    </row>
    <row r="3497" spans="1:2">
      <c r="A3497" s="3">
        <f ca="1">IFERROR(__xludf.DUMMYFUNCTION("""COMPUTED_VALUE"""),43423.6666666666)</f>
        <v>43423.666666666599</v>
      </c>
      <c r="B3497" s="1">
        <f ca="1">IFERROR(__xludf.DUMMYFUNCTION("""COMPUTED_VALUE"""),104.62)</f>
        <v>104.62</v>
      </c>
    </row>
    <row r="3498" spans="1:2">
      <c r="A3498" s="3">
        <f ca="1">IFERROR(__xludf.DUMMYFUNCTION("""COMPUTED_VALUE"""),43424.6666666666)</f>
        <v>43424.666666666599</v>
      </c>
      <c r="B3498" s="1">
        <f ca="1">IFERROR(__xludf.DUMMYFUNCTION("""COMPUTED_VALUE"""),101.71)</f>
        <v>101.71</v>
      </c>
    </row>
    <row r="3499" spans="1:2">
      <c r="A3499" s="3">
        <f ca="1">IFERROR(__xludf.DUMMYFUNCTION("""COMPUTED_VALUE"""),43425.6666666666)</f>
        <v>43425.666666666599</v>
      </c>
      <c r="B3499" s="1">
        <f ca="1">IFERROR(__xludf.DUMMYFUNCTION("""COMPUTED_VALUE"""),103.11)</f>
        <v>103.11</v>
      </c>
    </row>
    <row r="3500" spans="1:2">
      <c r="A3500" s="3">
        <f ca="1">IFERROR(__xludf.DUMMYFUNCTION("""COMPUTED_VALUE"""),43427.5416666666)</f>
        <v>43427.541666666599</v>
      </c>
      <c r="B3500" s="1">
        <f ca="1">IFERROR(__xludf.DUMMYFUNCTION("""COMPUTED_VALUE"""),103.07)</f>
        <v>103.07</v>
      </c>
    </row>
    <row r="3501" spans="1:2">
      <c r="A3501" s="3">
        <f ca="1">IFERROR(__xludf.DUMMYFUNCTION("""COMPUTED_VALUE"""),43430.6666666666)</f>
        <v>43430.666666666599</v>
      </c>
      <c r="B3501" s="1">
        <f ca="1">IFERROR(__xludf.DUMMYFUNCTION("""COMPUTED_VALUE"""),106.47)</f>
        <v>106.47</v>
      </c>
    </row>
    <row r="3502" spans="1:2">
      <c r="A3502" s="3">
        <f ca="1">IFERROR(__xludf.DUMMYFUNCTION("""COMPUTED_VALUE"""),43431.6666666666)</f>
        <v>43431.666666666599</v>
      </c>
      <c r="B3502" s="1">
        <f ca="1">IFERROR(__xludf.DUMMYFUNCTION("""COMPUTED_VALUE"""),107.14)</f>
        <v>107.14</v>
      </c>
    </row>
    <row r="3503" spans="1:2">
      <c r="A3503" s="3">
        <f ca="1">IFERROR(__xludf.DUMMYFUNCTION("""COMPUTED_VALUE"""),43432.6666666666)</f>
        <v>43432.666666666599</v>
      </c>
      <c r="B3503" s="1">
        <f ca="1">IFERROR(__xludf.DUMMYFUNCTION("""COMPUTED_VALUE"""),111.12)</f>
        <v>111.12</v>
      </c>
    </row>
    <row r="3504" spans="1:2">
      <c r="A3504" s="3">
        <f ca="1">IFERROR(__xludf.DUMMYFUNCTION("""COMPUTED_VALUE"""),43433.6666666666)</f>
        <v>43433.666666666599</v>
      </c>
      <c r="B3504" s="1">
        <f ca="1">IFERROR(__xludf.DUMMYFUNCTION("""COMPUTED_VALUE"""),110.19)</f>
        <v>110.19</v>
      </c>
    </row>
    <row r="3505" spans="1:2">
      <c r="A3505" s="3">
        <f ca="1">IFERROR(__xludf.DUMMYFUNCTION("""COMPUTED_VALUE"""),43434.6666666666)</f>
        <v>43434.666666666599</v>
      </c>
      <c r="B3505" s="1">
        <f ca="1">IFERROR(__xludf.DUMMYFUNCTION("""COMPUTED_VALUE"""),110.89)</f>
        <v>110.89</v>
      </c>
    </row>
    <row r="3506" spans="1:2">
      <c r="A3506" s="3">
        <f ca="1">IFERROR(__xludf.DUMMYFUNCTION("""COMPUTED_VALUE"""),43437.6666666666)</f>
        <v>43437.666666666599</v>
      </c>
      <c r="B3506" s="1">
        <f ca="1">IFERROR(__xludf.DUMMYFUNCTION("""COMPUTED_VALUE"""),112.09)</f>
        <v>112.09</v>
      </c>
    </row>
    <row r="3507" spans="1:2">
      <c r="A3507" s="3">
        <f ca="1">IFERROR(__xludf.DUMMYFUNCTION("""COMPUTED_VALUE"""),43438.6666666666)</f>
        <v>43438.666666666599</v>
      </c>
      <c r="B3507" s="1">
        <f ca="1">IFERROR(__xludf.DUMMYFUNCTION("""COMPUTED_VALUE"""),108.52)</f>
        <v>108.52</v>
      </c>
    </row>
    <row r="3508" spans="1:2">
      <c r="A3508" s="3">
        <f ca="1">IFERROR(__xludf.DUMMYFUNCTION("""COMPUTED_VALUE"""),43440.6666666666)</f>
        <v>43440.666666666599</v>
      </c>
      <c r="B3508" s="1">
        <f ca="1">IFERROR(__xludf.DUMMYFUNCTION("""COMPUTED_VALUE"""),109.19)</f>
        <v>109.19</v>
      </c>
    </row>
    <row r="3509" spans="1:2">
      <c r="A3509" s="3">
        <f ca="1">IFERROR(__xludf.DUMMYFUNCTION("""COMPUTED_VALUE"""),43441.6666666666)</f>
        <v>43441.666666666599</v>
      </c>
      <c r="B3509" s="1">
        <f ca="1">IFERROR(__xludf.DUMMYFUNCTION("""COMPUTED_VALUE"""),104.82)</f>
        <v>104.82</v>
      </c>
    </row>
    <row r="3510" spans="1:2">
      <c r="A3510" s="3">
        <f ca="1">IFERROR(__xludf.DUMMYFUNCTION("""COMPUTED_VALUE"""),43444.6666666666)</f>
        <v>43444.666666666599</v>
      </c>
      <c r="B3510" s="1">
        <f ca="1">IFERROR(__xludf.DUMMYFUNCTION("""COMPUTED_VALUE"""),107.59)</f>
        <v>107.59</v>
      </c>
    </row>
    <row r="3511" spans="1:2">
      <c r="A3511" s="3">
        <f ca="1">IFERROR(__xludf.DUMMYFUNCTION("""COMPUTED_VALUE"""),43445.6666666666)</f>
        <v>43445.666666666599</v>
      </c>
      <c r="B3511" s="1">
        <f ca="1">IFERROR(__xludf.DUMMYFUNCTION("""COMPUTED_VALUE"""),108.59)</f>
        <v>108.59</v>
      </c>
    </row>
    <row r="3512" spans="1:2">
      <c r="A3512" s="3">
        <f ca="1">IFERROR(__xludf.DUMMYFUNCTION("""COMPUTED_VALUE"""),43446.6666666666)</f>
        <v>43446.666666666599</v>
      </c>
      <c r="B3512" s="1">
        <f ca="1">IFERROR(__xludf.DUMMYFUNCTION("""COMPUTED_VALUE"""),109.08)</f>
        <v>109.08</v>
      </c>
    </row>
    <row r="3513" spans="1:2">
      <c r="A3513" s="3">
        <f ca="1">IFERROR(__xludf.DUMMYFUNCTION("""COMPUTED_VALUE"""),43447.6666666666)</f>
        <v>43447.666666666599</v>
      </c>
      <c r="B3513" s="1">
        <f ca="1">IFERROR(__xludf.DUMMYFUNCTION("""COMPUTED_VALUE"""),109.45)</f>
        <v>109.45</v>
      </c>
    </row>
    <row r="3514" spans="1:2">
      <c r="A3514" s="3">
        <f ca="1">IFERROR(__xludf.DUMMYFUNCTION("""COMPUTED_VALUE"""),43448.6666666666)</f>
        <v>43448.666666666599</v>
      </c>
      <c r="B3514" s="1">
        <f ca="1">IFERROR(__xludf.DUMMYFUNCTION("""COMPUTED_VALUE"""),106.03)</f>
        <v>106.03</v>
      </c>
    </row>
    <row r="3515" spans="1:2">
      <c r="A3515" s="3">
        <f ca="1">IFERROR(__xludf.DUMMYFUNCTION("""COMPUTED_VALUE"""),43451.6666666666)</f>
        <v>43451.666666666599</v>
      </c>
      <c r="B3515" s="1">
        <f ca="1">IFERROR(__xludf.DUMMYFUNCTION("""COMPUTED_VALUE"""),102.89)</f>
        <v>102.89</v>
      </c>
    </row>
    <row r="3516" spans="1:2">
      <c r="A3516" s="3">
        <f ca="1">IFERROR(__xludf.DUMMYFUNCTION("""COMPUTED_VALUE"""),43452.6666666666)</f>
        <v>43452.666666666599</v>
      </c>
      <c r="B3516" s="1">
        <f ca="1">IFERROR(__xludf.DUMMYFUNCTION("""COMPUTED_VALUE"""),103.97)</f>
        <v>103.97</v>
      </c>
    </row>
    <row r="3517" spans="1:2">
      <c r="A3517" s="3">
        <f ca="1">IFERROR(__xludf.DUMMYFUNCTION("""COMPUTED_VALUE"""),43453.6666666666)</f>
        <v>43453.666666666599</v>
      </c>
      <c r="B3517" s="1">
        <f ca="1">IFERROR(__xludf.DUMMYFUNCTION("""COMPUTED_VALUE"""),103.69)</f>
        <v>103.69</v>
      </c>
    </row>
    <row r="3518" spans="1:2">
      <c r="A3518" s="3">
        <f ca="1">IFERROR(__xludf.DUMMYFUNCTION("""COMPUTED_VALUE"""),43454.6666666666)</f>
        <v>43454.666666666599</v>
      </c>
      <c r="B3518" s="1">
        <f ca="1">IFERROR(__xludf.DUMMYFUNCTION("""COMPUTED_VALUE"""),101.51)</f>
        <v>101.51</v>
      </c>
    </row>
    <row r="3519" spans="1:2">
      <c r="A3519" s="3">
        <f ca="1">IFERROR(__xludf.DUMMYFUNCTION("""COMPUTED_VALUE"""),43455.6666666666)</f>
        <v>43455.666666666599</v>
      </c>
      <c r="B3519" s="1">
        <f ca="1">IFERROR(__xludf.DUMMYFUNCTION("""COMPUTED_VALUE"""),98.23)</f>
        <v>98.23</v>
      </c>
    </row>
    <row r="3520" spans="1:2">
      <c r="A3520" s="3">
        <f ca="1">IFERROR(__xludf.DUMMYFUNCTION("""COMPUTED_VALUE"""),43458.5416666666)</f>
        <v>43458.541666666599</v>
      </c>
      <c r="B3520" s="1">
        <f ca="1">IFERROR(__xludf.DUMMYFUNCTION("""COMPUTED_VALUE"""),94.13)</f>
        <v>94.13</v>
      </c>
    </row>
    <row r="3521" spans="1:2">
      <c r="A3521" s="3">
        <f ca="1">IFERROR(__xludf.DUMMYFUNCTION("""COMPUTED_VALUE"""),43460.6666666666)</f>
        <v>43460.666666666599</v>
      </c>
      <c r="B3521" s="1">
        <f ca="1">IFERROR(__xludf.DUMMYFUNCTION("""COMPUTED_VALUE"""),100.56)</f>
        <v>100.56</v>
      </c>
    </row>
    <row r="3522" spans="1:2">
      <c r="A3522" s="3">
        <f ca="1">IFERROR(__xludf.DUMMYFUNCTION("""COMPUTED_VALUE"""),43461.6666666666)</f>
        <v>43461.666666666599</v>
      </c>
      <c r="B3522" s="1">
        <f ca="1">IFERROR(__xludf.DUMMYFUNCTION("""COMPUTED_VALUE"""),101.18)</f>
        <v>101.18</v>
      </c>
    </row>
    <row r="3523" spans="1:2">
      <c r="A3523" s="3">
        <f ca="1">IFERROR(__xludf.DUMMYFUNCTION("""COMPUTED_VALUE"""),43462.6666666666)</f>
        <v>43462.666666666599</v>
      </c>
      <c r="B3523" s="1">
        <f ca="1">IFERROR(__xludf.DUMMYFUNCTION("""COMPUTED_VALUE"""),100.39)</f>
        <v>100.39</v>
      </c>
    </row>
    <row r="3524" spans="1:2">
      <c r="A3524" s="3">
        <f ca="1">IFERROR(__xludf.DUMMYFUNCTION("""COMPUTED_VALUE"""),43465.6666666666)</f>
        <v>43465.666666666599</v>
      </c>
      <c r="B3524" s="1">
        <f ca="1">IFERROR(__xludf.DUMMYFUNCTION("""COMPUTED_VALUE"""),101.57)</f>
        <v>101.57</v>
      </c>
    </row>
    <row r="3525" spans="1:2">
      <c r="A3525" s="3">
        <f ca="1">IFERROR(__xludf.DUMMYFUNCTION("""COMPUTED_VALUE"""),43467.6666666666)</f>
        <v>43467.666666666599</v>
      </c>
      <c r="B3525" s="1">
        <f ca="1">IFERROR(__xludf.DUMMYFUNCTION("""COMPUTED_VALUE"""),101.12)</f>
        <v>101.12</v>
      </c>
    </row>
    <row r="3526" spans="1:2">
      <c r="A3526" s="3">
        <f ca="1">IFERROR(__xludf.DUMMYFUNCTION("""COMPUTED_VALUE"""),43468.6666666666)</f>
        <v>43468.666666666599</v>
      </c>
      <c r="B3526" s="1">
        <f ca="1">IFERROR(__xludf.DUMMYFUNCTION("""COMPUTED_VALUE"""),97.4)</f>
        <v>97.4</v>
      </c>
    </row>
    <row r="3527" spans="1:2">
      <c r="A3527" s="3">
        <f ca="1">IFERROR(__xludf.DUMMYFUNCTION("""COMPUTED_VALUE"""),43469.6666666666)</f>
        <v>43469.666666666599</v>
      </c>
      <c r="B3527" s="1">
        <f ca="1">IFERROR(__xludf.DUMMYFUNCTION("""COMPUTED_VALUE"""),101.93)</f>
        <v>101.93</v>
      </c>
    </row>
    <row r="3528" spans="1:2">
      <c r="A3528" s="3">
        <f ca="1">IFERROR(__xludf.DUMMYFUNCTION("""COMPUTED_VALUE"""),43472.6666666666)</f>
        <v>43472.666666666599</v>
      </c>
      <c r="B3528" s="1">
        <f ca="1">IFERROR(__xludf.DUMMYFUNCTION("""COMPUTED_VALUE"""),102.06)</f>
        <v>102.06</v>
      </c>
    </row>
    <row r="3529" spans="1:2">
      <c r="A3529" s="3">
        <f ca="1">IFERROR(__xludf.DUMMYFUNCTION("""COMPUTED_VALUE"""),43473.6666666666)</f>
        <v>43473.666666666599</v>
      </c>
      <c r="B3529" s="1">
        <f ca="1">IFERROR(__xludf.DUMMYFUNCTION("""COMPUTED_VALUE"""),102.8)</f>
        <v>102.8</v>
      </c>
    </row>
    <row r="3530" spans="1:2">
      <c r="A3530" s="3">
        <f ca="1">IFERROR(__xludf.DUMMYFUNCTION("""COMPUTED_VALUE"""),43474.6666666666)</f>
        <v>43474.666666666599</v>
      </c>
      <c r="B3530" s="1">
        <f ca="1">IFERROR(__xludf.DUMMYFUNCTION("""COMPUTED_VALUE"""),104.27)</f>
        <v>104.27</v>
      </c>
    </row>
    <row r="3531" spans="1:2">
      <c r="A3531" s="3">
        <f ca="1">IFERROR(__xludf.DUMMYFUNCTION("""COMPUTED_VALUE"""),43475.6666666666)</f>
        <v>43475.666666666599</v>
      </c>
      <c r="B3531" s="1">
        <f ca="1">IFERROR(__xludf.DUMMYFUNCTION("""COMPUTED_VALUE"""),103.6)</f>
        <v>103.6</v>
      </c>
    </row>
    <row r="3532" spans="1:2">
      <c r="A3532" s="3">
        <f ca="1">IFERROR(__xludf.DUMMYFUNCTION("""COMPUTED_VALUE"""),43476.6666666666)</f>
        <v>43476.666666666599</v>
      </c>
      <c r="B3532" s="1">
        <f ca="1">IFERROR(__xludf.DUMMYFUNCTION("""COMPUTED_VALUE"""),102.8)</f>
        <v>102.8</v>
      </c>
    </row>
    <row r="3533" spans="1:2">
      <c r="A3533" s="3">
        <f ca="1">IFERROR(__xludf.DUMMYFUNCTION("""COMPUTED_VALUE"""),43479.6666666666)</f>
        <v>43479.666666666599</v>
      </c>
      <c r="B3533" s="1">
        <f ca="1">IFERROR(__xludf.DUMMYFUNCTION("""COMPUTED_VALUE"""),102.05)</f>
        <v>102.05</v>
      </c>
    </row>
    <row r="3534" spans="1:2">
      <c r="A3534" s="3">
        <f ca="1">IFERROR(__xludf.DUMMYFUNCTION("""COMPUTED_VALUE"""),43480.6666666666)</f>
        <v>43480.666666666599</v>
      </c>
      <c r="B3534" s="1">
        <f ca="1">IFERROR(__xludf.DUMMYFUNCTION("""COMPUTED_VALUE"""),105.01)</f>
        <v>105.01</v>
      </c>
    </row>
    <row r="3535" spans="1:2">
      <c r="A3535" s="3">
        <f ca="1">IFERROR(__xludf.DUMMYFUNCTION("""COMPUTED_VALUE"""),43481.6666666666)</f>
        <v>43481.666666666599</v>
      </c>
      <c r="B3535" s="1">
        <f ca="1">IFERROR(__xludf.DUMMYFUNCTION("""COMPUTED_VALUE"""),105.38)</f>
        <v>105.38</v>
      </c>
    </row>
    <row r="3536" spans="1:2">
      <c r="A3536" s="3">
        <f ca="1">IFERROR(__xludf.DUMMYFUNCTION("""COMPUTED_VALUE"""),43482.6666666666)</f>
        <v>43482.666666666599</v>
      </c>
      <c r="B3536" s="1">
        <f ca="1">IFERROR(__xludf.DUMMYFUNCTION("""COMPUTED_VALUE"""),106.12)</f>
        <v>106.12</v>
      </c>
    </row>
    <row r="3537" spans="1:2">
      <c r="A3537" s="3">
        <f ca="1">IFERROR(__xludf.DUMMYFUNCTION("""COMPUTED_VALUE"""),43483.6666666666)</f>
        <v>43483.666666666599</v>
      </c>
      <c r="B3537" s="1">
        <f ca="1">IFERROR(__xludf.DUMMYFUNCTION("""COMPUTED_VALUE"""),107.71)</f>
        <v>107.71</v>
      </c>
    </row>
    <row r="3538" spans="1:2">
      <c r="A3538" s="3">
        <f ca="1">IFERROR(__xludf.DUMMYFUNCTION("""COMPUTED_VALUE"""),43487.6666666666)</f>
        <v>43487.666666666599</v>
      </c>
      <c r="B3538" s="1">
        <f ca="1">IFERROR(__xludf.DUMMYFUNCTION("""COMPUTED_VALUE"""),105.68)</f>
        <v>105.68</v>
      </c>
    </row>
    <row r="3539" spans="1:2">
      <c r="A3539" s="3">
        <f ca="1">IFERROR(__xludf.DUMMYFUNCTION("""COMPUTED_VALUE"""),43488.6666666666)</f>
        <v>43488.666666666599</v>
      </c>
      <c r="B3539" s="1">
        <f ca="1">IFERROR(__xludf.DUMMYFUNCTION("""COMPUTED_VALUE"""),106.71)</f>
        <v>106.71</v>
      </c>
    </row>
    <row r="3540" spans="1:2">
      <c r="A3540" s="3">
        <f ca="1">IFERROR(__xludf.DUMMYFUNCTION("""COMPUTED_VALUE"""),43489.6666666666)</f>
        <v>43489.666666666599</v>
      </c>
      <c r="B3540" s="1">
        <f ca="1">IFERROR(__xludf.DUMMYFUNCTION("""COMPUTED_VALUE"""),106.2)</f>
        <v>106.2</v>
      </c>
    </row>
    <row r="3541" spans="1:2">
      <c r="A3541" s="3">
        <f ca="1">IFERROR(__xludf.DUMMYFUNCTION("""COMPUTED_VALUE"""),43490.6666666666)</f>
        <v>43490.666666666599</v>
      </c>
      <c r="B3541" s="1">
        <f ca="1">IFERROR(__xludf.DUMMYFUNCTION("""COMPUTED_VALUE"""),107.17)</f>
        <v>107.17</v>
      </c>
    </row>
    <row r="3542" spans="1:2">
      <c r="A3542" s="3">
        <f ca="1">IFERROR(__xludf.DUMMYFUNCTION("""COMPUTED_VALUE"""),43493.6666666666)</f>
        <v>43493.666666666599</v>
      </c>
      <c r="B3542" s="1">
        <f ca="1">IFERROR(__xludf.DUMMYFUNCTION("""COMPUTED_VALUE"""),105.08)</f>
        <v>105.08</v>
      </c>
    </row>
    <row r="3543" spans="1:2">
      <c r="A3543" s="3">
        <f ca="1">IFERROR(__xludf.DUMMYFUNCTION("""COMPUTED_VALUE"""),43494.6666666666)</f>
        <v>43494.666666666599</v>
      </c>
      <c r="B3543" s="1">
        <f ca="1">IFERROR(__xludf.DUMMYFUNCTION("""COMPUTED_VALUE"""),102.94)</f>
        <v>102.94</v>
      </c>
    </row>
    <row r="3544" spans="1:2">
      <c r="A3544" s="3">
        <f ca="1">IFERROR(__xludf.DUMMYFUNCTION("""COMPUTED_VALUE"""),43495.6666666666)</f>
        <v>43495.666666666599</v>
      </c>
      <c r="B3544" s="1">
        <f ca="1">IFERROR(__xludf.DUMMYFUNCTION("""COMPUTED_VALUE"""),106.38)</f>
        <v>106.38</v>
      </c>
    </row>
    <row r="3545" spans="1:2">
      <c r="A3545" s="3">
        <f ca="1">IFERROR(__xludf.DUMMYFUNCTION("""COMPUTED_VALUE"""),43496.6666666666)</f>
        <v>43496.666666666599</v>
      </c>
      <c r="B3545" s="1">
        <f ca="1">IFERROR(__xludf.DUMMYFUNCTION("""COMPUTED_VALUE"""),104.43)</f>
        <v>104.43</v>
      </c>
    </row>
    <row r="3546" spans="1:2">
      <c r="A3546" s="3">
        <f ca="1">IFERROR(__xludf.DUMMYFUNCTION("""COMPUTED_VALUE"""),43497.6666666666)</f>
        <v>43497.666666666599</v>
      </c>
      <c r="B3546" s="1">
        <f ca="1">IFERROR(__xludf.DUMMYFUNCTION("""COMPUTED_VALUE"""),102.78)</f>
        <v>102.78</v>
      </c>
    </row>
    <row r="3547" spans="1:2">
      <c r="A3547" s="3">
        <f ca="1">IFERROR(__xludf.DUMMYFUNCTION("""COMPUTED_VALUE"""),43500.6666666666)</f>
        <v>43500.666666666599</v>
      </c>
      <c r="B3547" s="1">
        <f ca="1">IFERROR(__xludf.DUMMYFUNCTION("""COMPUTED_VALUE"""),105.74)</f>
        <v>105.74</v>
      </c>
    </row>
    <row r="3548" spans="1:2">
      <c r="A3548" s="3">
        <f ca="1">IFERROR(__xludf.DUMMYFUNCTION("""COMPUTED_VALUE"""),43501.6666666666)</f>
        <v>43501.666666666599</v>
      </c>
      <c r="B3548" s="1">
        <f ca="1">IFERROR(__xludf.DUMMYFUNCTION("""COMPUTED_VALUE"""),107.22)</f>
        <v>107.22</v>
      </c>
    </row>
    <row r="3549" spans="1:2">
      <c r="A3549" s="3">
        <f ca="1">IFERROR(__xludf.DUMMYFUNCTION("""COMPUTED_VALUE"""),43502.6666666666)</f>
        <v>43502.666666666599</v>
      </c>
      <c r="B3549" s="1">
        <f ca="1">IFERROR(__xludf.DUMMYFUNCTION("""COMPUTED_VALUE"""),106.03)</f>
        <v>106.03</v>
      </c>
    </row>
    <row r="3550" spans="1:2">
      <c r="A3550" s="3">
        <f ca="1">IFERROR(__xludf.DUMMYFUNCTION("""COMPUTED_VALUE"""),43503.6666666666)</f>
        <v>43503.666666666599</v>
      </c>
      <c r="B3550" s="1">
        <f ca="1">IFERROR(__xludf.DUMMYFUNCTION("""COMPUTED_VALUE"""),105.27)</f>
        <v>105.27</v>
      </c>
    </row>
    <row r="3551" spans="1:2">
      <c r="A3551" s="3">
        <f ca="1">IFERROR(__xludf.DUMMYFUNCTION("""COMPUTED_VALUE"""),43504.6666666666)</f>
        <v>43504.666666666599</v>
      </c>
      <c r="B3551" s="1">
        <f ca="1">IFERROR(__xludf.DUMMYFUNCTION("""COMPUTED_VALUE"""),105.67)</f>
        <v>105.67</v>
      </c>
    </row>
    <row r="3552" spans="1:2">
      <c r="A3552" s="3">
        <f ca="1">IFERROR(__xludf.DUMMYFUNCTION("""COMPUTED_VALUE"""),43507.6666666666)</f>
        <v>43507.666666666599</v>
      </c>
      <c r="B3552" s="1">
        <f ca="1">IFERROR(__xludf.DUMMYFUNCTION("""COMPUTED_VALUE"""),105.25)</f>
        <v>105.25</v>
      </c>
    </row>
    <row r="3553" spans="1:2">
      <c r="A3553" s="3">
        <f ca="1">IFERROR(__xludf.DUMMYFUNCTION("""COMPUTED_VALUE"""),43508.6666666666)</f>
        <v>43508.666666666599</v>
      </c>
      <c r="B3553" s="1">
        <f ca="1">IFERROR(__xludf.DUMMYFUNCTION("""COMPUTED_VALUE"""),106.89)</f>
        <v>106.89</v>
      </c>
    </row>
    <row r="3554" spans="1:2">
      <c r="A3554" s="3">
        <f ca="1">IFERROR(__xludf.DUMMYFUNCTION("""COMPUTED_VALUE"""),43509.6666666666)</f>
        <v>43509.666666666599</v>
      </c>
      <c r="B3554" s="1">
        <f ca="1">IFERROR(__xludf.DUMMYFUNCTION("""COMPUTED_VALUE"""),106.81)</f>
        <v>106.81</v>
      </c>
    </row>
    <row r="3555" spans="1:2">
      <c r="A3555" s="3">
        <f ca="1">IFERROR(__xludf.DUMMYFUNCTION("""COMPUTED_VALUE"""),43510.6666666666)</f>
        <v>43510.666666666599</v>
      </c>
      <c r="B3555" s="1">
        <f ca="1">IFERROR(__xludf.DUMMYFUNCTION("""COMPUTED_VALUE"""),106.9)</f>
        <v>106.9</v>
      </c>
    </row>
    <row r="3556" spans="1:2">
      <c r="A3556" s="3">
        <f ca="1">IFERROR(__xludf.DUMMYFUNCTION("""COMPUTED_VALUE"""),43511.6666666666)</f>
        <v>43511.666666666599</v>
      </c>
      <c r="B3556" s="1">
        <f ca="1">IFERROR(__xludf.DUMMYFUNCTION("""COMPUTED_VALUE"""),108.22)</f>
        <v>108.22</v>
      </c>
    </row>
    <row r="3557" spans="1:2">
      <c r="A3557" s="3">
        <f ca="1">IFERROR(__xludf.DUMMYFUNCTION("""COMPUTED_VALUE"""),43515.6666666666)</f>
        <v>43515.666666666599</v>
      </c>
      <c r="B3557" s="1">
        <f ca="1">IFERROR(__xludf.DUMMYFUNCTION("""COMPUTED_VALUE"""),108.17)</f>
        <v>108.17</v>
      </c>
    </row>
    <row r="3558" spans="1:2">
      <c r="A3558" s="3">
        <f ca="1">IFERROR(__xludf.DUMMYFUNCTION("""COMPUTED_VALUE"""),43516.6666666666)</f>
        <v>43516.666666666599</v>
      </c>
      <c r="B3558" s="1">
        <f ca="1">IFERROR(__xludf.DUMMYFUNCTION("""COMPUTED_VALUE"""),107.15)</f>
        <v>107.15</v>
      </c>
    </row>
    <row r="3559" spans="1:2">
      <c r="A3559" s="3">
        <f ca="1">IFERROR(__xludf.DUMMYFUNCTION("""COMPUTED_VALUE"""),43517.6666666666)</f>
        <v>43517.666666666599</v>
      </c>
      <c r="B3559" s="1">
        <f ca="1">IFERROR(__xludf.DUMMYFUNCTION("""COMPUTED_VALUE"""),109.41)</f>
        <v>109.41</v>
      </c>
    </row>
    <row r="3560" spans="1:2">
      <c r="A3560" s="3">
        <f ca="1">IFERROR(__xludf.DUMMYFUNCTION("""COMPUTED_VALUE"""),43518.6666666666)</f>
        <v>43518.666666666599</v>
      </c>
      <c r="B3560" s="1">
        <f ca="1">IFERROR(__xludf.DUMMYFUNCTION("""COMPUTED_VALUE"""),110.97)</f>
        <v>110.97</v>
      </c>
    </row>
    <row r="3561" spans="1:2">
      <c r="A3561" s="3">
        <f ca="1">IFERROR(__xludf.DUMMYFUNCTION("""COMPUTED_VALUE"""),43521.6666666666)</f>
        <v>43521.666666666599</v>
      </c>
      <c r="B3561" s="1">
        <f ca="1">IFERROR(__xludf.DUMMYFUNCTION("""COMPUTED_VALUE"""),111.59)</f>
        <v>111.59</v>
      </c>
    </row>
    <row r="3562" spans="1:2">
      <c r="A3562" s="3">
        <f ca="1">IFERROR(__xludf.DUMMYFUNCTION("""COMPUTED_VALUE"""),43522.6666666666)</f>
        <v>43522.666666666599</v>
      </c>
      <c r="B3562" s="1">
        <f ca="1">IFERROR(__xludf.DUMMYFUNCTION("""COMPUTED_VALUE"""),112.36)</f>
        <v>112.36</v>
      </c>
    </row>
    <row r="3563" spans="1:2">
      <c r="A3563" s="3">
        <f ca="1">IFERROR(__xludf.DUMMYFUNCTION("""COMPUTED_VALUE"""),43523.6666666666)</f>
        <v>43523.666666666599</v>
      </c>
      <c r="B3563" s="1">
        <f ca="1">IFERROR(__xludf.DUMMYFUNCTION("""COMPUTED_VALUE"""),112.17)</f>
        <v>112.17</v>
      </c>
    </row>
    <row r="3564" spans="1:2">
      <c r="A3564" s="3">
        <f ca="1">IFERROR(__xludf.DUMMYFUNCTION("""COMPUTED_VALUE"""),43524.6666666666)</f>
        <v>43524.666666666599</v>
      </c>
      <c r="B3564" s="1">
        <f ca="1">IFERROR(__xludf.DUMMYFUNCTION("""COMPUTED_VALUE"""),112.03)</f>
        <v>112.03</v>
      </c>
    </row>
    <row r="3565" spans="1:2">
      <c r="A3565" s="3">
        <f ca="1">IFERROR(__xludf.DUMMYFUNCTION("""COMPUTED_VALUE"""),43525.6666666666)</f>
        <v>43525.666666666599</v>
      </c>
      <c r="B3565" s="1">
        <f ca="1">IFERROR(__xludf.DUMMYFUNCTION("""COMPUTED_VALUE"""),112.53)</f>
        <v>112.53</v>
      </c>
    </row>
    <row r="3566" spans="1:2">
      <c r="A3566" s="3">
        <f ca="1">IFERROR(__xludf.DUMMYFUNCTION("""COMPUTED_VALUE"""),43528.6666666666)</f>
        <v>43528.666666666599</v>
      </c>
      <c r="B3566" s="1">
        <f ca="1">IFERROR(__xludf.DUMMYFUNCTION("""COMPUTED_VALUE"""),112.26)</f>
        <v>112.26</v>
      </c>
    </row>
    <row r="3567" spans="1:2">
      <c r="A3567" s="3">
        <f ca="1">IFERROR(__xludf.DUMMYFUNCTION("""COMPUTED_VALUE"""),43529.6666666666)</f>
        <v>43529.666666666599</v>
      </c>
      <c r="B3567" s="1">
        <f ca="1">IFERROR(__xludf.DUMMYFUNCTION("""COMPUTED_VALUE"""),111.7)</f>
        <v>111.7</v>
      </c>
    </row>
    <row r="3568" spans="1:2">
      <c r="A3568" s="3">
        <f ca="1">IFERROR(__xludf.DUMMYFUNCTION("""COMPUTED_VALUE"""),43530.6666666666)</f>
        <v>43530.666666666599</v>
      </c>
      <c r="B3568" s="1">
        <f ca="1">IFERROR(__xludf.DUMMYFUNCTION("""COMPUTED_VALUE"""),111.75)</f>
        <v>111.75</v>
      </c>
    </row>
    <row r="3569" spans="1:2">
      <c r="A3569" s="3">
        <f ca="1">IFERROR(__xludf.DUMMYFUNCTION("""COMPUTED_VALUE"""),43531.6666666666)</f>
        <v>43531.666666666599</v>
      </c>
      <c r="B3569" s="1">
        <f ca="1">IFERROR(__xludf.DUMMYFUNCTION("""COMPUTED_VALUE"""),110.39)</f>
        <v>110.39</v>
      </c>
    </row>
    <row r="3570" spans="1:2">
      <c r="A3570" s="3">
        <f ca="1">IFERROR(__xludf.DUMMYFUNCTION("""COMPUTED_VALUE"""),43532.6666666666)</f>
        <v>43532.666666666599</v>
      </c>
      <c r="B3570" s="1">
        <f ca="1">IFERROR(__xludf.DUMMYFUNCTION("""COMPUTED_VALUE"""),110.51)</f>
        <v>110.51</v>
      </c>
    </row>
    <row r="3571" spans="1:2">
      <c r="A3571" s="3">
        <f ca="1">IFERROR(__xludf.DUMMYFUNCTION("""COMPUTED_VALUE"""),43535.6666666666)</f>
        <v>43535.666666666599</v>
      </c>
      <c r="B3571" s="1">
        <f ca="1">IFERROR(__xludf.DUMMYFUNCTION("""COMPUTED_VALUE"""),112.83)</f>
        <v>112.83</v>
      </c>
    </row>
    <row r="3572" spans="1:2">
      <c r="A3572" s="3">
        <f ca="1">IFERROR(__xludf.DUMMYFUNCTION("""COMPUTED_VALUE"""),43536.6666666666)</f>
        <v>43536.666666666599</v>
      </c>
      <c r="B3572" s="1">
        <f ca="1">IFERROR(__xludf.DUMMYFUNCTION("""COMPUTED_VALUE"""),113.62)</f>
        <v>113.62</v>
      </c>
    </row>
    <row r="3573" spans="1:2">
      <c r="A3573" s="3">
        <f ca="1">IFERROR(__xludf.DUMMYFUNCTION("""COMPUTED_VALUE"""),43537.6666666666)</f>
        <v>43537.666666666599</v>
      </c>
      <c r="B3573" s="1">
        <f ca="1">IFERROR(__xludf.DUMMYFUNCTION("""COMPUTED_VALUE"""),114.5)</f>
        <v>114.5</v>
      </c>
    </row>
    <row r="3574" spans="1:2">
      <c r="A3574" s="3">
        <f ca="1">IFERROR(__xludf.DUMMYFUNCTION("""COMPUTED_VALUE"""),43538.6666666666)</f>
        <v>43538.666666666599</v>
      </c>
      <c r="B3574" s="1">
        <f ca="1">IFERROR(__xludf.DUMMYFUNCTION("""COMPUTED_VALUE"""),114.59)</f>
        <v>114.59</v>
      </c>
    </row>
    <row r="3575" spans="1:2">
      <c r="A3575" s="3">
        <f ca="1">IFERROR(__xludf.DUMMYFUNCTION("""COMPUTED_VALUE"""),43539.6666666666)</f>
        <v>43539.666666666599</v>
      </c>
      <c r="B3575" s="1">
        <f ca="1">IFERROR(__xludf.DUMMYFUNCTION("""COMPUTED_VALUE"""),115.91)</f>
        <v>115.91</v>
      </c>
    </row>
    <row r="3576" spans="1:2">
      <c r="A3576" s="3">
        <f ca="1">IFERROR(__xludf.DUMMYFUNCTION("""COMPUTED_VALUE"""),43542.6666666666)</f>
        <v>43542.666666666599</v>
      </c>
      <c r="B3576" s="1">
        <f ca="1">IFERROR(__xludf.DUMMYFUNCTION("""COMPUTED_VALUE"""),117.57)</f>
        <v>117.57</v>
      </c>
    </row>
    <row r="3577" spans="1:2">
      <c r="A3577" s="3">
        <f ca="1">IFERROR(__xludf.DUMMYFUNCTION("""COMPUTED_VALUE"""),43543.6666666666)</f>
        <v>43543.666666666599</v>
      </c>
      <c r="B3577" s="1">
        <f ca="1">IFERROR(__xludf.DUMMYFUNCTION("""COMPUTED_VALUE"""),117.65)</f>
        <v>117.65</v>
      </c>
    </row>
    <row r="3578" spans="1:2">
      <c r="A3578" s="3">
        <f ca="1">IFERROR(__xludf.DUMMYFUNCTION("""COMPUTED_VALUE"""),43544.6666666666)</f>
        <v>43544.666666666599</v>
      </c>
      <c r="B3578" s="1">
        <f ca="1">IFERROR(__xludf.DUMMYFUNCTION("""COMPUTED_VALUE"""),117.52)</f>
        <v>117.52</v>
      </c>
    </row>
    <row r="3579" spans="1:2">
      <c r="A3579" s="3">
        <f ca="1">IFERROR(__xludf.DUMMYFUNCTION("""COMPUTED_VALUE"""),43545.6666666666)</f>
        <v>43545.666666666599</v>
      </c>
      <c r="B3579" s="1">
        <f ca="1">IFERROR(__xludf.DUMMYFUNCTION("""COMPUTED_VALUE"""),120.22)</f>
        <v>120.22</v>
      </c>
    </row>
    <row r="3580" spans="1:2">
      <c r="A3580" s="3">
        <f ca="1">IFERROR(__xludf.DUMMYFUNCTION("""COMPUTED_VALUE"""),43546.6666666666)</f>
        <v>43546.666666666599</v>
      </c>
      <c r="B3580" s="1">
        <f ca="1">IFERROR(__xludf.DUMMYFUNCTION("""COMPUTED_VALUE"""),117.05)</f>
        <v>117.05</v>
      </c>
    </row>
    <row r="3581" spans="1:2">
      <c r="A3581" s="3">
        <f ca="1">IFERROR(__xludf.DUMMYFUNCTION("""COMPUTED_VALUE"""),43549.6666666666)</f>
        <v>43549.666666666599</v>
      </c>
      <c r="B3581" s="1">
        <f ca="1">IFERROR(__xludf.DUMMYFUNCTION("""COMPUTED_VALUE"""),117.66)</f>
        <v>117.66</v>
      </c>
    </row>
    <row r="3582" spans="1:2">
      <c r="A3582" s="3">
        <f ca="1">IFERROR(__xludf.DUMMYFUNCTION("""COMPUTED_VALUE"""),43550.6666666666)</f>
        <v>43550.666666666599</v>
      </c>
      <c r="B3582" s="1">
        <f ca="1">IFERROR(__xludf.DUMMYFUNCTION("""COMPUTED_VALUE"""),117.91)</f>
        <v>117.91</v>
      </c>
    </row>
    <row r="3583" spans="1:2">
      <c r="A3583" s="3">
        <f ca="1">IFERROR(__xludf.DUMMYFUNCTION("""COMPUTED_VALUE"""),43551.6666666666)</f>
        <v>43551.666666666599</v>
      </c>
      <c r="B3583" s="1">
        <f ca="1">IFERROR(__xludf.DUMMYFUNCTION("""COMPUTED_VALUE"""),116.77)</f>
        <v>116.77</v>
      </c>
    </row>
    <row r="3584" spans="1:2">
      <c r="A3584" s="3">
        <f ca="1">IFERROR(__xludf.DUMMYFUNCTION("""COMPUTED_VALUE"""),43552.6666666666)</f>
        <v>43552.666666666599</v>
      </c>
      <c r="B3584" s="1">
        <f ca="1">IFERROR(__xludf.DUMMYFUNCTION("""COMPUTED_VALUE"""),116.93)</f>
        <v>116.93</v>
      </c>
    </row>
    <row r="3585" spans="1:2">
      <c r="A3585" s="3">
        <f ca="1">IFERROR(__xludf.DUMMYFUNCTION("""COMPUTED_VALUE"""),43553.6666666666)</f>
        <v>43553.666666666599</v>
      </c>
      <c r="B3585" s="1">
        <f ca="1">IFERROR(__xludf.DUMMYFUNCTION("""COMPUTED_VALUE"""),117.94)</f>
        <v>117.94</v>
      </c>
    </row>
    <row r="3586" spans="1:2">
      <c r="A3586" s="3">
        <f ca="1">IFERROR(__xludf.DUMMYFUNCTION("""COMPUTED_VALUE"""),43556.6666666666)</f>
        <v>43556.666666666599</v>
      </c>
      <c r="B3586" s="1">
        <f ca="1">IFERROR(__xludf.DUMMYFUNCTION("""COMPUTED_VALUE"""),119.02)</f>
        <v>119.02</v>
      </c>
    </row>
    <row r="3587" spans="1:2">
      <c r="A3587" s="3">
        <f ca="1">IFERROR(__xludf.DUMMYFUNCTION("""COMPUTED_VALUE"""),43557.6666666666)</f>
        <v>43557.666666666599</v>
      </c>
      <c r="B3587" s="1">
        <f ca="1">IFERROR(__xludf.DUMMYFUNCTION("""COMPUTED_VALUE"""),119.19)</f>
        <v>119.19</v>
      </c>
    </row>
    <row r="3588" spans="1:2">
      <c r="A3588" s="3">
        <f ca="1">IFERROR(__xludf.DUMMYFUNCTION("""COMPUTED_VALUE"""),43558.6666666666)</f>
        <v>43558.666666666599</v>
      </c>
      <c r="B3588" s="1">
        <f ca="1">IFERROR(__xludf.DUMMYFUNCTION("""COMPUTED_VALUE"""),119.97)</f>
        <v>119.97</v>
      </c>
    </row>
    <row r="3589" spans="1:2">
      <c r="A3589" s="3">
        <f ca="1">IFERROR(__xludf.DUMMYFUNCTION("""COMPUTED_VALUE"""),43559.6666666666)</f>
        <v>43559.666666666599</v>
      </c>
      <c r="B3589" s="1">
        <f ca="1">IFERROR(__xludf.DUMMYFUNCTION("""COMPUTED_VALUE"""),119.36)</f>
        <v>119.36</v>
      </c>
    </row>
    <row r="3590" spans="1:2">
      <c r="A3590" s="3">
        <f ca="1">IFERROR(__xludf.DUMMYFUNCTION("""COMPUTED_VALUE"""),43560.6666666666)</f>
        <v>43560.666666666599</v>
      </c>
      <c r="B3590" s="1">
        <f ca="1">IFERROR(__xludf.DUMMYFUNCTION("""COMPUTED_VALUE"""),119.89)</f>
        <v>119.89</v>
      </c>
    </row>
    <row r="3591" spans="1:2">
      <c r="A3591" s="3">
        <f ca="1">IFERROR(__xludf.DUMMYFUNCTION("""COMPUTED_VALUE"""),43563.6666666666)</f>
        <v>43563.666666666599</v>
      </c>
      <c r="B3591" s="1">
        <f ca="1">IFERROR(__xludf.DUMMYFUNCTION("""COMPUTED_VALUE"""),119.93)</f>
        <v>119.93</v>
      </c>
    </row>
    <row r="3592" spans="1:2">
      <c r="A3592" s="3">
        <f ca="1">IFERROR(__xludf.DUMMYFUNCTION("""COMPUTED_VALUE"""),43564.6666666666)</f>
        <v>43564.666666666599</v>
      </c>
      <c r="B3592" s="1">
        <f ca="1">IFERROR(__xludf.DUMMYFUNCTION("""COMPUTED_VALUE"""),119.28)</f>
        <v>119.28</v>
      </c>
    </row>
    <row r="3593" spans="1:2">
      <c r="A3593" s="3">
        <f ca="1">IFERROR(__xludf.DUMMYFUNCTION("""COMPUTED_VALUE"""),43565.6666666666)</f>
        <v>43565.666666666599</v>
      </c>
      <c r="B3593" s="1">
        <f ca="1">IFERROR(__xludf.DUMMYFUNCTION("""COMPUTED_VALUE"""),120.19)</f>
        <v>120.19</v>
      </c>
    </row>
    <row r="3594" spans="1:2">
      <c r="A3594" s="3">
        <f ca="1">IFERROR(__xludf.DUMMYFUNCTION("""COMPUTED_VALUE"""),43566.6666666666)</f>
        <v>43566.666666666599</v>
      </c>
      <c r="B3594" s="1">
        <f ca="1">IFERROR(__xludf.DUMMYFUNCTION("""COMPUTED_VALUE"""),120.33)</f>
        <v>120.33</v>
      </c>
    </row>
    <row r="3595" spans="1:2">
      <c r="A3595" s="3">
        <f ca="1">IFERROR(__xludf.DUMMYFUNCTION("""COMPUTED_VALUE"""),43567.6666666666)</f>
        <v>43567.666666666599</v>
      </c>
      <c r="B3595" s="1">
        <f ca="1">IFERROR(__xludf.DUMMYFUNCTION("""COMPUTED_VALUE"""),120.95)</f>
        <v>120.95</v>
      </c>
    </row>
    <row r="3596" spans="1:2">
      <c r="A3596" s="3">
        <f ca="1">IFERROR(__xludf.DUMMYFUNCTION("""COMPUTED_VALUE"""),43570.6666666666)</f>
        <v>43570.666666666599</v>
      </c>
      <c r="B3596" s="1">
        <f ca="1">IFERROR(__xludf.DUMMYFUNCTION("""COMPUTED_VALUE"""),121.05)</f>
        <v>121.05</v>
      </c>
    </row>
    <row r="3597" spans="1:2">
      <c r="A3597" s="3">
        <f ca="1">IFERROR(__xludf.DUMMYFUNCTION("""COMPUTED_VALUE"""),43571.6666666666)</f>
        <v>43571.666666666599</v>
      </c>
      <c r="B3597" s="1">
        <f ca="1">IFERROR(__xludf.DUMMYFUNCTION("""COMPUTED_VALUE"""),120.77)</f>
        <v>120.77</v>
      </c>
    </row>
    <row r="3598" spans="1:2">
      <c r="A3598" s="3">
        <f ca="1">IFERROR(__xludf.DUMMYFUNCTION("""COMPUTED_VALUE"""),43572.6666666666)</f>
        <v>43572.666666666599</v>
      </c>
      <c r="B3598" s="1">
        <f ca="1">IFERROR(__xludf.DUMMYFUNCTION("""COMPUTED_VALUE"""),121.77)</f>
        <v>121.77</v>
      </c>
    </row>
    <row r="3599" spans="1:2">
      <c r="A3599" s="3">
        <f ca="1">IFERROR(__xludf.DUMMYFUNCTION("""COMPUTED_VALUE"""),43573.6666666666)</f>
        <v>43573.666666666599</v>
      </c>
      <c r="B3599" s="1">
        <f ca="1">IFERROR(__xludf.DUMMYFUNCTION("""COMPUTED_VALUE"""),123.37)</f>
        <v>123.37</v>
      </c>
    </row>
    <row r="3600" spans="1:2">
      <c r="A3600" s="3">
        <f ca="1">IFERROR(__xludf.DUMMYFUNCTION("""COMPUTED_VALUE"""),43577.6666666666)</f>
        <v>43577.666666666599</v>
      </c>
      <c r="B3600" s="1">
        <f ca="1">IFERROR(__xludf.DUMMYFUNCTION("""COMPUTED_VALUE"""),123.76)</f>
        <v>123.76</v>
      </c>
    </row>
    <row r="3601" spans="1:2">
      <c r="A3601" s="3">
        <f ca="1">IFERROR(__xludf.DUMMYFUNCTION("""COMPUTED_VALUE"""),43578.6666666666)</f>
        <v>43578.666666666599</v>
      </c>
      <c r="B3601" s="1">
        <f ca="1">IFERROR(__xludf.DUMMYFUNCTION("""COMPUTED_VALUE"""),125.44)</f>
        <v>125.44</v>
      </c>
    </row>
    <row r="3602" spans="1:2">
      <c r="A3602" s="3">
        <f ca="1">IFERROR(__xludf.DUMMYFUNCTION("""COMPUTED_VALUE"""),43579.6666666666)</f>
        <v>43579.666666666599</v>
      </c>
      <c r="B3602" s="1">
        <f ca="1">IFERROR(__xludf.DUMMYFUNCTION("""COMPUTED_VALUE"""),125.01)</f>
        <v>125.01</v>
      </c>
    </row>
    <row r="3603" spans="1:2">
      <c r="A3603" s="3">
        <f ca="1">IFERROR(__xludf.DUMMYFUNCTION("""COMPUTED_VALUE"""),43580.6666666666)</f>
        <v>43580.666666666599</v>
      </c>
      <c r="B3603" s="1">
        <f ca="1">IFERROR(__xludf.DUMMYFUNCTION("""COMPUTED_VALUE"""),129.15)</f>
        <v>129.15</v>
      </c>
    </row>
    <row r="3604" spans="1:2">
      <c r="A3604" s="3">
        <f ca="1">IFERROR(__xludf.DUMMYFUNCTION("""COMPUTED_VALUE"""),43581.6666666666)</f>
        <v>43581.666666666599</v>
      </c>
      <c r="B3604" s="1">
        <f ca="1">IFERROR(__xludf.DUMMYFUNCTION("""COMPUTED_VALUE"""),129.89)</f>
        <v>129.88999999999999</v>
      </c>
    </row>
    <row r="3605" spans="1:2">
      <c r="A3605" s="3">
        <f ca="1">IFERROR(__xludf.DUMMYFUNCTION("""COMPUTED_VALUE"""),43584.6666666666)</f>
        <v>43584.666666666599</v>
      </c>
      <c r="B3605" s="1">
        <f ca="1">IFERROR(__xludf.DUMMYFUNCTION("""COMPUTED_VALUE"""),129.77)</f>
        <v>129.77000000000001</v>
      </c>
    </row>
    <row r="3606" spans="1:2">
      <c r="A3606" s="3">
        <f ca="1">IFERROR(__xludf.DUMMYFUNCTION("""COMPUTED_VALUE"""),43585.6666666666)</f>
        <v>43585.666666666599</v>
      </c>
      <c r="B3606" s="1">
        <f ca="1">IFERROR(__xludf.DUMMYFUNCTION("""COMPUTED_VALUE"""),130.6)</f>
        <v>130.6</v>
      </c>
    </row>
    <row r="3607" spans="1:2">
      <c r="A3607" s="3">
        <f ca="1">IFERROR(__xludf.DUMMYFUNCTION("""COMPUTED_VALUE"""),43586.6666666666)</f>
        <v>43586.666666666599</v>
      </c>
      <c r="B3607" s="1">
        <f ca="1">IFERROR(__xludf.DUMMYFUNCTION("""COMPUTED_VALUE"""),127.88)</f>
        <v>127.88</v>
      </c>
    </row>
    <row r="3608" spans="1:2">
      <c r="A3608" s="3">
        <f ca="1">IFERROR(__xludf.DUMMYFUNCTION("""COMPUTED_VALUE"""),43587.6666666666)</f>
        <v>43587.666666666599</v>
      </c>
      <c r="B3608" s="1">
        <f ca="1">IFERROR(__xludf.DUMMYFUNCTION("""COMPUTED_VALUE"""),126.21)</f>
        <v>126.21</v>
      </c>
    </row>
    <row r="3609" spans="1:2">
      <c r="A3609" s="3">
        <f ca="1">IFERROR(__xludf.DUMMYFUNCTION("""COMPUTED_VALUE"""),43588.6666666666)</f>
        <v>43588.666666666599</v>
      </c>
      <c r="B3609" s="1">
        <f ca="1">IFERROR(__xludf.DUMMYFUNCTION("""COMPUTED_VALUE"""),128.9)</f>
        <v>128.9</v>
      </c>
    </row>
    <row r="3610" spans="1:2">
      <c r="A3610" s="3">
        <f ca="1">IFERROR(__xludf.DUMMYFUNCTION("""COMPUTED_VALUE"""),43591.6666666666)</f>
        <v>43591.666666666599</v>
      </c>
      <c r="B3610" s="1">
        <f ca="1">IFERROR(__xludf.DUMMYFUNCTION("""COMPUTED_VALUE"""),128.15)</f>
        <v>128.15</v>
      </c>
    </row>
    <row r="3611" spans="1:2">
      <c r="A3611" s="3">
        <f ca="1">IFERROR(__xludf.DUMMYFUNCTION("""COMPUTED_VALUE"""),43592.6666666666)</f>
        <v>43592.666666666599</v>
      </c>
      <c r="B3611" s="1">
        <f ca="1">IFERROR(__xludf.DUMMYFUNCTION("""COMPUTED_VALUE"""),125.52)</f>
        <v>125.52</v>
      </c>
    </row>
    <row r="3612" spans="1:2">
      <c r="A3612" s="3">
        <f ca="1">IFERROR(__xludf.DUMMYFUNCTION("""COMPUTED_VALUE"""),43593.6666666666)</f>
        <v>43593.666666666599</v>
      </c>
      <c r="B3612" s="1">
        <f ca="1">IFERROR(__xludf.DUMMYFUNCTION("""COMPUTED_VALUE"""),125.51)</f>
        <v>125.51</v>
      </c>
    </row>
    <row r="3613" spans="1:2">
      <c r="A3613" s="3">
        <f ca="1">IFERROR(__xludf.DUMMYFUNCTION("""COMPUTED_VALUE"""),43594.6666666666)</f>
        <v>43594.666666666599</v>
      </c>
      <c r="B3613" s="1">
        <f ca="1">IFERROR(__xludf.DUMMYFUNCTION("""COMPUTED_VALUE"""),125.5)</f>
        <v>125.5</v>
      </c>
    </row>
    <row r="3614" spans="1:2">
      <c r="A3614" s="3">
        <f ca="1">IFERROR(__xludf.DUMMYFUNCTION("""COMPUTED_VALUE"""),43595.6666666666)</f>
        <v>43595.666666666599</v>
      </c>
      <c r="B3614" s="1">
        <f ca="1">IFERROR(__xludf.DUMMYFUNCTION("""COMPUTED_VALUE"""),127.13)</f>
        <v>127.13</v>
      </c>
    </row>
    <row r="3615" spans="1:2">
      <c r="A3615" s="3">
        <f ca="1">IFERROR(__xludf.DUMMYFUNCTION("""COMPUTED_VALUE"""),43598.6666666666)</f>
        <v>43598.666666666599</v>
      </c>
      <c r="B3615" s="1">
        <f ca="1">IFERROR(__xludf.DUMMYFUNCTION("""COMPUTED_VALUE"""),123.35)</f>
        <v>123.35</v>
      </c>
    </row>
    <row r="3616" spans="1:2">
      <c r="A3616" s="3">
        <f ca="1">IFERROR(__xludf.DUMMYFUNCTION("""COMPUTED_VALUE"""),43599.6666666666)</f>
        <v>43599.666666666599</v>
      </c>
      <c r="B3616" s="1">
        <f ca="1">IFERROR(__xludf.DUMMYFUNCTION("""COMPUTED_VALUE"""),124.73)</f>
        <v>124.73</v>
      </c>
    </row>
    <row r="3617" spans="1:2">
      <c r="A3617" s="3">
        <f ca="1">IFERROR(__xludf.DUMMYFUNCTION("""COMPUTED_VALUE"""),43600.6666666666)</f>
        <v>43600.666666666599</v>
      </c>
      <c r="B3617" s="1">
        <f ca="1">IFERROR(__xludf.DUMMYFUNCTION("""COMPUTED_VALUE"""),126.02)</f>
        <v>126.02</v>
      </c>
    </row>
    <row r="3618" spans="1:2">
      <c r="A3618" s="3">
        <f ca="1">IFERROR(__xludf.DUMMYFUNCTION("""COMPUTED_VALUE"""),43601.6666666666)</f>
        <v>43601.666666666599</v>
      </c>
      <c r="B3618" s="1">
        <f ca="1">IFERROR(__xludf.DUMMYFUNCTION("""COMPUTED_VALUE"""),128.93)</f>
        <v>128.93</v>
      </c>
    </row>
    <row r="3619" spans="1:2">
      <c r="A3619" s="3">
        <f ca="1">IFERROR(__xludf.DUMMYFUNCTION("""COMPUTED_VALUE"""),43602.6666666666)</f>
        <v>43602.666666666599</v>
      </c>
      <c r="B3619" s="1">
        <f ca="1">IFERROR(__xludf.DUMMYFUNCTION("""COMPUTED_VALUE"""),128.07)</f>
        <v>128.07</v>
      </c>
    </row>
    <row r="3620" spans="1:2">
      <c r="A3620" s="3">
        <f ca="1">IFERROR(__xludf.DUMMYFUNCTION("""COMPUTED_VALUE"""),43605.6666666666)</f>
        <v>43605.666666666599</v>
      </c>
      <c r="B3620" s="1">
        <f ca="1">IFERROR(__xludf.DUMMYFUNCTION("""COMPUTED_VALUE"""),126.22)</f>
        <v>126.22</v>
      </c>
    </row>
    <row r="3621" spans="1:2">
      <c r="A3621" s="3">
        <f ca="1">IFERROR(__xludf.DUMMYFUNCTION("""COMPUTED_VALUE"""),43606.6666666666)</f>
        <v>43606.666666666599</v>
      </c>
      <c r="B3621" s="1">
        <f ca="1">IFERROR(__xludf.DUMMYFUNCTION("""COMPUTED_VALUE"""),126.9)</f>
        <v>126.9</v>
      </c>
    </row>
    <row r="3622" spans="1:2">
      <c r="A3622" s="3">
        <f ca="1">IFERROR(__xludf.DUMMYFUNCTION("""COMPUTED_VALUE"""),43607.6666666666)</f>
        <v>43607.666666666599</v>
      </c>
      <c r="B3622" s="1">
        <f ca="1">IFERROR(__xludf.DUMMYFUNCTION("""COMPUTED_VALUE"""),127.67)</f>
        <v>127.67</v>
      </c>
    </row>
    <row r="3623" spans="1:2">
      <c r="A3623" s="3">
        <f ca="1">IFERROR(__xludf.DUMMYFUNCTION("""COMPUTED_VALUE"""),43608.6666666666)</f>
        <v>43608.666666666599</v>
      </c>
      <c r="B3623" s="1">
        <f ca="1">IFERROR(__xludf.DUMMYFUNCTION("""COMPUTED_VALUE"""),126.18)</f>
        <v>126.18</v>
      </c>
    </row>
    <row r="3624" spans="1:2">
      <c r="A3624" s="3">
        <f ca="1">IFERROR(__xludf.DUMMYFUNCTION("""COMPUTED_VALUE"""),43609.6666666666)</f>
        <v>43609.666666666599</v>
      </c>
      <c r="B3624" s="1">
        <f ca="1">IFERROR(__xludf.DUMMYFUNCTION("""COMPUTED_VALUE"""),126.24)</f>
        <v>126.24</v>
      </c>
    </row>
    <row r="3625" spans="1:2">
      <c r="A3625" s="3">
        <f ca="1">IFERROR(__xludf.DUMMYFUNCTION("""COMPUTED_VALUE"""),43613.6666666666)</f>
        <v>43613.666666666599</v>
      </c>
      <c r="B3625" s="1">
        <f ca="1">IFERROR(__xludf.DUMMYFUNCTION("""COMPUTED_VALUE"""),126.16)</f>
        <v>126.16</v>
      </c>
    </row>
    <row r="3626" spans="1:2">
      <c r="A3626" s="3">
        <f ca="1">IFERROR(__xludf.DUMMYFUNCTION("""COMPUTED_VALUE"""),43614.6666666666)</f>
        <v>43614.666666666599</v>
      </c>
      <c r="B3626" s="1">
        <f ca="1">IFERROR(__xludf.DUMMYFUNCTION("""COMPUTED_VALUE"""),124.94)</f>
        <v>124.94</v>
      </c>
    </row>
    <row r="3627" spans="1:2">
      <c r="A3627" s="3">
        <f ca="1">IFERROR(__xludf.DUMMYFUNCTION("""COMPUTED_VALUE"""),43615.6666666666)</f>
        <v>43615.666666666599</v>
      </c>
      <c r="B3627" s="1">
        <f ca="1">IFERROR(__xludf.DUMMYFUNCTION("""COMPUTED_VALUE"""),125.73)</f>
        <v>125.73</v>
      </c>
    </row>
    <row r="3628" spans="1:2">
      <c r="A3628" s="3">
        <f ca="1">IFERROR(__xludf.DUMMYFUNCTION("""COMPUTED_VALUE"""),43616.6666666666)</f>
        <v>43616.666666666599</v>
      </c>
      <c r="B3628" s="1">
        <f ca="1">IFERROR(__xludf.DUMMYFUNCTION("""COMPUTED_VALUE"""),123.68)</f>
        <v>123.68</v>
      </c>
    </row>
    <row r="3629" spans="1:2">
      <c r="A3629" s="3">
        <f ca="1">IFERROR(__xludf.DUMMYFUNCTION("""COMPUTED_VALUE"""),43619.6666666666)</f>
        <v>43619.666666666599</v>
      </c>
      <c r="B3629" s="1">
        <f ca="1">IFERROR(__xludf.DUMMYFUNCTION("""COMPUTED_VALUE"""),119.84)</f>
        <v>119.84</v>
      </c>
    </row>
    <row r="3630" spans="1:2">
      <c r="A3630" s="3">
        <f ca="1">IFERROR(__xludf.DUMMYFUNCTION("""COMPUTED_VALUE"""),43620.6666666666)</f>
        <v>43620.666666666599</v>
      </c>
      <c r="B3630" s="1">
        <f ca="1">IFERROR(__xludf.DUMMYFUNCTION("""COMPUTED_VALUE"""),123.16)</f>
        <v>123.16</v>
      </c>
    </row>
    <row r="3631" spans="1:2">
      <c r="A3631" s="3">
        <f ca="1">IFERROR(__xludf.DUMMYFUNCTION("""COMPUTED_VALUE"""),43621.6666666666)</f>
        <v>43621.666666666599</v>
      </c>
      <c r="B3631" s="1">
        <f ca="1">IFERROR(__xludf.DUMMYFUNCTION("""COMPUTED_VALUE"""),125.83)</f>
        <v>125.83</v>
      </c>
    </row>
    <row r="3632" spans="1:2">
      <c r="A3632" s="3">
        <f ca="1">IFERROR(__xludf.DUMMYFUNCTION("""COMPUTED_VALUE"""),43622.6666666666)</f>
        <v>43622.666666666599</v>
      </c>
      <c r="B3632" s="1">
        <f ca="1">IFERROR(__xludf.DUMMYFUNCTION("""COMPUTED_VALUE"""),127.82)</f>
        <v>127.82</v>
      </c>
    </row>
    <row r="3633" spans="1:2">
      <c r="A3633" s="3">
        <f ca="1">IFERROR(__xludf.DUMMYFUNCTION("""COMPUTED_VALUE"""),43623.6666666666)</f>
        <v>43623.666666666599</v>
      </c>
      <c r="B3633" s="1">
        <f ca="1">IFERROR(__xludf.DUMMYFUNCTION("""COMPUTED_VALUE"""),131.4)</f>
        <v>131.4</v>
      </c>
    </row>
    <row r="3634" spans="1:2">
      <c r="A3634" s="3">
        <f ca="1">IFERROR(__xludf.DUMMYFUNCTION("""COMPUTED_VALUE"""),43626.6666666666)</f>
        <v>43626.666666666599</v>
      </c>
      <c r="B3634" s="1">
        <f ca="1">IFERROR(__xludf.DUMMYFUNCTION("""COMPUTED_VALUE"""),132.6)</f>
        <v>132.6</v>
      </c>
    </row>
    <row r="3635" spans="1:2">
      <c r="A3635" s="3">
        <f ca="1">IFERROR(__xludf.DUMMYFUNCTION("""COMPUTED_VALUE"""),43627.6666666666)</f>
        <v>43627.666666666599</v>
      </c>
      <c r="B3635" s="1">
        <f ca="1">IFERROR(__xludf.DUMMYFUNCTION("""COMPUTED_VALUE"""),132.1)</f>
        <v>132.1</v>
      </c>
    </row>
    <row r="3636" spans="1:2">
      <c r="A3636" s="3">
        <f ca="1">IFERROR(__xludf.DUMMYFUNCTION("""COMPUTED_VALUE"""),43628.6666666666)</f>
        <v>43628.666666666599</v>
      </c>
      <c r="B3636" s="1">
        <f ca="1">IFERROR(__xludf.DUMMYFUNCTION("""COMPUTED_VALUE"""),131.49)</f>
        <v>131.49</v>
      </c>
    </row>
    <row r="3637" spans="1:2">
      <c r="A3637" s="3">
        <f ca="1">IFERROR(__xludf.DUMMYFUNCTION("""COMPUTED_VALUE"""),43629.6666666666)</f>
        <v>43629.666666666599</v>
      </c>
      <c r="B3637" s="1">
        <f ca="1">IFERROR(__xludf.DUMMYFUNCTION("""COMPUTED_VALUE"""),132.32)</f>
        <v>132.32</v>
      </c>
    </row>
    <row r="3638" spans="1:2">
      <c r="A3638" s="3">
        <f ca="1">IFERROR(__xludf.DUMMYFUNCTION("""COMPUTED_VALUE"""),43630.6666666666)</f>
        <v>43630.666666666599</v>
      </c>
      <c r="B3638" s="1">
        <f ca="1">IFERROR(__xludf.DUMMYFUNCTION("""COMPUTED_VALUE"""),132.45)</f>
        <v>132.44999999999999</v>
      </c>
    </row>
    <row r="3639" spans="1:2">
      <c r="A3639" s="3">
        <f ca="1">IFERROR(__xludf.DUMMYFUNCTION("""COMPUTED_VALUE"""),43633.6666666666)</f>
        <v>43633.666666666599</v>
      </c>
      <c r="B3639" s="1">
        <f ca="1">IFERROR(__xludf.DUMMYFUNCTION("""COMPUTED_VALUE"""),132.85)</f>
        <v>132.85</v>
      </c>
    </row>
    <row r="3640" spans="1:2">
      <c r="A3640" s="3">
        <f ca="1">IFERROR(__xludf.DUMMYFUNCTION("""COMPUTED_VALUE"""),43634.6666666666)</f>
        <v>43634.666666666599</v>
      </c>
      <c r="B3640" s="1">
        <f ca="1">IFERROR(__xludf.DUMMYFUNCTION("""COMPUTED_VALUE"""),135.16)</f>
        <v>135.16</v>
      </c>
    </row>
    <row r="3641" spans="1:2">
      <c r="A3641" s="3">
        <f ca="1">IFERROR(__xludf.DUMMYFUNCTION("""COMPUTED_VALUE"""),43635.6666666666)</f>
        <v>43635.666666666599</v>
      </c>
      <c r="B3641" s="1">
        <f ca="1">IFERROR(__xludf.DUMMYFUNCTION("""COMPUTED_VALUE"""),135.69)</f>
        <v>135.69</v>
      </c>
    </row>
    <row r="3642" spans="1:2">
      <c r="A3642" s="3">
        <f ca="1">IFERROR(__xludf.DUMMYFUNCTION("""COMPUTED_VALUE"""),43636.6666666666)</f>
        <v>43636.666666666599</v>
      </c>
      <c r="B3642" s="1">
        <f ca="1">IFERROR(__xludf.DUMMYFUNCTION("""COMPUTED_VALUE"""),136.95)</f>
        <v>136.94999999999999</v>
      </c>
    </row>
    <row r="3643" spans="1:2">
      <c r="A3643" s="3">
        <f ca="1">IFERROR(__xludf.DUMMYFUNCTION("""COMPUTED_VALUE"""),43637.6666666666)</f>
        <v>43637.666666666599</v>
      </c>
      <c r="B3643" s="1">
        <f ca="1">IFERROR(__xludf.DUMMYFUNCTION("""COMPUTED_VALUE"""),136.97)</f>
        <v>136.97</v>
      </c>
    </row>
    <row r="3644" spans="1:2">
      <c r="A3644" s="3">
        <f ca="1">IFERROR(__xludf.DUMMYFUNCTION("""COMPUTED_VALUE"""),43640.6666666666)</f>
        <v>43640.666666666599</v>
      </c>
      <c r="B3644" s="1">
        <f ca="1">IFERROR(__xludf.DUMMYFUNCTION("""COMPUTED_VALUE"""),137.78)</f>
        <v>137.78</v>
      </c>
    </row>
    <row r="3645" spans="1:2">
      <c r="A3645" s="3">
        <f ca="1">IFERROR(__xludf.DUMMYFUNCTION("""COMPUTED_VALUE"""),43641.6666666666)</f>
        <v>43641.666666666599</v>
      </c>
      <c r="B3645" s="1">
        <f ca="1">IFERROR(__xludf.DUMMYFUNCTION("""COMPUTED_VALUE"""),133.43)</f>
        <v>133.43</v>
      </c>
    </row>
    <row r="3646" spans="1:2">
      <c r="A3646" s="3">
        <f ca="1">IFERROR(__xludf.DUMMYFUNCTION("""COMPUTED_VALUE"""),43642.6666666666)</f>
        <v>43642.666666666599</v>
      </c>
      <c r="B3646" s="1">
        <f ca="1">IFERROR(__xludf.DUMMYFUNCTION("""COMPUTED_VALUE"""),133.93)</f>
        <v>133.93</v>
      </c>
    </row>
    <row r="3647" spans="1:2">
      <c r="A3647" s="3">
        <f ca="1">IFERROR(__xludf.DUMMYFUNCTION("""COMPUTED_VALUE"""),43643.6666666666)</f>
        <v>43643.666666666599</v>
      </c>
      <c r="B3647" s="1">
        <f ca="1">IFERROR(__xludf.DUMMYFUNCTION("""COMPUTED_VALUE"""),134.15)</f>
        <v>134.15</v>
      </c>
    </row>
    <row r="3648" spans="1:2">
      <c r="A3648" s="3">
        <f ca="1">IFERROR(__xludf.DUMMYFUNCTION("""COMPUTED_VALUE"""),43644.6666666666)</f>
        <v>43644.666666666599</v>
      </c>
      <c r="B3648" s="1">
        <f ca="1">IFERROR(__xludf.DUMMYFUNCTION("""COMPUTED_VALUE"""),133.96)</f>
        <v>133.96</v>
      </c>
    </row>
    <row r="3649" spans="1:2">
      <c r="A3649" s="3">
        <f ca="1">IFERROR(__xludf.DUMMYFUNCTION("""COMPUTED_VALUE"""),43647.6666666666)</f>
        <v>43647.666666666599</v>
      </c>
      <c r="B3649" s="1">
        <f ca="1">IFERROR(__xludf.DUMMYFUNCTION("""COMPUTED_VALUE"""),135.68)</f>
        <v>135.68</v>
      </c>
    </row>
    <row r="3650" spans="1:2">
      <c r="A3650" s="3">
        <f ca="1">IFERROR(__xludf.DUMMYFUNCTION("""COMPUTED_VALUE"""),43648.6666666666)</f>
        <v>43648.666666666599</v>
      </c>
      <c r="B3650" s="1">
        <f ca="1">IFERROR(__xludf.DUMMYFUNCTION("""COMPUTED_VALUE"""),136.58)</f>
        <v>136.58000000000001</v>
      </c>
    </row>
    <row r="3651" spans="1:2">
      <c r="A3651" s="3">
        <f ca="1">IFERROR(__xludf.DUMMYFUNCTION("""COMPUTED_VALUE"""),43649.5416666666)</f>
        <v>43649.541666666599</v>
      </c>
      <c r="B3651" s="1">
        <f ca="1">IFERROR(__xludf.DUMMYFUNCTION("""COMPUTED_VALUE"""),137.46)</f>
        <v>137.46</v>
      </c>
    </row>
    <row r="3652" spans="1:2">
      <c r="A3652" s="3">
        <f ca="1">IFERROR(__xludf.DUMMYFUNCTION("""COMPUTED_VALUE"""),43651.6666666666)</f>
        <v>43651.666666666599</v>
      </c>
      <c r="B3652" s="1">
        <f ca="1">IFERROR(__xludf.DUMMYFUNCTION("""COMPUTED_VALUE"""),137.06)</f>
        <v>137.06</v>
      </c>
    </row>
    <row r="3653" spans="1:2">
      <c r="A3653" s="3">
        <f ca="1">IFERROR(__xludf.DUMMYFUNCTION("""COMPUTED_VALUE"""),43654.6666666666)</f>
        <v>43654.666666666599</v>
      </c>
      <c r="B3653" s="1">
        <f ca="1">IFERROR(__xludf.DUMMYFUNCTION("""COMPUTED_VALUE"""),136.96)</f>
        <v>136.96</v>
      </c>
    </row>
    <row r="3654" spans="1:2">
      <c r="A3654" s="3">
        <f ca="1">IFERROR(__xludf.DUMMYFUNCTION("""COMPUTED_VALUE"""),43655.6666666666)</f>
        <v>43655.666666666599</v>
      </c>
      <c r="B3654" s="1">
        <f ca="1">IFERROR(__xludf.DUMMYFUNCTION("""COMPUTED_VALUE"""),136.46)</f>
        <v>136.46</v>
      </c>
    </row>
    <row r="3655" spans="1:2">
      <c r="A3655" s="3">
        <f ca="1">IFERROR(__xludf.DUMMYFUNCTION("""COMPUTED_VALUE"""),43656.6666666666)</f>
        <v>43656.666666666599</v>
      </c>
      <c r="B3655" s="1">
        <f ca="1">IFERROR(__xludf.DUMMYFUNCTION("""COMPUTED_VALUE"""),137.85)</f>
        <v>137.85</v>
      </c>
    </row>
    <row r="3656" spans="1:2">
      <c r="A3656" s="3">
        <f ca="1">IFERROR(__xludf.DUMMYFUNCTION("""COMPUTED_VALUE"""),43657.6666666666)</f>
        <v>43657.666666666599</v>
      </c>
      <c r="B3656" s="1">
        <f ca="1">IFERROR(__xludf.DUMMYFUNCTION("""COMPUTED_VALUE"""),138.4)</f>
        <v>138.4</v>
      </c>
    </row>
    <row r="3657" spans="1:2">
      <c r="A3657" s="3">
        <f ca="1">IFERROR(__xludf.DUMMYFUNCTION("""COMPUTED_VALUE"""),43658.6666666666)</f>
        <v>43658.666666666599</v>
      </c>
      <c r="B3657" s="1">
        <f ca="1">IFERROR(__xludf.DUMMYFUNCTION("""COMPUTED_VALUE"""),138.9)</f>
        <v>138.9</v>
      </c>
    </row>
    <row r="3658" spans="1:2">
      <c r="A3658" s="3">
        <f ca="1">IFERROR(__xludf.DUMMYFUNCTION("""COMPUTED_VALUE"""),43661.6666666666)</f>
        <v>43661.666666666599</v>
      </c>
      <c r="B3658" s="1">
        <f ca="1">IFERROR(__xludf.DUMMYFUNCTION("""COMPUTED_VALUE"""),138.9)</f>
        <v>138.9</v>
      </c>
    </row>
    <row r="3659" spans="1:2">
      <c r="A3659" s="3">
        <f ca="1">IFERROR(__xludf.DUMMYFUNCTION("""COMPUTED_VALUE"""),43662.6666666666)</f>
        <v>43662.666666666599</v>
      </c>
      <c r="B3659" s="1">
        <f ca="1">IFERROR(__xludf.DUMMYFUNCTION("""COMPUTED_VALUE"""),137.08)</f>
        <v>137.08000000000001</v>
      </c>
    </row>
    <row r="3660" spans="1:2">
      <c r="A3660" s="3">
        <f ca="1">IFERROR(__xludf.DUMMYFUNCTION("""COMPUTED_VALUE"""),43663.6666666666)</f>
        <v>43663.666666666599</v>
      </c>
      <c r="B3660" s="1">
        <f ca="1">IFERROR(__xludf.DUMMYFUNCTION("""COMPUTED_VALUE"""),136.27)</f>
        <v>136.27000000000001</v>
      </c>
    </row>
    <row r="3661" spans="1:2">
      <c r="A3661" s="3">
        <f ca="1">IFERROR(__xludf.DUMMYFUNCTION("""COMPUTED_VALUE"""),43664.6666666666)</f>
        <v>43664.666666666599</v>
      </c>
      <c r="B3661" s="1">
        <f ca="1">IFERROR(__xludf.DUMMYFUNCTION("""COMPUTED_VALUE"""),136.42)</f>
        <v>136.41999999999999</v>
      </c>
    </row>
    <row r="3662" spans="1:2">
      <c r="A3662" s="3">
        <f ca="1">IFERROR(__xludf.DUMMYFUNCTION("""COMPUTED_VALUE"""),43665.6666666666)</f>
        <v>43665.666666666599</v>
      </c>
      <c r="B3662" s="1">
        <f ca="1">IFERROR(__xludf.DUMMYFUNCTION("""COMPUTED_VALUE"""),136.62)</f>
        <v>136.62</v>
      </c>
    </row>
    <row r="3663" spans="1:2">
      <c r="A3663" s="3">
        <f ca="1">IFERROR(__xludf.DUMMYFUNCTION("""COMPUTED_VALUE"""),43668.6666666666)</f>
        <v>43668.666666666599</v>
      </c>
      <c r="B3663" s="1">
        <f ca="1">IFERROR(__xludf.DUMMYFUNCTION("""COMPUTED_VALUE"""),138.43)</f>
        <v>138.43</v>
      </c>
    </row>
    <row r="3664" spans="1:2">
      <c r="A3664" s="3">
        <f ca="1">IFERROR(__xludf.DUMMYFUNCTION("""COMPUTED_VALUE"""),43669.6666666666)</f>
        <v>43669.666666666599</v>
      </c>
      <c r="B3664" s="1">
        <f ca="1">IFERROR(__xludf.DUMMYFUNCTION("""COMPUTED_VALUE"""),139.29)</f>
        <v>139.29</v>
      </c>
    </row>
    <row r="3665" spans="1:2">
      <c r="A3665" s="3">
        <f ca="1">IFERROR(__xludf.DUMMYFUNCTION("""COMPUTED_VALUE"""),43670.6666666666)</f>
        <v>43670.666666666599</v>
      </c>
      <c r="B3665" s="1">
        <f ca="1">IFERROR(__xludf.DUMMYFUNCTION("""COMPUTED_VALUE"""),140.72)</f>
        <v>140.72</v>
      </c>
    </row>
    <row r="3666" spans="1:2">
      <c r="A3666" s="3">
        <f ca="1">IFERROR(__xludf.DUMMYFUNCTION("""COMPUTED_VALUE"""),43671.6666666666)</f>
        <v>43671.666666666599</v>
      </c>
      <c r="B3666" s="1">
        <f ca="1">IFERROR(__xludf.DUMMYFUNCTION("""COMPUTED_VALUE"""),140.19)</f>
        <v>140.19</v>
      </c>
    </row>
    <row r="3667" spans="1:2">
      <c r="A3667" s="3">
        <f ca="1">IFERROR(__xludf.DUMMYFUNCTION("""COMPUTED_VALUE"""),43672.6666666666)</f>
        <v>43672.666666666599</v>
      </c>
      <c r="B3667" s="1">
        <f ca="1">IFERROR(__xludf.DUMMYFUNCTION("""COMPUTED_VALUE"""),141.34)</f>
        <v>141.34</v>
      </c>
    </row>
    <row r="3668" spans="1:2">
      <c r="A3668" s="3">
        <f ca="1">IFERROR(__xludf.DUMMYFUNCTION("""COMPUTED_VALUE"""),43675.6666666666)</f>
        <v>43675.666666666599</v>
      </c>
      <c r="B3668" s="1">
        <f ca="1">IFERROR(__xludf.DUMMYFUNCTION("""COMPUTED_VALUE"""),141.03)</f>
        <v>141.03</v>
      </c>
    </row>
    <row r="3669" spans="1:2">
      <c r="A3669" s="3">
        <f ca="1">IFERROR(__xludf.DUMMYFUNCTION("""COMPUTED_VALUE"""),43676.6666666666)</f>
        <v>43676.666666666599</v>
      </c>
      <c r="B3669" s="1">
        <f ca="1">IFERROR(__xludf.DUMMYFUNCTION("""COMPUTED_VALUE"""),140.35)</f>
        <v>140.35</v>
      </c>
    </row>
    <row r="3670" spans="1:2">
      <c r="A3670" s="3">
        <f ca="1">IFERROR(__xludf.DUMMYFUNCTION("""COMPUTED_VALUE"""),43677.6666666666)</f>
        <v>43677.666666666599</v>
      </c>
      <c r="B3670" s="1">
        <f ca="1">IFERROR(__xludf.DUMMYFUNCTION("""COMPUTED_VALUE"""),136.27)</f>
        <v>136.27000000000001</v>
      </c>
    </row>
    <row r="3671" spans="1:2">
      <c r="A3671" s="3">
        <f ca="1">IFERROR(__xludf.DUMMYFUNCTION("""COMPUTED_VALUE"""),43678.6666666666)</f>
        <v>43678.666666666599</v>
      </c>
      <c r="B3671" s="1">
        <f ca="1">IFERROR(__xludf.DUMMYFUNCTION("""COMPUTED_VALUE"""),138.06)</f>
        <v>138.06</v>
      </c>
    </row>
    <row r="3672" spans="1:2">
      <c r="A3672" s="3">
        <f ca="1">IFERROR(__xludf.DUMMYFUNCTION("""COMPUTED_VALUE"""),43679.6666666666)</f>
        <v>43679.666666666599</v>
      </c>
      <c r="B3672" s="1">
        <f ca="1">IFERROR(__xludf.DUMMYFUNCTION("""COMPUTED_VALUE"""),136.9)</f>
        <v>136.9</v>
      </c>
    </row>
    <row r="3673" spans="1:2">
      <c r="A3673" s="3">
        <f ca="1">IFERROR(__xludf.DUMMYFUNCTION("""COMPUTED_VALUE"""),43682.6666666666)</f>
        <v>43682.666666666599</v>
      </c>
      <c r="B3673" s="1">
        <f ca="1">IFERROR(__xludf.DUMMYFUNCTION("""COMPUTED_VALUE"""),132.21)</f>
        <v>132.21</v>
      </c>
    </row>
    <row r="3674" spans="1:2">
      <c r="A3674" s="3">
        <f ca="1">IFERROR(__xludf.DUMMYFUNCTION("""COMPUTED_VALUE"""),43683.6666666666)</f>
        <v>43683.666666666599</v>
      </c>
      <c r="B3674" s="1">
        <f ca="1">IFERROR(__xludf.DUMMYFUNCTION("""COMPUTED_VALUE"""),134.69)</f>
        <v>134.69</v>
      </c>
    </row>
    <row r="3675" spans="1:2">
      <c r="A3675" s="3">
        <f ca="1">IFERROR(__xludf.DUMMYFUNCTION("""COMPUTED_VALUE"""),43684.6666666666)</f>
        <v>43684.666666666599</v>
      </c>
      <c r="B3675" s="1">
        <f ca="1">IFERROR(__xludf.DUMMYFUNCTION("""COMPUTED_VALUE"""),135.28)</f>
        <v>135.28</v>
      </c>
    </row>
    <row r="3676" spans="1:2">
      <c r="A3676" s="3">
        <f ca="1">IFERROR(__xludf.DUMMYFUNCTION("""COMPUTED_VALUE"""),43685.6666666666)</f>
        <v>43685.666666666599</v>
      </c>
      <c r="B3676" s="1">
        <f ca="1">IFERROR(__xludf.DUMMYFUNCTION("""COMPUTED_VALUE"""),138.89)</f>
        <v>138.88999999999999</v>
      </c>
    </row>
    <row r="3677" spans="1:2">
      <c r="A3677" s="3">
        <f ca="1">IFERROR(__xludf.DUMMYFUNCTION("""COMPUTED_VALUE"""),43686.6666666666)</f>
        <v>43686.666666666599</v>
      </c>
      <c r="B3677" s="1">
        <f ca="1">IFERROR(__xludf.DUMMYFUNCTION("""COMPUTED_VALUE"""),137.71)</f>
        <v>137.71</v>
      </c>
    </row>
    <row r="3678" spans="1:2">
      <c r="A3678" s="3">
        <f ca="1">IFERROR(__xludf.DUMMYFUNCTION("""COMPUTED_VALUE"""),43689.6666666666)</f>
        <v>43689.666666666599</v>
      </c>
      <c r="B3678" s="1">
        <f ca="1">IFERROR(__xludf.DUMMYFUNCTION("""COMPUTED_VALUE"""),135.79)</f>
        <v>135.79</v>
      </c>
    </row>
    <row r="3679" spans="1:2">
      <c r="A3679" s="3">
        <f ca="1">IFERROR(__xludf.DUMMYFUNCTION("""COMPUTED_VALUE"""),43690.6666666666)</f>
        <v>43690.666666666599</v>
      </c>
      <c r="B3679" s="1">
        <f ca="1">IFERROR(__xludf.DUMMYFUNCTION("""COMPUTED_VALUE"""),138.6)</f>
        <v>138.6</v>
      </c>
    </row>
    <row r="3680" spans="1:2">
      <c r="A3680" s="3">
        <f ca="1">IFERROR(__xludf.DUMMYFUNCTION("""COMPUTED_VALUE"""),43691.6666666666)</f>
        <v>43691.666666666599</v>
      </c>
      <c r="B3680" s="1">
        <f ca="1">IFERROR(__xludf.DUMMYFUNCTION("""COMPUTED_VALUE"""),133.98)</f>
        <v>133.97999999999999</v>
      </c>
    </row>
    <row r="3681" spans="1:2">
      <c r="A3681" s="3">
        <f ca="1">IFERROR(__xludf.DUMMYFUNCTION("""COMPUTED_VALUE"""),43692.6666666666)</f>
        <v>43692.666666666599</v>
      </c>
      <c r="B3681" s="1">
        <f ca="1">IFERROR(__xludf.DUMMYFUNCTION("""COMPUTED_VALUE"""),133.68)</f>
        <v>133.68</v>
      </c>
    </row>
    <row r="3682" spans="1:2">
      <c r="A3682" s="3">
        <f ca="1">IFERROR(__xludf.DUMMYFUNCTION("""COMPUTED_VALUE"""),43693.6666666666)</f>
        <v>43693.666666666599</v>
      </c>
      <c r="B3682" s="1">
        <f ca="1">IFERROR(__xludf.DUMMYFUNCTION("""COMPUTED_VALUE"""),136.13)</f>
        <v>136.13</v>
      </c>
    </row>
    <row r="3683" spans="1:2">
      <c r="A3683" s="3">
        <f ca="1">IFERROR(__xludf.DUMMYFUNCTION("""COMPUTED_VALUE"""),43696.6666666666)</f>
        <v>43696.666666666599</v>
      </c>
      <c r="B3683" s="1">
        <f ca="1">IFERROR(__xludf.DUMMYFUNCTION("""COMPUTED_VALUE"""),138.41)</f>
        <v>138.41</v>
      </c>
    </row>
    <row r="3684" spans="1:2">
      <c r="A3684" s="3">
        <f ca="1">IFERROR(__xludf.DUMMYFUNCTION("""COMPUTED_VALUE"""),43697.6666666666)</f>
        <v>43697.666666666599</v>
      </c>
      <c r="B3684" s="1">
        <f ca="1">IFERROR(__xludf.DUMMYFUNCTION("""COMPUTED_VALUE"""),137.26)</f>
        <v>137.26</v>
      </c>
    </row>
    <row r="3685" spans="1:2">
      <c r="A3685" s="3">
        <f ca="1">IFERROR(__xludf.DUMMYFUNCTION("""COMPUTED_VALUE"""),43698.6666666666)</f>
        <v>43698.666666666599</v>
      </c>
      <c r="B3685" s="1">
        <f ca="1">IFERROR(__xludf.DUMMYFUNCTION("""COMPUTED_VALUE"""),138.79)</f>
        <v>138.79</v>
      </c>
    </row>
    <row r="3686" spans="1:2">
      <c r="A3686" s="3">
        <f ca="1">IFERROR(__xludf.DUMMYFUNCTION("""COMPUTED_VALUE"""),43699.6666666666)</f>
        <v>43699.666666666599</v>
      </c>
      <c r="B3686" s="1">
        <f ca="1">IFERROR(__xludf.DUMMYFUNCTION("""COMPUTED_VALUE"""),137.78)</f>
        <v>137.78</v>
      </c>
    </row>
    <row r="3687" spans="1:2">
      <c r="A3687" s="3">
        <f ca="1">IFERROR(__xludf.DUMMYFUNCTION("""COMPUTED_VALUE"""),43700.6666666666)</f>
        <v>43700.666666666599</v>
      </c>
      <c r="B3687" s="1">
        <f ca="1">IFERROR(__xludf.DUMMYFUNCTION("""COMPUTED_VALUE"""),133.39)</f>
        <v>133.38999999999999</v>
      </c>
    </row>
    <row r="3688" spans="1:2">
      <c r="A3688" s="3">
        <f ca="1">IFERROR(__xludf.DUMMYFUNCTION("""COMPUTED_VALUE"""),43703.6666666666)</f>
        <v>43703.666666666599</v>
      </c>
      <c r="B3688" s="1">
        <f ca="1">IFERROR(__xludf.DUMMYFUNCTION("""COMPUTED_VALUE"""),135.45)</f>
        <v>135.44999999999999</v>
      </c>
    </row>
    <row r="3689" spans="1:2">
      <c r="A3689" s="3">
        <f ca="1">IFERROR(__xludf.DUMMYFUNCTION("""COMPUTED_VALUE"""),43704.6666666666)</f>
        <v>43704.666666666599</v>
      </c>
      <c r="B3689" s="1">
        <f ca="1">IFERROR(__xludf.DUMMYFUNCTION("""COMPUTED_VALUE"""),135.74)</f>
        <v>135.74</v>
      </c>
    </row>
    <row r="3690" spans="1:2">
      <c r="A3690" s="3">
        <f ca="1">IFERROR(__xludf.DUMMYFUNCTION("""COMPUTED_VALUE"""),43705.6666666666)</f>
        <v>43705.666666666599</v>
      </c>
      <c r="B3690" s="1">
        <f ca="1">IFERROR(__xludf.DUMMYFUNCTION("""COMPUTED_VALUE"""),135.56)</f>
        <v>135.56</v>
      </c>
    </row>
    <row r="3691" spans="1:2">
      <c r="A3691" s="3">
        <f ca="1">IFERROR(__xludf.DUMMYFUNCTION("""COMPUTED_VALUE"""),43706.6666666666)</f>
        <v>43706.666666666599</v>
      </c>
      <c r="B3691" s="1">
        <f ca="1">IFERROR(__xludf.DUMMYFUNCTION("""COMPUTED_VALUE"""),138.12)</f>
        <v>138.12</v>
      </c>
    </row>
    <row r="3692" spans="1:2">
      <c r="A3692" s="3">
        <f ca="1">IFERROR(__xludf.DUMMYFUNCTION("""COMPUTED_VALUE"""),43707.6666666666)</f>
        <v>43707.666666666599</v>
      </c>
      <c r="B3692" s="1">
        <f ca="1">IFERROR(__xludf.DUMMYFUNCTION("""COMPUTED_VALUE"""),137.86)</f>
        <v>137.86000000000001</v>
      </c>
    </row>
    <row r="3693" spans="1:2">
      <c r="A3693" s="3">
        <f ca="1">IFERROR(__xludf.DUMMYFUNCTION("""COMPUTED_VALUE"""),43711.6666666666)</f>
        <v>43711.666666666599</v>
      </c>
      <c r="B3693" s="1">
        <f ca="1">IFERROR(__xludf.DUMMYFUNCTION("""COMPUTED_VALUE"""),136.04)</f>
        <v>136.04</v>
      </c>
    </row>
    <row r="3694" spans="1:2">
      <c r="A3694" s="3">
        <f ca="1">IFERROR(__xludf.DUMMYFUNCTION("""COMPUTED_VALUE"""),43712.6666666666)</f>
        <v>43712.666666666599</v>
      </c>
      <c r="B3694" s="1">
        <f ca="1">IFERROR(__xludf.DUMMYFUNCTION("""COMPUTED_VALUE"""),137.63)</f>
        <v>137.63</v>
      </c>
    </row>
    <row r="3695" spans="1:2">
      <c r="A3695" s="3">
        <f ca="1">IFERROR(__xludf.DUMMYFUNCTION("""COMPUTED_VALUE"""),43713.6666666666)</f>
        <v>43713.666666666599</v>
      </c>
      <c r="B3695" s="1">
        <f ca="1">IFERROR(__xludf.DUMMYFUNCTION("""COMPUTED_VALUE"""),140.05)</f>
        <v>140.05000000000001</v>
      </c>
    </row>
    <row r="3696" spans="1:2">
      <c r="A3696" s="3">
        <f ca="1">IFERROR(__xludf.DUMMYFUNCTION("""COMPUTED_VALUE"""),43714.6666666666)</f>
        <v>43714.666666666599</v>
      </c>
      <c r="B3696" s="1">
        <f ca="1">IFERROR(__xludf.DUMMYFUNCTION("""COMPUTED_VALUE"""),139.1)</f>
        <v>139.1</v>
      </c>
    </row>
    <row r="3697" spans="1:2">
      <c r="A3697" s="3">
        <f ca="1">IFERROR(__xludf.DUMMYFUNCTION("""COMPUTED_VALUE"""),43717.6666666666)</f>
        <v>43717.666666666599</v>
      </c>
      <c r="B3697" s="1">
        <f ca="1">IFERROR(__xludf.DUMMYFUNCTION("""COMPUTED_VALUE"""),137.52)</f>
        <v>137.52000000000001</v>
      </c>
    </row>
    <row r="3698" spans="1:2">
      <c r="A3698" s="3">
        <f ca="1">IFERROR(__xludf.DUMMYFUNCTION("""COMPUTED_VALUE"""),43718.6666666666)</f>
        <v>43718.666666666599</v>
      </c>
      <c r="B3698" s="1">
        <f ca="1">IFERROR(__xludf.DUMMYFUNCTION("""COMPUTED_VALUE"""),136.08)</f>
        <v>136.08000000000001</v>
      </c>
    </row>
    <row r="3699" spans="1:2">
      <c r="A3699" s="3">
        <f ca="1">IFERROR(__xludf.DUMMYFUNCTION("""COMPUTED_VALUE"""),43719.6666666666)</f>
        <v>43719.666666666599</v>
      </c>
      <c r="B3699" s="1">
        <f ca="1">IFERROR(__xludf.DUMMYFUNCTION("""COMPUTED_VALUE"""),136.12)</f>
        <v>136.12</v>
      </c>
    </row>
    <row r="3700" spans="1:2">
      <c r="A3700" s="3">
        <f ca="1">IFERROR(__xludf.DUMMYFUNCTION("""COMPUTED_VALUE"""),43720.6666666666)</f>
        <v>43720.666666666599</v>
      </c>
      <c r="B3700" s="1">
        <f ca="1">IFERROR(__xludf.DUMMYFUNCTION("""COMPUTED_VALUE"""),137.52)</f>
        <v>137.52000000000001</v>
      </c>
    </row>
    <row r="3701" spans="1:2">
      <c r="A3701" s="3">
        <f ca="1">IFERROR(__xludf.DUMMYFUNCTION("""COMPUTED_VALUE"""),43721.6666666666)</f>
        <v>43721.666666666599</v>
      </c>
      <c r="B3701" s="1">
        <f ca="1">IFERROR(__xludf.DUMMYFUNCTION("""COMPUTED_VALUE"""),137.32)</f>
        <v>137.32</v>
      </c>
    </row>
    <row r="3702" spans="1:2">
      <c r="A3702" s="3">
        <f ca="1">IFERROR(__xludf.DUMMYFUNCTION("""COMPUTED_VALUE"""),43724.6666666666)</f>
        <v>43724.666666666599</v>
      </c>
      <c r="B3702" s="1">
        <f ca="1">IFERROR(__xludf.DUMMYFUNCTION("""COMPUTED_VALUE"""),136.33)</f>
        <v>136.33000000000001</v>
      </c>
    </row>
    <row r="3703" spans="1:2">
      <c r="A3703" s="3">
        <f ca="1">IFERROR(__xludf.DUMMYFUNCTION("""COMPUTED_VALUE"""),43725.6666666666)</f>
        <v>43725.666666666599</v>
      </c>
      <c r="B3703" s="1">
        <f ca="1">IFERROR(__xludf.DUMMYFUNCTION("""COMPUTED_VALUE"""),137.39)</f>
        <v>137.38999999999999</v>
      </c>
    </row>
    <row r="3704" spans="1:2">
      <c r="A3704" s="3">
        <f ca="1">IFERROR(__xludf.DUMMYFUNCTION("""COMPUTED_VALUE"""),43726.6666666666)</f>
        <v>43726.666666666599</v>
      </c>
      <c r="B3704" s="1">
        <f ca="1">IFERROR(__xludf.DUMMYFUNCTION("""COMPUTED_VALUE"""),138.52)</f>
        <v>138.52000000000001</v>
      </c>
    </row>
    <row r="3705" spans="1:2">
      <c r="A3705" s="3">
        <f ca="1">IFERROR(__xludf.DUMMYFUNCTION("""COMPUTED_VALUE"""),43727.6666666666)</f>
        <v>43727.666666666599</v>
      </c>
      <c r="B3705" s="1">
        <f ca="1">IFERROR(__xludf.DUMMYFUNCTION("""COMPUTED_VALUE"""),141.07)</f>
        <v>141.07</v>
      </c>
    </row>
    <row r="3706" spans="1:2">
      <c r="A3706" s="3">
        <f ca="1">IFERROR(__xludf.DUMMYFUNCTION("""COMPUTED_VALUE"""),43728.6666666666)</f>
        <v>43728.666666666599</v>
      </c>
      <c r="B3706" s="1">
        <f ca="1">IFERROR(__xludf.DUMMYFUNCTION("""COMPUTED_VALUE"""),139.44)</f>
        <v>139.44</v>
      </c>
    </row>
    <row r="3707" spans="1:2">
      <c r="A3707" s="3">
        <f ca="1">IFERROR(__xludf.DUMMYFUNCTION("""COMPUTED_VALUE"""),43731.6666666666)</f>
        <v>43731.666666666599</v>
      </c>
      <c r="B3707" s="1">
        <f ca="1">IFERROR(__xludf.DUMMYFUNCTION("""COMPUTED_VALUE"""),139.14)</f>
        <v>139.13999999999999</v>
      </c>
    </row>
    <row r="3708" spans="1:2">
      <c r="A3708" s="3">
        <f ca="1">IFERROR(__xludf.DUMMYFUNCTION("""COMPUTED_VALUE"""),43732.6666666666)</f>
        <v>43732.666666666599</v>
      </c>
      <c r="B3708" s="1">
        <f ca="1">IFERROR(__xludf.DUMMYFUNCTION("""COMPUTED_VALUE"""),137.38)</f>
        <v>137.38</v>
      </c>
    </row>
    <row r="3709" spans="1:2">
      <c r="A3709" s="3">
        <f ca="1">IFERROR(__xludf.DUMMYFUNCTION("""COMPUTED_VALUE"""),43733.6666666666)</f>
        <v>43733.666666666599</v>
      </c>
      <c r="B3709" s="1">
        <f ca="1">IFERROR(__xludf.DUMMYFUNCTION("""COMPUTED_VALUE"""),139.36)</f>
        <v>139.36000000000001</v>
      </c>
    </row>
    <row r="3710" spans="1:2">
      <c r="A3710" s="3">
        <f ca="1">IFERROR(__xludf.DUMMYFUNCTION("""COMPUTED_VALUE"""),43734.6666666666)</f>
        <v>43734.666666666599</v>
      </c>
      <c r="B3710" s="1">
        <f ca="1">IFERROR(__xludf.DUMMYFUNCTION("""COMPUTED_VALUE"""),139.54)</f>
        <v>139.54</v>
      </c>
    </row>
    <row r="3711" spans="1:2">
      <c r="A3711" s="3">
        <f ca="1">IFERROR(__xludf.DUMMYFUNCTION("""COMPUTED_VALUE"""),43735.6666666666)</f>
        <v>43735.666666666599</v>
      </c>
      <c r="B3711" s="1">
        <f ca="1">IFERROR(__xludf.DUMMYFUNCTION("""COMPUTED_VALUE"""),137.73)</f>
        <v>137.72999999999999</v>
      </c>
    </row>
    <row r="3712" spans="1:2">
      <c r="A3712" s="3">
        <f ca="1">IFERROR(__xludf.DUMMYFUNCTION("""COMPUTED_VALUE"""),43738.6666666666)</f>
        <v>43738.666666666599</v>
      </c>
      <c r="B3712" s="1">
        <f ca="1">IFERROR(__xludf.DUMMYFUNCTION("""COMPUTED_VALUE"""),139.03)</f>
        <v>139.03</v>
      </c>
    </row>
    <row r="3713" spans="1:2">
      <c r="A3713" s="3">
        <f ca="1">IFERROR(__xludf.DUMMYFUNCTION("""COMPUTED_VALUE"""),43739.6666666666)</f>
        <v>43739.666666666599</v>
      </c>
      <c r="B3713" s="1">
        <f ca="1">IFERROR(__xludf.DUMMYFUNCTION("""COMPUTED_VALUE"""),137.07)</f>
        <v>137.07</v>
      </c>
    </row>
    <row r="3714" spans="1:2">
      <c r="A3714" s="3">
        <f ca="1">IFERROR(__xludf.DUMMYFUNCTION("""COMPUTED_VALUE"""),43740.6666666666)</f>
        <v>43740.666666666599</v>
      </c>
      <c r="B3714" s="1">
        <f ca="1">IFERROR(__xludf.DUMMYFUNCTION("""COMPUTED_VALUE"""),134.65)</f>
        <v>134.65</v>
      </c>
    </row>
    <row r="3715" spans="1:2">
      <c r="A3715" s="3">
        <f ca="1">IFERROR(__xludf.DUMMYFUNCTION("""COMPUTED_VALUE"""),43741.6666666666)</f>
        <v>43741.666666666599</v>
      </c>
      <c r="B3715" s="1">
        <f ca="1">IFERROR(__xludf.DUMMYFUNCTION("""COMPUTED_VALUE"""),136.28)</f>
        <v>136.28</v>
      </c>
    </row>
    <row r="3716" spans="1:2">
      <c r="A3716" s="3">
        <f ca="1">IFERROR(__xludf.DUMMYFUNCTION("""COMPUTED_VALUE"""),43742.6666666666)</f>
        <v>43742.666666666599</v>
      </c>
      <c r="B3716" s="1">
        <f ca="1">IFERROR(__xludf.DUMMYFUNCTION("""COMPUTED_VALUE"""),138.12)</f>
        <v>138.12</v>
      </c>
    </row>
    <row r="3717" spans="1:2">
      <c r="A3717" s="3">
        <f ca="1">IFERROR(__xludf.DUMMYFUNCTION("""COMPUTED_VALUE"""),43745.6666666666)</f>
        <v>43745.666666666599</v>
      </c>
      <c r="B3717" s="1">
        <f ca="1">IFERROR(__xludf.DUMMYFUNCTION("""COMPUTED_VALUE"""),137.12)</f>
        <v>137.12</v>
      </c>
    </row>
    <row r="3718" spans="1:2">
      <c r="A3718" s="3">
        <f ca="1">IFERROR(__xludf.DUMMYFUNCTION("""COMPUTED_VALUE"""),43746.6666666666)</f>
        <v>43746.666666666599</v>
      </c>
      <c r="B3718" s="1">
        <f ca="1">IFERROR(__xludf.DUMMYFUNCTION("""COMPUTED_VALUE"""),135.67)</f>
        <v>135.66999999999999</v>
      </c>
    </row>
    <row r="3719" spans="1:2">
      <c r="A3719" s="3">
        <f ca="1">IFERROR(__xludf.DUMMYFUNCTION("""COMPUTED_VALUE"""),43747.6666666666)</f>
        <v>43747.666666666599</v>
      </c>
      <c r="B3719" s="1">
        <f ca="1">IFERROR(__xludf.DUMMYFUNCTION("""COMPUTED_VALUE"""),138.24)</f>
        <v>138.24</v>
      </c>
    </row>
    <row r="3720" spans="1:2">
      <c r="A3720" s="3">
        <f ca="1">IFERROR(__xludf.DUMMYFUNCTION("""COMPUTED_VALUE"""),43748.6666666666)</f>
        <v>43748.666666666599</v>
      </c>
      <c r="B3720" s="1">
        <f ca="1">IFERROR(__xludf.DUMMYFUNCTION("""COMPUTED_VALUE"""),139.1)</f>
        <v>139.1</v>
      </c>
    </row>
    <row r="3721" spans="1:2">
      <c r="A3721" s="3">
        <f ca="1">IFERROR(__xludf.DUMMYFUNCTION("""COMPUTED_VALUE"""),43749.6666666666)</f>
        <v>43749.666666666599</v>
      </c>
      <c r="B3721" s="1">
        <f ca="1">IFERROR(__xludf.DUMMYFUNCTION("""COMPUTED_VALUE"""),139.68)</f>
        <v>139.68</v>
      </c>
    </row>
    <row r="3722" spans="1:2">
      <c r="A3722" s="3">
        <f ca="1">IFERROR(__xludf.DUMMYFUNCTION("""COMPUTED_VALUE"""),43752.6666666666)</f>
        <v>43752.666666666599</v>
      </c>
      <c r="B3722" s="1">
        <f ca="1">IFERROR(__xludf.DUMMYFUNCTION("""COMPUTED_VALUE"""),139.55)</f>
        <v>139.55000000000001</v>
      </c>
    </row>
    <row r="3723" spans="1:2">
      <c r="A3723" s="3">
        <f ca="1">IFERROR(__xludf.DUMMYFUNCTION("""COMPUTED_VALUE"""),43753.6666666666)</f>
        <v>43753.666666666599</v>
      </c>
      <c r="B3723" s="1">
        <f ca="1">IFERROR(__xludf.DUMMYFUNCTION("""COMPUTED_VALUE"""),141.57)</f>
        <v>141.57</v>
      </c>
    </row>
    <row r="3724" spans="1:2">
      <c r="A3724" s="3">
        <f ca="1">IFERROR(__xludf.DUMMYFUNCTION("""COMPUTED_VALUE"""),43754.6666666666)</f>
        <v>43754.666666666599</v>
      </c>
      <c r="B3724" s="1">
        <f ca="1">IFERROR(__xludf.DUMMYFUNCTION("""COMPUTED_VALUE"""),140.41)</f>
        <v>140.41</v>
      </c>
    </row>
    <row r="3725" spans="1:2">
      <c r="A3725" s="3">
        <f ca="1">IFERROR(__xludf.DUMMYFUNCTION("""COMPUTED_VALUE"""),43755.6666666666)</f>
        <v>43755.666666666599</v>
      </c>
      <c r="B3725" s="1">
        <f ca="1">IFERROR(__xludf.DUMMYFUNCTION("""COMPUTED_VALUE"""),139.69)</f>
        <v>139.69</v>
      </c>
    </row>
    <row r="3726" spans="1:2">
      <c r="A3726" s="3">
        <f ca="1">IFERROR(__xludf.DUMMYFUNCTION("""COMPUTED_VALUE"""),43756.6666666666)</f>
        <v>43756.666666666599</v>
      </c>
      <c r="B3726" s="1">
        <f ca="1">IFERROR(__xludf.DUMMYFUNCTION("""COMPUTED_VALUE"""),137.41)</f>
        <v>137.41</v>
      </c>
    </row>
    <row r="3727" spans="1:2">
      <c r="A3727" s="3">
        <f ca="1">IFERROR(__xludf.DUMMYFUNCTION("""COMPUTED_VALUE"""),43759.6666666666)</f>
        <v>43759.666666666599</v>
      </c>
      <c r="B3727" s="1">
        <f ca="1">IFERROR(__xludf.DUMMYFUNCTION("""COMPUTED_VALUE"""),138.43)</f>
        <v>138.43</v>
      </c>
    </row>
    <row r="3728" spans="1:2">
      <c r="A3728" s="3">
        <f ca="1">IFERROR(__xludf.DUMMYFUNCTION("""COMPUTED_VALUE"""),43760.6666666666)</f>
        <v>43760.666666666599</v>
      </c>
      <c r="B3728" s="1">
        <f ca="1">IFERROR(__xludf.DUMMYFUNCTION("""COMPUTED_VALUE"""),136.37)</f>
        <v>136.37</v>
      </c>
    </row>
    <row r="3729" spans="1:2">
      <c r="A3729" s="3">
        <f ca="1">IFERROR(__xludf.DUMMYFUNCTION("""COMPUTED_VALUE"""),43761.6666666666)</f>
        <v>43761.666666666599</v>
      </c>
      <c r="B3729" s="1">
        <f ca="1">IFERROR(__xludf.DUMMYFUNCTION("""COMPUTED_VALUE"""),137.24)</f>
        <v>137.24</v>
      </c>
    </row>
    <row r="3730" spans="1:2">
      <c r="A3730" s="3">
        <f ca="1">IFERROR(__xludf.DUMMYFUNCTION("""COMPUTED_VALUE"""),43762.6666666666)</f>
        <v>43762.666666666599</v>
      </c>
      <c r="B3730" s="1">
        <f ca="1">IFERROR(__xludf.DUMMYFUNCTION("""COMPUTED_VALUE"""),139.94)</f>
        <v>139.94</v>
      </c>
    </row>
    <row r="3731" spans="1:2">
      <c r="A3731" s="3">
        <f ca="1">IFERROR(__xludf.DUMMYFUNCTION("""COMPUTED_VALUE"""),43763.6666666666)</f>
        <v>43763.666666666599</v>
      </c>
      <c r="B3731" s="1">
        <f ca="1">IFERROR(__xludf.DUMMYFUNCTION("""COMPUTED_VALUE"""),140.73)</f>
        <v>140.72999999999999</v>
      </c>
    </row>
    <row r="3732" spans="1:2">
      <c r="A3732" s="3">
        <f ca="1">IFERROR(__xludf.DUMMYFUNCTION("""COMPUTED_VALUE"""),43766.6666666666)</f>
        <v>43766.666666666599</v>
      </c>
      <c r="B3732" s="1">
        <f ca="1">IFERROR(__xludf.DUMMYFUNCTION("""COMPUTED_VALUE"""),144.19)</f>
        <v>144.19</v>
      </c>
    </row>
    <row r="3733" spans="1:2">
      <c r="A3733" s="3">
        <f ca="1">IFERROR(__xludf.DUMMYFUNCTION("""COMPUTED_VALUE"""),43767.6666666666)</f>
        <v>43767.666666666599</v>
      </c>
      <c r="B3733" s="1">
        <f ca="1">IFERROR(__xludf.DUMMYFUNCTION("""COMPUTED_VALUE"""),142.83)</f>
        <v>142.83000000000001</v>
      </c>
    </row>
    <row r="3734" spans="1:2">
      <c r="A3734" s="3">
        <f ca="1">IFERROR(__xludf.DUMMYFUNCTION("""COMPUTED_VALUE"""),43768.6666666666)</f>
        <v>43768.666666666599</v>
      </c>
      <c r="B3734" s="1">
        <f ca="1">IFERROR(__xludf.DUMMYFUNCTION("""COMPUTED_VALUE"""),144.61)</f>
        <v>144.61000000000001</v>
      </c>
    </row>
    <row r="3735" spans="1:2">
      <c r="A3735" s="3">
        <f ca="1">IFERROR(__xludf.DUMMYFUNCTION("""COMPUTED_VALUE"""),43769.6666666666)</f>
        <v>43769.666666666599</v>
      </c>
      <c r="B3735" s="1">
        <f ca="1">IFERROR(__xludf.DUMMYFUNCTION("""COMPUTED_VALUE"""),143.37)</f>
        <v>143.37</v>
      </c>
    </row>
    <row r="3736" spans="1:2">
      <c r="A3736" s="3">
        <f ca="1">IFERROR(__xludf.DUMMYFUNCTION("""COMPUTED_VALUE"""),43770.6666666666)</f>
        <v>43770.666666666599</v>
      </c>
      <c r="B3736" s="1">
        <f ca="1">IFERROR(__xludf.DUMMYFUNCTION("""COMPUTED_VALUE"""),143.72)</f>
        <v>143.72</v>
      </c>
    </row>
    <row r="3737" spans="1:2">
      <c r="A3737" s="3">
        <f ca="1">IFERROR(__xludf.DUMMYFUNCTION("""COMPUTED_VALUE"""),43773.6666666666)</f>
        <v>43773.666666666599</v>
      </c>
      <c r="B3737" s="1">
        <f ca="1">IFERROR(__xludf.DUMMYFUNCTION("""COMPUTED_VALUE"""),144.55)</f>
        <v>144.55000000000001</v>
      </c>
    </row>
    <row r="3738" spans="1:2">
      <c r="A3738" s="3">
        <f ca="1">IFERROR(__xludf.DUMMYFUNCTION("""COMPUTED_VALUE"""),43774.6666666666)</f>
        <v>43774.666666666599</v>
      </c>
      <c r="B3738" s="1">
        <f ca="1">IFERROR(__xludf.DUMMYFUNCTION("""COMPUTED_VALUE"""),144.46)</f>
        <v>144.46</v>
      </c>
    </row>
    <row r="3739" spans="1:2">
      <c r="A3739" s="3">
        <f ca="1">IFERROR(__xludf.DUMMYFUNCTION("""COMPUTED_VALUE"""),43775.6666666666)</f>
        <v>43775.666666666599</v>
      </c>
      <c r="B3739" s="1">
        <f ca="1">IFERROR(__xludf.DUMMYFUNCTION("""COMPUTED_VALUE"""),144.06)</f>
        <v>144.06</v>
      </c>
    </row>
    <row r="3740" spans="1:2">
      <c r="A3740" s="3">
        <f ca="1">IFERROR(__xludf.DUMMYFUNCTION("""COMPUTED_VALUE"""),43776.6666666666)</f>
        <v>43776.666666666599</v>
      </c>
      <c r="B3740" s="1">
        <f ca="1">IFERROR(__xludf.DUMMYFUNCTION("""COMPUTED_VALUE"""),144.26)</f>
        <v>144.26</v>
      </c>
    </row>
    <row r="3741" spans="1:2">
      <c r="A3741" s="3">
        <f ca="1">IFERROR(__xludf.DUMMYFUNCTION("""COMPUTED_VALUE"""),43777.6666666666)</f>
        <v>43777.666666666599</v>
      </c>
      <c r="B3741" s="1">
        <f ca="1">IFERROR(__xludf.DUMMYFUNCTION("""COMPUTED_VALUE"""),145.96)</f>
        <v>145.96</v>
      </c>
    </row>
    <row r="3742" spans="1:2">
      <c r="A3742" s="3">
        <f ca="1">IFERROR(__xludf.DUMMYFUNCTION("""COMPUTED_VALUE"""),43780.6666666666)</f>
        <v>43780.666666666599</v>
      </c>
      <c r="B3742" s="1">
        <f ca="1">IFERROR(__xludf.DUMMYFUNCTION("""COMPUTED_VALUE"""),146.11)</f>
        <v>146.11000000000001</v>
      </c>
    </row>
    <row r="3743" spans="1:2">
      <c r="A3743" s="3">
        <f ca="1">IFERROR(__xludf.DUMMYFUNCTION("""COMPUTED_VALUE"""),43781.6666666666)</f>
        <v>43781.666666666599</v>
      </c>
      <c r="B3743" s="1">
        <f ca="1">IFERROR(__xludf.DUMMYFUNCTION("""COMPUTED_VALUE"""),147.07)</f>
        <v>147.07</v>
      </c>
    </row>
    <row r="3744" spans="1:2">
      <c r="A3744" s="3">
        <f ca="1">IFERROR(__xludf.DUMMYFUNCTION("""COMPUTED_VALUE"""),43782.6666666666)</f>
        <v>43782.666666666599</v>
      </c>
      <c r="B3744" s="1">
        <f ca="1">IFERROR(__xludf.DUMMYFUNCTION("""COMPUTED_VALUE"""),147.31)</f>
        <v>147.31</v>
      </c>
    </row>
    <row r="3745" spans="1:2">
      <c r="A3745" s="3">
        <f ca="1">IFERROR(__xludf.DUMMYFUNCTION("""COMPUTED_VALUE"""),43783.6666666666)</f>
        <v>43783.666666666599</v>
      </c>
      <c r="B3745" s="1">
        <f ca="1">IFERROR(__xludf.DUMMYFUNCTION("""COMPUTED_VALUE"""),148.06)</f>
        <v>148.06</v>
      </c>
    </row>
    <row r="3746" spans="1:2">
      <c r="A3746" s="3">
        <f ca="1">IFERROR(__xludf.DUMMYFUNCTION("""COMPUTED_VALUE"""),43784.6666666666)</f>
        <v>43784.666666666599</v>
      </c>
      <c r="B3746" s="1">
        <f ca="1">IFERROR(__xludf.DUMMYFUNCTION("""COMPUTED_VALUE"""),149.97)</f>
        <v>149.97</v>
      </c>
    </row>
    <row r="3747" spans="1:2">
      <c r="A3747" s="3">
        <f ca="1">IFERROR(__xludf.DUMMYFUNCTION("""COMPUTED_VALUE"""),43787.6666666666)</f>
        <v>43787.666666666599</v>
      </c>
      <c r="B3747" s="1">
        <f ca="1">IFERROR(__xludf.DUMMYFUNCTION("""COMPUTED_VALUE"""),150.34)</f>
        <v>150.34</v>
      </c>
    </row>
    <row r="3748" spans="1:2">
      <c r="A3748" s="3">
        <f ca="1">IFERROR(__xludf.DUMMYFUNCTION("""COMPUTED_VALUE"""),43788.6666666666)</f>
        <v>43788.666666666599</v>
      </c>
      <c r="B3748" s="1">
        <f ca="1">IFERROR(__xludf.DUMMYFUNCTION("""COMPUTED_VALUE"""),150.39)</f>
        <v>150.38999999999999</v>
      </c>
    </row>
    <row r="3749" spans="1:2">
      <c r="A3749" s="3">
        <f ca="1">IFERROR(__xludf.DUMMYFUNCTION("""COMPUTED_VALUE"""),43789.6666666666)</f>
        <v>43789.666666666599</v>
      </c>
      <c r="B3749" s="1">
        <f ca="1">IFERROR(__xludf.DUMMYFUNCTION("""COMPUTED_VALUE"""),149.62)</f>
        <v>149.62</v>
      </c>
    </row>
    <row r="3750" spans="1:2">
      <c r="A3750" s="3">
        <f ca="1">IFERROR(__xludf.DUMMYFUNCTION("""COMPUTED_VALUE"""),43790.6666666666)</f>
        <v>43790.666666666599</v>
      </c>
      <c r="B3750" s="1">
        <f ca="1">IFERROR(__xludf.DUMMYFUNCTION("""COMPUTED_VALUE"""),149.48)</f>
        <v>149.47999999999999</v>
      </c>
    </row>
    <row r="3751" spans="1:2">
      <c r="A3751" s="3">
        <f ca="1">IFERROR(__xludf.DUMMYFUNCTION("""COMPUTED_VALUE"""),43791.6666666666)</f>
        <v>43791.666666666599</v>
      </c>
      <c r="B3751" s="1">
        <f ca="1">IFERROR(__xludf.DUMMYFUNCTION("""COMPUTED_VALUE"""),149.59)</f>
        <v>149.59</v>
      </c>
    </row>
    <row r="3752" spans="1:2">
      <c r="A3752" s="3">
        <f ca="1">IFERROR(__xludf.DUMMYFUNCTION("""COMPUTED_VALUE"""),43794.6666666666)</f>
        <v>43794.666666666599</v>
      </c>
      <c r="B3752" s="1">
        <f ca="1">IFERROR(__xludf.DUMMYFUNCTION("""COMPUTED_VALUE"""),151.23)</f>
        <v>151.22999999999999</v>
      </c>
    </row>
    <row r="3753" spans="1:2">
      <c r="A3753" s="3">
        <f ca="1">IFERROR(__xludf.DUMMYFUNCTION("""COMPUTED_VALUE"""),43795.6666666666)</f>
        <v>43795.666666666599</v>
      </c>
      <c r="B3753" s="1">
        <f ca="1">IFERROR(__xludf.DUMMYFUNCTION("""COMPUTED_VALUE"""),152.03)</f>
        <v>152.03</v>
      </c>
    </row>
    <row r="3754" spans="1:2">
      <c r="A3754" s="3">
        <f ca="1">IFERROR(__xludf.DUMMYFUNCTION("""COMPUTED_VALUE"""),43796.6666666666)</f>
        <v>43796.666666666599</v>
      </c>
      <c r="B3754" s="1">
        <f ca="1">IFERROR(__xludf.DUMMYFUNCTION("""COMPUTED_VALUE"""),152.32)</f>
        <v>152.32</v>
      </c>
    </row>
    <row r="3755" spans="1:2">
      <c r="A3755" s="3">
        <f ca="1">IFERROR(__xludf.DUMMYFUNCTION("""COMPUTED_VALUE"""),43798.5416666666)</f>
        <v>43798.541666666599</v>
      </c>
      <c r="B3755" s="1">
        <f ca="1">IFERROR(__xludf.DUMMYFUNCTION("""COMPUTED_VALUE"""),151.38)</f>
        <v>151.38</v>
      </c>
    </row>
    <row r="3756" spans="1:2">
      <c r="A3756" s="3">
        <f ca="1">IFERROR(__xludf.DUMMYFUNCTION("""COMPUTED_VALUE"""),43801.6666666666)</f>
        <v>43801.666666666599</v>
      </c>
      <c r="B3756" s="1">
        <f ca="1">IFERROR(__xludf.DUMMYFUNCTION("""COMPUTED_VALUE"""),149.55)</f>
        <v>149.55000000000001</v>
      </c>
    </row>
    <row r="3757" spans="1:2">
      <c r="A3757" s="3">
        <f ca="1">IFERROR(__xludf.DUMMYFUNCTION("""COMPUTED_VALUE"""),43802.6666666666)</f>
        <v>43802.666666666599</v>
      </c>
      <c r="B3757" s="1">
        <f ca="1">IFERROR(__xludf.DUMMYFUNCTION("""COMPUTED_VALUE"""),149.31)</f>
        <v>149.31</v>
      </c>
    </row>
    <row r="3758" spans="1:2">
      <c r="A3758" s="3">
        <f ca="1">IFERROR(__xludf.DUMMYFUNCTION("""COMPUTED_VALUE"""),43803.6666666666)</f>
        <v>43803.666666666599</v>
      </c>
      <c r="B3758" s="1">
        <f ca="1">IFERROR(__xludf.DUMMYFUNCTION("""COMPUTED_VALUE"""),149.85)</f>
        <v>149.85</v>
      </c>
    </row>
    <row r="3759" spans="1:2">
      <c r="A3759" s="3">
        <f ca="1">IFERROR(__xludf.DUMMYFUNCTION("""COMPUTED_VALUE"""),43804.6666666666)</f>
        <v>43804.666666666599</v>
      </c>
      <c r="B3759" s="1">
        <f ca="1">IFERROR(__xludf.DUMMYFUNCTION("""COMPUTED_VALUE"""),149.93)</f>
        <v>149.93</v>
      </c>
    </row>
    <row r="3760" spans="1:2">
      <c r="A3760" s="3">
        <f ca="1">IFERROR(__xludf.DUMMYFUNCTION("""COMPUTED_VALUE"""),43805.6666666666)</f>
        <v>43805.666666666599</v>
      </c>
      <c r="B3760" s="1">
        <f ca="1">IFERROR(__xludf.DUMMYFUNCTION("""COMPUTED_VALUE"""),151.75)</f>
        <v>151.75</v>
      </c>
    </row>
    <row r="3761" spans="1:2">
      <c r="A3761" s="3">
        <f ca="1">IFERROR(__xludf.DUMMYFUNCTION("""COMPUTED_VALUE"""),43808.6666666666)</f>
        <v>43808.666666666599</v>
      </c>
      <c r="B3761" s="1">
        <f ca="1">IFERROR(__xludf.DUMMYFUNCTION("""COMPUTED_VALUE"""),151.75)</f>
        <v>151.75</v>
      </c>
    </row>
    <row r="3762" spans="1:2">
      <c r="A3762" s="3">
        <f ca="1">IFERROR(__xludf.DUMMYFUNCTION("""COMPUTED_VALUE"""),43809.6666666666)</f>
        <v>43809.666666666599</v>
      </c>
      <c r="B3762" s="1">
        <f ca="1">IFERROR(__xludf.DUMMYFUNCTION("""COMPUTED_VALUE"""),151.13)</f>
        <v>151.13</v>
      </c>
    </row>
    <row r="3763" spans="1:2">
      <c r="A3763" s="3">
        <f ca="1">IFERROR(__xludf.DUMMYFUNCTION("""COMPUTED_VALUE"""),43810.6666666666)</f>
        <v>43810.666666666599</v>
      </c>
      <c r="B3763" s="1">
        <f ca="1">IFERROR(__xludf.DUMMYFUNCTION("""COMPUTED_VALUE"""),151.7)</f>
        <v>151.69999999999999</v>
      </c>
    </row>
    <row r="3764" spans="1:2">
      <c r="A3764" s="3">
        <f ca="1">IFERROR(__xludf.DUMMYFUNCTION("""COMPUTED_VALUE"""),43811.6666666666)</f>
        <v>43811.666666666599</v>
      </c>
      <c r="B3764" s="1">
        <f ca="1">IFERROR(__xludf.DUMMYFUNCTION("""COMPUTED_VALUE"""),153.24)</f>
        <v>153.24</v>
      </c>
    </row>
    <row r="3765" spans="1:2">
      <c r="A3765" s="3">
        <f ca="1">IFERROR(__xludf.DUMMYFUNCTION("""COMPUTED_VALUE"""),43812.6666666666)</f>
        <v>43812.666666666599</v>
      </c>
      <c r="B3765" s="1">
        <f ca="1">IFERROR(__xludf.DUMMYFUNCTION("""COMPUTED_VALUE"""),154.53)</f>
        <v>154.53</v>
      </c>
    </row>
    <row r="3766" spans="1:2">
      <c r="A3766" s="3">
        <f ca="1">IFERROR(__xludf.DUMMYFUNCTION("""COMPUTED_VALUE"""),43815.6666666666)</f>
        <v>43815.666666666599</v>
      </c>
      <c r="B3766" s="1">
        <f ca="1">IFERROR(__xludf.DUMMYFUNCTION("""COMPUTED_VALUE"""),155.53)</f>
        <v>155.53</v>
      </c>
    </row>
    <row r="3767" spans="1:2">
      <c r="A3767" s="3">
        <f ca="1">IFERROR(__xludf.DUMMYFUNCTION("""COMPUTED_VALUE"""),43816.6666666666)</f>
        <v>43816.666666666599</v>
      </c>
      <c r="B3767" s="1">
        <f ca="1">IFERROR(__xludf.DUMMYFUNCTION("""COMPUTED_VALUE"""),154.69)</f>
        <v>154.69</v>
      </c>
    </row>
    <row r="3768" spans="1:2">
      <c r="A3768" s="3">
        <f ca="1">IFERROR(__xludf.DUMMYFUNCTION("""COMPUTED_VALUE"""),43817.6666666666)</f>
        <v>43817.666666666599</v>
      </c>
      <c r="B3768" s="1">
        <f ca="1">IFERROR(__xludf.DUMMYFUNCTION("""COMPUTED_VALUE"""),154.37)</f>
        <v>154.37</v>
      </c>
    </row>
    <row r="3769" spans="1:2">
      <c r="A3769" s="3">
        <f ca="1">IFERROR(__xludf.DUMMYFUNCTION("""COMPUTED_VALUE"""),43818.6666666666)</f>
        <v>43818.666666666599</v>
      </c>
      <c r="B3769" s="1">
        <f ca="1">IFERROR(__xludf.DUMMYFUNCTION("""COMPUTED_VALUE"""),155.71)</f>
        <v>155.71</v>
      </c>
    </row>
    <row r="3770" spans="1:2">
      <c r="A3770" s="3">
        <f ca="1">IFERROR(__xludf.DUMMYFUNCTION("""COMPUTED_VALUE"""),43819.6666666666)</f>
        <v>43819.666666666599</v>
      </c>
      <c r="B3770" s="1">
        <f ca="1">IFERROR(__xludf.DUMMYFUNCTION("""COMPUTED_VALUE"""),157.41)</f>
        <v>157.41</v>
      </c>
    </row>
    <row r="3771" spans="1:2">
      <c r="A3771" s="3">
        <f ca="1">IFERROR(__xludf.DUMMYFUNCTION("""COMPUTED_VALUE"""),43822.6666666666)</f>
        <v>43822.666666666599</v>
      </c>
      <c r="B3771" s="1">
        <f ca="1">IFERROR(__xludf.DUMMYFUNCTION("""COMPUTED_VALUE"""),157.41)</f>
        <v>157.41</v>
      </c>
    </row>
    <row r="3772" spans="1:2">
      <c r="A3772" s="3">
        <f ca="1">IFERROR(__xludf.DUMMYFUNCTION("""COMPUTED_VALUE"""),43823.5416666666)</f>
        <v>43823.541666666599</v>
      </c>
      <c r="B3772" s="1">
        <f ca="1">IFERROR(__xludf.DUMMYFUNCTION("""COMPUTED_VALUE"""),157.38)</f>
        <v>157.38</v>
      </c>
    </row>
    <row r="3773" spans="1:2">
      <c r="A3773" s="3">
        <f ca="1">IFERROR(__xludf.DUMMYFUNCTION("""COMPUTED_VALUE"""),43825.6666666666)</f>
        <v>43825.666666666599</v>
      </c>
      <c r="B3773" s="1">
        <f ca="1">IFERROR(__xludf.DUMMYFUNCTION("""COMPUTED_VALUE"""),158.67)</f>
        <v>158.66999999999999</v>
      </c>
    </row>
    <row r="3774" spans="1:2">
      <c r="A3774" s="3">
        <f ca="1">IFERROR(__xludf.DUMMYFUNCTION("""COMPUTED_VALUE"""),43826.6666666666)</f>
        <v>43826.666666666599</v>
      </c>
      <c r="B3774" s="1">
        <f ca="1">IFERROR(__xludf.DUMMYFUNCTION("""COMPUTED_VALUE"""),158.96)</f>
        <v>158.96</v>
      </c>
    </row>
    <row r="3775" spans="1:2">
      <c r="A3775" s="3">
        <f ca="1">IFERROR(__xludf.DUMMYFUNCTION("""COMPUTED_VALUE"""),43829.6666666666)</f>
        <v>43829.666666666599</v>
      </c>
      <c r="B3775" s="1">
        <f ca="1">IFERROR(__xludf.DUMMYFUNCTION("""COMPUTED_VALUE"""),157.59)</f>
        <v>157.59</v>
      </c>
    </row>
    <row r="3776" spans="1:2">
      <c r="A3776" s="3">
        <f ca="1">IFERROR(__xludf.DUMMYFUNCTION("""COMPUTED_VALUE"""),43830.6666666666)</f>
        <v>43830.666666666599</v>
      </c>
      <c r="B3776" s="1">
        <f ca="1">IFERROR(__xludf.DUMMYFUNCTION("""COMPUTED_VALUE"""),157.7)</f>
        <v>157.69999999999999</v>
      </c>
    </row>
    <row r="3777" spans="1:2">
      <c r="A3777" s="3">
        <f ca="1">IFERROR(__xludf.DUMMYFUNCTION("""COMPUTED_VALUE"""),43832.6666666666)</f>
        <v>43832.666666666599</v>
      </c>
      <c r="B3777" s="1">
        <f ca="1">IFERROR(__xludf.DUMMYFUNCTION("""COMPUTED_VALUE"""),160.62)</f>
        <v>160.62</v>
      </c>
    </row>
    <row r="3778" spans="1:2">
      <c r="A3778" s="3">
        <f ca="1">IFERROR(__xludf.DUMMYFUNCTION("""COMPUTED_VALUE"""),43833.6666666666)</f>
        <v>43833.666666666599</v>
      </c>
      <c r="B3778" s="1">
        <f ca="1">IFERROR(__xludf.DUMMYFUNCTION("""COMPUTED_VALUE"""),158.62)</f>
        <v>158.62</v>
      </c>
    </row>
    <row r="3779" spans="1:2">
      <c r="A3779" s="3">
        <f ca="1">IFERROR(__xludf.DUMMYFUNCTION("""COMPUTED_VALUE"""),43836.6666666666)</f>
        <v>43836.666666666599</v>
      </c>
      <c r="B3779" s="1">
        <f ca="1">IFERROR(__xludf.DUMMYFUNCTION("""COMPUTED_VALUE"""),159.03)</f>
        <v>159.03</v>
      </c>
    </row>
    <row r="3780" spans="1:2">
      <c r="A3780" s="3">
        <f ca="1">IFERROR(__xludf.DUMMYFUNCTION("""COMPUTED_VALUE"""),43837.6666666666)</f>
        <v>43837.666666666599</v>
      </c>
      <c r="B3780" s="1">
        <f ca="1">IFERROR(__xludf.DUMMYFUNCTION("""COMPUTED_VALUE"""),157.58)</f>
        <v>157.58000000000001</v>
      </c>
    </row>
    <row r="3781" spans="1:2">
      <c r="A3781" s="3">
        <f ca="1">IFERROR(__xludf.DUMMYFUNCTION("""COMPUTED_VALUE"""),43838.6666666666)</f>
        <v>43838.666666666599</v>
      </c>
      <c r="B3781" s="1">
        <f ca="1">IFERROR(__xludf.DUMMYFUNCTION("""COMPUTED_VALUE"""),160.09)</f>
        <v>160.09</v>
      </c>
    </row>
    <row r="3782" spans="1:2">
      <c r="A3782" s="3">
        <f ca="1">IFERROR(__xludf.DUMMYFUNCTION("""COMPUTED_VALUE"""),43839.6666666666)</f>
        <v>43839.666666666599</v>
      </c>
      <c r="B3782" s="1">
        <f ca="1">IFERROR(__xludf.DUMMYFUNCTION("""COMPUTED_VALUE"""),162.09)</f>
        <v>162.09</v>
      </c>
    </row>
    <row r="3783" spans="1:2">
      <c r="A3783" s="3">
        <f ca="1">IFERROR(__xludf.DUMMYFUNCTION("""COMPUTED_VALUE"""),43840.6666666666)</f>
        <v>43840.666666666599</v>
      </c>
      <c r="B3783" s="1">
        <f ca="1">IFERROR(__xludf.DUMMYFUNCTION("""COMPUTED_VALUE"""),161.34)</f>
        <v>161.34</v>
      </c>
    </row>
    <row r="3784" spans="1:2">
      <c r="A3784" s="3">
        <f ca="1">IFERROR(__xludf.DUMMYFUNCTION("""COMPUTED_VALUE"""),43843.6666666666)</f>
        <v>43843.666666666599</v>
      </c>
      <c r="B3784" s="1">
        <f ca="1">IFERROR(__xludf.DUMMYFUNCTION("""COMPUTED_VALUE"""),163.28)</f>
        <v>163.28</v>
      </c>
    </row>
    <row r="3785" spans="1:2">
      <c r="A3785" s="3">
        <f ca="1">IFERROR(__xludf.DUMMYFUNCTION("""COMPUTED_VALUE"""),43844.6666666666)</f>
        <v>43844.666666666599</v>
      </c>
      <c r="B3785" s="1">
        <f ca="1">IFERROR(__xludf.DUMMYFUNCTION("""COMPUTED_VALUE"""),162.13)</f>
        <v>162.13</v>
      </c>
    </row>
    <row r="3786" spans="1:2">
      <c r="A3786" s="3">
        <f ca="1">IFERROR(__xludf.DUMMYFUNCTION("""COMPUTED_VALUE"""),43845.6666666666)</f>
        <v>43845.666666666599</v>
      </c>
      <c r="B3786" s="1">
        <f ca="1">IFERROR(__xludf.DUMMYFUNCTION("""COMPUTED_VALUE"""),163.18)</f>
        <v>163.18</v>
      </c>
    </row>
    <row r="3787" spans="1:2">
      <c r="A3787" s="3">
        <f ca="1">IFERROR(__xludf.DUMMYFUNCTION("""COMPUTED_VALUE"""),43846.6666666666)</f>
        <v>43846.666666666599</v>
      </c>
      <c r="B3787" s="1">
        <f ca="1">IFERROR(__xludf.DUMMYFUNCTION("""COMPUTED_VALUE"""),166.17)</f>
        <v>166.17</v>
      </c>
    </row>
    <row r="3788" spans="1:2">
      <c r="A3788" s="3">
        <f ca="1">IFERROR(__xludf.DUMMYFUNCTION("""COMPUTED_VALUE"""),43847.6666666666)</f>
        <v>43847.666666666599</v>
      </c>
      <c r="B3788" s="1">
        <f ca="1">IFERROR(__xludf.DUMMYFUNCTION("""COMPUTED_VALUE"""),167.1)</f>
        <v>167.1</v>
      </c>
    </row>
    <row r="3789" spans="1:2">
      <c r="A3789" s="3">
        <f ca="1">IFERROR(__xludf.DUMMYFUNCTION("""COMPUTED_VALUE"""),43851.6666666666)</f>
        <v>43851.666666666599</v>
      </c>
      <c r="B3789" s="1">
        <f ca="1">IFERROR(__xludf.DUMMYFUNCTION("""COMPUTED_VALUE"""),166.5)</f>
        <v>166.5</v>
      </c>
    </row>
    <row r="3790" spans="1:2">
      <c r="A3790" s="3">
        <f ca="1">IFERROR(__xludf.DUMMYFUNCTION("""COMPUTED_VALUE"""),43852.6666666666)</f>
        <v>43852.666666666599</v>
      </c>
      <c r="B3790" s="1">
        <f ca="1">IFERROR(__xludf.DUMMYFUNCTION("""COMPUTED_VALUE"""),165.7)</f>
        <v>165.7</v>
      </c>
    </row>
    <row r="3791" spans="1:2">
      <c r="A3791" s="3">
        <f ca="1">IFERROR(__xludf.DUMMYFUNCTION("""COMPUTED_VALUE"""),43853.6666666666)</f>
        <v>43853.666666666599</v>
      </c>
      <c r="B3791" s="1">
        <f ca="1">IFERROR(__xludf.DUMMYFUNCTION("""COMPUTED_VALUE"""),166.72)</f>
        <v>166.72</v>
      </c>
    </row>
    <row r="3792" spans="1:2">
      <c r="A3792" s="3">
        <f ca="1">IFERROR(__xludf.DUMMYFUNCTION("""COMPUTED_VALUE"""),43854.6666666666)</f>
        <v>43854.666666666599</v>
      </c>
      <c r="B3792" s="1">
        <f ca="1">IFERROR(__xludf.DUMMYFUNCTION("""COMPUTED_VALUE"""),165.04)</f>
        <v>165.04</v>
      </c>
    </row>
    <row r="3793" spans="1:2">
      <c r="A3793" s="3">
        <f ca="1">IFERROR(__xludf.DUMMYFUNCTION("""COMPUTED_VALUE"""),43857.6666666666)</f>
        <v>43857.666666666599</v>
      </c>
      <c r="B3793" s="1">
        <f ca="1">IFERROR(__xludf.DUMMYFUNCTION("""COMPUTED_VALUE"""),162.28)</f>
        <v>162.28</v>
      </c>
    </row>
    <row r="3794" spans="1:2">
      <c r="A3794" s="3">
        <f ca="1">IFERROR(__xludf.DUMMYFUNCTION("""COMPUTED_VALUE"""),43858.6666666666)</f>
        <v>43858.666666666599</v>
      </c>
      <c r="B3794" s="1">
        <f ca="1">IFERROR(__xludf.DUMMYFUNCTION("""COMPUTED_VALUE"""),165.46)</f>
        <v>165.46</v>
      </c>
    </row>
    <row r="3795" spans="1:2">
      <c r="A3795" s="3">
        <f ca="1">IFERROR(__xludf.DUMMYFUNCTION("""COMPUTED_VALUE"""),43859.6666666666)</f>
        <v>43859.666666666599</v>
      </c>
      <c r="B3795" s="1">
        <f ca="1">IFERROR(__xludf.DUMMYFUNCTION("""COMPUTED_VALUE"""),168.04)</f>
        <v>168.04</v>
      </c>
    </row>
    <row r="3796" spans="1:2">
      <c r="A3796" s="3">
        <f ca="1">IFERROR(__xludf.DUMMYFUNCTION("""COMPUTED_VALUE"""),43860.6666666666)</f>
        <v>43860.666666666599</v>
      </c>
      <c r="B3796" s="1">
        <f ca="1">IFERROR(__xludf.DUMMYFUNCTION("""COMPUTED_VALUE"""),172.78)</f>
        <v>172.78</v>
      </c>
    </row>
    <row r="3797" spans="1:2">
      <c r="A3797" s="3">
        <f ca="1">IFERROR(__xludf.DUMMYFUNCTION("""COMPUTED_VALUE"""),43861.6666666666)</f>
        <v>43861.666666666599</v>
      </c>
      <c r="B3797" s="1">
        <f ca="1">IFERROR(__xludf.DUMMYFUNCTION("""COMPUTED_VALUE"""),170.23)</f>
        <v>170.23</v>
      </c>
    </row>
    <row r="3798" spans="1:2">
      <c r="A3798" s="3">
        <f ca="1">IFERROR(__xludf.DUMMYFUNCTION("""COMPUTED_VALUE"""),43864.6666666666)</f>
        <v>43864.666666666599</v>
      </c>
      <c r="B3798" s="1">
        <f ca="1">IFERROR(__xludf.DUMMYFUNCTION("""COMPUTED_VALUE"""),174.38)</f>
        <v>174.38</v>
      </c>
    </row>
    <row r="3799" spans="1:2">
      <c r="A3799" s="3">
        <f ca="1">IFERROR(__xludf.DUMMYFUNCTION("""COMPUTED_VALUE"""),43865.6666666666)</f>
        <v>43865.666666666599</v>
      </c>
      <c r="B3799" s="1">
        <f ca="1">IFERROR(__xludf.DUMMYFUNCTION("""COMPUTED_VALUE"""),180.12)</f>
        <v>180.12</v>
      </c>
    </row>
    <row r="3800" spans="1:2">
      <c r="A3800" s="3">
        <f ca="1">IFERROR(__xludf.DUMMYFUNCTION("""COMPUTED_VALUE"""),43866.6666666666)</f>
        <v>43866.666666666599</v>
      </c>
      <c r="B3800" s="1">
        <f ca="1">IFERROR(__xludf.DUMMYFUNCTION("""COMPUTED_VALUE"""),179.9)</f>
        <v>179.9</v>
      </c>
    </row>
    <row r="3801" spans="1:2">
      <c r="A3801" s="3">
        <f ca="1">IFERROR(__xludf.DUMMYFUNCTION("""COMPUTED_VALUE"""),43867.6666666666)</f>
        <v>43867.666666666599</v>
      </c>
      <c r="B3801" s="1">
        <f ca="1">IFERROR(__xludf.DUMMYFUNCTION("""COMPUTED_VALUE"""),183.63)</f>
        <v>183.63</v>
      </c>
    </row>
    <row r="3802" spans="1:2">
      <c r="A3802" s="3">
        <f ca="1">IFERROR(__xludf.DUMMYFUNCTION("""COMPUTED_VALUE"""),43868.6666666666)</f>
        <v>43868.666666666599</v>
      </c>
      <c r="B3802" s="1">
        <f ca="1">IFERROR(__xludf.DUMMYFUNCTION("""COMPUTED_VALUE"""),183.89)</f>
        <v>183.89</v>
      </c>
    </row>
    <row r="3803" spans="1:2">
      <c r="A3803" s="3">
        <f ca="1">IFERROR(__xludf.DUMMYFUNCTION("""COMPUTED_VALUE"""),43871.6666666666)</f>
        <v>43871.666666666599</v>
      </c>
      <c r="B3803" s="1">
        <f ca="1">IFERROR(__xludf.DUMMYFUNCTION("""COMPUTED_VALUE"""),188.7)</f>
        <v>188.7</v>
      </c>
    </row>
    <row r="3804" spans="1:2">
      <c r="A3804" s="3">
        <f ca="1">IFERROR(__xludf.DUMMYFUNCTION("""COMPUTED_VALUE"""),43872.6666666666)</f>
        <v>43872.666666666599</v>
      </c>
      <c r="B3804" s="1">
        <f ca="1">IFERROR(__xludf.DUMMYFUNCTION("""COMPUTED_VALUE"""),184.44)</f>
        <v>184.44</v>
      </c>
    </row>
    <row r="3805" spans="1:2">
      <c r="A3805" s="3">
        <f ca="1">IFERROR(__xludf.DUMMYFUNCTION("""COMPUTED_VALUE"""),43873.6666666666)</f>
        <v>43873.666666666599</v>
      </c>
      <c r="B3805" s="1">
        <f ca="1">IFERROR(__xludf.DUMMYFUNCTION("""COMPUTED_VALUE"""),184.71)</f>
        <v>184.71</v>
      </c>
    </row>
    <row r="3806" spans="1:2">
      <c r="A3806" s="3">
        <f ca="1">IFERROR(__xludf.DUMMYFUNCTION("""COMPUTED_VALUE"""),43874.6666666666)</f>
        <v>43874.666666666599</v>
      </c>
      <c r="B3806" s="1">
        <f ca="1">IFERROR(__xludf.DUMMYFUNCTION("""COMPUTED_VALUE"""),183.71)</f>
        <v>183.71</v>
      </c>
    </row>
    <row r="3807" spans="1:2">
      <c r="A3807" s="3">
        <f ca="1">IFERROR(__xludf.DUMMYFUNCTION("""COMPUTED_VALUE"""),43875.6666666666)</f>
        <v>43875.666666666599</v>
      </c>
      <c r="B3807" s="1">
        <f ca="1">IFERROR(__xludf.DUMMYFUNCTION("""COMPUTED_VALUE"""),185.35)</f>
        <v>185.35</v>
      </c>
    </row>
    <row r="3808" spans="1:2">
      <c r="A3808" s="3">
        <f ca="1">IFERROR(__xludf.DUMMYFUNCTION("""COMPUTED_VALUE"""),43879.6666666666)</f>
        <v>43879.666666666599</v>
      </c>
      <c r="B3808" s="1">
        <f ca="1">IFERROR(__xludf.DUMMYFUNCTION("""COMPUTED_VALUE"""),187.23)</f>
        <v>187.23</v>
      </c>
    </row>
    <row r="3809" spans="1:2">
      <c r="A3809" s="3">
        <f ca="1">IFERROR(__xludf.DUMMYFUNCTION("""COMPUTED_VALUE"""),43880.6666666666)</f>
        <v>43880.666666666599</v>
      </c>
      <c r="B3809" s="1">
        <f ca="1">IFERROR(__xludf.DUMMYFUNCTION("""COMPUTED_VALUE"""),187.28)</f>
        <v>187.28</v>
      </c>
    </row>
    <row r="3810" spans="1:2">
      <c r="A3810" s="3">
        <f ca="1">IFERROR(__xludf.DUMMYFUNCTION("""COMPUTED_VALUE"""),43881.6666666666)</f>
        <v>43881.666666666599</v>
      </c>
      <c r="B3810" s="1">
        <f ca="1">IFERROR(__xludf.DUMMYFUNCTION("""COMPUTED_VALUE"""),184.42)</f>
        <v>184.42</v>
      </c>
    </row>
    <row r="3811" spans="1:2">
      <c r="A3811" s="3">
        <f ca="1">IFERROR(__xludf.DUMMYFUNCTION("""COMPUTED_VALUE"""),43882.6666666666)</f>
        <v>43882.666666666599</v>
      </c>
      <c r="B3811" s="1">
        <f ca="1">IFERROR(__xludf.DUMMYFUNCTION("""COMPUTED_VALUE"""),178.59)</f>
        <v>178.59</v>
      </c>
    </row>
    <row r="3812" spans="1:2">
      <c r="A3812" s="3">
        <f ca="1">IFERROR(__xludf.DUMMYFUNCTION("""COMPUTED_VALUE"""),43885.6666666666)</f>
        <v>43885.666666666599</v>
      </c>
      <c r="B3812" s="1">
        <f ca="1">IFERROR(__xludf.DUMMYFUNCTION("""COMPUTED_VALUE"""),170.89)</f>
        <v>170.89</v>
      </c>
    </row>
    <row r="3813" spans="1:2">
      <c r="A3813" s="3">
        <f ca="1">IFERROR(__xludf.DUMMYFUNCTION("""COMPUTED_VALUE"""),43886.6666666666)</f>
        <v>43886.666666666599</v>
      </c>
      <c r="B3813" s="1">
        <f ca="1">IFERROR(__xludf.DUMMYFUNCTION("""COMPUTED_VALUE"""),168.07)</f>
        <v>168.07</v>
      </c>
    </row>
    <row r="3814" spans="1:2">
      <c r="A3814" s="3">
        <f ca="1">IFERROR(__xludf.DUMMYFUNCTION("""COMPUTED_VALUE"""),43887.6666666666)</f>
        <v>43887.666666666599</v>
      </c>
      <c r="B3814" s="1">
        <f ca="1">IFERROR(__xludf.DUMMYFUNCTION("""COMPUTED_VALUE"""),170.17)</f>
        <v>170.17</v>
      </c>
    </row>
    <row r="3815" spans="1:2">
      <c r="A3815" s="3">
        <f ca="1">IFERROR(__xludf.DUMMYFUNCTION("""COMPUTED_VALUE"""),43888.6666666666)</f>
        <v>43888.666666666599</v>
      </c>
      <c r="B3815" s="1">
        <f ca="1">IFERROR(__xludf.DUMMYFUNCTION("""COMPUTED_VALUE"""),158.18)</f>
        <v>158.18</v>
      </c>
    </row>
    <row r="3816" spans="1:2">
      <c r="A3816" s="3">
        <f ca="1">IFERROR(__xludf.DUMMYFUNCTION("""COMPUTED_VALUE"""),43889.6666666666)</f>
        <v>43889.666666666599</v>
      </c>
      <c r="B3816" s="1">
        <f ca="1">IFERROR(__xludf.DUMMYFUNCTION("""COMPUTED_VALUE"""),162.01)</f>
        <v>162.01</v>
      </c>
    </row>
    <row r="3817" spans="1:2">
      <c r="A3817" s="3">
        <f ca="1">IFERROR(__xludf.DUMMYFUNCTION("""COMPUTED_VALUE"""),43892.6666666666)</f>
        <v>43892.666666666599</v>
      </c>
      <c r="B3817" s="1">
        <f ca="1">IFERROR(__xludf.DUMMYFUNCTION("""COMPUTED_VALUE"""),172.79)</f>
        <v>172.79</v>
      </c>
    </row>
    <row r="3818" spans="1:2">
      <c r="A3818" s="3">
        <f ca="1">IFERROR(__xludf.DUMMYFUNCTION("""COMPUTED_VALUE"""),43893.6666666666)</f>
        <v>43893.666666666599</v>
      </c>
      <c r="B3818" s="1">
        <f ca="1">IFERROR(__xludf.DUMMYFUNCTION("""COMPUTED_VALUE"""),164.51)</f>
        <v>164.51</v>
      </c>
    </row>
    <row r="3819" spans="1:2">
      <c r="A3819" s="3">
        <f ca="1">IFERROR(__xludf.DUMMYFUNCTION("""COMPUTED_VALUE"""),43894.6666666666)</f>
        <v>43894.666666666599</v>
      </c>
      <c r="B3819" s="1">
        <f ca="1">IFERROR(__xludf.DUMMYFUNCTION("""COMPUTED_VALUE"""),170.55)</f>
        <v>170.55</v>
      </c>
    </row>
    <row r="3820" spans="1:2">
      <c r="A3820" s="3">
        <f ca="1">IFERROR(__xludf.DUMMYFUNCTION("""COMPUTED_VALUE"""),43895.6666666666)</f>
        <v>43895.666666666599</v>
      </c>
      <c r="B3820" s="1">
        <f ca="1">IFERROR(__xludf.DUMMYFUNCTION("""COMPUTED_VALUE"""),166.27)</f>
        <v>166.27</v>
      </c>
    </row>
    <row r="3821" spans="1:2">
      <c r="A3821" s="3">
        <f ca="1">IFERROR(__xludf.DUMMYFUNCTION("""COMPUTED_VALUE"""),43896.6666666666)</f>
        <v>43896.666666666599</v>
      </c>
      <c r="B3821" s="1">
        <f ca="1">IFERROR(__xludf.DUMMYFUNCTION("""COMPUTED_VALUE"""),161.57)</f>
        <v>161.57</v>
      </c>
    </row>
    <row r="3822" spans="1:2">
      <c r="A3822" s="3">
        <f ca="1">IFERROR(__xludf.DUMMYFUNCTION("""COMPUTED_VALUE"""),43899.6666666666)</f>
        <v>43899.666666666599</v>
      </c>
      <c r="B3822" s="1">
        <f ca="1">IFERROR(__xludf.DUMMYFUNCTION("""COMPUTED_VALUE"""),150.62)</f>
        <v>150.62</v>
      </c>
    </row>
    <row r="3823" spans="1:2">
      <c r="A3823" s="3">
        <f ca="1">IFERROR(__xludf.DUMMYFUNCTION("""COMPUTED_VALUE"""),43900.6666666666)</f>
        <v>43900.666666666599</v>
      </c>
      <c r="B3823" s="1">
        <f ca="1">IFERROR(__xludf.DUMMYFUNCTION("""COMPUTED_VALUE"""),160.92)</f>
        <v>160.91999999999999</v>
      </c>
    </row>
    <row r="3824" spans="1:2">
      <c r="A3824" s="3">
        <f ca="1">IFERROR(__xludf.DUMMYFUNCTION("""COMPUTED_VALUE"""),43901.6666666666)</f>
        <v>43901.666666666599</v>
      </c>
      <c r="B3824" s="1">
        <f ca="1">IFERROR(__xludf.DUMMYFUNCTION("""COMPUTED_VALUE"""),153.63)</f>
        <v>153.63</v>
      </c>
    </row>
    <row r="3825" spans="1:2">
      <c r="A3825" s="3">
        <f ca="1">IFERROR(__xludf.DUMMYFUNCTION("""COMPUTED_VALUE"""),43902.6666666666)</f>
        <v>43902.666666666599</v>
      </c>
      <c r="B3825" s="1">
        <f ca="1">IFERROR(__xludf.DUMMYFUNCTION("""COMPUTED_VALUE"""),139.06)</f>
        <v>139.06</v>
      </c>
    </row>
    <row r="3826" spans="1:2">
      <c r="A3826" s="3">
        <f ca="1">IFERROR(__xludf.DUMMYFUNCTION("""COMPUTED_VALUE"""),43903.6666666666)</f>
        <v>43903.666666666599</v>
      </c>
      <c r="B3826" s="1">
        <f ca="1">IFERROR(__xludf.DUMMYFUNCTION("""COMPUTED_VALUE"""),158.83)</f>
        <v>158.83000000000001</v>
      </c>
    </row>
    <row r="3827" spans="1:2">
      <c r="A3827" s="3">
        <f ca="1">IFERROR(__xludf.DUMMYFUNCTION("""COMPUTED_VALUE"""),43906.6666666666)</f>
        <v>43906.666666666599</v>
      </c>
      <c r="B3827" s="1">
        <f ca="1">IFERROR(__xludf.DUMMYFUNCTION("""COMPUTED_VALUE"""),135.42)</f>
        <v>135.41999999999999</v>
      </c>
    </row>
    <row r="3828" spans="1:2">
      <c r="A3828" s="3">
        <f ca="1">IFERROR(__xludf.DUMMYFUNCTION("""COMPUTED_VALUE"""),43907.6666666666)</f>
        <v>43907.666666666599</v>
      </c>
      <c r="B3828" s="1">
        <f ca="1">IFERROR(__xludf.DUMMYFUNCTION("""COMPUTED_VALUE"""),146.57)</f>
        <v>146.57</v>
      </c>
    </row>
    <row r="3829" spans="1:2">
      <c r="A3829" s="3">
        <f ca="1">IFERROR(__xludf.DUMMYFUNCTION("""COMPUTED_VALUE"""),43908.6666666666)</f>
        <v>43908.666666666599</v>
      </c>
      <c r="B3829" s="1">
        <f ca="1">IFERROR(__xludf.DUMMYFUNCTION("""COMPUTED_VALUE"""),140.4)</f>
        <v>140.4</v>
      </c>
    </row>
    <row r="3830" spans="1:2">
      <c r="A3830" s="3">
        <f ca="1">IFERROR(__xludf.DUMMYFUNCTION("""COMPUTED_VALUE"""),43909.6666666666)</f>
        <v>43909.666666666599</v>
      </c>
      <c r="B3830" s="1">
        <f ca="1">IFERROR(__xludf.DUMMYFUNCTION("""COMPUTED_VALUE"""),142.71)</f>
        <v>142.71</v>
      </c>
    </row>
    <row r="3831" spans="1:2">
      <c r="A3831" s="3">
        <f ca="1">IFERROR(__xludf.DUMMYFUNCTION("""COMPUTED_VALUE"""),43910.6666666666)</f>
        <v>43910.666666666599</v>
      </c>
      <c r="B3831" s="1">
        <f ca="1">IFERROR(__xludf.DUMMYFUNCTION("""COMPUTED_VALUE"""),137.35)</f>
        <v>137.35</v>
      </c>
    </row>
    <row r="3832" spans="1:2">
      <c r="A3832" s="3">
        <f ca="1">IFERROR(__xludf.DUMMYFUNCTION("""COMPUTED_VALUE"""),43913.6666666666)</f>
        <v>43913.666666666599</v>
      </c>
      <c r="B3832" s="1">
        <f ca="1">IFERROR(__xludf.DUMMYFUNCTION("""COMPUTED_VALUE"""),135.98)</f>
        <v>135.97999999999999</v>
      </c>
    </row>
    <row r="3833" spans="1:2">
      <c r="A3833" s="3">
        <f ca="1">IFERROR(__xludf.DUMMYFUNCTION("""COMPUTED_VALUE"""),43914.6666666666)</f>
        <v>43914.666666666599</v>
      </c>
      <c r="B3833" s="1">
        <f ca="1">IFERROR(__xludf.DUMMYFUNCTION("""COMPUTED_VALUE"""),148.34)</f>
        <v>148.34</v>
      </c>
    </row>
    <row r="3834" spans="1:2">
      <c r="A3834" s="3">
        <f ca="1">IFERROR(__xludf.DUMMYFUNCTION("""COMPUTED_VALUE"""),43915.6666666666)</f>
        <v>43915.666666666599</v>
      </c>
      <c r="B3834" s="1">
        <f ca="1">IFERROR(__xludf.DUMMYFUNCTION("""COMPUTED_VALUE"""),146.92)</f>
        <v>146.91999999999999</v>
      </c>
    </row>
    <row r="3835" spans="1:2">
      <c r="A3835" s="3">
        <f ca="1">IFERROR(__xludf.DUMMYFUNCTION("""COMPUTED_VALUE"""),43916.6666666666)</f>
        <v>43916.666666666599</v>
      </c>
      <c r="B3835" s="1">
        <f ca="1">IFERROR(__xludf.DUMMYFUNCTION("""COMPUTED_VALUE"""),156.11)</f>
        <v>156.11000000000001</v>
      </c>
    </row>
    <row r="3836" spans="1:2">
      <c r="A3836" s="3">
        <f ca="1">IFERROR(__xludf.DUMMYFUNCTION("""COMPUTED_VALUE"""),43917.6666666666)</f>
        <v>43917.666666666599</v>
      </c>
      <c r="B3836" s="1">
        <f ca="1">IFERROR(__xludf.DUMMYFUNCTION("""COMPUTED_VALUE"""),149.7)</f>
        <v>149.69999999999999</v>
      </c>
    </row>
    <row r="3837" spans="1:2">
      <c r="A3837" s="3">
        <f ca="1">IFERROR(__xludf.DUMMYFUNCTION("""COMPUTED_VALUE"""),43920.6666666666)</f>
        <v>43920.666666666599</v>
      </c>
      <c r="B3837" s="1">
        <f ca="1">IFERROR(__xludf.DUMMYFUNCTION("""COMPUTED_VALUE"""),160.23)</f>
        <v>160.22999999999999</v>
      </c>
    </row>
    <row r="3838" spans="1:2">
      <c r="A3838" s="3">
        <f ca="1">IFERROR(__xludf.DUMMYFUNCTION("""COMPUTED_VALUE"""),43921.6666666666)</f>
        <v>43921.666666666599</v>
      </c>
      <c r="B3838" s="1">
        <f ca="1">IFERROR(__xludf.DUMMYFUNCTION("""COMPUTED_VALUE"""),157.71)</f>
        <v>157.71</v>
      </c>
    </row>
    <row r="3839" spans="1:2">
      <c r="A3839" s="3">
        <f ca="1">IFERROR(__xludf.DUMMYFUNCTION("""COMPUTED_VALUE"""),43922.6666666666)</f>
        <v>43922.666666666599</v>
      </c>
      <c r="B3839" s="1">
        <f ca="1">IFERROR(__xludf.DUMMYFUNCTION("""COMPUTED_VALUE"""),152.11)</f>
        <v>152.11000000000001</v>
      </c>
    </row>
    <row r="3840" spans="1:2">
      <c r="A3840" s="3">
        <f ca="1">IFERROR(__xludf.DUMMYFUNCTION("""COMPUTED_VALUE"""),43923.6666666666)</f>
        <v>43923.666666666599</v>
      </c>
      <c r="B3840" s="1">
        <f ca="1">IFERROR(__xludf.DUMMYFUNCTION("""COMPUTED_VALUE"""),155.26)</f>
        <v>155.26</v>
      </c>
    </row>
    <row r="3841" spans="1:2">
      <c r="A3841" s="3">
        <f ca="1">IFERROR(__xludf.DUMMYFUNCTION("""COMPUTED_VALUE"""),43924.6666666666)</f>
        <v>43924.666666666599</v>
      </c>
      <c r="B3841" s="1">
        <f ca="1">IFERROR(__xludf.DUMMYFUNCTION("""COMPUTED_VALUE"""),153.83)</f>
        <v>153.83000000000001</v>
      </c>
    </row>
    <row r="3842" spans="1:2">
      <c r="A3842" s="3">
        <f ca="1">IFERROR(__xludf.DUMMYFUNCTION("""COMPUTED_VALUE"""),43927.6666666666)</f>
        <v>43927.666666666599</v>
      </c>
      <c r="B3842" s="1">
        <f ca="1">IFERROR(__xludf.DUMMYFUNCTION("""COMPUTED_VALUE"""),165.27)</f>
        <v>165.27</v>
      </c>
    </row>
    <row r="3843" spans="1:2">
      <c r="A3843" s="3">
        <f ca="1">IFERROR(__xludf.DUMMYFUNCTION("""COMPUTED_VALUE"""),43928.6666666666)</f>
        <v>43928.666666666599</v>
      </c>
      <c r="B3843" s="1">
        <f ca="1">IFERROR(__xludf.DUMMYFUNCTION("""COMPUTED_VALUE"""),163.49)</f>
        <v>163.49</v>
      </c>
    </row>
    <row r="3844" spans="1:2">
      <c r="A3844" s="3">
        <f ca="1">IFERROR(__xludf.DUMMYFUNCTION("""COMPUTED_VALUE"""),43929.6666666666)</f>
        <v>43929.666666666599</v>
      </c>
      <c r="B3844" s="1">
        <f ca="1">IFERROR(__xludf.DUMMYFUNCTION("""COMPUTED_VALUE"""),165.13)</f>
        <v>165.13</v>
      </c>
    </row>
    <row r="3845" spans="1:2">
      <c r="A3845" s="3">
        <f ca="1">IFERROR(__xludf.DUMMYFUNCTION("""COMPUTED_VALUE"""),43930.6666666666)</f>
        <v>43930.666666666599</v>
      </c>
      <c r="B3845" s="1">
        <f ca="1">IFERROR(__xludf.DUMMYFUNCTION("""COMPUTED_VALUE"""),165.14)</f>
        <v>165.14</v>
      </c>
    </row>
    <row r="3846" spans="1:2">
      <c r="A3846" s="3">
        <f ca="1">IFERROR(__xludf.DUMMYFUNCTION("""COMPUTED_VALUE"""),43934.6666666666)</f>
        <v>43934.666666666599</v>
      </c>
      <c r="B3846" s="1">
        <f ca="1">IFERROR(__xludf.DUMMYFUNCTION("""COMPUTED_VALUE"""),165.51)</f>
        <v>165.51</v>
      </c>
    </row>
    <row r="3847" spans="1:2">
      <c r="A3847" s="3">
        <f ca="1">IFERROR(__xludf.DUMMYFUNCTION("""COMPUTED_VALUE"""),43935.6666666666)</f>
        <v>43935.666666666599</v>
      </c>
      <c r="B3847" s="1">
        <f ca="1">IFERROR(__xludf.DUMMYFUNCTION("""COMPUTED_VALUE"""),173.7)</f>
        <v>173.7</v>
      </c>
    </row>
    <row r="3848" spans="1:2">
      <c r="A3848" s="3">
        <f ca="1">IFERROR(__xludf.DUMMYFUNCTION("""COMPUTED_VALUE"""),43936.6666666666)</f>
        <v>43936.666666666599</v>
      </c>
      <c r="B3848" s="1">
        <f ca="1">IFERROR(__xludf.DUMMYFUNCTION("""COMPUTED_VALUE"""),171.88)</f>
        <v>171.88</v>
      </c>
    </row>
    <row r="3849" spans="1:2">
      <c r="A3849" s="3">
        <f ca="1">IFERROR(__xludf.DUMMYFUNCTION("""COMPUTED_VALUE"""),43937.6666666666)</f>
        <v>43937.666666666599</v>
      </c>
      <c r="B3849" s="1">
        <f ca="1">IFERROR(__xludf.DUMMYFUNCTION("""COMPUTED_VALUE"""),177.04)</f>
        <v>177.04</v>
      </c>
    </row>
    <row r="3850" spans="1:2">
      <c r="A3850" s="3">
        <f ca="1">IFERROR(__xludf.DUMMYFUNCTION("""COMPUTED_VALUE"""),43938.6666666666)</f>
        <v>43938.666666666599</v>
      </c>
      <c r="B3850" s="1">
        <f ca="1">IFERROR(__xludf.DUMMYFUNCTION("""COMPUTED_VALUE"""),178.6)</f>
        <v>178.6</v>
      </c>
    </row>
    <row r="3851" spans="1:2">
      <c r="A3851" s="3">
        <f ca="1">IFERROR(__xludf.DUMMYFUNCTION("""COMPUTED_VALUE"""),43941.6666666666)</f>
        <v>43941.666666666599</v>
      </c>
      <c r="B3851" s="1">
        <f ca="1">IFERROR(__xludf.DUMMYFUNCTION("""COMPUTED_VALUE"""),175.06)</f>
        <v>175.06</v>
      </c>
    </row>
    <row r="3852" spans="1:2">
      <c r="A3852" s="3">
        <f ca="1">IFERROR(__xludf.DUMMYFUNCTION("""COMPUTED_VALUE"""),43942.6666666666)</f>
        <v>43942.666666666599</v>
      </c>
      <c r="B3852" s="1">
        <f ca="1">IFERROR(__xludf.DUMMYFUNCTION("""COMPUTED_VALUE"""),167.82)</f>
        <v>167.82</v>
      </c>
    </row>
    <row r="3853" spans="1:2">
      <c r="A3853" s="3">
        <f ca="1">IFERROR(__xludf.DUMMYFUNCTION("""COMPUTED_VALUE"""),43943.6666666666)</f>
        <v>43943.666666666599</v>
      </c>
      <c r="B3853" s="1">
        <f ca="1">IFERROR(__xludf.DUMMYFUNCTION("""COMPUTED_VALUE"""),173.52)</f>
        <v>173.52</v>
      </c>
    </row>
    <row r="3854" spans="1:2">
      <c r="A3854" s="3">
        <f ca="1">IFERROR(__xludf.DUMMYFUNCTION("""COMPUTED_VALUE"""),43944.6666666666)</f>
        <v>43944.666666666599</v>
      </c>
      <c r="B3854" s="1">
        <f ca="1">IFERROR(__xludf.DUMMYFUNCTION("""COMPUTED_VALUE"""),171.42)</f>
        <v>171.42</v>
      </c>
    </row>
    <row r="3855" spans="1:2">
      <c r="A3855" s="3">
        <f ca="1">IFERROR(__xludf.DUMMYFUNCTION("""COMPUTED_VALUE"""),43945.6666666666)</f>
        <v>43945.666666666599</v>
      </c>
      <c r="B3855" s="1">
        <f ca="1">IFERROR(__xludf.DUMMYFUNCTION("""COMPUTED_VALUE"""),174.55)</f>
        <v>174.55</v>
      </c>
    </row>
    <row r="3856" spans="1:2">
      <c r="A3856" s="3">
        <f ca="1">IFERROR(__xludf.DUMMYFUNCTION("""COMPUTED_VALUE"""),43948.6666666666)</f>
        <v>43948.666666666599</v>
      </c>
      <c r="B3856" s="1">
        <f ca="1">IFERROR(__xludf.DUMMYFUNCTION("""COMPUTED_VALUE"""),174.05)</f>
        <v>174.05</v>
      </c>
    </row>
    <row r="3857" spans="1:2">
      <c r="A3857" s="3">
        <f ca="1">IFERROR(__xludf.DUMMYFUNCTION("""COMPUTED_VALUE"""),43949.6666666666)</f>
        <v>43949.666666666599</v>
      </c>
      <c r="B3857" s="1">
        <f ca="1">IFERROR(__xludf.DUMMYFUNCTION("""COMPUTED_VALUE"""),169.81)</f>
        <v>169.81</v>
      </c>
    </row>
    <row r="3858" spans="1:2">
      <c r="A3858" s="3">
        <f ca="1">IFERROR(__xludf.DUMMYFUNCTION("""COMPUTED_VALUE"""),43950.6666666666)</f>
        <v>43950.666666666599</v>
      </c>
      <c r="B3858" s="1">
        <f ca="1">IFERROR(__xludf.DUMMYFUNCTION("""COMPUTED_VALUE"""),177.43)</f>
        <v>177.43</v>
      </c>
    </row>
    <row r="3859" spans="1:2">
      <c r="A3859" s="3">
        <f ca="1">IFERROR(__xludf.DUMMYFUNCTION("""COMPUTED_VALUE"""),43951.6666666666)</f>
        <v>43951.666666666599</v>
      </c>
      <c r="B3859" s="1">
        <f ca="1">IFERROR(__xludf.DUMMYFUNCTION("""COMPUTED_VALUE"""),179.21)</f>
        <v>179.21</v>
      </c>
    </row>
    <row r="3860" spans="1:2">
      <c r="A3860" s="3">
        <f ca="1">IFERROR(__xludf.DUMMYFUNCTION("""COMPUTED_VALUE"""),43952.6666666666)</f>
        <v>43952.666666666599</v>
      </c>
      <c r="B3860" s="1">
        <f ca="1">IFERROR(__xludf.DUMMYFUNCTION("""COMPUTED_VALUE"""),174.57)</f>
        <v>174.57</v>
      </c>
    </row>
    <row r="3861" spans="1:2">
      <c r="A3861" s="3">
        <f ca="1">IFERROR(__xludf.DUMMYFUNCTION("""COMPUTED_VALUE"""),43955.6666666666)</f>
        <v>43955.666666666599</v>
      </c>
      <c r="B3861" s="1">
        <f ca="1">IFERROR(__xludf.DUMMYFUNCTION("""COMPUTED_VALUE"""),178.84)</f>
        <v>178.84</v>
      </c>
    </row>
    <row r="3862" spans="1:2">
      <c r="A3862" s="3">
        <f ca="1">IFERROR(__xludf.DUMMYFUNCTION("""COMPUTED_VALUE"""),43956.6666666666)</f>
        <v>43956.666666666599</v>
      </c>
      <c r="B3862" s="1">
        <f ca="1">IFERROR(__xludf.DUMMYFUNCTION("""COMPUTED_VALUE"""),180.76)</f>
        <v>180.76</v>
      </c>
    </row>
    <row r="3863" spans="1:2">
      <c r="A3863" s="3">
        <f ca="1">IFERROR(__xludf.DUMMYFUNCTION("""COMPUTED_VALUE"""),43957.6666666666)</f>
        <v>43957.666666666599</v>
      </c>
      <c r="B3863" s="1">
        <f ca="1">IFERROR(__xludf.DUMMYFUNCTION("""COMPUTED_VALUE"""),182.54)</f>
        <v>182.54</v>
      </c>
    </row>
    <row r="3864" spans="1:2">
      <c r="A3864" s="3">
        <f ca="1">IFERROR(__xludf.DUMMYFUNCTION("""COMPUTED_VALUE"""),43958.6666666666)</f>
        <v>43958.666666666599</v>
      </c>
      <c r="B3864" s="1">
        <f ca="1">IFERROR(__xludf.DUMMYFUNCTION("""COMPUTED_VALUE"""),183.6)</f>
        <v>183.6</v>
      </c>
    </row>
    <row r="3865" spans="1:2">
      <c r="A3865" s="3">
        <f ca="1">IFERROR(__xludf.DUMMYFUNCTION("""COMPUTED_VALUE"""),43959.6666666666)</f>
        <v>43959.666666666599</v>
      </c>
      <c r="B3865" s="1">
        <f ca="1">IFERROR(__xludf.DUMMYFUNCTION("""COMPUTED_VALUE"""),184.68)</f>
        <v>184.68</v>
      </c>
    </row>
    <row r="3866" spans="1:2">
      <c r="A3866" s="3">
        <f ca="1">IFERROR(__xludf.DUMMYFUNCTION("""COMPUTED_VALUE"""),43962.6666666666)</f>
        <v>43962.666666666599</v>
      </c>
      <c r="B3866" s="1">
        <f ca="1">IFERROR(__xludf.DUMMYFUNCTION("""COMPUTED_VALUE"""),186.74)</f>
        <v>186.74</v>
      </c>
    </row>
    <row r="3867" spans="1:2">
      <c r="A3867" s="3">
        <f ca="1">IFERROR(__xludf.DUMMYFUNCTION("""COMPUTED_VALUE"""),43963.6666666666)</f>
        <v>43963.666666666599</v>
      </c>
      <c r="B3867" s="1">
        <f ca="1">IFERROR(__xludf.DUMMYFUNCTION("""COMPUTED_VALUE"""),182.51)</f>
        <v>182.51</v>
      </c>
    </row>
    <row r="3868" spans="1:2">
      <c r="A3868" s="3">
        <f ca="1">IFERROR(__xludf.DUMMYFUNCTION("""COMPUTED_VALUE"""),43964.6666666666)</f>
        <v>43964.666666666599</v>
      </c>
      <c r="B3868" s="1">
        <f ca="1">IFERROR(__xludf.DUMMYFUNCTION("""COMPUTED_VALUE"""),179.75)</f>
        <v>179.75</v>
      </c>
    </row>
    <row r="3869" spans="1:2">
      <c r="A3869" s="3">
        <f ca="1">IFERROR(__xludf.DUMMYFUNCTION("""COMPUTED_VALUE"""),43965.6666666666)</f>
        <v>43965.666666666599</v>
      </c>
      <c r="B3869" s="1">
        <f ca="1">IFERROR(__xludf.DUMMYFUNCTION("""COMPUTED_VALUE"""),180.53)</f>
        <v>180.53</v>
      </c>
    </row>
    <row r="3870" spans="1:2">
      <c r="A3870" s="3">
        <f ca="1">IFERROR(__xludf.DUMMYFUNCTION("""COMPUTED_VALUE"""),43966.6666666666)</f>
        <v>43966.666666666599</v>
      </c>
      <c r="B3870" s="1">
        <f ca="1">IFERROR(__xludf.DUMMYFUNCTION("""COMPUTED_VALUE"""),183.16)</f>
        <v>183.16</v>
      </c>
    </row>
    <row r="3871" spans="1:2">
      <c r="A3871" s="3">
        <f ca="1">IFERROR(__xludf.DUMMYFUNCTION("""COMPUTED_VALUE"""),43969.6666666666)</f>
        <v>43969.666666666599</v>
      </c>
      <c r="B3871" s="1">
        <f ca="1">IFERROR(__xludf.DUMMYFUNCTION("""COMPUTED_VALUE"""),184.91)</f>
        <v>184.91</v>
      </c>
    </row>
    <row r="3872" spans="1:2">
      <c r="A3872" s="3">
        <f ca="1">IFERROR(__xludf.DUMMYFUNCTION("""COMPUTED_VALUE"""),43970.6666666666)</f>
        <v>43970.666666666599</v>
      </c>
      <c r="B3872" s="1">
        <f ca="1">IFERROR(__xludf.DUMMYFUNCTION("""COMPUTED_VALUE"""),183.63)</f>
        <v>183.63</v>
      </c>
    </row>
    <row r="3873" spans="1:2">
      <c r="A3873" s="3">
        <f ca="1">IFERROR(__xludf.DUMMYFUNCTION("""COMPUTED_VALUE"""),43971.6666666666)</f>
        <v>43971.666666666599</v>
      </c>
      <c r="B3873" s="1">
        <f ca="1">IFERROR(__xludf.DUMMYFUNCTION("""COMPUTED_VALUE"""),185.66)</f>
        <v>185.66</v>
      </c>
    </row>
    <row r="3874" spans="1:2">
      <c r="A3874" s="3">
        <f ca="1">IFERROR(__xludf.DUMMYFUNCTION("""COMPUTED_VALUE"""),43972.6666666666)</f>
        <v>43972.666666666599</v>
      </c>
      <c r="B3874" s="1">
        <f ca="1">IFERROR(__xludf.DUMMYFUNCTION("""COMPUTED_VALUE"""),183.43)</f>
        <v>183.43</v>
      </c>
    </row>
    <row r="3875" spans="1:2">
      <c r="A3875" s="3">
        <f ca="1">IFERROR(__xludf.DUMMYFUNCTION("""COMPUTED_VALUE"""),43973.6666666666)</f>
        <v>43973.666666666599</v>
      </c>
      <c r="B3875" s="1">
        <f ca="1">IFERROR(__xludf.DUMMYFUNCTION("""COMPUTED_VALUE"""),183.51)</f>
        <v>183.51</v>
      </c>
    </row>
    <row r="3876" spans="1:2">
      <c r="A3876" s="3">
        <f ca="1">IFERROR(__xludf.DUMMYFUNCTION("""COMPUTED_VALUE"""),43977.6666666666)</f>
        <v>43977.666666666599</v>
      </c>
      <c r="B3876" s="1">
        <f ca="1">IFERROR(__xludf.DUMMYFUNCTION("""COMPUTED_VALUE"""),181.57)</f>
        <v>181.57</v>
      </c>
    </row>
    <row r="3877" spans="1:2">
      <c r="A3877" s="3">
        <f ca="1">IFERROR(__xludf.DUMMYFUNCTION("""COMPUTED_VALUE"""),43978.6666666666)</f>
        <v>43978.666666666599</v>
      </c>
      <c r="B3877" s="1">
        <f ca="1">IFERROR(__xludf.DUMMYFUNCTION("""COMPUTED_VALUE"""),181.81)</f>
        <v>181.81</v>
      </c>
    </row>
    <row r="3878" spans="1:2">
      <c r="A3878" s="3">
        <f ca="1">IFERROR(__xludf.DUMMYFUNCTION("""COMPUTED_VALUE"""),43979.6666666666)</f>
        <v>43979.666666666599</v>
      </c>
      <c r="B3878" s="1">
        <f ca="1">IFERROR(__xludf.DUMMYFUNCTION("""COMPUTED_VALUE"""),181.4)</f>
        <v>181.4</v>
      </c>
    </row>
    <row r="3879" spans="1:2">
      <c r="A3879" s="3">
        <f ca="1">IFERROR(__xludf.DUMMYFUNCTION("""COMPUTED_VALUE"""),43980.6666666666)</f>
        <v>43980.666666666599</v>
      </c>
      <c r="B3879" s="1">
        <f ca="1">IFERROR(__xludf.DUMMYFUNCTION("""COMPUTED_VALUE"""),183.25)</f>
        <v>183.25</v>
      </c>
    </row>
    <row r="3880" spans="1:2">
      <c r="A3880" s="3">
        <f ca="1">IFERROR(__xludf.DUMMYFUNCTION("""COMPUTED_VALUE"""),43983.6666666666)</f>
        <v>43983.666666666599</v>
      </c>
      <c r="B3880" s="1">
        <f ca="1">IFERROR(__xludf.DUMMYFUNCTION("""COMPUTED_VALUE"""),182.83)</f>
        <v>182.83</v>
      </c>
    </row>
    <row r="3881" spans="1:2">
      <c r="A3881" s="3">
        <f ca="1">IFERROR(__xludf.DUMMYFUNCTION("""COMPUTED_VALUE"""),43984.6666666666)</f>
        <v>43984.666666666599</v>
      </c>
      <c r="B3881" s="1">
        <f ca="1">IFERROR(__xludf.DUMMYFUNCTION("""COMPUTED_VALUE"""),184.91)</f>
        <v>184.91</v>
      </c>
    </row>
    <row r="3882" spans="1:2">
      <c r="A3882" s="3">
        <f ca="1">IFERROR(__xludf.DUMMYFUNCTION("""COMPUTED_VALUE"""),43985.6666666666)</f>
        <v>43985.666666666599</v>
      </c>
      <c r="B3882" s="1">
        <f ca="1">IFERROR(__xludf.DUMMYFUNCTION("""COMPUTED_VALUE"""),185.36)</f>
        <v>185.36</v>
      </c>
    </row>
    <row r="3883" spans="1:2">
      <c r="A3883" s="3">
        <f ca="1">IFERROR(__xludf.DUMMYFUNCTION("""COMPUTED_VALUE"""),43986.6666666666)</f>
        <v>43986.666666666599</v>
      </c>
      <c r="B3883" s="1">
        <f ca="1">IFERROR(__xludf.DUMMYFUNCTION("""COMPUTED_VALUE"""),182.92)</f>
        <v>182.92</v>
      </c>
    </row>
    <row r="3884" spans="1:2">
      <c r="A3884" s="3">
        <f ca="1">IFERROR(__xludf.DUMMYFUNCTION("""COMPUTED_VALUE"""),43987.6666666666)</f>
        <v>43987.666666666599</v>
      </c>
      <c r="B3884" s="1">
        <f ca="1">IFERROR(__xludf.DUMMYFUNCTION("""COMPUTED_VALUE"""),187.2)</f>
        <v>187.2</v>
      </c>
    </row>
    <row r="3885" spans="1:2">
      <c r="A3885" s="3">
        <f ca="1">IFERROR(__xludf.DUMMYFUNCTION("""COMPUTED_VALUE"""),43990.6666666666)</f>
        <v>43990.666666666599</v>
      </c>
      <c r="B3885" s="1">
        <f ca="1">IFERROR(__xludf.DUMMYFUNCTION("""COMPUTED_VALUE"""),188.36)</f>
        <v>188.36</v>
      </c>
    </row>
    <row r="3886" spans="1:2">
      <c r="A3886" s="3">
        <f ca="1">IFERROR(__xludf.DUMMYFUNCTION("""COMPUTED_VALUE"""),43991.6666666666)</f>
        <v>43991.666666666599</v>
      </c>
      <c r="B3886" s="1">
        <f ca="1">IFERROR(__xludf.DUMMYFUNCTION("""COMPUTED_VALUE"""),189.8)</f>
        <v>189.8</v>
      </c>
    </row>
    <row r="3887" spans="1:2">
      <c r="A3887" s="3">
        <f ca="1">IFERROR(__xludf.DUMMYFUNCTION("""COMPUTED_VALUE"""),43992.6666666666)</f>
        <v>43992.666666666599</v>
      </c>
      <c r="B3887" s="1">
        <f ca="1">IFERROR(__xludf.DUMMYFUNCTION("""COMPUTED_VALUE"""),196.84)</f>
        <v>196.84</v>
      </c>
    </row>
    <row r="3888" spans="1:2">
      <c r="A3888" s="3">
        <f ca="1">IFERROR(__xludf.DUMMYFUNCTION("""COMPUTED_VALUE"""),43993.6666666666)</f>
        <v>43993.666666666599</v>
      </c>
      <c r="B3888" s="1">
        <f ca="1">IFERROR(__xludf.DUMMYFUNCTION("""COMPUTED_VALUE"""),186.27)</f>
        <v>186.27</v>
      </c>
    </row>
    <row r="3889" spans="1:2">
      <c r="A3889" s="3">
        <f ca="1">IFERROR(__xludf.DUMMYFUNCTION("""COMPUTED_VALUE"""),43994.6666666666)</f>
        <v>43994.666666666599</v>
      </c>
      <c r="B3889" s="1">
        <f ca="1">IFERROR(__xludf.DUMMYFUNCTION("""COMPUTED_VALUE"""),187.74)</f>
        <v>187.74</v>
      </c>
    </row>
    <row r="3890" spans="1:2">
      <c r="A3890" s="3">
        <f ca="1">IFERROR(__xludf.DUMMYFUNCTION("""COMPUTED_VALUE"""),43997.6666666666)</f>
        <v>43997.666666666599</v>
      </c>
      <c r="B3890" s="1">
        <f ca="1">IFERROR(__xludf.DUMMYFUNCTION("""COMPUTED_VALUE"""),188.94)</f>
        <v>188.94</v>
      </c>
    </row>
    <row r="3891" spans="1:2">
      <c r="A3891" s="3">
        <f ca="1">IFERROR(__xludf.DUMMYFUNCTION("""COMPUTED_VALUE"""),43998.6666666666)</f>
        <v>43998.666666666599</v>
      </c>
      <c r="B3891" s="1">
        <f ca="1">IFERROR(__xludf.DUMMYFUNCTION("""COMPUTED_VALUE"""),193.57)</f>
        <v>193.57</v>
      </c>
    </row>
    <row r="3892" spans="1:2">
      <c r="A3892" s="3">
        <f ca="1">IFERROR(__xludf.DUMMYFUNCTION("""COMPUTED_VALUE"""),43999.6666666666)</f>
        <v>43999.666666666599</v>
      </c>
      <c r="B3892" s="1">
        <f ca="1">IFERROR(__xludf.DUMMYFUNCTION("""COMPUTED_VALUE"""),194.24)</f>
        <v>194.24</v>
      </c>
    </row>
    <row r="3893" spans="1:2">
      <c r="A3893" s="3">
        <f ca="1">IFERROR(__xludf.DUMMYFUNCTION("""COMPUTED_VALUE"""),44000.6666666666)</f>
        <v>44000.666666666599</v>
      </c>
      <c r="B3893" s="1">
        <f ca="1">IFERROR(__xludf.DUMMYFUNCTION("""COMPUTED_VALUE"""),196.32)</f>
        <v>196.32</v>
      </c>
    </row>
    <row r="3894" spans="1:2">
      <c r="A3894" s="3">
        <f ca="1">IFERROR(__xludf.DUMMYFUNCTION("""COMPUTED_VALUE"""),44001.6666666666)</f>
        <v>44001.666666666599</v>
      </c>
      <c r="B3894" s="1">
        <f ca="1">IFERROR(__xludf.DUMMYFUNCTION("""COMPUTED_VALUE"""),195.15)</f>
        <v>195.15</v>
      </c>
    </row>
    <row r="3895" spans="1:2">
      <c r="A3895" s="3">
        <f ca="1">IFERROR(__xludf.DUMMYFUNCTION("""COMPUTED_VALUE"""),44004.6666666666)</f>
        <v>44004.666666666599</v>
      </c>
      <c r="B3895" s="1">
        <f ca="1">IFERROR(__xludf.DUMMYFUNCTION("""COMPUTED_VALUE"""),200.57)</f>
        <v>200.57</v>
      </c>
    </row>
    <row r="3896" spans="1:2">
      <c r="A3896" s="3">
        <f ca="1">IFERROR(__xludf.DUMMYFUNCTION("""COMPUTED_VALUE"""),44005.6666666666)</f>
        <v>44005.666666666599</v>
      </c>
      <c r="B3896" s="1">
        <f ca="1">IFERROR(__xludf.DUMMYFUNCTION("""COMPUTED_VALUE"""),201.91)</f>
        <v>201.91</v>
      </c>
    </row>
    <row r="3897" spans="1:2">
      <c r="A3897" s="3">
        <f ca="1">IFERROR(__xludf.DUMMYFUNCTION("""COMPUTED_VALUE"""),44006.6666666666)</f>
        <v>44006.666666666599</v>
      </c>
      <c r="B3897" s="1">
        <f ca="1">IFERROR(__xludf.DUMMYFUNCTION("""COMPUTED_VALUE"""),197.84)</f>
        <v>197.84</v>
      </c>
    </row>
    <row r="3898" spans="1:2">
      <c r="A3898" s="3">
        <f ca="1">IFERROR(__xludf.DUMMYFUNCTION("""COMPUTED_VALUE"""),44007.6666666666)</f>
        <v>44007.666666666599</v>
      </c>
      <c r="B3898" s="1">
        <f ca="1">IFERROR(__xludf.DUMMYFUNCTION("""COMPUTED_VALUE"""),200.34)</f>
        <v>200.34</v>
      </c>
    </row>
    <row r="3899" spans="1:2">
      <c r="A3899" s="3">
        <f ca="1">IFERROR(__xludf.DUMMYFUNCTION("""COMPUTED_VALUE"""),44008.6666666666)</f>
        <v>44008.666666666599</v>
      </c>
      <c r="B3899" s="1">
        <f ca="1">IFERROR(__xludf.DUMMYFUNCTION("""COMPUTED_VALUE"""),196.33)</f>
        <v>196.33</v>
      </c>
    </row>
    <row r="3900" spans="1:2">
      <c r="A3900" s="3">
        <f ca="1">IFERROR(__xludf.DUMMYFUNCTION("""COMPUTED_VALUE"""),44011.6666666666)</f>
        <v>44011.666666666599</v>
      </c>
      <c r="B3900" s="1">
        <f ca="1">IFERROR(__xludf.DUMMYFUNCTION("""COMPUTED_VALUE"""),198.44)</f>
        <v>198.44</v>
      </c>
    </row>
    <row r="3901" spans="1:2">
      <c r="A3901" s="3">
        <f ca="1">IFERROR(__xludf.DUMMYFUNCTION("""COMPUTED_VALUE"""),44012.6666666666)</f>
        <v>44012.666666666599</v>
      </c>
      <c r="B3901" s="1">
        <f ca="1">IFERROR(__xludf.DUMMYFUNCTION("""COMPUTED_VALUE"""),203.51)</f>
        <v>203.51</v>
      </c>
    </row>
    <row r="3902" spans="1:2">
      <c r="A3902" s="3">
        <f ca="1">IFERROR(__xludf.DUMMYFUNCTION("""COMPUTED_VALUE"""),44013.6666666666)</f>
        <v>44013.666666666599</v>
      </c>
      <c r="B3902" s="1">
        <f ca="1">IFERROR(__xludf.DUMMYFUNCTION("""COMPUTED_VALUE"""),204.7)</f>
        <v>204.7</v>
      </c>
    </row>
    <row r="3903" spans="1:2">
      <c r="A3903" s="3">
        <f ca="1">IFERROR(__xludf.DUMMYFUNCTION("""COMPUTED_VALUE"""),44014.6666666666)</f>
        <v>44014.666666666599</v>
      </c>
      <c r="B3903" s="1">
        <f ca="1">IFERROR(__xludf.DUMMYFUNCTION("""COMPUTED_VALUE"""),206.26)</f>
        <v>206.26</v>
      </c>
    </row>
    <row r="3904" spans="1:2">
      <c r="A3904" s="3">
        <f ca="1">IFERROR(__xludf.DUMMYFUNCTION("""COMPUTED_VALUE"""),44018.6666666666)</f>
        <v>44018.666666666599</v>
      </c>
      <c r="B3904" s="1">
        <f ca="1">IFERROR(__xludf.DUMMYFUNCTION("""COMPUTED_VALUE"""),210.7)</f>
        <v>210.7</v>
      </c>
    </row>
    <row r="3905" spans="1:2">
      <c r="A3905" s="3">
        <f ca="1">IFERROR(__xludf.DUMMYFUNCTION("""COMPUTED_VALUE"""),44019.6666666666)</f>
        <v>44019.666666666599</v>
      </c>
      <c r="B3905" s="1">
        <f ca="1">IFERROR(__xludf.DUMMYFUNCTION("""COMPUTED_VALUE"""),208.25)</f>
        <v>208.25</v>
      </c>
    </row>
    <row r="3906" spans="1:2">
      <c r="A3906" s="3">
        <f ca="1">IFERROR(__xludf.DUMMYFUNCTION("""COMPUTED_VALUE"""),44020.6666666666)</f>
        <v>44020.666666666599</v>
      </c>
      <c r="B3906" s="1">
        <f ca="1">IFERROR(__xludf.DUMMYFUNCTION("""COMPUTED_VALUE"""),212.83)</f>
        <v>212.83</v>
      </c>
    </row>
    <row r="3907" spans="1:2">
      <c r="A3907" s="3">
        <f ca="1">IFERROR(__xludf.DUMMYFUNCTION("""COMPUTED_VALUE"""),44021.6666666666)</f>
        <v>44021.666666666599</v>
      </c>
      <c r="B3907" s="1">
        <f ca="1">IFERROR(__xludf.DUMMYFUNCTION("""COMPUTED_VALUE"""),214.32)</f>
        <v>214.32</v>
      </c>
    </row>
    <row r="3908" spans="1:2">
      <c r="A3908" s="3">
        <f ca="1">IFERROR(__xludf.DUMMYFUNCTION("""COMPUTED_VALUE"""),44022.6666666666)</f>
        <v>44022.666666666599</v>
      </c>
      <c r="B3908" s="1">
        <f ca="1">IFERROR(__xludf.DUMMYFUNCTION("""COMPUTED_VALUE"""),213.67)</f>
        <v>213.67</v>
      </c>
    </row>
    <row r="3909" spans="1:2">
      <c r="A3909" s="3">
        <f ca="1">IFERROR(__xludf.DUMMYFUNCTION("""COMPUTED_VALUE"""),44025.6666666666)</f>
        <v>44025.666666666599</v>
      </c>
      <c r="B3909" s="1">
        <f ca="1">IFERROR(__xludf.DUMMYFUNCTION("""COMPUTED_VALUE"""),207.07)</f>
        <v>207.07</v>
      </c>
    </row>
    <row r="3910" spans="1:2">
      <c r="A3910" s="3">
        <f ca="1">IFERROR(__xludf.DUMMYFUNCTION("""COMPUTED_VALUE"""),44026.6666666666)</f>
        <v>44026.666666666599</v>
      </c>
      <c r="B3910" s="1">
        <f ca="1">IFERROR(__xludf.DUMMYFUNCTION("""COMPUTED_VALUE"""),208.35)</f>
        <v>208.35</v>
      </c>
    </row>
    <row r="3911" spans="1:2">
      <c r="A3911" s="3">
        <f ca="1">IFERROR(__xludf.DUMMYFUNCTION("""COMPUTED_VALUE"""),44027.6666666666)</f>
        <v>44027.666666666599</v>
      </c>
      <c r="B3911" s="1">
        <f ca="1">IFERROR(__xludf.DUMMYFUNCTION("""COMPUTED_VALUE"""),208.04)</f>
        <v>208.04</v>
      </c>
    </row>
    <row r="3912" spans="1:2">
      <c r="A3912" s="3">
        <f ca="1">IFERROR(__xludf.DUMMYFUNCTION("""COMPUTED_VALUE"""),44028.6666666666)</f>
        <v>44028.666666666599</v>
      </c>
      <c r="B3912" s="1">
        <f ca="1">IFERROR(__xludf.DUMMYFUNCTION("""COMPUTED_VALUE"""),203.92)</f>
        <v>203.92</v>
      </c>
    </row>
    <row r="3913" spans="1:2">
      <c r="A3913" s="3">
        <f ca="1">IFERROR(__xludf.DUMMYFUNCTION("""COMPUTED_VALUE"""),44029.6666666666)</f>
        <v>44029.666666666599</v>
      </c>
      <c r="B3913" s="1">
        <f ca="1">IFERROR(__xludf.DUMMYFUNCTION("""COMPUTED_VALUE"""),202.88)</f>
        <v>202.88</v>
      </c>
    </row>
    <row r="3914" spans="1:2">
      <c r="A3914" s="3">
        <f ca="1">IFERROR(__xludf.DUMMYFUNCTION("""COMPUTED_VALUE"""),44032.6666666666)</f>
        <v>44032.666666666599</v>
      </c>
      <c r="B3914" s="1">
        <f ca="1">IFERROR(__xludf.DUMMYFUNCTION("""COMPUTED_VALUE"""),211.6)</f>
        <v>211.6</v>
      </c>
    </row>
    <row r="3915" spans="1:2">
      <c r="A3915" s="3">
        <f ca="1">IFERROR(__xludf.DUMMYFUNCTION("""COMPUTED_VALUE"""),44033.6666666666)</f>
        <v>44033.666666666599</v>
      </c>
      <c r="B3915" s="1">
        <f ca="1">IFERROR(__xludf.DUMMYFUNCTION("""COMPUTED_VALUE"""),208.75)</f>
        <v>208.75</v>
      </c>
    </row>
    <row r="3916" spans="1:2">
      <c r="A3916" s="3">
        <f ca="1">IFERROR(__xludf.DUMMYFUNCTION("""COMPUTED_VALUE"""),44034.6666666666)</f>
        <v>44034.666666666599</v>
      </c>
      <c r="B3916" s="1">
        <f ca="1">IFERROR(__xludf.DUMMYFUNCTION("""COMPUTED_VALUE"""),211.75)</f>
        <v>211.75</v>
      </c>
    </row>
    <row r="3917" spans="1:2">
      <c r="A3917" s="3">
        <f ca="1">IFERROR(__xludf.DUMMYFUNCTION("""COMPUTED_VALUE"""),44035.6666666666)</f>
        <v>44035.666666666599</v>
      </c>
      <c r="B3917" s="1">
        <f ca="1">IFERROR(__xludf.DUMMYFUNCTION("""COMPUTED_VALUE"""),202.54)</f>
        <v>202.54</v>
      </c>
    </row>
    <row r="3918" spans="1:2">
      <c r="A3918" s="3">
        <f ca="1">IFERROR(__xludf.DUMMYFUNCTION("""COMPUTED_VALUE"""),44036.6666666666)</f>
        <v>44036.666666666599</v>
      </c>
      <c r="B3918" s="1">
        <f ca="1">IFERROR(__xludf.DUMMYFUNCTION("""COMPUTED_VALUE"""),201.3)</f>
        <v>201.3</v>
      </c>
    </row>
    <row r="3919" spans="1:2">
      <c r="A3919" s="3">
        <f ca="1">IFERROR(__xludf.DUMMYFUNCTION("""COMPUTED_VALUE"""),44039.6666666666)</f>
        <v>44039.666666666599</v>
      </c>
      <c r="B3919" s="1">
        <f ca="1">IFERROR(__xludf.DUMMYFUNCTION("""COMPUTED_VALUE"""),203.85)</f>
        <v>203.85</v>
      </c>
    </row>
    <row r="3920" spans="1:2">
      <c r="A3920" s="3">
        <f ca="1">IFERROR(__xludf.DUMMYFUNCTION("""COMPUTED_VALUE"""),44040.6666666666)</f>
        <v>44040.666666666599</v>
      </c>
      <c r="B3920" s="1">
        <f ca="1">IFERROR(__xludf.DUMMYFUNCTION("""COMPUTED_VALUE"""),202.02)</f>
        <v>202.02</v>
      </c>
    </row>
    <row r="3921" spans="1:2">
      <c r="A3921" s="3">
        <f ca="1">IFERROR(__xludf.DUMMYFUNCTION("""COMPUTED_VALUE"""),44041.6666666666)</f>
        <v>44041.666666666599</v>
      </c>
      <c r="B3921" s="1">
        <f ca="1">IFERROR(__xludf.DUMMYFUNCTION("""COMPUTED_VALUE"""),204.06)</f>
        <v>204.06</v>
      </c>
    </row>
    <row r="3922" spans="1:2">
      <c r="A3922" s="3">
        <f ca="1">IFERROR(__xludf.DUMMYFUNCTION("""COMPUTED_VALUE"""),44042.6666666666)</f>
        <v>44042.666666666599</v>
      </c>
      <c r="B3922" s="1">
        <f ca="1">IFERROR(__xludf.DUMMYFUNCTION("""COMPUTED_VALUE"""),203.9)</f>
        <v>203.9</v>
      </c>
    </row>
    <row r="3923" spans="1:2">
      <c r="A3923" s="3">
        <f ca="1">IFERROR(__xludf.DUMMYFUNCTION("""COMPUTED_VALUE"""),44043.6666666666)</f>
        <v>44043.666666666599</v>
      </c>
      <c r="B3923" s="1">
        <f ca="1">IFERROR(__xludf.DUMMYFUNCTION("""COMPUTED_VALUE"""),205.01)</f>
        <v>205.01</v>
      </c>
    </row>
    <row r="3924" spans="1:2">
      <c r="A3924" s="3">
        <f ca="1">IFERROR(__xludf.DUMMYFUNCTION("""COMPUTED_VALUE"""),44046.6666666666)</f>
        <v>44046.666666666599</v>
      </c>
      <c r="B3924" s="1">
        <f ca="1">IFERROR(__xludf.DUMMYFUNCTION("""COMPUTED_VALUE"""),216.54)</f>
        <v>216.54</v>
      </c>
    </row>
    <row r="3925" spans="1:2">
      <c r="A3925" s="3">
        <f ca="1">IFERROR(__xludf.DUMMYFUNCTION("""COMPUTED_VALUE"""),44047.6666666666)</f>
        <v>44047.666666666599</v>
      </c>
      <c r="B3925" s="1">
        <f ca="1">IFERROR(__xludf.DUMMYFUNCTION("""COMPUTED_VALUE"""),213.29)</f>
        <v>213.29</v>
      </c>
    </row>
    <row r="3926" spans="1:2">
      <c r="A3926" s="3">
        <f ca="1">IFERROR(__xludf.DUMMYFUNCTION("""COMPUTED_VALUE"""),44048.6666666666)</f>
        <v>44048.666666666599</v>
      </c>
      <c r="B3926" s="1">
        <f ca="1">IFERROR(__xludf.DUMMYFUNCTION("""COMPUTED_VALUE"""),212.94)</f>
        <v>212.94</v>
      </c>
    </row>
    <row r="3927" spans="1:2">
      <c r="A3927" s="3">
        <f ca="1">IFERROR(__xludf.DUMMYFUNCTION("""COMPUTED_VALUE"""),44049.6666666666)</f>
        <v>44049.666666666599</v>
      </c>
      <c r="B3927" s="1">
        <f ca="1">IFERROR(__xludf.DUMMYFUNCTION("""COMPUTED_VALUE"""),216.35)</f>
        <v>216.35</v>
      </c>
    </row>
    <row r="3928" spans="1:2">
      <c r="A3928" s="3">
        <f ca="1">IFERROR(__xludf.DUMMYFUNCTION("""COMPUTED_VALUE"""),44050.6666666666)</f>
        <v>44050.666666666599</v>
      </c>
      <c r="B3928" s="1">
        <f ca="1">IFERROR(__xludf.DUMMYFUNCTION("""COMPUTED_VALUE"""),212.48)</f>
        <v>212.48</v>
      </c>
    </row>
    <row r="3929" spans="1:2">
      <c r="A3929" s="3">
        <f ca="1">IFERROR(__xludf.DUMMYFUNCTION("""COMPUTED_VALUE"""),44053.6666666666)</f>
        <v>44053.666666666599</v>
      </c>
      <c r="B3929" s="1">
        <f ca="1">IFERROR(__xludf.DUMMYFUNCTION("""COMPUTED_VALUE"""),208.25)</f>
        <v>208.25</v>
      </c>
    </row>
    <row r="3930" spans="1:2">
      <c r="A3930" s="3">
        <f ca="1">IFERROR(__xludf.DUMMYFUNCTION("""COMPUTED_VALUE"""),44054.6666666666)</f>
        <v>44054.666666666599</v>
      </c>
      <c r="B3930" s="1">
        <f ca="1">IFERROR(__xludf.DUMMYFUNCTION("""COMPUTED_VALUE"""),203.38)</f>
        <v>203.38</v>
      </c>
    </row>
    <row r="3931" spans="1:2">
      <c r="A3931" s="3">
        <f ca="1">IFERROR(__xludf.DUMMYFUNCTION("""COMPUTED_VALUE"""),44055.6666666666)</f>
        <v>44055.666666666599</v>
      </c>
      <c r="B3931" s="1">
        <f ca="1">IFERROR(__xludf.DUMMYFUNCTION("""COMPUTED_VALUE"""),209.19)</f>
        <v>209.19</v>
      </c>
    </row>
    <row r="3932" spans="1:2">
      <c r="A3932" s="3">
        <f ca="1">IFERROR(__xludf.DUMMYFUNCTION("""COMPUTED_VALUE"""),44056.6666666666)</f>
        <v>44056.666666666599</v>
      </c>
      <c r="B3932" s="1">
        <f ca="1">IFERROR(__xludf.DUMMYFUNCTION("""COMPUTED_VALUE"""),208.7)</f>
        <v>208.7</v>
      </c>
    </row>
    <row r="3933" spans="1:2">
      <c r="A3933" s="3">
        <f ca="1">IFERROR(__xludf.DUMMYFUNCTION("""COMPUTED_VALUE"""),44057.6666666666)</f>
        <v>44057.666666666599</v>
      </c>
      <c r="B3933" s="1">
        <f ca="1">IFERROR(__xludf.DUMMYFUNCTION("""COMPUTED_VALUE"""),208.9)</f>
        <v>208.9</v>
      </c>
    </row>
    <row r="3934" spans="1:2">
      <c r="A3934" s="3">
        <f ca="1">IFERROR(__xludf.DUMMYFUNCTION("""COMPUTED_VALUE"""),44060.6666666666)</f>
        <v>44060.666666666599</v>
      </c>
      <c r="B3934" s="1">
        <f ca="1">IFERROR(__xludf.DUMMYFUNCTION("""COMPUTED_VALUE"""),210.28)</f>
        <v>210.28</v>
      </c>
    </row>
    <row r="3935" spans="1:2">
      <c r="A3935" s="3">
        <f ca="1">IFERROR(__xludf.DUMMYFUNCTION("""COMPUTED_VALUE"""),44061.6666666666)</f>
        <v>44061.666666666599</v>
      </c>
      <c r="B3935" s="1">
        <f ca="1">IFERROR(__xludf.DUMMYFUNCTION("""COMPUTED_VALUE"""),211.49)</f>
        <v>211.49</v>
      </c>
    </row>
    <row r="3936" spans="1:2">
      <c r="A3936" s="3">
        <f ca="1">IFERROR(__xludf.DUMMYFUNCTION("""COMPUTED_VALUE"""),44062.6666666666)</f>
        <v>44062.666666666599</v>
      </c>
      <c r="B3936" s="1">
        <f ca="1">IFERROR(__xludf.DUMMYFUNCTION("""COMPUTED_VALUE"""),209.7)</f>
        <v>209.7</v>
      </c>
    </row>
    <row r="3937" spans="1:2">
      <c r="A3937" s="3">
        <f ca="1">IFERROR(__xludf.DUMMYFUNCTION("""COMPUTED_VALUE"""),44063.6666666666)</f>
        <v>44063.666666666599</v>
      </c>
      <c r="B3937" s="1">
        <f ca="1">IFERROR(__xludf.DUMMYFUNCTION("""COMPUTED_VALUE"""),214.58)</f>
        <v>214.58</v>
      </c>
    </row>
    <row r="3938" spans="1:2">
      <c r="A3938" s="3">
        <f ca="1">IFERROR(__xludf.DUMMYFUNCTION("""COMPUTED_VALUE"""),44064.6666666666)</f>
        <v>44064.666666666599</v>
      </c>
      <c r="B3938" s="1">
        <f ca="1">IFERROR(__xludf.DUMMYFUNCTION("""COMPUTED_VALUE"""),213.02)</f>
        <v>213.02</v>
      </c>
    </row>
    <row r="3939" spans="1:2">
      <c r="A3939" s="3">
        <f ca="1">IFERROR(__xludf.DUMMYFUNCTION("""COMPUTED_VALUE"""),44067.6666666666)</f>
        <v>44067.666666666599</v>
      </c>
      <c r="B3939" s="1">
        <f ca="1">IFERROR(__xludf.DUMMYFUNCTION("""COMPUTED_VALUE"""),213.69)</f>
        <v>213.69</v>
      </c>
    </row>
    <row r="3940" spans="1:2">
      <c r="A3940" s="3">
        <f ca="1">IFERROR(__xludf.DUMMYFUNCTION("""COMPUTED_VALUE"""),44068.6666666666)</f>
        <v>44068.666666666599</v>
      </c>
      <c r="B3940" s="1">
        <f ca="1">IFERROR(__xludf.DUMMYFUNCTION("""COMPUTED_VALUE"""),216.47)</f>
        <v>216.47</v>
      </c>
    </row>
    <row r="3941" spans="1:2">
      <c r="A3941" s="3">
        <f ca="1">IFERROR(__xludf.DUMMYFUNCTION("""COMPUTED_VALUE"""),44069.6666666666)</f>
        <v>44069.666666666599</v>
      </c>
      <c r="B3941" s="1">
        <f ca="1">IFERROR(__xludf.DUMMYFUNCTION("""COMPUTED_VALUE"""),221.15)</f>
        <v>221.15</v>
      </c>
    </row>
    <row r="3942" spans="1:2">
      <c r="A3942" s="3">
        <f ca="1">IFERROR(__xludf.DUMMYFUNCTION("""COMPUTED_VALUE"""),44070.6666666666)</f>
        <v>44070.666666666599</v>
      </c>
      <c r="B3942" s="1">
        <f ca="1">IFERROR(__xludf.DUMMYFUNCTION("""COMPUTED_VALUE"""),226.58)</f>
        <v>226.58</v>
      </c>
    </row>
    <row r="3943" spans="1:2">
      <c r="A3943" s="3">
        <f ca="1">IFERROR(__xludf.DUMMYFUNCTION("""COMPUTED_VALUE"""),44071.6666666666)</f>
        <v>44071.666666666599</v>
      </c>
      <c r="B3943" s="1">
        <f ca="1">IFERROR(__xludf.DUMMYFUNCTION("""COMPUTED_VALUE"""),228.91)</f>
        <v>228.91</v>
      </c>
    </row>
    <row r="3944" spans="1:2">
      <c r="A3944" s="3">
        <f ca="1">IFERROR(__xludf.DUMMYFUNCTION("""COMPUTED_VALUE"""),44074.6666666666)</f>
        <v>44074.666666666599</v>
      </c>
      <c r="B3944" s="1">
        <f ca="1">IFERROR(__xludf.DUMMYFUNCTION("""COMPUTED_VALUE"""),225.53)</f>
        <v>225.53</v>
      </c>
    </row>
    <row r="3945" spans="1:2">
      <c r="A3945" s="3">
        <f ca="1">IFERROR(__xludf.DUMMYFUNCTION("""COMPUTED_VALUE"""),44075.6666666666)</f>
        <v>44075.666666666599</v>
      </c>
      <c r="B3945" s="1">
        <f ca="1">IFERROR(__xludf.DUMMYFUNCTION("""COMPUTED_VALUE"""),227.27)</f>
        <v>227.27</v>
      </c>
    </row>
    <row r="3946" spans="1:2">
      <c r="A3946" s="3">
        <f ca="1">IFERROR(__xludf.DUMMYFUNCTION("""COMPUTED_VALUE"""),44076.6666666666)</f>
        <v>44076.666666666599</v>
      </c>
      <c r="B3946" s="1">
        <f ca="1">IFERROR(__xludf.DUMMYFUNCTION("""COMPUTED_VALUE"""),231.65)</f>
        <v>231.65</v>
      </c>
    </row>
    <row r="3947" spans="1:2">
      <c r="A3947" s="3">
        <f ca="1">IFERROR(__xludf.DUMMYFUNCTION("""COMPUTED_VALUE"""),44077.6666666666)</f>
        <v>44077.666666666599</v>
      </c>
      <c r="B3947" s="1">
        <f ca="1">IFERROR(__xludf.DUMMYFUNCTION("""COMPUTED_VALUE"""),217.3)</f>
        <v>217.3</v>
      </c>
    </row>
    <row r="3948" spans="1:2">
      <c r="A3948" s="3">
        <f ca="1">IFERROR(__xludf.DUMMYFUNCTION("""COMPUTED_VALUE"""),44078.6666666666)</f>
        <v>44078.666666666599</v>
      </c>
      <c r="B3948" s="1">
        <f ca="1">IFERROR(__xludf.DUMMYFUNCTION("""COMPUTED_VALUE"""),214.25)</f>
        <v>214.25</v>
      </c>
    </row>
    <row r="3949" spans="1:2">
      <c r="A3949" s="3">
        <f ca="1">IFERROR(__xludf.DUMMYFUNCTION("""COMPUTED_VALUE"""),44082.6666666666)</f>
        <v>44082.666666666599</v>
      </c>
      <c r="B3949" s="1">
        <f ca="1">IFERROR(__xludf.DUMMYFUNCTION("""COMPUTED_VALUE"""),202.66)</f>
        <v>202.66</v>
      </c>
    </row>
    <row r="3950" spans="1:2">
      <c r="A3950" s="3">
        <f ca="1">IFERROR(__xludf.DUMMYFUNCTION("""COMPUTED_VALUE"""),44083.6666666666)</f>
        <v>44083.666666666599</v>
      </c>
      <c r="B3950" s="1">
        <f ca="1">IFERROR(__xludf.DUMMYFUNCTION("""COMPUTED_VALUE"""),211.29)</f>
        <v>211.29</v>
      </c>
    </row>
    <row r="3951" spans="1:2">
      <c r="A3951" s="3">
        <f ca="1">IFERROR(__xludf.DUMMYFUNCTION("""COMPUTED_VALUE"""),44084.6666666666)</f>
        <v>44084.666666666599</v>
      </c>
      <c r="B3951" s="1">
        <f ca="1">IFERROR(__xludf.DUMMYFUNCTION("""COMPUTED_VALUE"""),205.37)</f>
        <v>205.37</v>
      </c>
    </row>
    <row r="3952" spans="1:2">
      <c r="A3952" s="3">
        <f ca="1">IFERROR(__xludf.DUMMYFUNCTION("""COMPUTED_VALUE"""),44085.6666666666)</f>
        <v>44085.666666666599</v>
      </c>
      <c r="B3952" s="1">
        <f ca="1">IFERROR(__xludf.DUMMYFUNCTION("""COMPUTED_VALUE"""),204.03)</f>
        <v>204.03</v>
      </c>
    </row>
    <row r="3953" spans="1:2">
      <c r="A3953" s="3">
        <f ca="1">IFERROR(__xludf.DUMMYFUNCTION("""COMPUTED_VALUE"""),44088.6666666666)</f>
        <v>44088.666666666599</v>
      </c>
      <c r="B3953" s="1">
        <f ca="1">IFERROR(__xludf.DUMMYFUNCTION("""COMPUTED_VALUE"""),205.41)</f>
        <v>205.41</v>
      </c>
    </row>
    <row r="3954" spans="1:2">
      <c r="A3954" s="3">
        <f ca="1">IFERROR(__xludf.DUMMYFUNCTION("""COMPUTED_VALUE"""),44089.6666666666)</f>
        <v>44089.666666666599</v>
      </c>
      <c r="B3954" s="1">
        <f ca="1">IFERROR(__xludf.DUMMYFUNCTION("""COMPUTED_VALUE"""),208.78)</f>
        <v>208.78</v>
      </c>
    </row>
    <row r="3955" spans="1:2">
      <c r="A3955" s="3">
        <f ca="1">IFERROR(__xludf.DUMMYFUNCTION("""COMPUTED_VALUE"""),44090.6666666666)</f>
        <v>44090.666666666599</v>
      </c>
      <c r="B3955" s="1">
        <f ca="1">IFERROR(__xludf.DUMMYFUNCTION("""COMPUTED_VALUE"""),205.05)</f>
        <v>205.05</v>
      </c>
    </row>
    <row r="3956" spans="1:2">
      <c r="A3956" s="3">
        <f ca="1">IFERROR(__xludf.DUMMYFUNCTION("""COMPUTED_VALUE"""),44091.6666666666)</f>
        <v>44091.666666666599</v>
      </c>
      <c r="B3956" s="1">
        <f ca="1">IFERROR(__xludf.DUMMYFUNCTION("""COMPUTED_VALUE"""),202.91)</f>
        <v>202.91</v>
      </c>
    </row>
    <row r="3957" spans="1:2">
      <c r="A3957" s="3">
        <f ca="1">IFERROR(__xludf.DUMMYFUNCTION("""COMPUTED_VALUE"""),44092.6666666666)</f>
        <v>44092.666666666599</v>
      </c>
      <c r="B3957" s="1">
        <f ca="1">IFERROR(__xludf.DUMMYFUNCTION("""COMPUTED_VALUE"""),200.39)</f>
        <v>200.39</v>
      </c>
    </row>
    <row r="3958" spans="1:2">
      <c r="A3958" s="3">
        <f ca="1">IFERROR(__xludf.DUMMYFUNCTION("""COMPUTED_VALUE"""),44095.6666666666)</f>
        <v>44095.666666666599</v>
      </c>
      <c r="B3958" s="1">
        <f ca="1">IFERROR(__xludf.DUMMYFUNCTION("""COMPUTED_VALUE"""),202.54)</f>
        <v>202.54</v>
      </c>
    </row>
    <row r="3959" spans="1:2">
      <c r="A3959" s="3">
        <f ca="1">IFERROR(__xludf.DUMMYFUNCTION("""COMPUTED_VALUE"""),44096.6666666666)</f>
        <v>44096.666666666599</v>
      </c>
      <c r="B3959" s="1">
        <f ca="1">IFERROR(__xludf.DUMMYFUNCTION("""COMPUTED_VALUE"""),207.42)</f>
        <v>207.42</v>
      </c>
    </row>
    <row r="3960" spans="1:2">
      <c r="A3960" s="3">
        <f ca="1">IFERROR(__xludf.DUMMYFUNCTION("""COMPUTED_VALUE"""),44097.6666666666)</f>
        <v>44097.666666666599</v>
      </c>
      <c r="B3960" s="1">
        <f ca="1">IFERROR(__xludf.DUMMYFUNCTION("""COMPUTED_VALUE"""),200.59)</f>
        <v>200.59</v>
      </c>
    </row>
    <row r="3961" spans="1:2">
      <c r="A3961" s="3">
        <f ca="1">IFERROR(__xludf.DUMMYFUNCTION("""COMPUTED_VALUE"""),44098.6666666666)</f>
        <v>44098.666666666599</v>
      </c>
      <c r="B3961" s="1">
        <f ca="1">IFERROR(__xludf.DUMMYFUNCTION("""COMPUTED_VALUE"""),203.19)</f>
        <v>203.19</v>
      </c>
    </row>
    <row r="3962" spans="1:2">
      <c r="A3962" s="3">
        <f ca="1">IFERROR(__xludf.DUMMYFUNCTION("""COMPUTED_VALUE"""),44099.6666666666)</f>
        <v>44099.666666666599</v>
      </c>
      <c r="B3962" s="1">
        <f ca="1">IFERROR(__xludf.DUMMYFUNCTION("""COMPUTED_VALUE"""),207.82)</f>
        <v>207.82</v>
      </c>
    </row>
    <row r="3963" spans="1:2">
      <c r="A3963" s="3">
        <f ca="1">IFERROR(__xludf.DUMMYFUNCTION("""COMPUTED_VALUE"""),44102.6666666666)</f>
        <v>44102.666666666599</v>
      </c>
      <c r="B3963" s="1">
        <f ca="1">IFERROR(__xludf.DUMMYFUNCTION("""COMPUTED_VALUE"""),209.44)</f>
        <v>209.44</v>
      </c>
    </row>
    <row r="3964" spans="1:2">
      <c r="A3964" s="3">
        <f ca="1">IFERROR(__xludf.DUMMYFUNCTION("""COMPUTED_VALUE"""),44103.6666666666)</f>
        <v>44103.666666666599</v>
      </c>
      <c r="B3964" s="1">
        <f ca="1">IFERROR(__xludf.DUMMYFUNCTION("""COMPUTED_VALUE"""),207.26)</f>
        <v>207.26</v>
      </c>
    </row>
    <row r="3965" spans="1:2">
      <c r="A3965" s="3">
        <f ca="1">IFERROR(__xludf.DUMMYFUNCTION("""COMPUTED_VALUE"""),44104.6666666666)</f>
        <v>44104.666666666599</v>
      </c>
      <c r="B3965" s="1">
        <f ca="1">IFERROR(__xludf.DUMMYFUNCTION("""COMPUTED_VALUE"""),210.33)</f>
        <v>210.33</v>
      </c>
    </row>
    <row r="3966" spans="1:2">
      <c r="A3966" s="3">
        <f ca="1">IFERROR(__xludf.DUMMYFUNCTION("""COMPUTED_VALUE"""),44105.6666666666)</f>
        <v>44105.666666666599</v>
      </c>
      <c r="B3966" s="1">
        <f ca="1">IFERROR(__xludf.DUMMYFUNCTION("""COMPUTED_VALUE"""),212.46)</f>
        <v>212.46</v>
      </c>
    </row>
    <row r="3967" spans="1:2">
      <c r="A3967" s="3">
        <f ca="1">IFERROR(__xludf.DUMMYFUNCTION("""COMPUTED_VALUE"""),44106.6666666666)</f>
        <v>44106.666666666599</v>
      </c>
      <c r="B3967" s="1">
        <f ca="1">IFERROR(__xludf.DUMMYFUNCTION("""COMPUTED_VALUE"""),206.19)</f>
        <v>206.19</v>
      </c>
    </row>
    <row r="3968" spans="1:2">
      <c r="A3968" s="3">
        <f ca="1">IFERROR(__xludf.DUMMYFUNCTION("""COMPUTED_VALUE"""),44109.6666666666)</f>
        <v>44109.666666666599</v>
      </c>
      <c r="B3968" s="1">
        <f ca="1">IFERROR(__xludf.DUMMYFUNCTION("""COMPUTED_VALUE"""),210.38)</f>
        <v>210.38</v>
      </c>
    </row>
    <row r="3969" spans="1:2">
      <c r="A3969" s="3">
        <f ca="1">IFERROR(__xludf.DUMMYFUNCTION("""COMPUTED_VALUE"""),44110.6666666666)</f>
        <v>44110.666666666599</v>
      </c>
      <c r="B3969" s="1">
        <f ca="1">IFERROR(__xludf.DUMMYFUNCTION("""COMPUTED_VALUE"""),205.91)</f>
        <v>205.91</v>
      </c>
    </row>
    <row r="3970" spans="1:2">
      <c r="A3970" s="3">
        <f ca="1">IFERROR(__xludf.DUMMYFUNCTION("""COMPUTED_VALUE"""),44111.6666666666)</f>
        <v>44111.666666666599</v>
      </c>
      <c r="B3970" s="1">
        <f ca="1">IFERROR(__xludf.DUMMYFUNCTION("""COMPUTED_VALUE"""),209.83)</f>
        <v>209.83</v>
      </c>
    </row>
    <row r="3971" spans="1:2">
      <c r="A3971" s="3">
        <f ca="1">IFERROR(__xludf.DUMMYFUNCTION("""COMPUTED_VALUE"""),44112.6666666666)</f>
        <v>44112.666666666599</v>
      </c>
      <c r="B3971" s="1">
        <f ca="1">IFERROR(__xludf.DUMMYFUNCTION("""COMPUTED_VALUE"""),210.58)</f>
        <v>210.58</v>
      </c>
    </row>
    <row r="3972" spans="1:2">
      <c r="A3972" s="3">
        <f ca="1">IFERROR(__xludf.DUMMYFUNCTION("""COMPUTED_VALUE"""),44113.6666666666)</f>
        <v>44113.666666666599</v>
      </c>
      <c r="B3972" s="1">
        <f ca="1">IFERROR(__xludf.DUMMYFUNCTION("""COMPUTED_VALUE"""),215.81)</f>
        <v>215.81</v>
      </c>
    </row>
    <row r="3973" spans="1:2">
      <c r="A3973" s="3">
        <f ca="1">IFERROR(__xludf.DUMMYFUNCTION("""COMPUTED_VALUE"""),44116.6666666666)</f>
        <v>44116.666666666599</v>
      </c>
      <c r="B3973" s="1">
        <f ca="1">IFERROR(__xludf.DUMMYFUNCTION("""COMPUTED_VALUE"""),221.4)</f>
        <v>221.4</v>
      </c>
    </row>
    <row r="3974" spans="1:2">
      <c r="A3974" s="3">
        <f ca="1">IFERROR(__xludf.DUMMYFUNCTION("""COMPUTED_VALUE"""),44117.6666666666)</f>
        <v>44117.666666666599</v>
      </c>
      <c r="B3974" s="1">
        <f ca="1">IFERROR(__xludf.DUMMYFUNCTION("""COMPUTED_VALUE"""),222.86)</f>
        <v>222.86</v>
      </c>
    </row>
    <row r="3975" spans="1:2">
      <c r="A3975" s="3">
        <f ca="1">IFERROR(__xludf.DUMMYFUNCTION("""COMPUTED_VALUE"""),44118.6666666666)</f>
        <v>44118.666666666599</v>
      </c>
      <c r="B3975" s="1">
        <f ca="1">IFERROR(__xludf.DUMMYFUNCTION("""COMPUTED_VALUE"""),220.86)</f>
        <v>220.86</v>
      </c>
    </row>
    <row r="3976" spans="1:2">
      <c r="A3976" s="3">
        <f ca="1">IFERROR(__xludf.DUMMYFUNCTION("""COMPUTED_VALUE"""),44119.6666666666)</f>
        <v>44119.666666666599</v>
      </c>
      <c r="B3976" s="1">
        <f ca="1">IFERROR(__xludf.DUMMYFUNCTION("""COMPUTED_VALUE"""),219.66)</f>
        <v>219.66</v>
      </c>
    </row>
    <row r="3977" spans="1:2">
      <c r="A3977" s="3">
        <f ca="1">IFERROR(__xludf.DUMMYFUNCTION("""COMPUTED_VALUE"""),44120.6666666666)</f>
        <v>44120.666666666599</v>
      </c>
      <c r="B3977" s="1">
        <f ca="1">IFERROR(__xludf.DUMMYFUNCTION("""COMPUTED_VALUE"""),219.66)</f>
        <v>219.66</v>
      </c>
    </row>
    <row r="3978" spans="1:2">
      <c r="A3978" s="3">
        <f ca="1">IFERROR(__xludf.DUMMYFUNCTION("""COMPUTED_VALUE"""),44123.6666666666)</f>
        <v>44123.666666666599</v>
      </c>
      <c r="B3978" s="1">
        <f ca="1">IFERROR(__xludf.DUMMYFUNCTION("""COMPUTED_VALUE"""),214.22)</f>
        <v>214.22</v>
      </c>
    </row>
    <row r="3979" spans="1:2">
      <c r="A3979" s="3">
        <f ca="1">IFERROR(__xludf.DUMMYFUNCTION("""COMPUTED_VALUE"""),44124.6666666666)</f>
        <v>44124.666666666599</v>
      </c>
      <c r="B3979" s="1">
        <f ca="1">IFERROR(__xludf.DUMMYFUNCTION("""COMPUTED_VALUE"""),214.65)</f>
        <v>214.65</v>
      </c>
    </row>
    <row r="3980" spans="1:2">
      <c r="A3980" s="3">
        <f ca="1">IFERROR(__xludf.DUMMYFUNCTION("""COMPUTED_VALUE"""),44125.6666666666)</f>
        <v>44125.666666666599</v>
      </c>
      <c r="B3980" s="1">
        <f ca="1">IFERROR(__xludf.DUMMYFUNCTION("""COMPUTED_VALUE"""),214.8)</f>
        <v>214.8</v>
      </c>
    </row>
    <row r="3981" spans="1:2">
      <c r="A3981" s="3">
        <f ca="1">IFERROR(__xludf.DUMMYFUNCTION("""COMPUTED_VALUE"""),44126.6666666666)</f>
        <v>44126.666666666599</v>
      </c>
      <c r="B3981" s="1">
        <f ca="1">IFERROR(__xludf.DUMMYFUNCTION("""COMPUTED_VALUE"""),214.89)</f>
        <v>214.89</v>
      </c>
    </row>
    <row r="3982" spans="1:2">
      <c r="A3982" s="3">
        <f ca="1">IFERROR(__xludf.DUMMYFUNCTION("""COMPUTED_VALUE"""),44127.6666666666)</f>
        <v>44127.666666666599</v>
      </c>
      <c r="B3982" s="1">
        <f ca="1">IFERROR(__xludf.DUMMYFUNCTION("""COMPUTED_VALUE"""),216.23)</f>
        <v>216.23</v>
      </c>
    </row>
    <row r="3983" spans="1:2">
      <c r="A3983" s="3">
        <f ca="1">IFERROR(__xludf.DUMMYFUNCTION("""COMPUTED_VALUE"""),44130.6666666666)</f>
        <v>44130.666666666599</v>
      </c>
      <c r="B3983" s="1">
        <f ca="1">IFERROR(__xludf.DUMMYFUNCTION("""COMPUTED_VALUE"""),210.08)</f>
        <v>210.08</v>
      </c>
    </row>
    <row r="3984" spans="1:2">
      <c r="A3984" s="3">
        <f ca="1">IFERROR(__xludf.DUMMYFUNCTION("""COMPUTED_VALUE"""),44131.6666666666)</f>
        <v>44131.666666666599</v>
      </c>
      <c r="B3984" s="1">
        <f ca="1">IFERROR(__xludf.DUMMYFUNCTION("""COMPUTED_VALUE"""),213.25)</f>
        <v>213.25</v>
      </c>
    </row>
    <row r="3985" spans="1:2">
      <c r="A3985" s="3">
        <f ca="1">IFERROR(__xludf.DUMMYFUNCTION("""COMPUTED_VALUE"""),44132.6666666666)</f>
        <v>44132.666666666599</v>
      </c>
      <c r="B3985" s="1">
        <f ca="1">IFERROR(__xludf.DUMMYFUNCTION("""COMPUTED_VALUE"""),202.68)</f>
        <v>202.68</v>
      </c>
    </row>
    <row r="3986" spans="1:2">
      <c r="A3986" s="3">
        <f ca="1">IFERROR(__xludf.DUMMYFUNCTION("""COMPUTED_VALUE"""),44133.6666666666)</f>
        <v>44133.666666666599</v>
      </c>
      <c r="B3986" s="1">
        <f ca="1">IFERROR(__xludf.DUMMYFUNCTION("""COMPUTED_VALUE"""),204.72)</f>
        <v>204.72</v>
      </c>
    </row>
    <row r="3987" spans="1:2">
      <c r="A3987" s="3">
        <f ca="1">IFERROR(__xludf.DUMMYFUNCTION("""COMPUTED_VALUE"""),44134.6666666666)</f>
        <v>44134.666666666599</v>
      </c>
      <c r="B3987" s="1">
        <f ca="1">IFERROR(__xludf.DUMMYFUNCTION("""COMPUTED_VALUE"""),202.47)</f>
        <v>202.47</v>
      </c>
    </row>
    <row r="3988" spans="1:2">
      <c r="A3988" s="3">
        <f ca="1">IFERROR(__xludf.DUMMYFUNCTION("""COMPUTED_VALUE"""),44137.6666666666)</f>
        <v>44137.666666666599</v>
      </c>
      <c r="B3988" s="1">
        <f ca="1">IFERROR(__xludf.DUMMYFUNCTION("""COMPUTED_VALUE"""),202.33)</f>
        <v>202.33</v>
      </c>
    </row>
    <row r="3989" spans="1:2">
      <c r="A3989" s="3">
        <f ca="1">IFERROR(__xludf.DUMMYFUNCTION("""COMPUTED_VALUE"""),44138.6666666666)</f>
        <v>44138.666666666599</v>
      </c>
      <c r="B3989" s="1">
        <f ca="1">IFERROR(__xludf.DUMMYFUNCTION("""COMPUTED_VALUE"""),206.43)</f>
        <v>206.43</v>
      </c>
    </row>
    <row r="3990" spans="1:2">
      <c r="A3990" s="3">
        <f ca="1">IFERROR(__xludf.DUMMYFUNCTION("""COMPUTED_VALUE"""),44139.6666666666)</f>
        <v>44139.666666666599</v>
      </c>
      <c r="B3990" s="1">
        <f ca="1">IFERROR(__xludf.DUMMYFUNCTION("""COMPUTED_VALUE"""),216.39)</f>
        <v>216.39</v>
      </c>
    </row>
    <row r="3991" spans="1:2">
      <c r="A3991" s="3">
        <f ca="1">IFERROR(__xludf.DUMMYFUNCTION("""COMPUTED_VALUE"""),44140.6666666666)</f>
        <v>44140.666666666599</v>
      </c>
      <c r="B3991" s="1">
        <f ca="1">IFERROR(__xludf.DUMMYFUNCTION("""COMPUTED_VALUE"""),223.29)</f>
        <v>223.29</v>
      </c>
    </row>
    <row r="3992" spans="1:2">
      <c r="A3992" s="3">
        <f ca="1">IFERROR(__xludf.DUMMYFUNCTION("""COMPUTED_VALUE"""),44141.6666666666)</f>
        <v>44141.666666666599</v>
      </c>
      <c r="B3992" s="1">
        <f ca="1">IFERROR(__xludf.DUMMYFUNCTION("""COMPUTED_VALUE"""),223.72)</f>
        <v>223.72</v>
      </c>
    </row>
    <row r="3993" spans="1:2">
      <c r="A3993" s="3">
        <f ca="1">IFERROR(__xludf.DUMMYFUNCTION("""COMPUTED_VALUE"""),44144.6666666666)</f>
        <v>44144.666666666599</v>
      </c>
      <c r="B3993" s="1">
        <f ca="1">IFERROR(__xludf.DUMMYFUNCTION("""COMPUTED_VALUE"""),218.39)</f>
        <v>218.39</v>
      </c>
    </row>
    <row r="3994" spans="1:2">
      <c r="A3994" s="3">
        <f ca="1">IFERROR(__xludf.DUMMYFUNCTION("""COMPUTED_VALUE"""),44145.6666666666)</f>
        <v>44145.666666666599</v>
      </c>
      <c r="B3994" s="1">
        <f ca="1">IFERROR(__xludf.DUMMYFUNCTION("""COMPUTED_VALUE"""),211.01)</f>
        <v>211.01</v>
      </c>
    </row>
    <row r="3995" spans="1:2">
      <c r="A3995" s="3">
        <f ca="1">IFERROR(__xludf.DUMMYFUNCTION("""COMPUTED_VALUE"""),44146.6666666666)</f>
        <v>44146.666666666599</v>
      </c>
      <c r="B3995" s="1">
        <f ca="1">IFERROR(__xludf.DUMMYFUNCTION("""COMPUTED_VALUE"""),216.55)</f>
        <v>216.55</v>
      </c>
    </row>
    <row r="3996" spans="1:2">
      <c r="A3996" s="3">
        <f ca="1">IFERROR(__xludf.DUMMYFUNCTION("""COMPUTED_VALUE"""),44147.6666666666)</f>
        <v>44147.666666666599</v>
      </c>
      <c r="B3996" s="1">
        <f ca="1">IFERROR(__xludf.DUMMYFUNCTION("""COMPUTED_VALUE"""),215.44)</f>
        <v>215.44</v>
      </c>
    </row>
    <row r="3997" spans="1:2">
      <c r="A3997" s="3">
        <f ca="1">IFERROR(__xludf.DUMMYFUNCTION("""COMPUTED_VALUE"""),44148.6666666666)</f>
        <v>44148.666666666599</v>
      </c>
      <c r="B3997" s="1">
        <f ca="1">IFERROR(__xludf.DUMMYFUNCTION("""COMPUTED_VALUE"""),216.51)</f>
        <v>216.51</v>
      </c>
    </row>
    <row r="3998" spans="1:2">
      <c r="A3998" s="3">
        <f ca="1">IFERROR(__xludf.DUMMYFUNCTION("""COMPUTED_VALUE"""),44151.6666666666)</f>
        <v>44151.666666666599</v>
      </c>
      <c r="B3998" s="1">
        <f ca="1">IFERROR(__xludf.DUMMYFUNCTION("""COMPUTED_VALUE"""),217.23)</f>
        <v>217.23</v>
      </c>
    </row>
    <row r="3999" spans="1:2">
      <c r="A3999" s="3">
        <f ca="1">IFERROR(__xludf.DUMMYFUNCTION("""COMPUTED_VALUE"""),44152.6666666666)</f>
        <v>44152.666666666599</v>
      </c>
      <c r="B3999" s="1">
        <f ca="1">IFERROR(__xludf.DUMMYFUNCTION("""COMPUTED_VALUE"""),214.46)</f>
        <v>214.46</v>
      </c>
    </row>
    <row r="4000" spans="1:2">
      <c r="A4000" s="3">
        <f ca="1">IFERROR(__xludf.DUMMYFUNCTION("""COMPUTED_VALUE"""),44153.6666666666)</f>
        <v>44153.666666666599</v>
      </c>
      <c r="B4000" s="1">
        <f ca="1">IFERROR(__xludf.DUMMYFUNCTION("""COMPUTED_VALUE"""),211.08)</f>
        <v>211.08</v>
      </c>
    </row>
    <row r="4001" spans="1:2">
      <c r="A4001" s="3">
        <f ca="1">IFERROR(__xludf.DUMMYFUNCTION("""COMPUTED_VALUE"""),44154.6666666666)</f>
        <v>44154.666666666599</v>
      </c>
      <c r="B4001" s="1">
        <f ca="1">IFERROR(__xludf.DUMMYFUNCTION("""COMPUTED_VALUE"""),212.42)</f>
        <v>212.42</v>
      </c>
    </row>
    <row r="4002" spans="1:2">
      <c r="A4002" s="3">
        <f ca="1">IFERROR(__xludf.DUMMYFUNCTION("""COMPUTED_VALUE"""),44155.6666666666)</f>
        <v>44155.666666666599</v>
      </c>
      <c r="B4002" s="1">
        <f ca="1">IFERROR(__xludf.DUMMYFUNCTION("""COMPUTED_VALUE"""),210.39)</f>
        <v>210.39</v>
      </c>
    </row>
    <row r="4003" spans="1:2">
      <c r="A4003" s="3">
        <f ca="1">IFERROR(__xludf.DUMMYFUNCTION("""COMPUTED_VALUE"""),44158.6666666666)</f>
        <v>44158.666666666599</v>
      </c>
      <c r="B4003" s="1">
        <f ca="1">IFERROR(__xludf.DUMMYFUNCTION("""COMPUTED_VALUE"""),210.11)</f>
        <v>210.11</v>
      </c>
    </row>
    <row r="4004" spans="1:2">
      <c r="A4004" s="3">
        <f ca="1">IFERROR(__xludf.DUMMYFUNCTION("""COMPUTED_VALUE"""),44159.6666666666)</f>
        <v>44159.666666666599</v>
      </c>
      <c r="B4004" s="1">
        <f ca="1">IFERROR(__xludf.DUMMYFUNCTION("""COMPUTED_VALUE"""),213.86)</f>
        <v>213.86</v>
      </c>
    </row>
    <row r="4005" spans="1:2">
      <c r="A4005" s="3">
        <f ca="1">IFERROR(__xludf.DUMMYFUNCTION("""COMPUTED_VALUE"""),44160.6666666666)</f>
        <v>44160.666666666599</v>
      </c>
      <c r="B4005" s="1">
        <f ca="1">IFERROR(__xludf.DUMMYFUNCTION("""COMPUTED_VALUE"""),213.87)</f>
        <v>213.87</v>
      </c>
    </row>
    <row r="4006" spans="1:2">
      <c r="A4006" s="3">
        <f ca="1">IFERROR(__xludf.DUMMYFUNCTION("""COMPUTED_VALUE"""),44162.5416666666)</f>
        <v>44162.541666666599</v>
      </c>
      <c r="B4006" s="1">
        <f ca="1">IFERROR(__xludf.DUMMYFUNCTION("""COMPUTED_VALUE"""),215.23)</f>
        <v>215.23</v>
      </c>
    </row>
    <row r="4007" spans="1:2">
      <c r="A4007" s="3">
        <f ca="1">IFERROR(__xludf.DUMMYFUNCTION("""COMPUTED_VALUE"""),44165.6666666666)</f>
        <v>44165.666666666599</v>
      </c>
      <c r="B4007" s="1">
        <f ca="1">IFERROR(__xludf.DUMMYFUNCTION("""COMPUTED_VALUE"""),214.07)</f>
        <v>214.07</v>
      </c>
    </row>
    <row r="4008" spans="1:2">
      <c r="A4008" s="3">
        <f ca="1">IFERROR(__xludf.DUMMYFUNCTION("""COMPUTED_VALUE"""),44166.6666666666)</f>
        <v>44166.666666666599</v>
      </c>
      <c r="B4008" s="1">
        <f ca="1">IFERROR(__xludf.DUMMYFUNCTION("""COMPUTED_VALUE"""),216.21)</f>
        <v>216.21</v>
      </c>
    </row>
    <row r="4009" spans="1:2">
      <c r="A4009" s="3">
        <f ca="1">IFERROR(__xludf.DUMMYFUNCTION("""COMPUTED_VALUE"""),44167.6666666666)</f>
        <v>44167.666666666599</v>
      </c>
      <c r="B4009" s="1">
        <f ca="1">IFERROR(__xludf.DUMMYFUNCTION("""COMPUTED_VALUE"""),215.37)</f>
        <v>215.37</v>
      </c>
    </row>
    <row r="4010" spans="1:2">
      <c r="A4010" s="3">
        <f ca="1">IFERROR(__xludf.DUMMYFUNCTION("""COMPUTED_VALUE"""),44168.6666666666)</f>
        <v>44168.666666666599</v>
      </c>
      <c r="B4010" s="1">
        <f ca="1">IFERROR(__xludf.DUMMYFUNCTION("""COMPUTED_VALUE"""),214.24)</f>
        <v>214.24</v>
      </c>
    </row>
    <row r="4011" spans="1:2">
      <c r="A4011" s="3">
        <f ca="1">IFERROR(__xludf.DUMMYFUNCTION("""COMPUTED_VALUE"""),44169.6666666666)</f>
        <v>44169.666666666599</v>
      </c>
      <c r="B4011" s="1">
        <f ca="1">IFERROR(__xludf.DUMMYFUNCTION("""COMPUTED_VALUE"""),214.36)</f>
        <v>214.36</v>
      </c>
    </row>
    <row r="4012" spans="1:2">
      <c r="A4012" s="3">
        <f ca="1">IFERROR(__xludf.DUMMYFUNCTION("""COMPUTED_VALUE"""),44172.6666666666)</f>
        <v>44172.666666666599</v>
      </c>
      <c r="B4012" s="1">
        <f ca="1">IFERROR(__xludf.DUMMYFUNCTION("""COMPUTED_VALUE"""),214.29)</f>
        <v>214.29</v>
      </c>
    </row>
    <row r="4013" spans="1:2">
      <c r="A4013" s="3">
        <f ca="1">IFERROR(__xludf.DUMMYFUNCTION("""COMPUTED_VALUE"""),44173.6666666666)</f>
        <v>44173.666666666599</v>
      </c>
      <c r="B4013" s="1">
        <f ca="1">IFERROR(__xludf.DUMMYFUNCTION("""COMPUTED_VALUE"""),216.01)</f>
        <v>216.01</v>
      </c>
    </row>
    <row r="4014" spans="1:2">
      <c r="A4014" s="3">
        <f ca="1">IFERROR(__xludf.DUMMYFUNCTION("""COMPUTED_VALUE"""),44174.6666666666)</f>
        <v>44174.666666666599</v>
      </c>
      <c r="B4014" s="1">
        <f ca="1">IFERROR(__xludf.DUMMYFUNCTION("""COMPUTED_VALUE"""),211.8)</f>
        <v>211.8</v>
      </c>
    </row>
    <row r="4015" spans="1:2">
      <c r="A4015" s="3">
        <f ca="1">IFERROR(__xludf.DUMMYFUNCTION("""COMPUTED_VALUE"""),44175.6666666666)</f>
        <v>44175.666666666599</v>
      </c>
      <c r="B4015" s="1">
        <f ca="1">IFERROR(__xludf.DUMMYFUNCTION("""COMPUTED_VALUE"""),210.52)</f>
        <v>210.52</v>
      </c>
    </row>
    <row r="4016" spans="1:2">
      <c r="A4016" s="3">
        <f ca="1">IFERROR(__xludf.DUMMYFUNCTION("""COMPUTED_VALUE"""),44176.6666666666)</f>
        <v>44176.666666666599</v>
      </c>
      <c r="B4016" s="1">
        <f ca="1">IFERROR(__xludf.DUMMYFUNCTION("""COMPUTED_VALUE"""),213.26)</f>
        <v>213.26</v>
      </c>
    </row>
    <row r="4017" spans="1:2">
      <c r="A4017" s="3">
        <f ca="1">IFERROR(__xludf.DUMMYFUNCTION("""COMPUTED_VALUE"""),44179.6666666666)</f>
        <v>44179.666666666599</v>
      </c>
      <c r="B4017" s="1">
        <f ca="1">IFERROR(__xludf.DUMMYFUNCTION("""COMPUTED_VALUE"""),214.2)</f>
        <v>214.2</v>
      </c>
    </row>
    <row r="4018" spans="1:2">
      <c r="A4018" s="3">
        <f ca="1">IFERROR(__xludf.DUMMYFUNCTION("""COMPUTED_VALUE"""),44180.6666666666)</f>
        <v>44180.666666666599</v>
      </c>
      <c r="B4018" s="1">
        <f ca="1">IFERROR(__xludf.DUMMYFUNCTION("""COMPUTED_VALUE"""),214.13)</f>
        <v>214.13</v>
      </c>
    </row>
    <row r="4019" spans="1:2">
      <c r="A4019" s="3">
        <f ca="1">IFERROR(__xludf.DUMMYFUNCTION("""COMPUTED_VALUE"""),44181.6666666666)</f>
        <v>44181.666666666599</v>
      </c>
      <c r="B4019" s="1">
        <f ca="1">IFERROR(__xludf.DUMMYFUNCTION("""COMPUTED_VALUE"""),219.28)</f>
        <v>219.28</v>
      </c>
    </row>
    <row r="4020" spans="1:2">
      <c r="A4020" s="3">
        <f ca="1">IFERROR(__xludf.DUMMYFUNCTION("""COMPUTED_VALUE"""),44182.6666666666)</f>
        <v>44182.666666666599</v>
      </c>
      <c r="B4020" s="1">
        <f ca="1">IFERROR(__xludf.DUMMYFUNCTION("""COMPUTED_VALUE"""),219.42)</f>
        <v>219.42</v>
      </c>
    </row>
    <row r="4021" spans="1:2">
      <c r="A4021" s="3">
        <f ca="1">IFERROR(__xludf.DUMMYFUNCTION("""COMPUTED_VALUE"""),44183.6666666666)</f>
        <v>44183.666666666599</v>
      </c>
      <c r="B4021" s="1">
        <f ca="1">IFERROR(__xludf.DUMMYFUNCTION("""COMPUTED_VALUE"""),218.59)</f>
        <v>218.59</v>
      </c>
    </row>
    <row r="4022" spans="1:2">
      <c r="A4022" s="3">
        <f ca="1">IFERROR(__xludf.DUMMYFUNCTION("""COMPUTED_VALUE"""),44186.6666666666)</f>
        <v>44186.666666666599</v>
      </c>
      <c r="B4022" s="1">
        <f ca="1">IFERROR(__xludf.DUMMYFUNCTION("""COMPUTED_VALUE"""),222.59)</f>
        <v>222.59</v>
      </c>
    </row>
    <row r="4023" spans="1:2">
      <c r="A4023" s="3">
        <f ca="1">IFERROR(__xludf.DUMMYFUNCTION("""COMPUTED_VALUE"""),44187.6666666666)</f>
        <v>44187.666666666599</v>
      </c>
      <c r="B4023" s="1">
        <f ca="1">IFERROR(__xludf.DUMMYFUNCTION("""COMPUTED_VALUE"""),223.94)</f>
        <v>223.94</v>
      </c>
    </row>
    <row r="4024" spans="1:2">
      <c r="A4024" s="3">
        <f ca="1">IFERROR(__xludf.DUMMYFUNCTION("""COMPUTED_VALUE"""),44188.6666666666)</f>
        <v>44188.666666666599</v>
      </c>
      <c r="B4024" s="1">
        <f ca="1">IFERROR(__xludf.DUMMYFUNCTION("""COMPUTED_VALUE"""),221.02)</f>
        <v>221.02</v>
      </c>
    </row>
    <row r="4025" spans="1:2">
      <c r="A4025" s="3">
        <f ca="1">IFERROR(__xludf.DUMMYFUNCTION("""COMPUTED_VALUE"""),44189.5416666666)</f>
        <v>44189.541666666599</v>
      </c>
      <c r="B4025" s="1">
        <f ca="1">IFERROR(__xludf.DUMMYFUNCTION("""COMPUTED_VALUE"""),222.75)</f>
        <v>222.75</v>
      </c>
    </row>
    <row r="4026" spans="1:2">
      <c r="A4026" s="3">
        <f ca="1">IFERROR(__xludf.DUMMYFUNCTION("""COMPUTED_VALUE"""),44193.6666666666)</f>
        <v>44193.666666666599</v>
      </c>
      <c r="B4026" s="1">
        <f ca="1">IFERROR(__xludf.DUMMYFUNCTION("""COMPUTED_VALUE"""),224.96)</f>
        <v>224.96</v>
      </c>
    </row>
    <row r="4027" spans="1:2">
      <c r="A4027" s="3">
        <f ca="1">IFERROR(__xludf.DUMMYFUNCTION("""COMPUTED_VALUE"""),44194.6666666666)</f>
        <v>44194.666666666599</v>
      </c>
      <c r="B4027" s="1">
        <f ca="1">IFERROR(__xludf.DUMMYFUNCTION("""COMPUTED_VALUE"""),224.15)</f>
        <v>224.15</v>
      </c>
    </row>
    <row r="4028" spans="1:2">
      <c r="A4028" s="3">
        <f ca="1">IFERROR(__xludf.DUMMYFUNCTION("""COMPUTED_VALUE"""),44195.6666666666)</f>
        <v>44195.666666666599</v>
      </c>
      <c r="B4028" s="1">
        <f ca="1">IFERROR(__xludf.DUMMYFUNCTION("""COMPUTED_VALUE"""),221.68)</f>
        <v>221.68</v>
      </c>
    </row>
    <row r="4029" spans="1:2">
      <c r="A4029" s="3">
        <f ca="1">IFERROR(__xludf.DUMMYFUNCTION("""COMPUTED_VALUE"""),44196.6666666666)</f>
        <v>44196.666666666599</v>
      </c>
      <c r="B4029" s="1">
        <f ca="1">IFERROR(__xludf.DUMMYFUNCTION("""COMPUTED_VALUE"""),222.42)</f>
        <v>222.42</v>
      </c>
    </row>
    <row r="4030" spans="1:2">
      <c r="A4030" s="3">
        <f ca="1">IFERROR(__xludf.DUMMYFUNCTION("""COMPUTED_VALUE"""),44200.6666666666)</f>
        <v>44200.666666666599</v>
      </c>
      <c r="B4030" s="1">
        <f ca="1">IFERROR(__xludf.DUMMYFUNCTION("""COMPUTED_VALUE"""),217.69)</f>
        <v>217.69</v>
      </c>
    </row>
    <row r="4031" spans="1:2">
      <c r="A4031" s="3">
        <f ca="1">IFERROR(__xludf.DUMMYFUNCTION("""COMPUTED_VALUE"""),44201.6666666666)</f>
        <v>44201.666666666599</v>
      </c>
      <c r="B4031" s="1">
        <f ca="1">IFERROR(__xludf.DUMMYFUNCTION("""COMPUTED_VALUE"""),217.9)</f>
        <v>217.9</v>
      </c>
    </row>
    <row r="4032" spans="1:2">
      <c r="A4032" s="3">
        <f ca="1">IFERROR(__xludf.DUMMYFUNCTION("""COMPUTED_VALUE"""),44202.6666666666)</f>
        <v>44202.666666666599</v>
      </c>
      <c r="B4032" s="1">
        <f ca="1">IFERROR(__xludf.DUMMYFUNCTION("""COMPUTED_VALUE"""),212.25)</f>
        <v>212.25</v>
      </c>
    </row>
    <row r="4033" spans="1:2">
      <c r="A4033" s="3">
        <f ca="1">IFERROR(__xludf.DUMMYFUNCTION("""COMPUTED_VALUE"""),44203.6666666666)</f>
        <v>44203.666666666599</v>
      </c>
      <c r="B4033" s="1">
        <f ca="1">IFERROR(__xludf.DUMMYFUNCTION("""COMPUTED_VALUE"""),218.29)</f>
        <v>218.29</v>
      </c>
    </row>
    <row r="4034" spans="1:2">
      <c r="A4034" s="3">
        <f ca="1">IFERROR(__xludf.DUMMYFUNCTION("""COMPUTED_VALUE"""),44204.6666666666)</f>
        <v>44204.666666666599</v>
      </c>
      <c r="B4034" s="1">
        <f ca="1">IFERROR(__xludf.DUMMYFUNCTION("""COMPUTED_VALUE"""),219.62)</f>
        <v>219.62</v>
      </c>
    </row>
    <row r="4035" spans="1:2">
      <c r="A4035" s="3">
        <f ca="1">IFERROR(__xludf.DUMMYFUNCTION("""COMPUTED_VALUE"""),44207.6666666666)</f>
        <v>44207.666666666599</v>
      </c>
      <c r="B4035" s="1">
        <f ca="1">IFERROR(__xludf.DUMMYFUNCTION("""COMPUTED_VALUE"""),217.49)</f>
        <v>217.49</v>
      </c>
    </row>
    <row r="4036" spans="1:2">
      <c r="A4036" s="3">
        <f ca="1">IFERROR(__xludf.DUMMYFUNCTION("""COMPUTED_VALUE"""),44208.6666666666)</f>
        <v>44208.666666666599</v>
      </c>
      <c r="B4036" s="1">
        <f ca="1">IFERROR(__xludf.DUMMYFUNCTION("""COMPUTED_VALUE"""),214.93)</f>
        <v>214.93</v>
      </c>
    </row>
    <row r="4037" spans="1:2">
      <c r="A4037" s="3">
        <f ca="1">IFERROR(__xludf.DUMMYFUNCTION("""COMPUTED_VALUE"""),44209.6666666666)</f>
        <v>44209.666666666599</v>
      </c>
      <c r="B4037" s="1">
        <f ca="1">IFERROR(__xludf.DUMMYFUNCTION("""COMPUTED_VALUE"""),216.34)</f>
        <v>216.34</v>
      </c>
    </row>
    <row r="4038" spans="1:2">
      <c r="A4038" s="3">
        <f ca="1">IFERROR(__xludf.DUMMYFUNCTION("""COMPUTED_VALUE"""),44210.6666666666)</f>
        <v>44210.666666666599</v>
      </c>
      <c r="B4038" s="1">
        <f ca="1">IFERROR(__xludf.DUMMYFUNCTION("""COMPUTED_VALUE"""),213.02)</f>
        <v>213.02</v>
      </c>
    </row>
    <row r="4039" spans="1:2">
      <c r="A4039" s="3">
        <f ca="1">IFERROR(__xludf.DUMMYFUNCTION("""COMPUTED_VALUE"""),44211.6666666666)</f>
        <v>44211.666666666599</v>
      </c>
      <c r="B4039" s="1">
        <f ca="1">IFERROR(__xludf.DUMMYFUNCTION("""COMPUTED_VALUE"""),212.65)</f>
        <v>212.65</v>
      </c>
    </row>
    <row r="4040" spans="1:2">
      <c r="A4040" s="3">
        <f ca="1">IFERROR(__xludf.DUMMYFUNCTION("""COMPUTED_VALUE"""),44215.6666666666)</f>
        <v>44215.666666666599</v>
      </c>
      <c r="B4040" s="1">
        <f ca="1">IFERROR(__xludf.DUMMYFUNCTION("""COMPUTED_VALUE"""),216.44)</f>
        <v>216.44</v>
      </c>
    </row>
    <row r="4041" spans="1:2">
      <c r="A4041" s="3">
        <f ca="1">IFERROR(__xludf.DUMMYFUNCTION("""COMPUTED_VALUE"""),44216.6666666666)</f>
        <v>44216.666666666599</v>
      </c>
      <c r="B4041" s="1">
        <f ca="1">IFERROR(__xludf.DUMMYFUNCTION("""COMPUTED_VALUE"""),224.34)</f>
        <v>224.34</v>
      </c>
    </row>
    <row r="4042" spans="1:2">
      <c r="A4042" s="3">
        <f ca="1">IFERROR(__xludf.DUMMYFUNCTION("""COMPUTED_VALUE"""),44217.6666666666)</f>
        <v>44217.666666666599</v>
      </c>
      <c r="B4042" s="1">
        <f ca="1">IFERROR(__xludf.DUMMYFUNCTION("""COMPUTED_VALUE"""),224.97)</f>
        <v>224.97</v>
      </c>
    </row>
    <row r="4043" spans="1:2">
      <c r="A4043" s="3">
        <f ca="1">IFERROR(__xludf.DUMMYFUNCTION("""COMPUTED_VALUE"""),44218.6666666666)</f>
        <v>44218.666666666599</v>
      </c>
      <c r="B4043" s="1">
        <f ca="1">IFERROR(__xludf.DUMMYFUNCTION("""COMPUTED_VALUE"""),225.95)</f>
        <v>225.95</v>
      </c>
    </row>
    <row r="4044" spans="1:2">
      <c r="A4044" s="3">
        <f ca="1">IFERROR(__xludf.DUMMYFUNCTION("""COMPUTED_VALUE"""),44221.6666666666)</f>
        <v>44221.666666666599</v>
      </c>
      <c r="B4044" s="1">
        <f ca="1">IFERROR(__xludf.DUMMYFUNCTION("""COMPUTED_VALUE"""),229.53)</f>
        <v>229.53</v>
      </c>
    </row>
    <row r="4045" spans="1:2">
      <c r="A4045" s="3">
        <f ca="1">IFERROR(__xludf.DUMMYFUNCTION("""COMPUTED_VALUE"""),44222.6666666666)</f>
        <v>44222.666666666599</v>
      </c>
      <c r="B4045" s="1">
        <f ca="1">IFERROR(__xludf.DUMMYFUNCTION("""COMPUTED_VALUE"""),232.33)</f>
        <v>232.33</v>
      </c>
    </row>
    <row r="4046" spans="1:2">
      <c r="A4046" s="3">
        <f ca="1">IFERROR(__xludf.DUMMYFUNCTION("""COMPUTED_VALUE"""),44223.6666666666)</f>
        <v>44223.666666666599</v>
      </c>
      <c r="B4046" s="1">
        <f ca="1">IFERROR(__xludf.DUMMYFUNCTION("""COMPUTED_VALUE"""),232.9)</f>
        <v>232.9</v>
      </c>
    </row>
    <row r="4047" spans="1:2">
      <c r="A4047" s="3">
        <f ca="1">IFERROR(__xludf.DUMMYFUNCTION("""COMPUTED_VALUE"""),44224.6666666666)</f>
        <v>44224.666666666599</v>
      </c>
      <c r="B4047" s="1">
        <f ca="1">IFERROR(__xludf.DUMMYFUNCTION("""COMPUTED_VALUE"""),238.93)</f>
        <v>238.93</v>
      </c>
    </row>
    <row r="4048" spans="1:2">
      <c r="A4048" s="3">
        <f ca="1">IFERROR(__xludf.DUMMYFUNCTION("""COMPUTED_VALUE"""),44225.6666666666)</f>
        <v>44225.666666666599</v>
      </c>
      <c r="B4048" s="1">
        <f ca="1">IFERROR(__xludf.DUMMYFUNCTION("""COMPUTED_VALUE"""),231.96)</f>
        <v>231.96</v>
      </c>
    </row>
    <row r="4049" spans="1:2">
      <c r="A4049" s="3">
        <f ca="1">IFERROR(__xludf.DUMMYFUNCTION("""COMPUTED_VALUE"""),44228.6666666666)</f>
        <v>44228.666666666599</v>
      </c>
      <c r="B4049" s="1">
        <f ca="1">IFERROR(__xludf.DUMMYFUNCTION("""COMPUTED_VALUE"""),239.65)</f>
        <v>239.65</v>
      </c>
    </row>
    <row r="4050" spans="1:2">
      <c r="A4050" s="3">
        <f ca="1">IFERROR(__xludf.DUMMYFUNCTION("""COMPUTED_VALUE"""),44229.6666666666)</f>
        <v>44229.666666666599</v>
      </c>
      <c r="B4050" s="1">
        <f ca="1">IFERROR(__xludf.DUMMYFUNCTION("""COMPUTED_VALUE"""),239.51)</f>
        <v>239.51</v>
      </c>
    </row>
    <row r="4051" spans="1:2">
      <c r="A4051" s="3">
        <f ca="1">IFERROR(__xludf.DUMMYFUNCTION("""COMPUTED_VALUE"""),44230.6666666666)</f>
        <v>44230.666666666599</v>
      </c>
      <c r="B4051" s="1">
        <f ca="1">IFERROR(__xludf.DUMMYFUNCTION("""COMPUTED_VALUE"""),243)</f>
        <v>243</v>
      </c>
    </row>
    <row r="4052" spans="1:2">
      <c r="A4052" s="3">
        <f ca="1">IFERROR(__xludf.DUMMYFUNCTION("""COMPUTED_VALUE"""),44231.6666666666)</f>
        <v>44231.666666666599</v>
      </c>
      <c r="B4052" s="1">
        <f ca="1">IFERROR(__xludf.DUMMYFUNCTION("""COMPUTED_VALUE"""),242.01)</f>
        <v>242.01</v>
      </c>
    </row>
    <row r="4053" spans="1:2">
      <c r="A4053" s="3">
        <f ca="1">IFERROR(__xludf.DUMMYFUNCTION("""COMPUTED_VALUE"""),44232.6666666666)</f>
        <v>44232.666666666599</v>
      </c>
      <c r="B4053" s="1">
        <f ca="1">IFERROR(__xludf.DUMMYFUNCTION("""COMPUTED_VALUE"""),242.2)</f>
        <v>242.2</v>
      </c>
    </row>
    <row r="4054" spans="1:2">
      <c r="A4054" s="3">
        <f ca="1">IFERROR(__xludf.DUMMYFUNCTION("""COMPUTED_VALUE"""),44235.6666666666)</f>
        <v>44235.666666666599</v>
      </c>
      <c r="B4054" s="1">
        <f ca="1">IFERROR(__xludf.DUMMYFUNCTION("""COMPUTED_VALUE"""),242.47)</f>
        <v>242.47</v>
      </c>
    </row>
    <row r="4055" spans="1:2">
      <c r="A4055" s="3">
        <f ca="1">IFERROR(__xludf.DUMMYFUNCTION("""COMPUTED_VALUE"""),44236.6666666666)</f>
        <v>44236.666666666599</v>
      </c>
      <c r="B4055" s="1">
        <f ca="1">IFERROR(__xludf.DUMMYFUNCTION("""COMPUTED_VALUE"""),243.77)</f>
        <v>243.77</v>
      </c>
    </row>
    <row r="4056" spans="1:2">
      <c r="A4056" s="3">
        <f ca="1">IFERROR(__xludf.DUMMYFUNCTION("""COMPUTED_VALUE"""),44237.6666666666)</f>
        <v>44237.666666666599</v>
      </c>
      <c r="B4056" s="1">
        <f ca="1">IFERROR(__xludf.DUMMYFUNCTION("""COMPUTED_VALUE"""),242.82)</f>
        <v>242.82</v>
      </c>
    </row>
    <row r="4057" spans="1:2">
      <c r="A4057" s="3">
        <f ca="1">IFERROR(__xludf.DUMMYFUNCTION("""COMPUTED_VALUE"""),44238.6666666666)</f>
        <v>44238.666666666599</v>
      </c>
      <c r="B4057" s="1">
        <f ca="1">IFERROR(__xludf.DUMMYFUNCTION("""COMPUTED_VALUE"""),244.49)</f>
        <v>244.49</v>
      </c>
    </row>
    <row r="4058" spans="1:2">
      <c r="A4058" s="3">
        <f ca="1">IFERROR(__xludf.DUMMYFUNCTION("""COMPUTED_VALUE"""),44239.6666666666)</f>
        <v>44239.666666666599</v>
      </c>
      <c r="B4058" s="1">
        <f ca="1">IFERROR(__xludf.DUMMYFUNCTION("""COMPUTED_VALUE"""),244.99)</f>
        <v>244.99</v>
      </c>
    </row>
    <row r="4059" spans="1:2">
      <c r="A4059" s="3">
        <f ca="1">IFERROR(__xludf.DUMMYFUNCTION("""COMPUTED_VALUE"""),44243.6666666666)</f>
        <v>44243.666666666599</v>
      </c>
      <c r="B4059" s="1">
        <f ca="1">IFERROR(__xludf.DUMMYFUNCTION("""COMPUTED_VALUE"""),243.7)</f>
        <v>243.7</v>
      </c>
    </row>
    <row r="4060" spans="1:2">
      <c r="A4060" s="3">
        <f ca="1">IFERROR(__xludf.DUMMYFUNCTION("""COMPUTED_VALUE"""),44244.6666666666)</f>
        <v>44244.666666666599</v>
      </c>
      <c r="B4060" s="1">
        <f ca="1">IFERROR(__xludf.DUMMYFUNCTION("""COMPUTED_VALUE"""),244.2)</f>
        <v>244.2</v>
      </c>
    </row>
    <row r="4061" spans="1:2">
      <c r="A4061" s="3">
        <f ca="1">IFERROR(__xludf.DUMMYFUNCTION("""COMPUTED_VALUE"""),44245.6666666666)</f>
        <v>44245.666666666599</v>
      </c>
      <c r="B4061" s="1">
        <f ca="1">IFERROR(__xludf.DUMMYFUNCTION("""COMPUTED_VALUE"""),243.79)</f>
        <v>243.79</v>
      </c>
    </row>
    <row r="4062" spans="1:2">
      <c r="A4062" s="3">
        <f ca="1">IFERROR(__xludf.DUMMYFUNCTION("""COMPUTED_VALUE"""),44246.6666666666)</f>
        <v>44246.666666666599</v>
      </c>
      <c r="B4062" s="1">
        <f ca="1">IFERROR(__xludf.DUMMYFUNCTION("""COMPUTED_VALUE"""),240.97)</f>
        <v>240.97</v>
      </c>
    </row>
    <row r="4063" spans="1:2">
      <c r="A4063" s="3">
        <f ca="1">IFERROR(__xludf.DUMMYFUNCTION("""COMPUTED_VALUE"""),44249.6666666666)</f>
        <v>44249.666666666599</v>
      </c>
      <c r="B4063" s="1">
        <f ca="1">IFERROR(__xludf.DUMMYFUNCTION("""COMPUTED_VALUE"""),234.51)</f>
        <v>234.51</v>
      </c>
    </row>
    <row r="4064" spans="1:2">
      <c r="A4064" s="3">
        <f ca="1">IFERROR(__xludf.DUMMYFUNCTION("""COMPUTED_VALUE"""),44250.6666666666)</f>
        <v>44250.666666666599</v>
      </c>
      <c r="B4064" s="1">
        <f ca="1">IFERROR(__xludf.DUMMYFUNCTION("""COMPUTED_VALUE"""),233.27)</f>
        <v>233.27</v>
      </c>
    </row>
    <row r="4065" spans="1:2">
      <c r="A4065" s="3">
        <f ca="1">IFERROR(__xludf.DUMMYFUNCTION("""COMPUTED_VALUE"""),44251.6666666666)</f>
        <v>44251.666666666599</v>
      </c>
      <c r="B4065" s="1">
        <f ca="1">IFERROR(__xludf.DUMMYFUNCTION("""COMPUTED_VALUE"""),234.55)</f>
        <v>234.55</v>
      </c>
    </row>
    <row r="4066" spans="1:2">
      <c r="A4066" s="3">
        <f ca="1">IFERROR(__xludf.DUMMYFUNCTION("""COMPUTED_VALUE"""),44252.6666666666)</f>
        <v>44252.666666666599</v>
      </c>
      <c r="B4066" s="1">
        <f ca="1">IFERROR(__xludf.DUMMYFUNCTION("""COMPUTED_VALUE"""),228.99)</f>
        <v>228.99</v>
      </c>
    </row>
    <row r="4067" spans="1:2">
      <c r="A4067" s="3">
        <f ca="1">IFERROR(__xludf.DUMMYFUNCTION("""COMPUTED_VALUE"""),44253.6666666666)</f>
        <v>44253.666666666599</v>
      </c>
      <c r="B4067" s="1">
        <f ca="1">IFERROR(__xludf.DUMMYFUNCTION("""COMPUTED_VALUE"""),232.38)</f>
        <v>232.38</v>
      </c>
    </row>
    <row r="4068" spans="1:2">
      <c r="A4068" s="3">
        <f ca="1">IFERROR(__xludf.DUMMYFUNCTION("""COMPUTED_VALUE"""),44256.6666666666)</f>
        <v>44256.666666666599</v>
      </c>
      <c r="B4068" s="1">
        <f ca="1">IFERROR(__xludf.DUMMYFUNCTION("""COMPUTED_VALUE"""),236.94)</f>
        <v>236.94</v>
      </c>
    </row>
    <row r="4069" spans="1:2">
      <c r="A4069" s="3">
        <f ca="1">IFERROR(__xludf.DUMMYFUNCTION("""COMPUTED_VALUE"""),44257.6666666666)</f>
        <v>44257.666666666599</v>
      </c>
      <c r="B4069" s="1">
        <f ca="1">IFERROR(__xludf.DUMMYFUNCTION("""COMPUTED_VALUE"""),233.87)</f>
        <v>233.87</v>
      </c>
    </row>
    <row r="4070" spans="1:2">
      <c r="A4070" s="3">
        <f ca="1">IFERROR(__xludf.DUMMYFUNCTION("""COMPUTED_VALUE"""),44258.6666666666)</f>
        <v>44258.666666666599</v>
      </c>
      <c r="B4070" s="1">
        <f ca="1">IFERROR(__xludf.DUMMYFUNCTION("""COMPUTED_VALUE"""),227.56)</f>
        <v>227.56</v>
      </c>
    </row>
    <row r="4071" spans="1:2">
      <c r="A4071" s="3">
        <f ca="1">IFERROR(__xludf.DUMMYFUNCTION("""COMPUTED_VALUE"""),44259.6666666666)</f>
        <v>44259.666666666599</v>
      </c>
      <c r="B4071" s="1">
        <f ca="1">IFERROR(__xludf.DUMMYFUNCTION("""COMPUTED_VALUE"""),226.73)</f>
        <v>226.73</v>
      </c>
    </row>
    <row r="4072" spans="1:2">
      <c r="A4072" s="3">
        <f ca="1">IFERROR(__xludf.DUMMYFUNCTION("""COMPUTED_VALUE"""),44260.6666666666)</f>
        <v>44260.666666666599</v>
      </c>
      <c r="B4072" s="1">
        <f ca="1">IFERROR(__xludf.DUMMYFUNCTION("""COMPUTED_VALUE"""),231.6)</f>
        <v>231.6</v>
      </c>
    </row>
    <row r="4073" spans="1:2">
      <c r="A4073" s="3">
        <f ca="1">IFERROR(__xludf.DUMMYFUNCTION("""COMPUTED_VALUE"""),44263.6666666666)</f>
        <v>44263.666666666599</v>
      </c>
      <c r="B4073" s="1">
        <f ca="1">IFERROR(__xludf.DUMMYFUNCTION("""COMPUTED_VALUE"""),227.39)</f>
        <v>227.39</v>
      </c>
    </row>
    <row r="4074" spans="1:2">
      <c r="A4074" s="3">
        <f ca="1">IFERROR(__xludf.DUMMYFUNCTION("""COMPUTED_VALUE"""),44264.6666666666)</f>
        <v>44264.666666666599</v>
      </c>
      <c r="B4074" s="1">
        <f ca="1">IFERROR(__xludf.DUMMYFUNCTION("""COMPUTED_VALUE"""),233.78)</f>
        <v>233.78</v>
      </c>
    </row>
    <row r="4075" spans="1:2">
      <c r="A4075" s="3">
        <f ca="1">IFERROR(__xludf.DUMMYFUNCTION("""COMPUTED_VALUE"""),44265.6666666666)</f>
        <v>44265.666666666599</v>
      </c>
      <c r="B4075" s="1">
        <f ca="1">IFERROR(__xludf.DUMMYFUNCTION("""COMPUTED_VALUE"""),232.42)</f>
        <v>232.42</v>
      </c>
    </row>
    <row r="4076" spans="1:2">
      <c r="A4076" s="3">
        <f ca="1">IFERROR(__xludf.DUMMYFUNCTION("""COMPUTED_VALUE"""),44266.6666666666)</f>
        <v>44266.666666666599</v>
      </c>
      <c r="B4076" s="1">
        <f ca="1">IFERROR(__xludf.DUMMYFUNCTION("""COMPUTED_VALUE"""),237.13)</f>
        <v>237.13</v>
      </c>
    </row>
    <row r="4077" spans="1:2">
      <c r="A4077" s="3">
        <f ca="1">IFERROR(__xludf.DUMMYFUNCTION("""COMPUTED_VALUE"""),44267.6666666666)</f>
        <v>44267.666666666599</v>
      </c>
      <c r="B4077" s="1">
        <f ca="1">IFERROR(__xludf.DUMMYFUNCTION("""COMPUTED_VALUE"""),235.75)</f>
        <v>235.75</v>
      </c>
    </row>
    <row r="4078" spans="1:2">
      <c r="A4078" s="3">
        <f ca="1">IFERROR(__xludf.DUMMYFUNCTION("""COMPUTED_VALUE"""),44270.6666666666)</f>
        <v>44270.666666666599</v>
      </c>
      <c r="B4078" s="1">
        <f ca="1">IFERROR(__xludf.DUMMYFUNCTION("""COMPUTED_VALUE"""),234.81)</f>
        <v>234.81</v>
      </c>
    </row>
    <row r="4079" spans="1:2">
      <c r="A4079" s="3">
        <f ca="1">IFERROR(__xludf.DUMMYFUNCTION("""COMPUTED_VALUE"""),44271.6666666666)</f>
        <v>44271.666666666599</v>
      </c>
      <c r="B4079" s="1">
        <f ca="1">IFERROR(__xludf.DUMMYFUNCTION("""COMPUTED_VALUE"""),237.71)</f>
        <v>237.71</v>
      </c>
    </row>
    <row r="4080" spans="1:2">
      <c r="A4080" s="3">
        <f ca="1">IFERROR(__xludf.DUMMYFUNCTION("""COMPUTED_VALUE"""),44272.6666666666)</f>
        <v>44272.666666666599</v>
      </c>
      <c r="B4080" s="1">
        <f ca="1">IFERROR(__xludf.DUMMYFUNCTION("""COMPUTED_VALUE"""),237.04)</f>
        <v>237.04</v>
      </c>
    </row>
    <row r="4081" spans="1:2">
      <c r="A4081" s="3">
        <f ca="1">IFERROR(__xludf.DUMMYFUNCTION("""COMPUTED_VALUE"""),44273.6666666666)</f>
        <v>44273.666666666599</v>
      </c>
      <c r="B4081" s="1">
        <f ca="1">IFERROR(__xludf.DUMMYFUNCTION("""COMPUTED_VALUE"""),230.72)</f>
        <v>230.72</v>
      </c>
    </row>
    <row r="4082" spans="1:2">
      <c r="A4082" s="3">
        <f ca="1">IFERROR(__xludf.DUMMYFUNCTION("""COMPUTED_VALUE"""),44274.6666666666)</f>
        <v>44274.666666666599</v>
      </c>
      <c r="B4082" s="1">
        <f ca="1">IFERROR(__xludf.DUMMYFUNCTION("""COMPUTED_VALUE"""),230.35)</f>
        <v>230.35</v>
      </c>
    </row>
    <row r="4083" spans="1:2">
      <c r="A4083" s="3">
        <f ca="1">IFERROR(__xludf.DUMMYFUNCTION("""COMPUTED_VALUE"""),44277.6666666666)</f>
        <v>44277.666666666599</v>
      </c>
      <c r="B4083" s="1">
        <f ca="1">IFERROR(__xludf.DUMMYFUNCTION("""COMPUTED_VALUE"""),235.99)</f>
        <v>235.99</v>
      </c>
    </row>
    <row r="4084" spans="1:2">
      <c r="A4084" s="3">
        <f ca="1">IFERROR(__xludf.DUMMYFUNCTION("""COMPUTED_VALUE"""),44278.6666666666)</f>
        <v>44278.666666666599</v>
      </c>
      <c r="B4084" s="1">
        <f ca="1">IFERROR(__xludf.DUMMYFUNCTION("""COMPUTED_VALUE"""),237.58)</f>
        <v>237.58</v>
      </c>
    </row>
    <row r="4085" spans="1:2">
      <c r="A4085" s="3">
        <f ca="1">IFERROR(__xludf.DUMMYFUNCTION("""COMPUTED_VALUE"""),44279.6666666666)</f>
        <v>44279.666666666599</v>
      </c>
      <c r="B4085" s="1">
        <f ca="1">IFERROR(__xludf.DUMMYFUNCTION("""COMPUTED_VALUE"""),235.46)</f>
        <v>235.46</v>
      </c>
    </row>
    <row r="4086" spans="1:2">
      <c r="A4086" s="3">
        <f ca="1">IFERROR(__xludf.DUMMYFUNCTION("""COMPUTED_VALUE"""),44280.6666666666)</f>
        <v>44280.666666666599</v>
      </c>
      <c r="B4086" s="1">
        <f ca="1">IFERROR(__xludf.DUMMYFUNCTION("""COMPUTED_VALUE"""),232.34)</f>
        <v>232.34</v>
      </c>
    </row>
    <row r="4087" spans="1:2">
      <c r="A4087" s="3">
        <f ca="1">IFERROR(__xludf.DUMMYFUNCTION("""COMPUTED_VALUE"""),44281.6666666666)</f>
        <v>44281.666666666599</v>
      </c>
      <c r="B4087" s="1">
        <f ca="1">IFERROR(__xludf.DUMMYFUNCTION("""COMPUTED_VALUE"""),236.48)</f>
        <v>236.48</v>
      </c>
    </row>
    <row r="4088" spans="1:2">
      <c r="A4088" s="3">
        <f ca="1">IFERROR(__xludf.DUMMYFUNCTION("""COMPUTED_VALUE"""),44284.6666666666)</f>
        <v>44284.666666666599</v>
      </c>
      <c r="B4088" s="1">
        <f ca="1">IFERROR(__xludf.DUMMYFUNCTION("""COMPUTED_VALUE"""),235.24)</f>
        <v>235.24</v>
      </c>
    </row>
    <row r="4089" spans="1:2">
      <c r="A4089" s="3">
        <f ca="1">IFERROR(__xludf.DUMMYFUNCTION("""COMPUTED_VALUE"""),44285.6666666666)</f>
        <v>44285.666666666599</v>
      </c>
      <c r="B4089" s="1">
        <f ca="1">IFERROR(__xludf.DUMMYFUNCTION("""COMPUTED_VALUE"""),231.85)</f>
        <v>231.85</v>
      </c>
    </row>
    <row r="4090" spans="1:2">
      <c r="A4090" s="3">
        <f ca="1">IFERROR(__xludf.DUMMYFUNCTION("""COMPUTED_VALUE"""),44286.6666666666)</f>
        <v>44286.666666666599</v>
      </c>
      <c r="B4090" s="1">
        <f ca="1">IFERROR(__xludf.DUMMYFUNCTION("""COMPUTED_VALUE"""),235.77)</f>
        <v>235.77</v>
      </c>
    </row>
    <row r="4091" spans="1:2">
      <c r="A4091" s="3">
        <f ca="1">IFERROR(__xludf.DUMMYFUNCTION("""COMPUTED_VALUE"""),44287.6666666666)</f>
        <v>44287.666666666599</v>
      </c>
      <c r="B4091" s="1">
        <f ca="1">IFERROR(__xludf.DUMMYFUNCTION("""COMPUTED_VALUE"""),242.35)</f>
        <v>242.35</v>
      </c>
    </row>
    <row r="4092" spans="1:2">
      <c r="A4092" s="3">
        <f ca="1">IFERROR(__xludf.DUMMYFUNCTION("""COMPUTED_VALUE"""),44291.6666666666)</f>
        <v>44291.666666666599</v>
      </c>
      <c r="B4092" s="1">
        <f ca="1">IFERROR(__xludf.DUMMYFUNCTION("""COMPUTED_VALUE"""),249.07)</f>
        <v>249.07</v>
      </c>
    </row>
    <row r="4093" spans="1:2">
      <c r="A4093" s="3">
        <f ca="1">IFERROR(__xludf.DUMMYFUNCTION("""COMPUTED_VALUE"""),44292.6666666666)</f>
        <v>44292.666666666599</v>
      </c>
      <c r="B4093" s="1">
        <f ca="1">IFERROR(__xludf.DUMMYFUNCTION("""COMPUTED_VALUE"""),247.86)</f>
        <v>247.86</v>
      </c>
    </row>
    <row r="4094" spans="1:2">
      <c r="A4094" s="3">
        <f ca="1">IFERROR(__xludf.DUMMYFUNCTION("""COMPUTED_VALUE"""),44293.6666666666)</f>
        <v>44293.666666666599</v>
      </c>
      <c r="B4094" s="1">
        <f ca="1">IFERROR(__xludf.DUMMYFUNCTION("""COMPUTED_VALUE"""),249.9)</f>
        <v>249.9</v>
      </c>
    </row>
    <row r="4095" spans="1:2">
      <c r="A4095" s="3">
        <f ca="1">IFERROR(__xludf.DUMMYFUNCTION("""COMPUTED_VALUE"""),44294.6666666666)</f>
        <v>44294.666666666599</v>
      </c>
      <c r="B4095" s="1">
        <f ca="1">IFERROR(__xludf.DUMMYFUNCTION("""COMPUTED_VALUE"""),253.25)</f>
        <v>253.25</v>
      </c>
    </row>
    <row r="4096" spans="1:2">
      <c r="A4096" s="3">
        <f ca="1">IFERROR(__xludf.DUMMYFUNCTION("""COMPUTED_VALUE"""),44295.6666666666)</f>
        <v>44295.666666666599</v>
      </c>
      <c r="B4096" s="1">
        <f ca="1">IFERROR(__xludf.DUMMYFUNCTION("""COMPUTED_VALUE"""),255.85)</f>
        <v>255.85</v>
      </c>
    </row>
    <row r="4097" spans="1:2">
      <c r="A4097" s="3">
        <f ca="1">IFERROR(__xludf.DUMMYFUNCTION("""COMPUTED_VALUE"""),44298.6666666666)</f>
        <v>44298.666666666599</v>
      </c>
      <c r="B4097" s="1">
        <f ca="1">IFERROR(__xludf.DUMMYFUNCTION("""COMPUTED_VALUE"""),255.91)</f>
        <v>255.91</v>
      </c>
    </row>
    <row r="4098" spans="1:2">
      <c r="A4098" s="3">
        <f ca="1">IFERROR(__xludf.DUMMYFUNCTION("""COMPUTED_VALUE"""),44299.6666666666)</f>
        <v>44299.666666666599</v>
      </c>
      <c r="B4098" s="1">
        <f ca="1">IFERROR(__xludf.DUMMYFUNCTION("""COMPUTED_VALUE"""),258.49)</f>
        <v>258.49</v>
      </c>
    </row>
    <row r="4099" spans="1:2">
      <c r="A4099" s="3">
        <f ca="1">IFERROR(__xludf.DUMMYFUNCTION("""COMPUTED_VALUE"""),44300.6666666666)</f>
        <v>44300.666666666599</v>
      </c>
      <c r="B4099" s="1">
        <f ca="1">IFERROR(__xludf.DUMMYFUNCTION("""COMPUTED_VALUE"""),255.59)</f>
        <v>255.59</v>
      </c>
    </row>
    <row r="4100" spans="1:2">
      <c r="A4100" s="3">
        <f ca="1">IFERROR(__xludf.DUMMYFUNCTION("""COMPUTED_VALUE"""),44301.6666666666)</f>
        <v>44301.666666666599</v>
      </c>
      <c r="B4100" s="1">
        <f ca="1">IFERROR(__xludf.DUMMYFUNCTION("""COMPUTED_VALUE"""),259.5)</f>
        <v>259.5</v>
      </c>
    </row>
    <row r="4101" spans="1:2">
      <c r="A4101" s="3">
        <f ca="1">IFERROR(__xludf.DUMMYFUNCTION("""COMPUTED_VALUE"""),44302.6666666666)</f>
        <v>44302.666666666599</v>
      </c>
      <c r="B4101" s="1">
        <f ca="1">IFERROR(__xludf.DUMMYFUNCTION("""COMPUTED_VALUE"""),260.74)</f>
        <v>260.74</v>
      </c>
    </row>
    <row r="4102" spans="1:2">
      <c r="A4102" s="3">
        <f ca="1">IFERROR(__xludf.DUMMYFUNCTION("""COMPUTED_VALUE"""),44305.6666666666)</f>
        <v>44305.666666666599</v>
      </c>
      <c r="B4102" s="1">
        <f ca="1">IFERROR(__xludf.DUMMYFUNCTION("""COMPUTED_VALUE"""),258.74)</f>
        <v>258.74</v>
      </c>
    </row>
    <row r="4103" spans="1:2">
      <c r="A4103" s="3">
        <f ca="1">IFERROR(__xludf.DUMMYFUNCTION("""COMPUTED_VALUE"""),44306.6666666666)</f>
        <v>44306.666666666599</v>
      </c>
      <c r="B4103" s="1">
        <f ca="1">IFERROR(__xludf.DUMMYFUNCTION("""COMPUTED_VALUE"""),258.26)</f>
        <v>258.26</v>
      </c>
    </row>
    <row r="4104" spans="1:2">
      <c r="A4104" s="3">
        <f ca="1">IFERROR(__xludf.DUMMYFUNCTION("""COMPUTED_VALUE"""),44307.6666666666)</f>
        <v>44307.666666666599</v>
      </c>
      <c r="B4104" s="1">
        <f ca="1">IFERROR(__xludf.DUMMYFUNCTION("""COMPUTED_VALUE"""),260.58)</f>
        <v>260.58</v>
      </c>
    </row>
    <row r="4105" spans="1:2">
      <c r="A4105" s="3">
        <f ca="1">IFERROR(__xludf.DUMMYFUNCTION("""COMPUTED_VALUE"""),44308.6666666666)</f>
        <v>44308.666666666599</v>
      </c>
      <c r="B4105" s="1">
        <f ca="1">IFERROR(__xludf.DUMMYFUNCTION("""COMPUTED_VALUE"""),257.17)</f>
        <v>257.17</v>
      </c>
    </row>
    <row r="4106" spans="1:2">
      <c r="A4106" s="3">
        <f ca="1">IFERROR(__xludf.DUMMYFUNCTION("""COMPUTED_VALUE"""),44309.6666666666)</f>
        <v>44309.666666666599</v>
      </c>
      <c r="B4106" s="1">
        <f ca="1">IFERROR(__xludf.DUMMYFUNCTION("""COMPUTED_VALUE"""),261.15)</f>
        <v>261.14999999999998</v>
      </c>
    </row>
    <row r="4107" spans="1:2">
      <c r="A4107" s="3">
        <f ca="1">IFERROR(__xludf.DUMMYFUNCTION("""COMPUTED_VALUE"""),44312.6666666666)</f>
        <v>44312.666666666599</v>
      </c>
      <c r="B4107" s="1">
        <f ca="1">IFERROR(__xludf.DUMMYFUNCTION("""COMPUTED_VALUE"""),261.55)</f>
        <v>261.55</v>
      </c>
    </row>
    <row r="4108" spans="1:2">
      <c r="A4108" s="3">
        <f ca="1">IFERROR(__xludf.DUMMYFUNCTION("""COMPUTED_VALUE"""),44313.6666666666)</f>
        <v>44313.666666666599</v>
      </c>
      <c r="B4108" s="1">
        <f ca="1">IFERROR(__xludf.DUMMYFUNCTION("""COMPUTED_VALUE"""),261.97)</f>
        <v>261.97000000000003</v>
      </c>
    </row>
    <row r="4109" spans="1:2">
      <c r="A4109" s="3">
        <f ca="1">IFERROR(__xludf.DUMMYFUNCTION("""COMPUTED_VALUE"""),44314.6666666666)</f>
        <v>44314.666666666599</v>
      </c>
      <c r="B4109" s="1">
        <f ca="1">IFERROR(__xludf.DUMMYFUNCTION("""COMPUTED_VALUE"""),254.56)</f>
        <v>254.56</v>
      </c>
    </row>
    <row r="4110" spans="1:2">
      <c r="A4110" s="3">
        <f ca="1">IFERROR(__xludf.DUMMYFUNCTION("""COMPUTED_VALUE"""),44315.6666666666)</f>
        <v>44315.666666666599</v>
      </c>
      <c r="B4110" s="1">
        <f ca="1">IFERROR(__xludf.DUMMYFUNCTION("""COMPUTED_VALUE"""),252.51)</f>
        <v>252.51</v>
      </c>
    </row>
    <row r="4111" spans="1:2">
      <c r="A4111" s="3">
        <f ca="1">IFERROR(__xludf.DUMMYFUNCTION("""COMPUTED_VALUE"""),44316.6666666666)</f>
        <v>44316.666666666599</v>
      </c>
      <c r="B4111" s="1">
        <f ca="1">IFERROR(__xludf.DUMMYFUNCTION("""COMPUTED_VALUE"""),252.18)</f>
        <v>252.18</v>
      </c>
    </row>
    <row r="4112" spans="1:2">
      <c r="A4112" s="3">
        <f ca="1">IFERROR(__xludf.DUMMYFUNCTION("""COMPUTED_VALUE"""),44319.6666666666)</f>
        <v>44319.666666666599</v>
      </c>
      <c r="B4112" s="1">
        <f ca="1">IFERROR(__xludf.DUMMYFUNCTION("""COMPUTED_VALUE"""),251.86)</f>
        <v>251.86</v>
      </c>
    </row>
    <row r="4113" spans="1:2">
      <c r="A4113" s="3">
        <f ca="1">IFERROR(__xludf.DUMMYFUNCTION("""COMPUTED_VALUE"""),44320.6666666666)</f>
        <v>44320.666666666599</v>
      </c>
      <c r="B4113" s="1">
        <f ca="1">IFERROR(__xludf.DUMMYFUNCTION("""COMPUTED_VALUE"""),247.79)</f>
        <v>247.79</v>
      </c>
    </row>
    <row r="4114" spans="1:2">
      <c r="A4114" s="3">
        <f ca="1">IFERROR(__xludf.DUMMYFUNCTION("""COMPUTED_VALUE"""),44321.6666666666)</f>
        <v>44321.666666666599</v>
      </c>
      <c r="B4114" s="1">
        <f ca="1">IFERROR(__xludf.DUMMYFUNCTION("""COMPUTED_VALUE"""),246.47)</f>
        <v>246.47</v>
      </c>
    </row>
    <row r="4115" spans="1:2">
      <c r="A4115" s="3">
        <f ca="1">IFERROR(__xludf.DUMMYFUNCTION("""COMPUTED_VALUE"""),44322.6666666666)</f>
        <v>44322.666666666599</v>
      </c>
      <c r="B4115" s="1">
        <f ca="1">IFERROR(__xludf.DUMMYFUNCTION("""COMPUTED_VALUE"""),249.73)</f>
        <v>249.73</v>
      </c>
    </row>
    <row r="4116" spans="1:2">
      <c r="A4116" s="3">
        <f ca="1">IFERROR(__xludf.DUMMYFUNCTION("""COMPUTED_VALUE"""),44323.6666666666)</f>
        <v>44323.666666666599</v>
      </c>
      <c r="B4116" s="1">
        <f ca="1">IFERROR(__xludf.DUMMYFUNCTION("""COMPUTED_VALUE"""),252.46)</f>
        <v>252.46</v>
      </c>
    </row>
    <row r="4117" spans="1:2">
      <c r="A4117" s="3">
        <f ca="1">IFERROR(__xludf.DUMMYFUNCTION("""COMPUTED_VALUE"""),44326.6666666666)</f>
        <v>44326.666666666599</v>
      </c>
      <c r="B4117" s="1">
        <f ca="1">IFERROR(__xludf.DUMMYFUNCTION("""COMPUTED_VALUE"""),247.18)</f>
        <v>247.18</v>
      </c>
    </row>
    <row r="4118" spans="1:2">
      <c r="A4118" s="3">
        <f ca="1">IFERROR(__xludf.DUMMYFUNCTION("""COMPUTED_VALUE"""),44327.6666666666)</f>
        <v>44327.666666666599</v>
      </c>
      <c r="B4118" s="1">
        <f ca="1">IFERROR(__xludf.DUMMYFUNCTION("""COMPUTED_VALUE"""),246.23)</f>
        <v>246.23</v>
      </c>
    </row>
    <row r="4119" spans="1:2">
      <c r="A4119" s="3">
        <f ca="1">IFERROR(__xludf.DUMMYFUNCTION("""COMPUTED_VALUE"""),44328.6666666666)</f>
        <v>44328.666666666599</v>
      </c>
      <c r="B4119" s="1">
        <f ca="1">IFERROR(__xludf.DUMMYFUNCTION("""COMPUTED_VALUE"""),239)</f>
        <v>239</v>
      </c>
    </row>
    <row r="4120" spans="1:2">
      <c r="A4120" s="3">
        <f ca="1">IFERROR(__xludf.DUMMYFUNCTION("""COMPUTED_VALUE"""),44329.6666666666)</f>
        <v>44329.666666666599</v>
      </c>
      <c r="B4120" s="1">
        <f ca="1">IFERROR(__xludf.DUMMYFUNCTION("""COMPUTED_VALUE"""),243.03)</f>
        <v>243.03</v>
      </c>
    </row>
    <row r="4121" spans="1:2">
      <c r="A4121" s="3">
        <f ca="1">IFERROR(__xludf.DUMMYFUNCTION("""COMPUTED_VALUE"""),44330.6666666666)</f>
        <v>44330.666666666599</v>
      </c>
      <c r="B4121" s="1">
        <f ca="1">IFERROR(__xludf.DUMMYFUNCTION("""COMPUTED_VALUE"""),248.15)</f>
        <v>248.15</v>
      </c>
    </row>
    <row r="4122" spans="1:2">
      <c r="A4122" s="3">
        <f ca="1">IFERROR(__xludf.DUMMYFUNCTION("""COMPUTED_VALUE"""),44333.6666666666)</f>
        <v>44333.666666666599</v>
      </c>
      <c r="B4122" s="1">
        <f ca="1">IFERROR(__xludf.DUMMYFUNCTION("""COMPUTED_VALUE"""),245.18)</f>
        <v>245.18</v>
      </c>
    </row>
    <row r="4123" spans="1:2">
      <c r="A4123" s="3">
        <f ca="1">IFERROR(__xludf.DUMMYFUNCTION("""COMPUTED_VALUE"""),44334.6666666666)</f>
        <v>44334.666666666599</v>
      </c>
      <c r="B4123" s="1">
        <f ca="1">IFERROR(__xludf.DUMMYFUNCTION("""COMPUTED_VALUE"""),243.08)</f>
        <v>243.08</v>
      </c>
    </row>
    <row r="4124" spans="1:2">
      <c r="A4124" s="3">
        <f ca="1">IFERROR(__xludf.DUMMYFUNCTION("""COMPUTED_VALUE"""),44335.6666666666)</f>
        <v>44335.666666666599</v>
      </c>
      <c r="B4124" s="1">
        <f ca="1">IFERROR(__xludf.DUMMYFUNCTION("""COMPUTED_VALUE"""),243.12)</f>
        <v>243.12</v>
      </c>
    </row>
    <row r="4125" spans="1:2">
      <c r="A4125" s="3">
        <f ca="1">IFERROR(__xludf.DUMMYFUNCTION("""COMPUTED_VALUE"""),44336.6666666666)</f>
        <v>44336.666666666599</v>
      </c>
      <c r="B4125" s="1">
        <f ca="1">IFERROR(__xludf.DUMMYFUNCTION("""COMPUTED_VALUE"""),246.48)</f>
        <v>246.48</v>
      </c>
    </row>
    <row r="4126" spans="1:2">
      <c r="A4126" s="3">
        <f ca="1">IFERROR(__xludf.DUMMYFUNCTION("""COMPUTED_VALUE"""),44337.6666666666)</f>
        <v>44337.666666666599</v>
      </c>
      <c r="B4126" s="1">
        <f ca="1">IFERROR(__xludf.DUMMYFUNCTION("""COMPUTED_VALUE"""),245.17)</f>
        <v>245.17</v>
      </c>
    </row>
    <row r="4127" spans="1:2">
      <c r="A4127" s="3">
        <f ca="1">IFERROR(__xludf.DUMMYFUNCTION("""COMPUTED_VALUE"""),44340.6666666666)</f>
        <v>44340.666666666599</v>
      </c>
      <c r="B4127" s="1">
        <f ca="1">IFERROR(__xludf.DUMMYFUNCTION("""COMPUTED_VALUE"""),250.78)</f>
        <v>250.78</v>
      </c>
    </row>
    <row r="4128" spans="1:2">
      <c r="A4128" s="3">
        <f ca="1">IFERROR(__xludf.DUMMYFUNCTION("""COMPUTED_VALUE"""),44341.6666666666)</f>
        <v>44341.666666666599</v>
      </c>
      <c r="B4128" s="1">
        <f ca="1">IFERROR(__xludf.DUMMYFUNCTION("""COMPUTED_VALUE"""),251.72)</f>
        <v>251.72</v>
      </c>
    </row>
    <row r="4129" spans="1:2">
      <c r="A4129" s="3">
        <f ca="1">IFERROR(__xludf.DUMMYFUNCTION("""COMPUTED_VALUE"""),44342.6666666666)</f>
        <v>44342.666666666599</v>
      </c>
      <c r="B4129" s="1">
        <f ca="1">IFERROR(__xludf.DUMMYFUNCTION("""COMPUTED_VALUE"""),251.49)</f>
        <v>251.49</v>
      </c>
    </row>
    <row r="4130" spans="1:2">
      <c r="A4130" s="3">
        <f ca="1">IFERROR(__xludf.DUMMYFUNCTION("""COMPUTED_VALUE"""),44343.6666666666)</f>
        <v>44343.666666666599</v>
      </c>
      <c r="B4130" s="1">
        <f ca="1">IFERROR(__xludf.DUMMYFUNCTION("""COMPUTED_VALUE"""),249.31)</f>
        <v>249.31</v>
      </c>
    </row>
    <row r="4131" spans="1:2">
      <c r="A4131" s="3">
        <f ca="1">IFERROR(__xludf.DUMMYFUNCTION("""COMPUTED_VALUE"""),44344.6666666666)</f>
        <v>44344.666666666599</v>
      </c>
      <c r="B4131" s="1">
        <f ca="1">IFERROR(__xludf.DUMMYFUNCTION("""COMPUTED_VALUE"""),249.68)</f>
        <v>249.68</v>
      </c>
    </row>
    <row r="4132" spans="1:2">
      <c r="A4132" s="3">
        <f ca="1">IFERROR(__xludf.DUMMYFUNCTION("""COMPUTED_VALUE"""),44348.6666666666)</f>
        <v>44348.666666666599</v>
      </c>
      <c r="B4132" s="1">
        <f ca="1">IFERROR(__xludf.DUMMYFUNCTION("""COMPUTED_VALUE"""),247.4)</f>
        <v>247.4</v>
      </c>
    </row>
    <row r="4133" spans="1:2">
      <c r="A4133" s="3">
        <f ca="1">IFERROR(__xludf.DUMMYFUNCTION("""COMPUTED_VALUE"""),44349.6666666666)</f>
        <v>44349.666666666599</v>
      </c>
      <c r="B4133" s="1">
        <f ca="1">IFERROR(__xludf.DUMMYFUNCTION("""COMPUTED_VALUE"""),247.3)</f>
        <v>247.3</v>
      </c>
    </row>
    <row r="4134" spans="1:2">
      <c r="A4134" s="3">
        <f ca="1">IFERROR(__xludf.DUMMYFUNCTION("""COMPUTED_VALUE"""),44350.6666666666)</f>
        <v>44350.666666666599</v>
      </c>
      <c r="B4134" s="1">
        <f ca="1">IFERROR(__xludf.DUMMYFUNCTION("""COMPUTED_VALUE"""),245.71)</f>
        <v>245.71</v>
      </c>
    </row>
    <row r="4135" spans="1:2">
      <c r="A4135" s="3">
        <f ca="1">IFERROR(__xludf.DUMMYFUNCTION("""COMPUTED_VALUE"""),44351.6666666666)</f>
        <v>44351.666666666599</v>
      </c>
      <c r="B4135" s="1">
        <f ca="1">IFERROR(__xludf.DUMMYFUNCTION("""COMPUTED_VALUE"""),250.79)</f>
        <v>250.79</v>
      </c>
    </row>
    <row r="4136" spans="1:2">
      <c r="A4136" s="3">
        <f ca="1">IFERROR(__xludf.DUMMYFUNCTION("""COMPUTED_VALUE"""),44354.6666666666)</f>
        <v>44354.666666666599</v>
      </c>
      <c r="B4136" s="1">
        <f ca="1">IFERROR(__xludf.DUMMYFUNCTION("""COMPUTED_VALUE"""),253.81)</f>
        <v>253.81</v>
      </c>
    </row>
    <row r="4137" spans="1:2">
      <c r="A4137" s="3">
        <f ca="1">IFERROR(__xludf.DUMMYFUNCTION("""COMPUTED_VALUE"""),44355.6666666666)</f>
        <v>44355.666666666599</v>
      </c>
      <c r="B4137" s="1">
        <f ca="1">IFERROR(__xludf.DUMMYFUNCTION("""COMPUTED_VALUE"""),252.57)</f>
        <v>252.57</v>
      </c>
    </row>
    <row r="4138" spans="1:2">
      <c r="A4138" s="3">
        <f ca="1">IFERROR(__xludf.DUMMYFUNCTION("""COMPUTED_VALUE"""),44356.6666666666)</f>
        <v>44356.666666666599</v>
      </c>
      <c r="B4138" s="1">
        <f ca="1">IFERROR(__xludf.DUMMYFUNCTION("""COMPUTED_VALUE"""),253.59)</f>
        <v>253.59</v>
      </c>
    </row>
    <row r="4139" spans="1:2">
      <c r="A4139" s="3">
        <f ca="1">IFERROR(__xludf.DUMMYFUNCTION("""COMPUTED_VALUE"""),44357.6666666666)</f>
        <v>44357.666666666599</v>
      </c>
      <c r="B4139" s="1">
        <f ca="1">IFERROR(__xludf.DUMMYFUNCTION("""COMPUTED_VALUE"""),257.24)</f>
        <v>257.24</v>
      </c>
    </row>
    <row r="4140" spans="1:2">
      <c r="A4140" s="3">
        <f ca="1">IFERROR(__xludf.DUMMYFUNCTION("""COMPUTED_VALUE"""),44358.6666666666)</f>
        <v>44358.666666666599</v>
      </c>
      <c r="B4140" s="1">
        <f ca="1">IFERROR(__xludf.DUMMYFUNCTION("""COMPUTED_VALUE"""),257.89)</f>
        <v>257.89</v>
      </c>
    </row>
    <row r="4141" spans="1:2">
      <c r="A4141" s="3">
        <f ca="1">IFERROR(__xludf.DUMMYFUNCTION("""COMPUTED_VALUE"""),44361.6666666666)</f>
        <v>44361.666666666599</v>
      </c>
      <c r="B4141" s="1">
        <f ca="1">IFERROR(__xludf.DUMMYFUNCTION("""COMPUTED_VALUE"""),259.89)</f>
        <v>259.89</v>
      </c>
    </row>
    <row r="4142" spans="1:2">
      <c r="A4142" s="3">
        <f ca="1">IFERROR(__xludf.DUMMYFUNCTION("""COMPUTED_VALUE"""),44362.6666666666)</f>
        <v>44362.666666666599</v>
      </c>
      <c r="B4142" s="1">
        <f ca="1">IFERROR(__xludf.DUMMYFUNCTION("""COMPUTED_VALUE"""),258.36)</f>
        <v>258.36</v>
      </c>
    </row>
    <row r="4143" spans="1:2">
      <c r="A4143" s="3">
        <f ca="1">IFERROR(__xludf.DUMMYFUNCTION("""COMPUTED_VALUE"""),44363.6666666666)</f>
        <v>44363.666666666599</v>
      </c>
      <c r="B4143" s="1">
        <f ca="1">IFERROR(__xludf.DUMMYFUNCTION("""COMPUTED_VALUE"""),257.38)</f>
        <v>257.38</v>
      </c>
    </row>
    <row r="4144" spans="1:2">
      <c r="A4144" s="3">
        <f ca="1">IFERROR(__xludf.DUMMYFUNCTION("""COMPUTED_VALUE"""),44364.6666666666)</f>
        <v>44364.666666666599</v>
      </c>
      <c r="B4144" s="1">
        <f ca="1">IFERROR(__xludf.DUMMYFUNCTION("""COMPUTED_VALUE"""),260.9)</f>
        <v>260.89999999999998</v>
      </c>
    </row>
    <row r="4145" spans="1:2">
      <c r="A4145" s="3">
        <f ca="1">IFERROR(__xludf.DUMMYFUNCTION("""COMPUTED_VALUE"""),44365.6666666666)</f>
        <v>44365.666666666599</v>
      </c>
      <c r="B4145" s="1">
        <f ca="1">IFERROR(__xludf.DUMMYFUNCTION("""COMPUTED_VALUE"""),259.43)</f>
        <v>259.43</v>
      </c>
    </row>
    <row r="4146" spans="1:2">
      <c r="A4146" s="3">
        <f ca="1">IFERROR(__xludf.DUMMYFUNCTION("""COMPUTED_VALUE"""),44368.6666666666)</f>
        <v>44368.666666666599</v>
      </c>
      <c r="B4146" s="1">
        <f ca="1">IFERROR(__xludf.DUMMYFUNCTION("""COMPUTED_VALUE"""),262.63)</f>
        <v>262.63</v>
      </c>
    </row>
    <row r="4147" spans="1:2">
      <c r="A4147" s="3">
        <f ca="1">IFERROR(__xludf.DUMMYFUNCTION("""COMPUTED_VALUE"""),44369.6666666666)</f>
        <v>44369.666666666599</v>
      </c>
      <c r="B4147" s="1">
        <f ca="1">IFERROR(__xludf.DUMMYFUNCTION("""COMPUTED_VALUE"""),265.51)</f>
        <v>265.51</v>
      </c>
    </row>
    <row r="4148" spans="1:2">
      <c r="A4148" s="3">
        <f ca="1">IFERROR(__xludf.DUMMYFUNCTION("""COMPUTED_VALUE"""),44370.6666666666)</f>
        <v>44370.666666666599</v>
      </c>
      <c r="B4148" s="1">
        <f ca="1">IFERROR(__xludf.DUMMYFUNCTION("""COMPUTED_VALUE"""),265.27)</f>
        <v>265.27</v>
      </c>
    </row>
    <row r="4149" spans="1:2">
      <c r="A4149" s="3">
        <f ca="1">IFERROR(__xludf.DUMMYFUNCTION("""COMPUTED_VALUE"""),44371.6666666666)</f>
        <v>44371.666666666599</v>
      </c>
      <c r="B4149" s="1">
        <f ca="1">IFERROR(__xludf.DUMMYFUNCTION("""COMPUTED_VALUE"""),266.69)</f>
        <v>266.69</v>
      </c>
    </row>
    <row r="4150" spans="1:2">
      <c r="A4150" s="3">
        <f ca="1">IFERROR(__xludf.DUMMYFUNCTION("""COMPUTED_VALUE"""),44372.6666666666)</f>
        <v>44372.666666666599</v>
      </c>
      <c r="B4150" s="1">
        <f ca="1">IFERROR(__xludf.DUMMYFUNCTION("""COMPUTED_VALUE"""),265.02)</f>
        <v>265.02</v>
      </c>
    </row>
    <row r="4151" spans="1:2">
      <c r="A4151" s="3">
        <f ca="1">IFERROR(__xludf.DUMMYFUNCTION("""COMPUTED_VALUE"""),44375.6666666666)</f>
        <v>44375.666666666599</v>
      </c>
      <c r="B4151" s="1">
        <f ca="1">IFERROR(__xludf.DUMMYFUNCTION("""COMPUTED_VALUE"""),268.72)</f>
        <v>268.72000000000003</v>
      </c>
    </row>
    <row r="4152" spans="1:2">
      <c r="A4152" s="3">
        <f ca="1">IFERROR(__xludf.DUMMYFUNCTION("""COMPUTED_VALUE"""),44376.6666666666)</f>
        <v>44376.666666666599</v>
      </c>
      <c r="B4152" s="1">
        <f ca="1">IFERROR(__xludf.DUMMYFUNCTION("""COMPUTED_VALUE"""),271.4)</f>
        <v>271.39999999999998</v>
      </c>
    </row>
    <row r="4153" spans="1:2">
      <c r="A4153" s="3">
        <f ca="1">IFERROR(__xludf.DUMMYFUNCTION("""COMPUTED_VALUE"""),44377.6666666666)</f>
        <v>44377.666666666599</v>
      </c>
      <c r="B4153" s="1">
        <f ca="1">IFERROR(__xludf.DUMMYFUNCTION("""COMPUTED_VALUE"""),270.9)</f>
        <v>270.89999999999998</v>
      </c>
    </row>
    <row r="4154" spans="1:2">
      <c r="A4154" s="3">
        <f ca="1">IFERROR(__xludf.DUMMYFUNCTION("""COMPUTED_VALUE"""),44378.6666666666)</f>
        <v>44378.666666666599</v>
      </c>
      <c r="B4154" s="1">
        <f ca="1">IFERROR(__xludf.DUMMYFUNCTION("""COMPUTED_VALUE"""),271.6)</f>
        <v>271.60000000000002</v>
      </c>
    </row>
    <row r="4155" spans="1:2">
      <c r="A4155" s="3">
        <f ca="1">IFERROR(__xludf.DUMMYFUNCTION("""COMPUTED_VALUE"""),44379.6666666666)</f>
        <v>44379.666666666599</v>
      </c>
      <c r="B4155" s="1">
        <f ca="1">IFERROR(__xludf.DUMMYFUNCTION("""COMPUTED_VALUE"""),277.65)</f>
        <v>277.64999999999998</v>
      </c>
    </row>
    <row r="4156" spans="1:2">
      <c r="A4156" s="3">
        <f ca="1">IFERROR(__xludf.DUMMYFUNCTION("""COMPUTED_VALUE"""),44383.6666666666)</f>
        <v>44383.666666666599</v>
      </c>
      <c r="B4156" s="1">
        <f ca="1">IFERROR(__xludf.DUMMYFUNCTION("""COMPUTED_VALUE"""),277.66)</f>
        <v>277.66000000000003</v>
      </c>
    </row>
    <row r="4157" spans="1:2">
      <c r="A4157" s="3">
        <f ca="1">IFERROR(__xludf.DUMMYFUNCTION("""COMPUTED_VALUE"""),44384.6666666666)</f>
        <v>44384.666666666599</v>
      </c>
      <c r="B4157" s="1">
        <f ca="1">IFERROR(__xludf.DUMMYFUNCTION("""COMPUTED_VALUE"""),279.93)</f>
        <v>279.93</v>
      </c>
    </row>
    <row r="4158" spans="1:2">
      <c r="A4158" s="3">
        <f ca="1">IFERROR(__xludf.DUMMYFUNCTION("""COMPUTED_VALUE"""),44385.6666666666)</f>
        <v>44385.666666666599</v>
      </c>
      <c r="B4158" s="1">
        <f ca="1">IFERROR(__xludf.DUMMYFUNCTION("""COMPUTED_VALUE"""),277.42)</f>
        <v>277.42</v>
      </c>
    </row>
    <row r="4159" spans="1:2">
      <c r="A4159" s="3">
        <f ca="1">IFERROR(__xludf.DUMMYFUNCTION("""COMPUTED_VALUE"""),44386.6666666666)</f>
        <v>44386.666666666599</v>
      </c>
      <c r="B4159" s="1">
        <f ca="1">IFERROR(__xludf.DUMMYFUNCTION("""COMPUTED_VALUE"""),277.94)</f>
        <v>277.94</v>
      </c>
    </row>
    <row r="4160" spans="1:2">
      <c r="A4160" s="3">
        <f ca="1">IFERROR(__xludf.DUMMYFUNCTION("""COMPUTED_VALUE"""),44389.6666666666)</f>
        <v>44389.666666666599</v>
      </c>
      <c r="B4160" s="1">
        <f ca="1">IFERROR(__xludf.DUMMYFUNCTION("""COMPUTED_VALUE"""),277.32)</f>
        <v>277.32</v>
      </c>
    </row>
    <row r="4161" spans="1:2">
      <c r="A4161" s="3">
        <f ca="1">IFERROR(__xludf.DUMMYFUNCTION("""COMPUTED_VALUE"""),44390.6666666666)</f>
        <v>44390.666666666599</v>
      </c>
      <c r="B4161" s="1">
        <f ca="1">IFERROR(__xludf.DUMMYFUNCTION("""COMPUTED_VALUE"""),280.98)</f>
        <v>280.98</v>
      </c>
    </row>
    <row r="4162" spans="1:2">
      <c r="A4162" s="3">
        <f ca="1">IFERROR(__xludf.DUMMYFUNCTION("""COMPUTED_VALUE"""),44391.6666666666)</f>
        <v>44391.666666666599</v>
      </c>
      <c r="B4162" s="1">
        <f ca="1">IFERROR(__xludf.DUMMYFUNCTION("""COMPUTED_VALUE"""),282.51)</f>
        <v>282.51</v>
      </c>
    </row>
    <row r="4163" spans="1:2">
      <c r="A4163" s="3">
        <f ca="1">IFERROR(__xludf.DUMMYFUNCTION("""COMPUTED_VALUE"""),44392.6666666666)</f>
        <v>44392.666666666599</v>
      </c>
      <c r="B4163" s="1">
        <f ca="1">IFERROR(__xludf.DUMMYFUNCTION("""COMPUTED_VALUE"""),281.03)</f>
        <v>281.02999999999997</v>
      </c>
    </row>
    <row r="4164" spans="1:2">
      <c r="A4164" s="3">
        <f ca="1">IFERROR(__xludf.DUMMYFUNCTION("""COMPUTED_VALUE"""),44393.6666666666)</f>
        <v>44393.666666666599</v>
      </c>
      <c r="B4164" s="1">
        <f ca="1">IFERROR(__xludf.DUMMYFUNCTION("""COMPUTED_VALUE"""),280.75)</f>
        <v>280.75</v>
      </c>
    </row>
    <row r="4165" spans="1:2">
      <c r="A4165" s="3">
        <f ca="1">IFERROR(__xludf.DUMMYFUNCTION("""COMPUTED_VALUE"""),44396.6666666666)</f>
        <v>44396.666666666599</v>
      </c>
      <c r="B4165" s="1">
        <f ca="1">IFERROR(__xludf.DUMMYFUNCTION("""COMPUTED_VALUE"""),277.01)</f>
        <v>277.01</v>
      </c>
    </row>
    <row r="4166" spans="1:2">
      <c r="A4166" s="3">
        <f ca="1">IFERROR(__xludf.DUMMYFUNCTION("""COMPUTED_VALUE"""),44397.6666666666)</f>
        <v>44397.666666666599</v>
      </c>
      <c r="B4166" s="1">
        <f ca="1">IFERROR(__xludf.DUMMYFUNCTION("""COMPUTED_VALUE"""),279.32)</f>
        <v>279.32</v>
      </c>
    </row>
    <row r="4167" spans="1:2">
      <c r="A4167" s="3">
        <f ca="1">IFERROR(__xludf.DUMMYFUNCTION("""COMPUTED_VALUE"""),44398.6666666666)</f>
        <v>44398.666666666599</v>
      </c>
      <c r="B4167" s="1">
        <f ca="1">IFERROR(__xludf.DUMMYFUNCTION("""COMPUTED_VALUE"""),281.4)</f>
        <v>281.39999999999998</v>
      </c>
    </row>
    <row r="4168" spans="1:2">
      <c r="A4168" s="3">
        <f ca="1">IFERROR(__xludf.DUMMYFUNCTION("""COMPUTED_VALUE"""),44399.6666666666)</f>
        <v>44399.666666666599</v>
      </c>
      <c r="B4168" s="1">
        <f ca="1">IFERROR(__xludf.DUMMYFUNCTION("""COMPUTED_VALUE"""),286.14)</f>
        <v>286.14</v>
      </c>
    </row>
    <row r="4169" spans="1:2">
      <c r="A4169" s="3">
        <f ca="1">IFERROR(__xludf.DUMMYFUNCTION("""COMPUTED_VALUE"""),44400.6666666666)</f>
        <v>44400.666666666599</v>
      </c>
      <c r="B4169" s="1">
        <f ca="1">IFERROR(__xludf.DUMMYFUNCTION("""COMPUTED_VALUE"""),289.67)</f>
        <v>289.67</v>
      </c>
    </row>
    <row r="4170" spans="1:2">
      <c r="A4170" s="3">
        <f ca="1">IFERROR(__xludf.DUMMYFUNCTION("""COMPUTED_VALUE"""),44403.6666666666)</f>
        <v>44403.666666666599</v>
      </c>
      <c r="B4170" s="1">
        <f ca="1">IFERROR(__xludf.DUMMYFUNCTION("""COMPUTED_VALUE"""),289.05)</f>
        <v>289.05</v>
      </c>
    </row>
    <row r="4171" spans="1:2">
      <c r="A4171" s="3">
        <f ca="1">IFERROR(__xludf.DUMMYFUNCTION("""COMPUTED_VALUE"""),44404.6666666666)</f>
        <v>44404.666666666599</v>
      </c>
      <c r="B4171" s="1">
        <f ca="1">IFERROR(__xludf.DUMMYFUNCTION("""COMPUTED_VALUE"""),286.54)</f>
        <v>286.54000000000002</v>
      </c>
    </row>
    <row r="4172" spans="1:2">
      <c r="A4172" s="3">
        <f ca="1">IFERROR(__xludf.DUMMYFUNCTION("""COMPUTED_VALUE"""),44405.6666666666)</f>
        <v>44405.666666666599</v>
      </c>
      <c r="B4172" s="1">
        <f ca="1">IFERROR(__xludf.DUMMYFUNCTION("""COMPUTED_VALUE"""),286.22)</f>
        <v>286.22000000000003</v>
      </c>
    </row>
    <row r="4173" spans="1:2">
      <c r="A4173" s="3">
        <f ca="1">IFERROR(__xludf.DUMMYFUNCTION("""COMPUTED_VALUE"""),44406.6666666666)</f>
        <v>44406.666666666599</v>
      </c>
      <c r="B4173" s="1">
        <f ca="1">IFERROR(__xludf.DUMMYFUNCTION("""COMPUTED_VALUE"""),286.5)</f>
        <v>286.5</v>
      </c>
    </row>
    <row r="4174" spans="1:2">
      <c r="A4174" s="3">
        <f ca="1">IFERROR(__xludf.DUMMYFUNCTION("""COMPUTED_VALUE"""),44407.6666666666)</f>
        <v>44407.666666666599</v>
      </c>
      <c r="B4174" s="1">
        <f ca="1">IFERROR(__xludf.DUMMYFUNCTION("""COMPUTED_VALUE"""),284.91)</f>
        <v>284.91000000000003</v>
      </c>
    </row>
    <row r="4175" spans="1:2">
      <c r="A4175" s="3">
        <f ca="1">IFERROR(__xludf.DUMMYFUNCTION("""COMPUTED_VALUE"""),44410.6666666666)</f>
        <v>44410.666666666599</v>
      </c>
      <c r="B4175" s="1">
        <f ca="1">IFERROR(__xludf.DUMMYFUNCTION("""COMPUTED_VALUE"""),284.82)</f>
        <v>284.82</v>
      </c>
    </row>
    <row r="4176" spans="1:2">
      <c r="A4176" s="3">
        <f ca="1">IFERROR(__xludf.DUMMYFUNCTION("""COMPUTED_VALUE"""),44411.6666666666)</f>
        <v>44411.666666666599</v>
      </c>
      <c r="B4176" s="1">
        <f ca="1">IFERROR(__xludf.DUMMYFUNCTION("""COMPUTED_VALUE"""),287.12)</f>
        <v>287.12</v>
      </c>
    </row>
    <row r="4177" spans="1:2">
      <c r="A4177" s="3">
        <f ca="1">IFERROR(__xludf.DUMMYFUNCTION("""COMPUTED_VALUE"""),44412.6666666666)</f>
        <v>44412.666666666599</v>
      </c>
      <c r="B4177" s="1">
        <f ca="1">IFERROR(__xludf.DUMMYFUNCTION("""COMPUTED_VALUE"""),286.51)</f>
        <v>286.51</v>
      </c>
    </row>
    <row r="4178" spans="1:2">
      <c r="A4178" s="3">
        <f ca="1">IFERROR(__xludf.DUMMYFUNCTION("""COMPUTED_VALUE"""),44413.6666666666)</f>
        <v>44413.666666666599</v>
      </c>
      <c r="B4178" s="1">
        <f ca="1">IFERROR(__xludf.DUMMYFUNCTION("""COMPUTED_VALUE"""),289.52)</f>
        <v>289.52</v>
      </c>
    </row>
    <row r="4179" spans="1:2">
      <c r="A4179" s="3">
        <f ca="1">IFERROR(__xludf.DUMMYFUNCTION("""COMPUTED_VALUE"""),44414.6666666666)</f>
        <v>44414.666666666599</v>
      </c>
      <c r="B4179" s="1">
        <f ca="1">IFERROR(__xludf.DUMMYFUNCTION("""COMPUTED_VALUE"""),289.46)</f>
        <v>289.45999999999998</v>
      </c>
    </row>
    <row r="4180" spans="1:2">
      <c r="A4180" s="3">
        <f ca="1">IFERROR(__xludf.DUMMYFUNCTION("""COMPUTED_VALUE"""),44417.6666666666)</f>
        <v>44417.666666666599</v>
      </c>
      <c r="B4180" s="1">
        <f ca="1">IFERROR(__xludf.DUMMYFUNCTION("""COMPUTED_VALUE"""),288.33)</f>
        <v>288.33</v>
      </c>
    </row>
    <row r="4181" spans="1:2">
      <c r="A4181" s="3">
        <f ca="1">IFERROR(__xludf.DUMMYFUNCTION("""COMPUTED_VALUE"""),44418.6666666666)</f>
        <v>44418.666666666599</v>
      </c>
      <c r="B4181" s="1">
        <f ca="1">IFERROR(__xludf.DUMMYFUNCTION("""COMPUTED_VALUE"""),286.44)</f>
        <v>286.44</v>
      </c>
    </row>
    <row r="4182" spans="1:2">
      <c r="A4182" s="3">
        <f ca="1">IFERROR(__xludf.DUMMYFUNCTION("""COMPUTED_VALUE"""),44419.6666666666)</f>
        <v>44419.666666666599</v>
      </c>
      <c r="B4182" s="1">
        <f ca="1">IFERROR(__xludf.DUMMYFUNCTION("""COMPUTED_VALUE"""),286.95)</f>
        <v>286.95</v>
      </c>
    </row>
    <row r="4183" spans="1:2">
      <c r="A4183" s="3">
        <f ca="1">IFERROR(__xludf.DUMMYFUNCTION("""COMPUTED_VALUE"""),44420.6666666666)</f>
        <v>44420.666666666599</v>
      </c>
      <c r="B4183" s="1">
        <f ca="1">IFERROR(__xludf.DUMMYFUNCTION("""COMPUTED_VALUE"""),289.81)</f>
        <v>289.81</v>
      </c>
    </row>
    <row r="4184" spans="1:2">
      <c r="A4184" s="3">
        <f ca="1">IFERROR(__xludf.DUMMYFUNCTION("""COMPUTED_VALUE"""),44421.6666666666)</f>
        <v>44421.666666666599</v>
      </c>
      <c r="B4184" s="1">
        <f ca="1">IFERROR(__xludf.DUMMYFUNCTION("""COMPUTED_VALUE"""),292.85)</f>
        <v>292.85000000000002</v>
      </c>
    </row>
    <row r="4185" spans="1:2">
      <c r="A4185" s="3">
        <f ca="1">IFERROR(__xludf.DUMMYFUNCTION("""COMPUTED_VALUE"""),44424.6666666666)</f>
        <v>44424.666666666599</v>
      </c>
      <c r="B4185" s="1">
        <f ca="1">IFERROR(__xludf.DUMMYFUNCTION("""COMPUTED_VALUE"""),294.6)</f>
        <v>294.60000000000002</v>
      </c>
    </row>
    <row r="4186" spans="1:2">
      <c r="A4186" s="3">
        <f ca="1">IFERROR(__xludf.DUMMYFUNCTION("""COMPUTED_VALUE"""),44425.6666666666)</f>
        <v>44425.666666666599</v>
      </c>
      <c r="B4186" s="1">
        <f ca="1">IFERROR(__xludf.DUMMYFUNCTION("""COMPUTED_VALUE"""),293.08)</f>
        <v>293.08</v>
      </c>
    </row>
    <row r="4187" spans="1:2">
      <c r="A4187" s="3">
        <f ca="1">IFERROR(__xludf.DUMMYFUNCTION("""COMPUTED_VALUE"""),44426.6666666666)</f>
        <v>44426.666666666599</v>
      </c>
      <c r="B4187" s="1">
        <f ca="1">IFERROR(__xludf.DUMMYFUNCTION("""COMPUTED_VALUE"""),290.73)</f>
        <v>290.73</v>
      </c>
    </row>
    <row r="4188" spans="1:2">
      <c r="A4188" s="3">
        <f ca="1">IFERROR(__xludf.DUMMYFUNCTION("""COMPUTED_VALUE"""),44427.6666666666)</f>
        <v>44427.666666666599</v>
      </c>
      <c r="B4188" s="1">
        <f ca="1">IFERROR(__xludf.DUMMYFUNCTION("""COMPUTED_VALUE"""),296.77)</f>
        <v>296.77</v>
      </c>
    </row>
    <row r="4189" spans="1:2">
      <c r="A4189" s="3">
        <f ca="1">IFERROR(__xludf.DUMMYFUNCTION("""COMPUTED_VALUE"""),44428.6666666666)</f>
        <v>44428.666666666599</v>
      </c>
      <c r="B4189" s="1">
        <f ca="1">IFERROR(__xludf.DUMMYFUNCTION("""COMPUTED_VALUE"""),304.36)</f>
        <v>304.36</v>
      </c>
    </row>
    <row r="4190" spans="1:2">
      <c r="A4190" s="3">
        <f ca="1">IFERROR(__xludf.DUMMYFUNCTION("""COMPUTED_VALUE"""),44431.6666666666)</f>
        <v>44431.666666666599</v>
      </c>
      <c r="B4190" s="1">
        <f ca="1">IFERROR(__xludf.DUMMYFUNCTION("""COMPUTED_VALUE"""),304.65)</f>
        <v>304.64999999999998</v>
      </c>
    </row>
    <row r="4191" spans="1:2">
      <c r="A4191" s="3">
        <f ca="1">IFERROR(__xludf.DUMMYFUNCTION("""COMPUTED_VALUE"""),44432.6666666666)</f>
        <v>44432.666666666599</v>
      </c>
      <c r="B4191" s="1">
        <f ca="1">IFERROR(__xludf.DUMMYFUNCTION("""COMPUTED_VALUE"""),302.62)</f>
        <v>302.62</v>
      </c>
    </row>
    <row r="4192" spans="1:2">
      <c r="A4192" s="3">
        <f ca="1">IFERROR(__xludf.DUMMYFUNCTION("""COMPUTED_VALUE"""),44433.6666666666)</f>
        <v>44433.666666666599</v>
      </c>
      <c r="B4192" s="1">
        <f ca="1">IFERROR(__xludf.DUMMYFUNCTION("""COMPUTED_VALUE"""),302.01)</f>
        <v>302.01</v>
      </c>
    </row>
    <row r="4193" spans="1:2">
      <c r="A4193" s="3">
        <f ca="1">IFERROR(__xludf.DUMMYFUNCTION("""COMPUTED_VALUE"""),44434.6666666666)</f>
        <v>44434.666666666599</v>
      </c>
      <c r="B4193" s="1">
        <f ca="1">IFERROR(__xludf.DUMMYFUNCTION("""COMPUTED_VALUE"""),299.09)</f>
        <v>299.08999999999997</v>
      </c>
    </row>
    <row r="4194" spans="1:2">
      <c r="A4194" s="3">
        <f ca="1">IFERROR(__xludf.DUMMYFUNCTION("""COMPUTED_VALUE"""),44435.6666666666)</f>
        <v>44435.666666666599</v>
      </c>
      <c r="B4194" s="1">
        <f ca="1">IFERROR(__xludf.DUMMYFUNCTION("""COMPUTED_VALUE"""),299.72)</f>
        <v>299.72000000000003</v>
      </c>
    </row>
    <row r="4195" spans="1:2">
      <c r="A4195" s="3">
        <f ca="1">IFERROR(__xludf.DUMMYFUNCTION("""COMPUTED_VALUE"""),44438.6666666666)</f>
        <v>44438.666666666599</v>
      </c>
      <c r="B4195" s="1">
        <f ca="1">IFERROR(__xludf.DUMMYFUNCTION("""COMPUTED_VALUE"""),303.59)</f>
        <v>303.58999999999997</v>
      </c>
    </row>
    <row r="4196" spans="1:2">
      <c r="A4196" s="3">
        <f ca="1">IFERROR(__xludf.DUMMYFUNCTION("""COMPUTED_VALUE"""),44439.6666666666)</f>
        <v>44439.666666666599</v>
      </c>
      <c r="B4196" s="1">
        <f ca="1">IFERROR(__xludf.DUMMYFUNCTION("""COMPUTED_VALUE"""),301.88)</f>
        <v>301.88</v>
      </c>
    </row>
    <row r="4197" spans="1:2">
      <c r="A4197" s="3">
        <f ca="1">IFERROR(__xludf.DUMMYFUNCTION("""COMPUTED_VALUE"""),44440.6666666666)</f>
        <v>44440.666666666599</v>
      </c>
      <c r="B4197" s="1">
        <f ca="1">IFERROR(__xludf.DUMMYFUNCTION("""COMPUTED_VALUE"""),301.83)</f>
        <v>301.83</v>
      </c>
    </row>
    <row r="4198" spans="1:2">
      <c r="A4198" s="3">
        <f ca="1">IFERROR(__xludf.DUMMYFUNCTION("""COMPUTED_VALUE"""),44441.6666666666)</f>
        <v>44441.666666666599</v>
      </c>
      <c r="B4198" s="1">
        <f ca="1">IFERROR(__xludf.DUMMYFUNCTION("""COMPUTED_VALUE"""),301.15)</f>
        <v>301.14999999999998</v>
      </c>
    </row>
    <row r="4199" spans="1:2">
      <c r="A4199" s="3">
        <f ca="1">IFERROR(__xludf.DUMMYFUNCTION("""COMPUTED_VALUE"""),44442.6666666666)</f>
        <v>44442.666666666599</v>
      </c>
      <c r="B4199" s="1">
        <f ca="1">IFERROR(__xludf.DUMMYFUNCTION("""COMPUTED_VALUE"""),301.14)</f>
        <v>301.14</v>
      </c>
    </row>
    <row r="4200" spans="1:2">
      <c r="A4200" s="3">
        <f ca="1">IFERROR(__xludf.DUMMYFUNCTION("""COMPUTED_VALUE"""),44446.6666666666)</f>
        <v>44446.666666666599</v>
      </c>
      <c r="B4200" s="1">
        <f ca="1">IFERROR(__xludf.DUMMYFUNCTION("""COMPUTED_VALUE"""),300.18)</f>
        <v>300.18</v>
      </c>
    </row>
    <row r="4201" spans="1:2">
      <c r="A4201" s="3">
        <f ca="1">IFERROR(__xludf.DUMMYFUNCTION("""COMPUTED_VALUE"""),44447.6666666666)</f>
        <v>44447.666666666599</v>
      </c>
      <c r="B4201" s="1">
        <f ca="1">IFERROR(__xludf.DUMMYFUNCTION("""COMPUTED_VALUE"""),300.21)</f>
        <v>300.20999999999998</v>
      </c>
    </row>
    <row r="4202" spans="1:2">
      <c r="A4202" s="3">
        <f ca="1">IFERROR(__xludf.DUMMYFUNCTION("""COMPUTED_VALUE"""),44448.6666666666)</f>
        <v>44448.666666666599</v>
      </c>
      <c r="B4202" s="1">
        <f ca="1">IFERROR(__xludf.DUMMYFUNCTION("""COMPUTED_VALUE"""),297.25)</f>
        <v>297.25</v>
      </c>
    </row>
    <row r="4203" spans="1:2">
      <c r="A4203" s="3">
        <f ca="1">IFERROR(__xludf.DUMMYFUNCTION("""COMPUTED_VALUE"""),44449.6666666666)</f>
        <v>44449.666666666599</v>
      </c>
      <c r="B4203" s="1">
        <f ca="1">IFERROR(__xludf.DUMMYFUNCTION("""COMPUTED_VALUE"""),295.71)</f>
        <v>295.70999999999998</v>
      </c>
    </row>
    <row r="4204" spans="1:2">
      <c r="A4204" s="3">
        <f ca="1">IFERROR(__xludf.DUMMYFUNCTION("""COMPUTED_VALUE"""),44452.6666666666)</f>
        <v>44452.666666666599</v>
      </c>
      <c r="B4204" s="1">
        <f ca="1">IFERROR(__xludf.DUMMYFUNCTION("""COMPUTED_VALUE"""),296.99)</f>
        <v>296.99</v>
      </c>
    </row>
    <row r="4205" spans="1:2">
      <c r="A4205" s="3">
        <f ca="1">IFERROR(__xludf.DUMMYFUNCTION("""COMPUTED_VALUE"""),44453.6666666666)</f>
        <v>44453.666666666599</v>
      </c>
      <c r="B4205" s="1">
        <f ca="1">IFERROR(__xludf.DUMMYFUNCTION("""COMPUTED_VALUE"""),299.79)</f>
        <v>299.79000000000002</v>
      </c>
    </row>
    <row r="4206" spans="1:2">
      <c r="A4206" s="3">
        <f ca="1">IFERROR(__xludf.DUMMYFUNCTION("""COMPUTED_VALUE"""),44454.6666666666)</f>
        <v>44454.666666666599</v>
      </c>
      <c r="B4206" s="1">
        <f ca="1">IFERROR(__xludf.DUMMYFUNCTION("""COMPUTED_VALUE"""),304.82)</f>
        <v>304.82</v>
      </c>
    </row>
    <row r="4207" spans="1:2">
      <c r="A4207" s="3">
        <f ca="1">IFERROR(__xludf.DUMMYFUNCTION("""COMPUTED_VALUE"""),44455.6666666666)</f>
        <v>44455.666666666599</v>
      </c>
      <c r="B4207" s="1">
        <f ca="1">IFERROR(__xludf.DUMMYFUNCTION("""COMPUTED_VALUE"""),305.22)</f>
        <v>305.22000000000003</v>
      </c>
    </row>
    <row r="4208" spans="1:2">
      <c r="A4208" s="3">
        <f ca="1">IFERROR(__xludf.DUMMYFUNCTION("""COMPUTED_VALUE"""),44456.6666666666)</f>
        <v>44456.666666666599</v>
      </c>
      <c r="B4208" s="1">
        <f ca="1">IFERROR(__xludf.DUMMYFUNCTION("""COMPUTED_VALUE"""),299.87)</f>
        <v>299.87</v>
      </c>
    </row>
    <row r="4209" spans="1:2">
      <c r="A4209" s="3">
        <f ca="1">IFERROR(__xludf.DUMMYFUNCTION("""COMPUTED_VALUE"""),44459.6666666666)</f>
        <v>44459.666666666599</v>
      </c>
      <c r="B4209" s="1">
        <f ca="1">IFERROR(__xludf.DUMMYFUNCTION("""COMPUTED_VALUE"""),294.3)</f>
        <v>294.3</v>
      </c>
    </row>
    <row r="4210" spans="1:2">
      <c r="A4210" s="3">
        <f ca="1">IFERROR(__xludf.DUMMYFUNCTION("""COMPUTED_VALUE"""),44460.6666666666)</f>
        <v>44460.666666666599</v>
      </c>
      <c r="B4210" s="1">
        <f ca="1">IFERROR(__xludf.DUMMYFUNCTION("""COMPUTED_VALUE"""),294.8)</f>
        <v>294.8</v>
      </c>
    </row>
    <row r="4211" spans="1:2">
      <c r="A4211" s="3">
        <f ca="1">IFERROR(__xludf.DUMMYFUNCTION("""COMPUTED_VALUE"""),44461.6666666666)</f>
        <v>44461.666666666599</v>
      </c>
      <c r="B4211" s="1">
        <f ca="1">IFERROR(__xludf.DUMMYFUNCTION("""COMPUTED_VALUE"""),298.58)</f>
        <v>298.58</v>
      </c>
    </row>
    <row r="4212" spans="1:2">
      <c r="A4212" s="3">
        <f ca="1">IFERROR(__xludf.DUMMYFUNCTION("""COMPUTED_VALUE"""),44462.6666666666)</f>
        <v>44462.666666666599</v>
      </c>
      <c r="B4212" s="1">
        <f ca="1">IFERROR(__xludf.DUMMYFUNCTION("""COMPUTED_VALUE"""),299.56)</f>
        <v>299.56</v>
      </c>
    </row>
    <row r="4213" spans="1:2">
      <c r="A4213" s="3">
        <f ca="1">IFERROR(__xludf.DUMMYFUNCTION("""COMPUTED_VALUE"""),44463.6666666666)</f>
        <v>44463.666666666599</v>
      </c>
      <c r="B4213" s="1">
        <f ca="1">IFERROR(__xludf.DUMMYFUNCTION("""COMPUTED_VALUE"""),299.35)</f>
        <v>299.35000000000002</v>
      </c>
    </row>
    <row r="4214" spans="1:2">
      <c r="A4214" s="3">
        <f ca="1">IFERROR(__xludf.DUMMYFUNCTION("""COMPUTED_VALUE"""),44466.6666666666)</f>
        <v>44466.666666666599</v>
      </c>
      <c r="B4214" s="1">
        <f ca="1">IFERROR(__xludf.DUMMYFUNCTION("""COMPUTED_VALUE"""),294.17)</f>
        <v>294.17</v>
      </c>
    </row>
    <row r="4215" spans="1:2">
      <c r="A4215" s="3">
        <f ca="1">IFERROR(__xludf.DUMMYFUNCTION("""COMPUTED_VALUE"""),44467.6666666666)</f>
        <v>44467.666666666599</v>
      </c>
      <c r="B4215" s="1">
        <f ca="1">IFERROR(__xludf.DUMMYFUNCTION("""COMPUTED_VALUE"""),283.52)</f>
        <v>283.52</v>
      </c>
    </row>
    <row r="4216" spans="1:2">
      <c r="A4216" s="3">
        <f ca="1">IFERROR(__xludf.DUMMYFUNCTION("""COMPUTED_VALUE"""),44468.6666666666)</f>
        <v>44468.666666666599</v>
      </c>
      <c r="B4216" s="1">
        <f ca="1">IFERROR(__xludf.DUMMYFUNCTION("""COMPUTED_VALUE"""),284)</f>
        <v>284</v>
      </c>
    </row>
    <row r="4217" spans="1:2">
      <c r="A4217" s="3">
        <f ca="1">IFERROR(__xludf.DUMMYFUNCTION("""COMPUTED_VALUE"""),44469.6666666666)</f>
        <v>44469.666666666599</v>
      </c>
      <c r="B4217" s="1">
        <f ca="1">IFERROR(__xludf.DUMMYFUNCTION("""COMPUTED_VALUE"""),281.92)</f>
        <v>281.92</v>
      </c>
    </row>
    <row r="4218" spans="1:2">
      <c r="A4218" s="3">
        <f ca="1">IFERROR(__xludf.DUMMYFUNCTION("""COMPUTED_VALUE"""),44470.6666666666)</f>
        <v>44470.666666666599</v>
      </c>
      <c r="B4218" s="1">
        <f ca="1">IFERROR(__xludf.DUMMYFUNCTION("""COMPUTED_VALUE"""),289.1)</f>
        <v>289.10000000000002</v>
      </c>
    </row>
    <row r="4219" spans="1:2">
      <c r="A4219" s="3">
        <f ca="1">IFERROR(__xludf.DUMMYFUNCTION("""COMPUTED_VALUE"""),44473.6666666666)</f>
        <v>44473.666666666599</v>
      </c>
      <c r="B4219" s="1">
        <f ca="1">IFERROR(__xludf.DUMMYFUNCTION("""COMPUTED_VALUE"""),283.11)</f>
        <v>283.11</v>
      </c>
    </row>
    <row r="4220" spans="1:2">
      <c r="A4220" s="3">
        <f ca="1">IFERROR(__xludf.DUMMYFUNCTION("""COMPUTED_VALUE"""),44474.6666666666)</f>
        <v>44474.666666666599</v>
      </c>
      <c r="B4220" s="1">
        <f ca="1">IFERROR(__xludf.DUMMYFUNCTION("""COMPUTED_VALUE"""),288.76)</f>
        <v>288.76</v>
      </c>
    </row>
    <row r="4221" spans="1:2">
      <c r="A4221" s="3">
        <f ca="1">IFERROR(__xludf.DUMMYFUNCTION("""COMPUTED_VALUE"""),44475.6666666666)</f>
        <v>44475.666666666599</v>
      </c>
      <c r="B4221" s="1">
        <f ca="1">IFERROR(__xludf.DUMMYFUNCTION("""COMPUTED_VALUE"""),293.11)</f>
        <v>293.11</v>
      </c>
    </row>
    <row r="4222" spans="1:2">
      <c r="A4222" s="3">
        <f ca="1">IFERROR(__xludf.DUMMYFUNCTION("""COMPUTED_VALUE"""),44476.6666666666)</f>
        <v>44476.666666666599</v>
      </c>
      <c r="B4222" s="1">
        <f ca="1">IFERROR(__xludf.DUMMYFUNCTION("""COMPUTED_VALUE"""),294.85)</f>
        <v>294.85000000000002</v>
      </c>
    </row>
    <row r="4223" spans="1:2">
      <c r="A4223" s="3">
        <f ca="1">IFERROR(__xludf.DUMMYFUNCTION("""COMPUTED_VALUE"""),44477.6666666666)</f>
        <v>44477.666666666599</v>
      </c>
      <c r="B4223" s="1">
        <f ca="1">IFERROR(__xludf.DUMMYFUNCTION("""COMPUTED_VALUE"""),294.85)</f>
        <v>294.85000000000002</v>
      </c>
    </row>
    <row r="4224" spans="1:2">
      <c r="A4224" s="3">
        <f ca="1">IFERROR(__xludf.DUMMYFUNCTION("""COMPUTED_VALUE"""),44480.6666666666)</f>
        <v>44480.666666666599</v>
      </c>
      <c r="B4224" s="1">
        <f ca="1">IFERROR(__xludf.DUMMYFUNCTION("""COMPUTED_VALUE"""),294.23)</f>
        <v>294.23</v>
      </c>
    </row>
    <row r="4225" spans="1:2">
      <c r="A4225" s="3">
        <f ca="1">IFERROR(__xludf.DUMMYFUNCTION("""COMPUTED_VALUE"""),44481.6666666666)</f>
        <v>44481.666666666599</v>
      </c>
      <c r="B4225" s="1">
        <f ca="1">IFERROR(__xludf.DUMMYFUNCTION("""COMPUTED_VALUE"""),292.88)</f>
        <v>292.88</v>
      </c>
    </row>
    <row r="4226" spans="1:2">
      <c r="A4226" s="3">
        <f ca="1">IFERROR(__xludf.DUMMYFUNCTION("""COMPUTED_VALUE"""),44482.6666666666)</f>
        <v>44482.666666666599</v>
      </c>
      <c r="B4226" s="1">
        <f ca="1">IFERROR(__xludf.DUMMYFUNCTION("""COMPUTED_VALUE"""),296.31)</f>
        <v>296.31</v>
      </c>
    </row>
    <row r="4227" spans="1:2">
      <c r="A4227" s="3">
        <f ca="1">IFERROR(__xludf.DUMMYFUNCTION("""COMPUTED_VALUE"""),44483.6666666666)</f>
        <v>44483.666666666599</v>
      </c>
      <c r="B4227" s="1">
        <f ca="1">IFERROR(__xludf.DUMMYFUNCTION("""COMPUTED_VALUE"""),302.75)</f>
        <v>302.75</v>
      </c>
    </row>
    <row r="4228" spans="1:2">
      <c r="A4228" s="3">
        <f ca="1">IFERROR(__xludf.DUMMYFUNCTION("""COMPUTED_VALUE"""),44484.6666666666)</f>
        <v>44484.666666666599</v>
      </c>
      <c r="B4228" s="1">
        <f ca="1">IFERROR(__xludf.DUMMYFUNCTION("""COMPUTED_VALUE"""),304.21)</f>
        <v>304.20999999999998</v>
      </c>
    </row>
    <row r="4229" spans="1:2">
      <c r="A4229" s="3">
        <f ca="1">IFERROR(__xludf.DUMMYFUNCTION("""COMPUTED_VALUE"""),44487.6666666666)</f>
        <v>44487.666666666599</v>
      </c>
      <c r="B4229" s="1">
        <f ca="1">IFERROR(__xludf.DUMMYFUNCTION("""COMPUTED_VALUE"""),307.29)</f>
        <v>307.29000000000002</v>
      </c>
    </row>
    <row r="4230" spans="1:2">
      <c r="A4230" s="3">
        <f ca="1">IFERROR(__xludf.DUMMYFUNCTION("""COMPUTED_VALUE"""),44488.6666666666)</f>
        <v>44488.666666666599</v>
      </c>
      <c r="B4230" s="1">
        <f ca="1">IFERROR(__xludf.DUMMYFUNCTION("""COMPUTED_VALUE"""),308.23)</f>
        <v>308.23</v>
      </c>
    </row>
    <row r="4231" spans="1:2">
      <c r="A4231" s="3">
        <f ca="1">IFERROR(__xludf.DUMMYFUNCTION("""COMPUTED_VALUE"""),44489.6666666666)</f>
        <v>44489.666666666599</v>
      </c>
      <c r="B4231" s="1">
        <f ca="1">IFERROR(__xludf.DUMMYFUNCTION("""COMPUTED_VALUE"""),307.41)</f>
        <v>307.41000000000003</v>
      </c>
    </row>
    <row r="4232" spans="1:2">
      <c r="A4232" s="3">
        <f ca="1">IFERROR(__xludf.DUMMYFUNCTION("""COMPUTED_VALUE"""),44490.6666666666)</f>
        <v>44490.666666666599</v>
      </c>
      <c r="B4232" s="1">
        <f ca="1">IFERROR(__xludf.DUMMYFUNCTION("""COMPUTED_VALUE"""),310.76)</f>
        <v>310.76</v>
      </c>
    </row>
    <row r="4233" spans="1:2">
      <c r="A4233" s="3">
        <f ca="1">IFERROR(__xludf.DUMMYFUNCTION("""COMPUTED_VALUE"""),44491.6666666666)</f>
        <v>44491.666666666599</v>
      </c>
      <c r="B4233" s="1">
        <f ca="1">IFERROR(__xludf.DUMMYFUNCTION("""COMPUTED_VALUE"""),309.16)</f>
        <v>309.16000000000003</v>
      </c>
    </row>
    <row r="4234" spans="1:2">
      <c r="A4234" s="3">
        <f ca="1">IFERROR(__xludf.DUMMYFUNCTION("""COMPUTED_VALUE"""),44494.6666666666)</f>
        <v>44494.666666666599</v>
      </c>
      <c r="B4234" s="1">
        <f ca="1">IFERROR(__xludf.DUMMYFUNCTION("""COMPUTED_VALUE"""),308.13)</f>
        <v>308.13</v>
      </c>
    </row>
    <row r="4235" spans="1:2">
      <c r="A4235" s="3">
        <f ca="1">IFERROR(__xludf.DUMMYFUNCTION("""COMPUTED_VALUE"""),44495.6666666666)</f>
        <v>44495.666666666599</v>
      </c>
      <c r="B4235" s="1">
        <f ca="1">IFERROR(__xludf.DUMMYFUNCTION("""COMPUTED_VALUE"""),310.11)</f>
        <v>310.11</v>
      </c>
    </row>
    <row r="4236" spans="1:2">
      <c r="A4236" s="3">
        <f ca="1">IFERROR(__xludf.DUMMYFUNCTION("""COMPUTED_VALUE"""),44496.6666666666)</f>
        <v>44496.666666666599</v>
      </c>
      <c r="B4236" s="1">
        <f ca="1">IFERROR(__xludf.DUMMYFUNCTION("""COMPUTED_VALUE"""),323.17)</f>
        <v>323.17</v>
      </c>
    </row>
    <row r="4237" spans="1:2">
      <c r="A4237" s="3">
        <f ca="1">IFERROR(__xludf.DUMMYFUNCTION("""COMPUTED_VALUE"""),44497.6666666666)</f>
        <v>44497.666666666599</v>
      </c>
      <c r="B4237" s="1">
        <f ca="1">IFERROR(__xludf.DUMMYFUNCTION("""COMPUTED_VALUE"""),324.35)</f>
        <v>324.35000000000002</v>
      </c>
    </row>
    <row r="4238" spans="1:2">
      <c r="A4238" s="3">
        <f ca="1">IFERROR(__xludf.DUMMYFUNCTION("""COMPUTED_VALUE"""),44498.6666666666)</f>
        <v>44498.666666666599</v>
      </c>
      <c r="B4238" s="1">
        <f ca="1">IFERROR(__xludf.DUMMYFUNCTION("""COMPUTED_VALUE"""),331.62)</f>
        <v>331.62</v>
      </c>
    </row>
    <row r="4239" spans="1:2">
      <c r="A4239" s="3">
        <f ca="1">IFERROR(__xludf.DUMMYFUNCTION("""COMPUTED_VALUE"""),44501.6666666666)</f>
        <v>44501.666666666599</v>
      </c>
      <c r="B4239" s="1">
        <f ca="1">IFERROR(__xludf.DUMMYFUNCTION("""COMPUTED_VALUE"""),329.37)</f>
        <v>329.37</v>
      </c>
    </row>
    <row r="4240" spans="1:2">
      <c r="A4240" s="3">
        <f ca="1">IFERROR(__xludf.DUMMYFUNCTION("""COMPUTED_VALUE"""),44502.6666666666)</f>
        <v>44502.666666666599</v>
      </c>
      <c r="B4240" s="1">
        <f ca="1">IFERROR(__xludf.DUMMYFUNCTION("""COMPUTED_VALUE"""),333.13)</f>
        <v>333.13</v>
      </c>
    </row>
    <row r="4241" spans="1:2">
      <c r="A4241" s="3">
        <f ca="1">IFERROR(__xludf.DUMMYFUNCTION("""COMPUTED_VALUE"""),44503.6666666666)</f>
        <v>44503.666666666599</v>
      </c>
      <c r="B4241" s="1">
        <f ca="1">IFERROR(__xludf.DUMMYFUNCTION("""COMPUTED_VALUE"""),334)</f>
        <v>334</v>
      </c>
    </row>
    <row r="4242" spans="1:2">
      <c r="A4242" s="3">
        <f ca="1">IFERROR(__xludf.DUMMYFUNCTION("""COMPUTED_VALUE"""),44504.6666666666)</f>
        <v>44504.666666666599</v>
      </c>
      <c r="B4242" s="1">
        <f ca="1">IFERROR(__xludf.DUMMYFUNCTION("""COMPUTED_VALUE"""),336.44)</f>
        <v>336.44</v>
      </c>
    </row>
    <row r="4243" spans="1:2">
      <c r="A4243" s="3">
        <f ca="1">IFERROR(__xludf.DUMMYFUNCTION("""COMPUTED_VALUE"""),44505.6666666666)</f>
        <v>44505.666666666599</v>
      </c>
      <c r="B4243" s="1">
        <f ca="1">IFERROR(__xludf.DUMMYFUNCTION("""COMPUTED_VALUE"""),336.06)</f>
        <v>336.06</v>
      </c>
    </row>
    <row r="4244" spans="1:2">
      <c r="A4244" s="3">
        <f ca="1">IFERROR(__xludf.DUMMYFUNCTION("""COMPUTED_VALUE"""),44508.6666666666)</f>
        <v>44508.666666666599</v>
      </c>
      <c r="B4244" s="1">
        <f ca="1">IFERROR(__xludf.DUMMYFUNCTION("""COMPUTED_VALUE"""),336.99)</f>
        <v>336.99</v>
      </c>
    </row>
    <row r="4245" spans="1:2">
      <c r="A4245" s="3">
        <f ca="1">IFERROR(__xludf.DUMMYFUNCTION("""COMPUTED_VALUE"""),44509.6666666666)</f>
        <v>44509.666666666599</v>
      </c>
      <c r="B4245" s="1">
        <f ca="1">IFERROR(__xludf.DUMMYFUNCTION("""COMPUTED_VALUE"""),335.95)</f>
        <v>335.95</v>
      </c>
    </row>
    <row r="4246" spans="1:2">
      <c r="A4246" s="3">
        <f ca="1">IFERROR(__xludf.DUMMYFUNCTION("""COMPUTED_VALUE"""),44510.6666666666)</f>
        <v>44510.666666666599</v>
      </c>
      <c r="B4246" s="1">
        <f ca="1">IFERROR(__xludf.DUMMYFUNCTION("""COMPUTED_VALUE"""),330.8)</f>
        <v>330.8</v>
      </c>
    </row>
    <row r="4247" spans="1:2">
      <c r="A4247" s="3">
        <f ca="1">IFERROR(__xludf.DUMMYFUNCTION("""COMPUTED_VALUE"""),44511.6666666666)</f>
        <v>44511.666666666599</v>
      </c>
      <c r="B4247" s="1">
        <f ca="1">IFERROR(__xludf.DUMMYFUNCTION("""COMPUTED_VALUE"""),332.43)</f>
        <v>332.43</v>
      </c>
    </row>
    <row r="4248" spans="1:2">
      <c r="A4248" s="3">
        <f ca="1">IFERROR(__xludf.DUMMYFUNCTION("""COMPUTED_VALUE"""),44512.6666666666)</f>
        <v>44512.666666666599</v>
      </c>
      <c r="B4248" s="1">
        <f ca="1">IFERROR(__xludf.DUMMYFUNCTION("""COMPUTED_VALUE"""),336.72)</f>
        <v>336.72</v>
      </c>
    </row>
    <row r="4249" spans="1:2">
      <c r="A4249" s="3">
        <f ca="1">IFERROR(__xludf.DUMMYFUNCTION("""COMPUTED_VALUE"""),44515.6666666666)</f>
        <v>44515.666666666599</v>
      </c>
      <c r="B4249" s="1">
        <f ca="1">IFERROR(__xludf.DUMMYFUNCTION("""COMPUTED_VALUE"""),336.07)</f>
        <v>336.07</v>
      </c>
    </row>
    <row r="4250" spans="1:2">
      <c r="A4250" s="3">
        <f ca="1">IFERROR(__xludf.DUMMYFUNCTION("""COMPUTED_VALUE"""),44516.6666666666)</f>
        <v>44516.666666666599</v>
      </c>
      <c r="B4250" s="1">
        <f ca="1">IFERROR(__xludf.DUMMYFUNCTION("""COMPUTED_VALUE"""),339.51)</f>
        <v>339.51</v>
      </c>
    </row>
    <row r="4251" spans="1:2">
      <c r="A4251" s="3">
        <f ca="1">IFERROR(__xludf.DUMMYFUNCTION("""COMPUTED_VALUE"""),44517.6666666666)</f>
        <v>44517.666666666599</v>
      </c>
      <c r="B4251" s="1">
        <f ca="1">IFERROR(__xludf.DUMMYFUNCTION("""COMPUTED_VALUE"""),339.12)</f>
        <v>339.12</v>
      </c>
    </row>
    <row r="4252" spans="1:2">
      <c r="A4252" s="3">
        <f ca="1">IFERROR(__xludf.DUMMYFUNCTION("""COMPUTED_VALUE"""),44518.6666666666)</f>
        <v>44518.666666666599</v>
      </c>
      <c r="B4252" s="1">
        <f ca="1">IFERROR(__xludf.DUMMYFUNCTION("""COMPUTED_VALUE"""),341.27)</f>
        <v>341.27</v>
      </c>
    </row>
    <row r="4253" spans="1:2">
      <c r="A4253" s="3">
        <f ca="1">IFERROR(__xludf.DUMMYFUNCTION("""COMPUTED_VALUE"""),44519.6666666666)</f>
        <v>44519.666666666599</v>
      </c>
      <c r="B4253" s="1">
        <f ca="1">IFERROR(__xludf.DUMMYFUNCTION("""COMPUTED_VALUE"""),343.11)</f>
        <v>343.11</v>
      </c>
    </row>
    <row r="4254" spans="1:2">
      <c r="A4254" s="3">
        <f ca="1">IFERROR(__xludf.DUMMYFUNCTION("""COMPUTED_VALUE"""),44522.6666666666)</f>
        <v>44522.666666666599</v>
      </c>
      <c r="B4254" s="1">
        <f ca="1">IFERROR(__xludf.DUMMYFUNCTION("""COMPUTED_VALUE"""),339.83)</f>
        <v>339.83</v>
      </c>
    </row>
    <row r="4255" spans="1:2">
      <c r="A4255" s="3">
        <f ca="1">IFERROR(__xludf.DUMMYFUNCTION("""COMPUTED_VALUE"""),44523.6666666666)</f>
        <v>44523.666666666599</v>
      </c>
      <c r="B4255" s="1">
        <f ca="1">IFERROR(__xludf.DUMMYFUNCTION("""COMPUTED_VALUE"""),337.68)</f>
        <v>337.68</v>
      </c>
    </row>
    <row r="4256" spans="1:2">
      <c r="A4256" s="3">
        <f ca="1">IFERROR(__xludf.DUMMYFUNCTION("""COMPUTED_VALUE"""),44524.6666666666)</f>
        <v>44524.666666666599</v>
      </c>
      <c r="B4256" s="1">
        <f ca="1">IFERROR(__xludf.DUMMYFUNCTION("""COMPUTED_VALUE"""),337.91)</f>
        <v>337.91</v>
      </c>
    </row>
    <row r="4257" spans="1:2">
      <c r="A4257" s="3">
        <f ca="1">IFERROR(__xludf.DUMMYFUNCTION("""COMPUTED_VALUE"""),44526.5416666666)</f>
        <v>44526.541666666599</v>
      </c>
      <c r="B4257" s="1">
        <f ca="1">IFERROR(__xludf.DUMMYFUNCTION("""COMPUTED_VALUE"""),329.68)</f>
        <v>329.68</v>
      </c>
    </row>
    <row r="4258" spans="1:2">
      <c r="A4258" s="3">
        <f ca="1">IFERROR(__xludf.DUMMYFUNCTION("""COMPUTED_VALUE"""),44529.6666666666)</f>
        <v>44529.666666666599</v>
      </c>
      <c r="B4258" s="1">
        <f ca="1">IFERROR(__xludf.DUMMYFUNCTION("""COMPUTED_VALUE"""),336.63)</f>
        <v>336.63</v>
      </c>
    </row>
    <row r="4259" spans="1:2">
      <c r="A4259" s="3">
        <f ca="1">IFERROR(__xludf.DUMMYFUNCTION("""COMPUTED_VALUE"""),44530.6666666666)</f>
        <v>44530.666666666599</v>
      </c>
      <c r="B4259" s="1">
        <f ca="1">IFERROR(__xludf.DUMMYFUNCTION("""COMPUTED_VALUE"""),330.59)</f>
        <v>330.59</v>
      </c>
    </row>
    <row r="4260" spans="1:2">
      <c r="A4260" s="3">
        <f ca="1">IFERROR(__xludf.DUMMYFUNCTION("""COMPUTED_VALUE"""),44531.6666666666)</f>
        <v>44531.666666666599</v>
      </c>
      <c r="B4260" s="1">
        <f ca="1">IFERROR(__xludf.DUMMYFUNCTION("""COMPUTED_VALUE"""),330.08)</f>
        <v>330.08</v>
      </c>
    </row>
    <row r="4261" spans="1:2">
      <c r="A4261" s="3">
        <f ca="1">IFERROR(__xludf.DUMMYFUNCTION("""COMPUTED_VALUE"""),44532.6666666666)</f>
        <v>44532.666666666599</v>
      </c>
      <c r="B4261" s="1">
        <f ca="1">IFERROR(__xludf.DUMMYFUNCTION("""COMPUTED_VALUE"""),329.49)</f>
        <v>329.49</v>
      </c>
    </row>
    <row r="4262" spans="1:2">
      <c r="A4262" s="3">
        <f ca="1">IFERROR(__xludf.DUMMYFUNCTION("""COMPUTED_VALUE"""),44533.6666666666)</f>
        <v>44533.666666666599</v>
      </c>
      <c r="B4262" s="1">
        <f ca="1">IFERROR(__xludf.DUMMYFUNCTION("""COMPUTED_VALUE"""),323.01)</f>
        <v>323.01</v>
      </c>
    </row>
    <row r="4263" spans="1:2">
      <c r="A4263" s="3">
        <f ca="1">IFERROR(__xludf.DUMMYFUNCTION("""COMPUTED_VALUE"""),44536.6666666666)</f>
        <v>44536.666666666599</v>
      </c>
      <c r="B4263" s="1">
        <f ca="1">IFERROR(__xludf.DUMMYFUNCTION("""COMPUTED_VALUE"""),326.19)</f>
        <v>326.19</v>
      </c>
    </row>
    <row r="4264" spans="1:2">
      <c r="A4264" s="3">
        <f ca="1">IFERROR(__xludf.DUMMYFUNCTION("""COMPUTED_VALUE"""),44537.6666666666)</f>
        <v>44537.666666666599</v>
      </c>
      <c r="B4264" s="1">
        <f ca="1">IFERROR(__xludf.DUMMYFUNCTION("""COMPUTED_VALUE"""),334.92)</f>
        <v>334.92</v>
      </c>
    </row>
    <row r="4265" spans="1:2">
      <c r="A4265" s="3">
        <f ca="1">IFERROR(__xludf.DUMMYFUNCTION("""COMPUTED_VALUE"""),44538.6666666666)</f>
        <v>44538.666666666599</v>
      </c>
      <c r="B4265" s="1">
        <f ca="1">IFERROR(__xludf.DUMMYFUNCTION("""COMPUTED_VALUE"""),334.97)</f>
        <v>334.97</v>
      </c>
    </row>
    <row r="4266" spans="1:2">
      <c r="A4266" s="3">
        <f ca="1">IFERROR(__xludf.DUMMYFUNCTION("""COMPUTED_VALUE"""),44539.6666666666)</f>
        <v>44539.666666666599</v>
      </c>
      <c r="B4266" s="1">
        <f ca="1">IFERROR(__xludf.DUMMYFUNCTION("""COMPUTED_VALUE"""),333.1)</f>
        <v>333.1</v>
      </c>
    </row>
    <row r="4267" spans="1:2">
      <c r="A4267" s="3">
        <f ca="1">IFERROR(__xludf.DUMMYFUNCTION("""COMPUTED_VALUE"""),44540.6666666666)</f>
        <v>44540.666666666599</v>
      </c>
      <c r="B4267" s="1">
        <f ca="1">IFERROR(__xludf.DUMMYFUNCTION("""COMPUTED_VALUE"""),342.54)</f>
        <v>342.54</v>
      </c>
    </row>
    <row r="4268" spans="1:2">
      <c r="A4268" s="3">
        <f ca="1">IFERROR(__xludf.DUMMYFUNCTION("""COMPUTED_VALUE"""),44543.6666666666)</f>
        <v>44543.666666666599</v>
      </c>
      <c r="B4268" s="1">
        <f ca="1">IFERROR(__xludf.DUMMYFUNCTION("""COMPUTED_VALUE"""),339.4)</f>
        <v>339.4</v>
      </c>
    </row>
    <row r="4269" spans="1:2">
      <c r="A4269" s="3">
        <f ca="1">IFERROR(__xludf.DUMMYFUNCTION("""COMPUTED_VALUE"""),44544.6666666666)</f>
        <v>44544.666666666599</v>
      </c>
      <c r="B4269" s="1">
        <f ca="1">IFERROR(__xludf.DUMMYFUNCTION("""COMPUTED_VALUE"""),328.34)</f>
        <v>328.34</v>
      </c>
    </row>
    <row r="4270" spans="1:2">
      <c r="A4270" s="3">
        <f ca="1">IFERROR(__xludf.DUMMYFUNCTION("""COMPUTED_VALUE"""),44545.6666666666)</f>
        <v>44545.666666666599</v>
      </c>
      <c r="B4270" s="1">
        <f ca="1">IFERROR(__xludf.DUMMYFUNCTION("""COMPUTED_VALUE"""),334.65)</f>
        <v>334.65</v>
      </c>
    </row>
    <row r="4271" spans="1:2">
      <c r="A4271" s="3">
        <f ca="1">IFERROR(__xludf.DUMMYFUNCTION("""COMPUTED_VALUE"""),44546.6666666666)</f>
        <v>44546.666666666599</v>
      </c>
      <c r="B4271" s="1">
        <f ca="1">IFERROR(__xludf.DUMMYFUNCTION("""COMPUTED_VALUE"""),324.9)</f>
        <v>324.89999999999998</v>
      </c>
    </row>
    <row r="4272" spans="1:2">
      <c r="A4272" s="3">
        <f ca="1">IFERROR(__xludf.DUMMYFUNCTION("""COMPUTED_VALUE"""),44547.6666666666)</f>
        <v>44547.666666666599</v>
      </c>
      <c r="B4272" s="1">
        <f ca="1">IFERROR(__xludf.DUMMYFUNCTION("""COMPUTED_VALUE"""),323.8)</f>
        <v>323.8</v>
      </c>
    </row>
    <row r="4273" spans="1:2">
      <c r="A4273" s="3">
        <f ca="1">IFERROR(__xludf.DUMMYFUNCTION("""COMPUTED_VALUE"""),44550.6666666666)</f>
        <v>44550.666666666599</v>
      </c>
      <c r="B4273" s="1">
        <f ca="1">IFERROR(__xludf.DUMMYFUNCTION("""COMPUTED_VALUE"""),319.91)</f>
        <v>319.91000000000003</v>
      </c>
    </row>
    <row r="4274" spans="1:2">
      <c r="A4274" s="3">
        <f ca="1">IFERROR(__xludf.DUMMYFUNCTION("""COMPUTED_VALUE"""),44551.6666666666)</f>
        <v>44551.666666666599</v>
      </c>
      <c r="B4274" s="1">
        <f ca="1">IFERROR(__xludf.DUMMYFUNCTION("""COMPUTED_VALUE"""),327.29)</f>
        <v>327.29000000000002</v>
      </c>
    </row>
    <row r="4275" spans="1:2">
      <c r="A4275" s="3">
        <f ca="1">IFERROR(__xludf.DUMMYFUNCTION("""COMPUTED_VALUE"""),44552.6666666666)</f>
        <v>44552.666666666599</v>
      </c>
      <c r="B4275" s="1">
        <f ca="1">IFERROR(__xludf.DUMMYFUNCTION("""COMPUTED_VALUE"""),333.2)</f>
        <v>333.2</v>
      </c>
    </row>
    <row r="4276" spans="1:2">
      <c r="A4276" s="3">
        <f ca="1">IFERROR(__xludf.DUMMYFUNCTION("""COMPUTED_VALUE"""),44553.6666666666)</f>
        <v>44553.666666666599</v>
      </c>
      <c r="B4276" s="1">
        <f ca="1">IFERROR(__xludf.DUMMYFUNCTION("""COMPUTED_VALUE"""),334.69)</f>
        <v>334.69</v>
      </c>
    </row>
    <row r="4277" spans="1:2">
      <c r="A4277" s="3">
        <f ca="1">IFERROR(__xludf.DUMMYFUNCTION("""COMPUTED_VALUE"""),44557.6666666666)</f>
        <v>44557.666666666599</v>
      </c>
      <c r="B4277" s="1">
        <f ca="1">IFERROR(__xludf.DUMMYFUNCTION("""COMPUTED_VALUE"""),342.45)</f>
        <v>342.45</v>
      </c>
    </row>
    <row r="4278" spans="1:2">
      <c r="A4278" s="3">
        <f ca="1">IFERROR(__xludf.DUMMYFUNCTION("""COMPUTED_VALUE"""),44558.6666666666)</f>
        <v>44558.666666666599</v>
      </c>
      <c r="B4278" s="1">
        <f ca="1">IFERROR(__xludf.DUMMYFUNCTION("""COMPUTED_VALUE"""),341.25)</f>
        <v>341.25</v>
      </c>
    </row>
    <row r="4279" spans="1:2">
      <c r="A4279" s="3">
        <f ca="1">IFERROR(__xludf.DUMMYFUNCTION("""COMPUTED_VALUE"""),44559.6666666666)</f>
        <v>44559.666666666599</v>
      </c>
      <c r="B4279" s="1">
        <f ca="1">IFERROR(__xludf.DUMMYFUNCTION("""COMPUTED_VALUE"""),341.95)</f>
        <v>341.95</v>
      </c>
    </row>
    <row r="4280" spans="1:2">
      <c r="A4280" s="3">
        <f ca="1">IFERROR(__xludf.DUMMYFUNCTION("""COMPUTED_VALUE"""),44560.6666666666)</f>
        <v>44560.666666666599</v>
      </c>
      <c r="B4280" s="1">
        <f ca="1">IFERROR(__xludf.DUMMYFUNCTION("""COMPUTED_VALUE"""),339.32)</f>
        <v>339.32</v>
      </c>
    </row>
    <row r="4281" spans="1:2">
      <c r="A4281" s="3">
        <f ca="1">IFERROR(__xludf.DUMMYFUNCTION("""COMPUTED_VALUE"""),44561.6666666666)</f>
        <v>44561.666666666599</v>
      </c>
      <c r="B4281" s="1">
        <f ca="1">IFERROR(__xludf.DUMMYFUNCTION("""COMPUTED_VALUE"""),336.32)</f>
        <v>336.32</v>
      </c>
    </row>
    <row r="4282" spans="1:2">
      <c r="A4282" s="3">
        <f ca="1">IFERROR(__xludf.DUMMYFUNCTION("""COMPUTED_VALUE"""),44564.6666666666)</f>
        <v>44564.666666666599</v>
      </c>
      <c r="B4282" s="1">
        <f ca="1">IFERROR(__xludf.DUMMYFUNCTION("""COMPUTED_VALUE"""),334.75)</f>
        <v>334.75</v>
      </c>
    </row>
    <row r="4283" spans="1:2">
      <c r="A4283" s="3">
        <f ca="1">IFERROR(__xludf.DUMMYFUNCTION("""COMPUTED_VALUE"""),44565.6666666666)</f>
        <v>44565.666666666599</v>
      </c>
      <c r="B4283" s="1">
        <f ca="1">IFERROR(__xludf.DUMMYFUNCTION("""COMPUTED_VALUE"""),329.01)</f>
        <v>329.01</v>
      </c>
    </row>
    <row r="4284" spans="1:2">
      <c r="A4284" s="3">
        <f ca="1">IFERROR(__xludf.DUMMYFUNCTION("""COMPUTED_VALUE"""),44566.6666666666)</f>
        <v>44566.666666666599</v>
      </c>
      <c r="B4284" s="1">
        <f ca="1">IFERROR(__xludf.DUMMYFUNCTION("""COMPUTED_VALUE"""),316.38)</f>
        <v>316.38</v>
      </c>
    </row>
    <row r="4285" spans="1:2">
      <c r="A4285" s="3">
        <f ca="1">IFERROR(__xludf.DUMMYFUNCTION("""COMPUTED_VALUE"""),44567.6666666666)</f>
        <v>44567.666666666599</v>
      </c>
      <c r="B4285" s="1">
        <f ca="1">IFERROR(__xludf.DUMMYFUNCTION("""COMPUTED_VALUE"""),313.88)</f>
        <v>313.88</v>
      </c>
    </row>
    <row r="4286" spans="1:2">
      <c r="A4286" s="3">
        <f ca="1">IFERROR(__xludf.DUMMYFUNCTION("""COMPUTED_VALUE"""),44568.6666666666)</f>
        <v>44568.666666666599</v>
      </c>
      <c r="B4286" s="1">
        <f ca="1">IFERROR(__xludf.DUMMYFUNCTION("""COMPUTED_VALUE"""),314.04)</f>
        <v>314.04000000000002</v>
      </c>
    </row>
    <row r="4287" spans="1:2">
      <c r="A4287" s="3">
        <f ca="1">IFERROR(__xludf.DUMMYFUNCTION("""COMPUTED_VALUE"""),44571.6666666666)</f>
        <v>44571.666666666599</v>
      </c>
      <c r="B4287" s="1">
        <f ca="1">IFERROR(__xludf.DUMMYFUNCTION("""COMPUTED_VALUE"""),314.27)</f>
        <v>314.27</v>
      </c>
    </row>
    <row r="4288" spans="1:2">
      <c r="A4288" s="3">
        <f ca="1">IFERROR(__xludf.DUMMYFUNCTION("""COMPUTED_VALUE"""),44572.6666666666)</f>
        <v>44572.666666666599</v>
      </c>
      <c r="B4288" s="1">
        <f ca="1">IFERROR(__xludf.DUMMYFUNCTION("""COMPUTED_VALUE"""),314.98)</f>
        <v>314.98</v>
      </c>
    </row>
    <row r="4289" spans="1:2">
      <c r="A4289" s="3">
        <f ca="1">IFERROR(__xludf.DUMMYFUNCTION("""COMPUTED_VALUE"""),44573.6666666666)</f>
        <v>44573.666666666599</v>
      </c>
      <c r="B4289" s="1">
        <f ca="1">IFERROR(__xludf.DUMMYFUNCTION("""COMPUTED_VALUE"""),318.27)</f>
        <v>318.27</v>
      </c>
    </row>
    <row r="4290" spans="1:2">
      <c r="A4290" s="3">
        <f ca="1">IFERROR(__xludf.DUMMYFUNCTION("""COMPUTED_VALUE"""),44574.6666666666)</f>
        <v>44574.666666666599</v>
      </c>
      <c r="B4290" s="1">
        <f ca="1">IFERROR(__xludf.DUMMYFUNCTION("""COMPUTED_VALUE"""),304.8)</f>
        <v>304.8</v>
      </c>
    </row>
    <row r="4291" spans="1:2">
      <c r="A4291" s="3">
        <f ca="1">IFERROR(__xludf.DUMMYFUNCTION("""COMPUTED_VALUE"""),44575.6666666666)</f>
        <v>44575.666666666599</v>
      </c>
      <c r="B4291" s="1">
        <f ca="1">IFERROR(__xludf.DUMMYFUNCTION("""COMPUTED_VALUE"""),310.2)</f>
        <v>310.2</v>
      </c>
    </row>
    <row r="4292" spans="1:2">
      <c r="A4292" s="3">
        <f ca="1">IFERROR(__xludf.DUMMYFUNCTION("""COMPUTED_VALUE"""),44579.6666666666)</f>
        <v>44579.666666666599</v>
      </c>
      <c r="B4292" s="1">
        <f ca="1">IFERROR(__xludf.DUMMYFUNCTION("""COMPUTED_VALUE"""),302.65)</f>
        <v>302.64999999999998</v>
      </c>
    </row>
    <row r="4293" spans="1:2">
      <c r="A4293" s="3">
        <f ca="1">IFERROR(__xludf.DUMMYFUNCTION("""COMPUTED_VALUE"""),44580.6666666666)</f>
        <v>44580.666666666599</v>
      </c>
      <c r="B4293" s="1">
        <f ca="1">IFERROR(__xludf.DUMMYFUNCTION("""COMPUTED_VALUE"""),303.33)</f>
        <v>303.33</v>
      </c>
    </row>
    <row r="4294" spans="1:2">
      <c r="A4294" s="3">
        <f ca="1">IFERROR(__xludf.DUMMYFUNCTION("""COMPUTED_VALUE"""),44581.6666666666)</f>
        <v>44581.666666666599</v>
      </c>
      <c r="B4294" s="1">
        <f ca="1">IFERROR(__xludf.DUMMYFUNCTION("""COMPUTED_VALUE"""),301.6)</f>
        <v>301.60000000000002</v>
      </c>
    </row>
    <row r="4295" spans="1:2">
      <c r="A4295" s="3">
        <f ca="1">IFERROR(__xludf.DUMMYFUNCTION("""COMPUTED_VALUE"""),44582.6666666666)</f>
        <v>44582.666666666599</v>
      </c>
      <c r="B4295" s="1">
        <f ca="1">IFERROR(__xludf.DUMMYFUNCTION("""COMPUTED_VALUE"""),296.03)</f>
        <v>296.02999999999997</v>
      </c>
    </row>
    <row r="4296" spans="1:2">
      <c r="A4296" s="3">
        <f ca="1">IFERROR(__xludf.DUMMYFUNCTION("""COMPUTED_VALUE"""),44585.6666666666)</f>
        <v>44585.666666666599</v>
      </c>
      <c r="B4296" s="1">
        <f ca="1">IFERROR(__xludf.DUMMYFUNCTION("""COMPUTED_VALUE"""),296.37)</f>
        <v>296.37</v>
      </c>
    </row>
    <row r="4297" spans="1:2">
      <c r="A4297" s="3">
        <f ca="1">IFERROR(__xludf.DUMMYFUNCTION("""COMPUTED_VALUE"""),44586.6666666666)</f>
        <v>44586.666666666599</v>
      </c>
      <c r="B4297" s="1">
        <f ca="1">IFERROR(__xludf.DUMMYFUNCTION("""COMPUTED_VALUE"""),288.49)</f>
        <v>288.49</v>
      </c>
    </row>
    <row r="4298" spans="1:2">
      <c r="A4298" s="3">
        <f ca="1">IFERROR(__xludf.DUMMYFUNCTION("""COMPUTED_VALUE"""),44587.6666666666)</f>
        <v>44587.666666666599</v>
      </c>
      <c r="B4298" s="1">
        <f ca="1">IFERROR(__xludf.DUMMYFUNCTION("""COMPUTED_VALUE"""),296.71)</f>
        <v>296.70999999999998</v>
      </c>
    </row>
    <row r="4299" spans="1:2">
      <c r="A4299" s="3">
        <f ca="1">IFERROR(__xludf.DUMMYFUNCTION("""COMPUTED_VALUE"""),44588.6666666666)</f>
        <v>44588.666666666599</v>
      </c>
      <c r="B4299" s="1">
        <f ca="1">IFERROR(__xludf.DUMMYFUNCTION("""COMPUTED_VALUE"""),299.84)</f>
        <v>299.83999999999997</v>
      </c>
    </row>
    <row r="4300" spans="1:2">
      <c r="A4300" s="3">
        <f ca="1">IFERROR(__xludf.DUMMYFUNCTION("""COMPUTED_VALUE"""),44589.6666666666)</f>
        <v>44589.666666666599</v>
      </c>
      <c r="B4300" s="1">
        <f ca="1">IFERROR(__xludf.DUMMYFUNCTION("""COMPUTED_VALUE"""),308.26)</f>
        <v>308.26</v>
      </c>
    </row>
    <row r="4301" spans="1:2">
      <c r="A4301" s="3">
        <f ca="1">IFERROR(__xludf.DUMMYFUNCTION("""COMPUTED_VALUE"""),44592.6666666666)</f>
        <v>44592.666666666599</v>
      </c>
      <c r="B4301" s="1">
        <f ca="1">IFERROR(__xludf.DUMMYFUNCTION("""COMPUTED_VALUE"""),310.98)</f>
        <v>310.98</v>
      </c>
    </row>
    <row r="4302" spans="1:2">
      <c r="A4302" s="3">
        <f ca="1">IFERROR(__xludf.DUMMYFUNCTION("""COMPUTED_VALUE"""),44593.6666666666)</f>
        <v>44593.666666666599</v>
      </c>
      <c r="B4302" s="1">
        <f ca="1">IFERROR(__xludf.DUMMYFUNCTION("""COMPUTED_VALUE"""),308.76)</f>
        <v>308.76</v>
      </c>
    </row>
    <row r="4303" spans="1:2">
      <c r="A4303" s="3">
        <f ca="1">IFERROR(__xludf.DUMMYFUNCTION("""COMPUTED_VALUE"""),44594.6666666666)</f>
        <v>44594.666666666599</v>
      </c>
      <c r="B4303" s="1">
        <f ca="1">IFERROR(__xludf.DUMMYFUNCTION("""COMPUTED_VALUE"""),313.46)</f>
        <v>313.45999999999998</v>
      </c>
    </row>
    <row r="4304" spans="1:2">
      <c r="A4304" s="3">
        <f ca="1">IFERROR(__xludf.DUMMYFUNCTION("""COMPUTED_VALUE"""),44595.6666666666)</f>
        <v>44595.666666666599</v>
      </c>
      <c r="B4304" s="1">
        <f ca="1">IFERROR(__xludf.DUMMYFUNCTION("""COMPUTED_VALUE"""),301.25)</f>
        <v>301.25</v>
      </c>
    </row>
    <row r="4305" spans="1:2">
      <c r="A4305" s="3">
        <f ca="1">IFERROR(__xludf.DUMMYFUNCTION("""COMPUTED_VALUE"""),44596.6666666666)</f>
        <v>44596.666666666599</v>
      </c>
      <c r="B4305" s="1">
        <f ca="1">IFERROR(__xludf.DUMMYFUNCTION("""COMPUTED_VALUE"""),305.94)</f>
        <v>305.94</v>
      </c>
    </row>
    <row r="4306" spans="1:2">
      <c r="A4306" s="3">
        <f ca="1">IFERROR(__xludf.DUMMYFUNCTION("""COMPUTED_VALUE"""),44599.6666666666)</f>
        <v>44599.666666666599</v>
      </c>
      <c r="B4306" s="1">
        <f ca="1">IFERROR(__xludf.DUMMYFUNCTION("""COMPUTED_VALUE"""),300.95)</f>
        <v>300.95</v>
      </c>
    </row>
    <row r="4307" spans="1:2">
      <c r="A4307" s="3">
        <f ca="1">IFERROR(__xludf.DUMMYFUNCTION("""COMPUTED_VALUE"""),44600.6666666666)</f>
        <v>44600.666666666599</v>
      </c>
      <c r="B4307" s="1">
        <f ca="1">IFERROR(__xludf.DUMMYFUNCTION("""COMPUTED_VALUE"""),304.56)</f>
        <v>304.56</v>
      </c>
    </row>
    <row r="4308" spans="1:2">
      <c r="A4308" s="3">
        <f ca="1">IFERROR(__xludf.DUMMYFUNCTION("""COMPUTED_VALUE"""),44601.6666666666)</f>
        <v>44601.666666666599</v>
      </c>
      <c r="B4308" s="1">
        <f ca="1">IFERROR(__xludf.DUMMYFUNCTION("""COMPUTED_VALUE"""),311.21)</f>
        <v>311.20999999999998</v>
      </c>
    </row>
    <row r="4309" spans="1:2">
      <c r="A4309" s="3">
        <f ca="1">IFERROR(__xludf.DUMMYFUNCTION("""COMPUTED_VALUE"""),44602.6666666666)</f>
        <v>44602.666666666599</v>
      </c>
      <c r="B4309" s="1">
        <f ca="1">IFERROR(__xludf.DUMMYFUNCTION("""COMPUTED_VALUE"""),302.38)</f>
        <v>302.38</v>
      </c>
    </row>
    <row r="4310" spans="1:2">
      <c r="A4310" s="3">
        <f ca="1">IFERROR(__xludf.DUMMYFUNCTION("""COMPUTED_VALUE"""),44603.6666666666)</f>
        <v>44603.666666666599</v>
      </c>
      <c r="B4310" s="1">
        <f ca="1">IFERROR(__xludf.DUMMYFUNCTION("""COMPUTED_VALUE"""),295.04)</f>
        <v>295.04000000000002</v>
      </c>
    </row>
    <row r="4311" spans="1:2">
      <c r="A4311" s="3">
        <f ca="1">IFERROR(__xludf.DUMMYFUNCTION("""COMPUTED_VALUE"""),44606.6666666666)</f>
        <v>44606.666666666599</v>
      </c>
      <c r="B4311" s="1">
        <f ca="1">IFERROR(__xludf.DUMMYFUNCTION("""COMPUTED_VALUE"""),295)</f>
        <v>295</v>
      </c>
    </row>
    <row r="4312" spans="1:2">
      <c r="A4312" s="3">
        <f ca="1">IFERROR(__xludf.DUMMYFUNCTION("""COMPUTED_VALUE"""),44607.6666666666)</f>
        <v>44607.666666666599</v>
      </c>
      <c r="B4312" s="1">
        <f ca="1">IFERROR(__xludf.DUMMYFUNCTION("""COMPUTED_VALUE"""),300.47)</f>
        <v>300.47000000000003</v>
      </c>
    </row>
    <row r="4313" spans="1:2">
      <c r="A4313" s="3">
        <f ca="1">IFERROR(__xludf.DUMMYFUNCTION("""COMPUTED_VALUE"""),44608.6666666666)</f>
        <v>44608.666666666599</v>
      </c>
      <c r="B4313" s="1">
        <f ca="1">IFERROR(__xludf.DUMMYFUNCTION("""COMPUTED_VALUE"""),299.5)</f>
        <v>299.5</v>
      </c>
    </row>
    <row r="4314" spans="1:2">
      <c r="A4314" s="3">
        <f ca="1">IFERROR(__xludf.DUMMYFUNCTION("""COMPUTED_VALUE"""),44609.6666666666)</f>
        <v>44609.666666666599</v>
      </c>
      <c r="B4314" s="1">
        <f ca="1">IFERROR(__xludf.DUMMYFUNCTION("""COMPUTED_VALUE"""),290.73)</f>
        <v>290.73</v>
      </c>
    </row>
    <row r="4315" spans="1:2">
      <c r="A4315" s="3">
        <f ca="1">IFERROR(__xludf.DUMMYFUNCTION("""COMPUTED_VALUE"""),44610.6666666666)</f>
        <v>44610.666666666599</v>
      </c>
      <c r="B4315" s="1">
        <f ca="1">IFERROR(__xludf.DUMMYFUNCTION("""COMPUTED_VALUE"""),287.93)</f>
        <v>287.93</v>
      </c>
    </row>
    <row r="4316" spans="1:2">
      <c r="A4316" s="3">
        <f ca="1">IFERROR(__xludf.DUMMYFUNCTION("""COMPUTED_VALUE"""),44614.6666666666)</f>
        <v>44614.666666666599</v>
      </c>
      <c r="B4316" s="1">
        <f ca="1">IFERROR(__xludf.DUMMYFUNCTION("""COMPUTED_VALUE"""),287.72)</f>
        <v>287.72000000000003</v>
      </c>
    </row>
    <row r="4317" spans="1:2">
      <c r="A4317" s="3">
        <f ca="1">IFERROR(__xludf.DUMMYFUNCTION("""COMPUTED_VALUE"""),44615.6666666666)</f>
        <v>44615.666666666599</v>
      </c>
      <c r="B4317" s="1">
        <f ca="1">IFERROR(__xludf.DUMMYFUNCTION("""COMPUTED_VALUE"""),280.27)</f>
        <v>280.27</v>
      </c>
    </row>
    <row r="4318" spans="1:2">
      <c r="A4318" s="3">
        <f ca="1">IFERROR(__xludf.DUMMYFUNCTION("""COMPUTED_VALUE"""),44616.6666666666)</f>
        <v>44616.666666666599</v>
      </c>
      <c r="B4318" s="1">
        <f ca="1">IFERROR(__xludf.DUMMYFUNCTION("""COMPUTED_VALUE"""),294.59)</f>
        <v>294.58999999999997</v>
      </c>
    </row>
    <row r="4319" spans="1:2">
      <c r="A4319" s="3">
        <f ca="1">IFERROR(__xludf.DUMMYFUNCTION("""COMPUTED_VALUE"""),44617.6666666666)</f>
        <v>44617.666666666599</v>
      </c>
      <c r="B4319" s="1">
        <f ca="1">IFERROR(__xludf.DUMMYFUNCTION("""COMPUTED_VALUE"""),297.31)</f>
        <v>297.31</v>
      </c>
    </row>
    <row r="4320" spans="1:2">
      <c r="A4320" s="3">
        <f ca="1">IFERROR(__xludf.DUMMYFUNCTION("""COMPUTED_VALUE"""),44620.6666666666)</f>
        <v>44620.666666666599</v>
      </c>
      <c r="B4320" s="1">
        <f ca="1">IFERROR(__xludf.DUMMYFUNCTION("""COMPUTED_VALUE"""),298.79)</f>
        <v>298.79000000000002</v>
      </c>
    </row>
    <row r="4321" spans="1:2">
      <c r="A4321" s="3">
        <f ca="1">IFERROR(__xludf.DUMMYFUNCTION("""COMPUTED_VALUE"""),44621.6666666666)</f>
        <v>44621.666666666599</v>
      </c>
      <c r="B4321" s="1">
        <f ca="1">IFERROR(__xludf.DUMMYFUNCTION("""COMPUTED_VALUE"""),294.95)</f>
        <v>294.95</v>
      </c>
    </row>
    <row r="4322" spans="1:2">
      <c r="A4322" s="3">
        <f ca="1">IFERROR(__xludf.DUMMYFUNCTION("""COMPUTED_VALUE"""),44622.6666666666)</f>
        <v>44622.666666666599</v>
      </c>
      <c r="B4322" s="1">
        <f ca="1">IFERROR(__xludf.DUMMYFUNCTION("""COMPUTED_VALUE"""),300.19)</f>
        <v>300.19</v>
      </c>
    </row>
    <row r="4323" spans="1:2">
      <c r="A4323" s="3">
        <f ca="1">IFERROR(__xludf.DUMMYFUNCTION("""COMPUTED_VALUE"""),44623.6666666666)</f>
        <v>44623.666666666599</v>
      </c>
      <c r="B4323" s="1">
        <f ca="1">IFERROR(__xludf.DUMMYFUNCTION("""COMPUTED_VALUE"""),295.92)</f>
        <v>295.92</v>
      </c>
    </row>
    <row r="4324" spans="1:2">
      <c r="A4324" s="3">
        <f ca="1">IFERROR(__xludf.DUMMYFUNCTION("""COMPUTED_VALUE"""),44624.6666666666)</f>
        <v>44624.666666666599</v>
      </c>
      <c r="B4324" s="1">
        <f ca="1">IFERROR(__xludf.DUMMYFUNCTION("""COMPUTED_VALUE"""),289.86)</f>
        <v>289.86</v>
      </c>
    </row>
    <row r="4325" spans="1:2">
      <c r="A4325" s="3">
        <f ca="1">IFERROR(__xludf.DUMMYFUNCTION("""COMPUTED_VALUE"""),44627.6666666666)</f>
        <v>44627.666666666599</v>
      </c>
      <c r="B4325" s="1">
        <f ca="1">IFERROR(__xludf.DUMMYFUNCTION("""COMPUTED_VALUE"""),278.91)</f>
        <v>278.91000000000003</v>
      </c>
    </row>
    <row r="4326" spans="1:2">
      <c r="A4326" s="3">
        <f ca="1">IFERROR(__xludf.DUMMYFUNCTION("""COMPUTED_VALUE"""),44628.6666666666)</f>
        <v>44628.666666666599</v>
      </c>
      <c r="B4326" s="1">
        <f ca="1">IFERROR(__xludf.DUMMYFUNCTION("""COMPUTED_VALUE"""),275.85)</f>
        <v>275.85000000000002</v>
      </c>
    </row>
    <row r="4327" spans="1:2">
      <c r="A4327" s="3">
        <f ca="1">IFERROR(__xludf.DUMMYFUNCTION("""COMPUTED_VALUE"""),44629.6666666666)</f>
        <v>44629.666666666599</v>
      </c>
      <c r="B4327" s="1">
        <f ca="1">IFERROR(__xludf.DUMMYFUNCTION("""COMPUTED_VALUE"""),288.5)</f>
        <v>288.5</v>
      </c>
    </row>
    <row r="4328" spans="1:2">
      <c r="A4328" s="3">
        <f ca="1">IFERROR(__xludf.DUMMYFUNCTION("""COMPUTED_VALUE"""),44630.6666666666)</f>
        <v>44630.666666666599</v>
      </c>
      <c r="B4328" s="1">
        <f ca="1">IFERROR(__xludf.DUMMYFUNCTION("""COMPUTED_VALUE"""),285.59)</f>
        <v>285.58999999999997</v>
      </c>
    </row>
    <row r="4329" spans="1:2">
      <c r="A4329" s="3">
        <f ca="1">IFERROR(__xludf.DUMMYFUNCTION("""COMPUTED_VALUE"""),44631.6666666666)</f>
        <v>44631.666666666599</v>
      </c>
      <c r="B4329" s="1">
        <f ca="1">IFERROR(__xludf.DUMMYFUNCTION("""COMPUTED_VALUE"""),280.07)</f>
        <v>280.07</v>
      </c>
    </row>
    <row r="4330" spans="1:2">
      <c r="A4330" s="3">
        <f ca="1">IFERROR(__xludf.DUMMYFUNCTION("""COMPUTED_VALUE"""),44634.6666666666)</f>
        <v>44634.666666666599</v>
      </c>
      <c r="B4330" s="1">
        <f ca="1">IFERROR(__xludf.DUMMYFUNCTION("""COMPUTED_VALUE"""),276.44)</f>
        <v>276.44</v>
      </c>
    </row>
    <row r="4331" spans="1:2">
      <c r="A4331" s="3">
        <f ca="1">IFERROR(__xludf.DUMMYFUNCTION("""COMPUTED_VALUE"""),44635.6666666666)</f>
        <v>44635.666666666599</v>
      </c>
      <c r="B4331" s="1">
        <f ca="1">IFERROR(__xludf.DUMMYFUNCTION("""COMPUTED_VALUE"""),287.15)</f>
        <v>287.14999999999998</v>
      </c>
    </row>
    <row r="4332" spans="1:2">
      <c r="A4332" s="3">
        <f ca="1">IFERROR(__xludf.DUMMYFUNCTION("""COMPUTED_VALUE"""),44636.6666666666)</f>
        <v>44636.666666666599</v>
      </c>
      <c r="B4332" s="1">
        <f ca="1">IFERROR(__xludf.DUMMYFUNCTION("""COMPUTED_VALUE"""),294.39)</f>
        <v>294.39</v>
      </c>
    </row>
    <row r="4333" spans="1:2">
      <c r="A4333" s="3">
        <f ca="1">IFERROR(__xludf.DUMMYFUNCTION("""COMPUTED_VALUE"""),44637.6666666666)</f>
        <v>44637.666666666599</v>
      </c>
      <c r="B4333" s="1">
        <f ca="1">IFERROR(__xludf.DUMMYFUNCTION("""COMPUTED_VALUE"""),295.22)</f>
        <v>295.22000000000003</v>
      </c>
    </row>
    <row r="4334" spans="1:2">
      <c r="A4334" s="3">
        <f ca="1">IFERROR(__xludf.DUMMYFUNCTION("""COMPUTED_VALUE"""),44638.6666666666)</f>
        <v>44638.666666666599</v>
      </c>
      <c r="B4334" s="1">
        <f ca="1">IFERROR(__xludf.DUMMYFUNCTION("""COMPUTED_VALUE"""),300.43)</f>
        <v>300.43</v>
      </c>
    </row>
    <row r="4335" spans="1:2">
      <c r="A4335" s="3">
        <f ca="1">IFERROR(__xludf.DUMMYFUNCTION("""COMPUTED_VALUE"""),44641.6666666666)</f>
        <v>44641.666666666599</v>
      </c>
      <c r="B4335" s="1">
        <f ca="1">IFERROR(__xludf.DUMMYFUNCTION("""COMPUTED_VALUE"""),299.16)</f>
        <v>299.16000000000003</v>
      </c>
    </row>
    <row r="4336" spans="1:2">
      <c r="A4336" s="3">
        <f ca="1">IFERROR(__xludf.DUMMYFUNCTION("""COMPUTED_VALUE"""),44642.6666666666)</f>
        <v>44642.666666666599</v>
      </c>
      <c r="B4336" s="1">
        <f ca="1">IFERROR(__xludf.DUMMYFUNCTION("""COMPUTED_VALUE"""),304.06)</f>
        <v>304.06</v>
      </c>
    </row>
    <row r="4337" spans="1:2">
      <c r="A4337" s="3">
        <f ca="1">IFERROR(__xludf.DUMMYFUNCTION("""COMPUTED_VALUE"""),44643.6666666666)</f>
        <v>44643.666666666599</v>
      </c>
      <c r="B4337" s="1">
        <f ca="1">IFERROR(__xludf.DUMMYFUNCTION("""COMPUTED_VALUE"""),299.49)</f>
        <v>299.49</v>
      </c>
    </row>
    <row r="4338" spans="1:2">
      <c r="A4338" s="3">
        <f ca="1">IFERROR(__xludf.DUMMYFUNCTION("""COMPUTED_VALUE"""),44644.6666666666)</f>
        <v>44644.666666666599</v>
      </c>
      <c r="B4338" s="1">
        <f ca="1">IFERROR(__xludf.DUMMYFUNCTION("""COMPUTED_VALUE"""),304.1)</f>
        <v>304.10000000000002</v>
      </c>
    </row>
    <row r="4339" spans="1:2">
      <c r="A4339" s="3">
        <f ca="1">IFERROR(__xludf.DUMMYFUNCTION("""COMPUTED_VALUE"""),44645.6666666666)</f>
        <v>44645.666666666599</v>
      </c>
      <c r="B4339" s="1">
        <f ca="1">IFERROR(__xludf.DUMMYFUNCTION("""COMPUTED_VALUE"""),303.68)</f>
        <v>303.68</v>
      </c>
    </row>
    <row r="4340" spans="1:2">
      <c r="A4340" s="3">
        <f ca="1">IFERROR(__xludf.DUMMYFUNCTION("""COMPUTED_VALUE"""),44648.6666666666)</f>
        <v>44648.666666666599</v>
      </c>
      <c r="B4340" s="1">
        <f ca="1">IFERROR(__xludf.DUMMYFUNCTION("""COMPUTED_VALUE"""),310.7)</f>
        <v>310.7</v>
      </c>
    </row>
    <row r="4341" spans="1:2">
      <c r="A4341" s="3">
        <f ca="1">IFERROR(__xludf.DUMMYFUNCTION("""COMPUTED_VALUE"""),44649.6666666666)</f>
        <v>44649.666666666599</v>
      </c>
      <c r="B4341" s="1">
        <f ca="1">IFERROR(__xludf.DUMMYFUNCTION("""COMPUTED_VALUE"""),315.41)</f>
        <v>315.41000000000003</v>
      </c>
    </row>
    <row r="4342" spans="1:2">
      <c r="A4342" s="3">
        <f ca="1">IFERROR(__xludf.DUMMYFUNCTION("""COMPUTED_VALUE"""),44650.6666666666)</f>
        <v>44650.666666666599</v>
      </c>
      <c r="B4342" s="1">
        <f ca="1">IFERROR(__xludf.DUMMYFUNCTION("""COMPUTED_VALUE"""),313.86)</f>
        <v>313.86</v>
      </c>
    </row>
    <row r="4343" spans="1:2">
      <c r="A4343" s="3">
        <f ca="1">IFERROR(__xludf.DUMMYFUNCTION("""COMPUTED_VALUE"""),44651.6666666666)</f>
        <v>44651.666666666599</v>
      </c>
      <c r="B4343" s="1">
        <f ca="1">IFERROR(__xludf.DUMMYFUNCTION("""COMPUTED_VALUE"""),308.31)</f>
        <v>308.31</v>
      </c>
    </row>
    <row r="4344" spans="1:2">
      <c r="A4344" s="3">
        <f ca="1">IFERROR(__xludf.DUMMYFUNCTION("""COMPUTED_VALUE"""),44652.6666666666)</f>
        <v>44652.666666666599</v>
      </c>
      <c r="B4344" s="1">
        <f ca="1">IFERROR(__xludf.DUMMYFUNCTION("""COMPUTED_VALUE"""),309.42)</f>
        <v>309.42</v>
      </c>
    </row>
    <row r="4345" spans="1:2">
      <c r="A4345" s="3">
        <f ca="1">IFERROR(__xludf.DUMMYFUNCTION("""COMPUTED_VALUE"""),44655.6666666666)</f>
        <v>44655.666666666599</v>
      </c>
      <c r="B4345" s="1">
        <f ca="1">IFERROR(__xludf.DUMMYFUNCTION("""COMPUTED_VALUE"""),314.97)</f>
        <v>314.97000000000003</v>
      </c>
    </row>
    <row r="4346" spans="1:2">
      <c r="A4346" s="3">
        <f ca="1">IFERROR(__xludf.DUMMYFUNCTION("""COMPUTED_VALUE"""),44656.6666666666)</f>
        <v>44656.666666666599</v>
      </c>
      <c r="B4346" s="1">
        <f ca="1">IFERROR(__xludf.DUMMYFUNCTION("""COMPUTED_VALUE"""),310.88)</f>
        <v>310.88</v>
      </c>
    </row>
    <row r="4347" spans="1:2">
      <c r="A4347" s="3">
        <f ca="1">IFERROR(__xludf.DUMMYFUNCTION("""COMPUTED_VALUE"""),44657.6666666666)</f>
        <v>44657.666666666599</v>
      </c>
      <c r="B4347" s="1">
        <f ca="1">IFERROR(__xludf.DUMMYFUNCTION("""COMPUTED_VALUE"""),299.5)</f>
        <v>299.5</v>
      </c>
    </row>
    <row r="4348" spans="1:2">
      <c r="A4348" s="3">
        <f ca="1">IFERROR(__xludf.DUMMYFUNCTION("""COMPUTED_VALUE"""),44658.6666666666)</f>
        <v>44658.666666666599</v>
      </c>
      <c r="B4348" s="1">
        <f ca="1">IFERROR(__xludf.DUMMYFUNCTION("""COMPUTED_VALUE"""),301.37)</f>
        <v>301.37</v>
      </c>
    </row>
    <row r="4349" spans="1:2">
      <c r="A4349" s="3">
        <f ca="1">IFERROR(__xludf.DUMMYFUNCTION("""COMPUTED_VALUE"""),44659.6666666666)</f>
        <v>44659.666666666599</v>
      </c>
      <c r="B4349" s="1">
        <f ca="1">IFERROR(__xludf.DUMMYFUNCTION("""COMPUTED_VALUE"""),296.97)</f>
        <v>296.97000000000003</v>
      </c>
    </row>
    <row r="4350" spans="1:2">
      <c r="A4350" s="3">
        <f ca="1">IFERROR(__xludf.DUMMYFUNCTION("""COMPUTED_VALUE"""),44662.6666666666)</f>
        <v>44662.666666666599</v>
      </c>
      <c r="B4350" s="1">
        <f ca="1">IFERROR(__xludf.DUMMYFUNCTION("""COMPUTED_VALUE"""),285.26)</f>
        <v>285.26</v>
      </c>
    </row>
    <row r="4351" spans="1:2">
      <c r="A4351" s="3">
        <f ca="1">IFERROR(__xludf.DUMMYFUNCTION("""COMPUTED_VALUE"""),44663.6666666666)</f>
        <v>44663.666666666599</v>
      </c>
      <c r="B4351" s="1">
        <f ca="1">IFERROR(__xludf.DUMMYFUNCTION("""COMPUTED_VALUE"""),282.06)</f>
        <v>282.06</v>
      </c>
    </row>
    <row r="4352" spans="1:2">
      <c r="A4352" s="3">
        <f ca="1">IFERROR(__xludf.DUMMYFUNCTION("""COMPUTED_VALUE"""),44664.6666666666)</f>
        <v>44664.666666666599</v>
      </c>
      <c r="B4352" s="1">
        <f ca="1">IFERROR(__xludf.DUMMYFUNCTION("""COMPUTED_VALUE"""),287.62)</f>
        <v>287.62</v>
      </c>
    </row>
    <row r="4353" spans="1:2">
      <c r="A4353" s="3">
        <f ca="1">IFERROR(__xludf.DUMMYFUNCTION("""COMPUTED_VALUE"""),44665.6666666666)</f>
        <v>44665.666666666599</v>
      </c>
      <c r="B4353" s="1">
        <f ca="1">IFERROR(__xludf.DUMMYFUNCTION("""COMPUTED_VALUE"""),279.83)</f>
        <v>279.83</v>
      </c>
    </row>
    <row r="4354" spans="1:2">
      <c r="A4354" s="3">
        <f ca="1">IFERROR(__xludf.DUMMYFUNCTION("""COMPUTED_VALUE"""),44669.6666666666)</f>
        <v>44669.666666666599</v>
      </c>
      <c r="B4354" s="1">
        <f ca="1">IFERROR(__xludf.DUMMYFUNCTION("""COMPUTED_VALUE"""),280.52)</f>
        <v>280.52</v>
      </c>
    </row>
    <row r="4355" spans="1:2">
      <c r="A4355" s="3">
        <f ca="1">IFERROR(__xludf.DUMMYFUNCTION("""COMPUTED_VALUE"""),44670.6666666666)</f>
        <v>44670.666666666599</v>
      </c>
      <c r="B4355" s="1">
        <f ca="1">IFERROR(__xludf.DUMMYFUNCTION("""COMPUTED_VALUE"""),285.3)</f>
        <v>285.3</v>
      </c>
    </row>
    <row r="4356" spans="1:2">
      <c r="A4356" s="3">
        <f ca="1">IFERROR(__xludf.DUMMYFUNCTION("""COMPUTED_VALUE"""),44671.6666666666)</f>
        <v>44671.666666666599</v>
      </c>
      <c r="B4356" s="1">
        <f ca="1">IFERROR(__xludf.DUMMYFUNCTION("""COMPUTED_VALUE"""),286.36)</f>
        <v>286.36</v>
      </c>
    </row>
    <row r="4357" spans="1:2">
      <c r="A4357" s="3">
        <f ca="1">IFERROR(__xludf.DUMMYFUNCTION("""COMPUTED_VALUE"""),44672.6666666666)</f>
        <v>44672.666666666599</v>
      </c>
      <c r="B4357" s="1">
        <f ca="1">IFERROR(__xludf.DUMMYFUNCTION("""COMPUTED_VALUE"""),280.81)</f>
        <v>280.81</v>
      </c>
    </row>
    <row r="4358" spans="1:2">
      <c r="A4358" s="3">
        <f ca="1">IFERROR(__xludf.DUMMYFUNCTION("""COMPUTED_VALUE"""),44673.6666666666)</f>
        <v>44673.666666666599</v>
      </c>
      <c r="B4358" s="1">
        <f ca="1">IFERROR(__xludf.DUMMYFUNCTION("""COMPUTED_VALUE"""),274.03)</f>
        <v>274.02999999999997</v>
      </c>
    </row>
    <row r="4359" spans="1:2">
      <c r="A4359" s="3">
        <f ca="1">IFERROR(__xludf.DUMMYFUNCTION("""COMPUTED_VALUE"""),44676.6666666666)</f>
        <v>44676.666666666599</v>
      </c>
      <c r="B4359" s="1">
        <f ca="1">IFERROR(__xludf.DUMMYFUNCTION("""COMPUTED_VALUE"""),280.72)</f>
        <v>280.72000000000003</v>
      </c>
    </row>
    <row r="4360" spans="1:2">
      <c r="A4360" s="3">
        <f ca="1">IFERROR(__xludf.DUMMYFUNCTION("""COMPUTED_VALUE"""),44677.6666666666)</f>
        <v>44677.666666666599</v>
      </c>
      <c r="B4360" s="1">
        <f ca="1">IFERROR(__xludf.DUMMYFUNCTION("""COMPUTED_VALUE"""),270.22)</f>
        <v>270.22000000000003</v>
      </c>
    </row>
    <row r="4361" spans="1:2">
      <c r="A4361" s="3">
        <f ca="1">IFERROR(__xludf.DUMMYFUNCTION("""COMPUTED_VALUE"""),44678.6666666666)</f>
        <v>44678.666666666599</v>
      </c>
      <c r="B4361" s="1">
        <f ca="1">IFERROR(__xludf.DUMMYFUNCTION("""COMPUTED_VALUE"""),283.22)</f>
        <v>283.22000000000003</v>
      </c>
    </row>
    <row r="4362" spans="1:2">
      <c r="A4362" s="3">
        <f ca="1">IFERROR(__xludf.DUMMYFUNCTION("""COMPUTED_VALUE"""),44679.6666666666)</f>
        <v>44679.666666666599</v>
      </c>
      <c r="B4362" s="1">
        <f ca="1">IFERROR(__xludf.DUMMYFUNCTION("""COMPUTED_VALUE"""),289.63)</f>
        <v>289.63</v>
      </c>
    </row>
    <row r="4363" spans="1:2">
      <c r="A4363" s="3">
        <f ca="1">IFERROR(__xludf.DUMMYFUNCTION("""COMPUTED_VALUE"""),44680.6666666666)</f>
        <v>44680.666666666599</v>
      </c>
      <c r="B4363" s="1">
        <f ca="1">IFERROR(__xludf.DUMMYFUNCTION("""COMPUTED_VALUE"""),277.52)</f>
        <v>277.52</v>
      </c>
    </row>
    <row r="4364" spans="1:2">
      <c r="A4364" s="3">
        <f ca="1">IFERROR(__xludf.DUMMYFUNCTION("""COMPUTED_VALUE"""),44683.6666666666)</f>
        <v>44683.666666666599</v>
      </c>
      <c r="B4364" s="1">
        <f ca="1">IFERROR(__xludf.DUMMYFUNCTION("""COMPUTED_VALUE"""),284.47)</f>
        <v>284.47000000000003</v>
      </c>
    </row>
    <row r="4365" spans="1:2">
      <c r="A4365" s="3">
        <f ca="1">IFERROR(__xludf.DUMMYFUNCTION("""COMPUTED_VALUE"""),44684.6666666666)</f>
        <v>44684.666666666599</v>
      </c>
      <c r="B4365" s="1">
        <f ca="1">IFERROR(__xludf.DUMMYFUNCTION("""COMPUTED_VALUE"""),281.78)</f>
        <v>281.77999999999997</v>
      </c>
    </row>
    <row r="4366" spans="1:2">
      <c r="A4366" s="3">
        <f ca="1">IFERROR(__xludf.DUMMYFUNCTION("""COMPUTED_VALUE"""),44685.6666666666)</f>
        <v>44685.666666666599</v>
      </c>
      <c r="B4366" s="1">
        <f ca="1">IFERROR(__xludf.DUMMYFUNCTION("""COMPUTED_VALUE"""),289.98)</f>
        <v>289.98</v>
      </c>
    </row>
    <row r="4367" spans="1:2">
      <c r="A4367" s="3">
        <f ca="1">IFERROR(__xludf.DUMMYFUNCTION("""COMPUTED_VALUE"""),44686.6666666666)</f>
        <v>44686.666666666599</v>
      </c>
      <c r="B4367" s="1">
        <f ca="1">IFERROR(__xludf.DUMMYFUNCTION("""COMPUTED_VALUE"""),277.35)</f>
        <v>277.35000000000002</v>
      </c>
    </row>
    <row r="4368" spans="1:2">
      <c r="A4368" s="3">
        <f ca="1">IFERROR(__xludf.DUMMYFUNCTION("""COMPUTED_VALUE"""),44687.6666666666)</f>
        <v>44687.666666666599</v>
      </c>
      <c r="B4368" s="1">
        <f ca="1">IFERROR(__xludf.DUMMYFUNCTION("""COMPUTED_VALUE"""),274.73)</f>
        <v>274.73</v>
      </c>
    </row>
    <row r="4369" spans="1:2">
      <c r="A4369" s="3">
        <f ca="1">IFERROR(__xludf.DUMMYFUNCTION("""COMPUTED_VALUE"""),44690.6666666666)</f>
        <v>44690.666666666599</v>
      </c>
      <c r="B4369" s="1">
        <f ca="1">IFERROR(__xludf.DUMMYFUNCTION("""COMPUTED_VALUE"""),264.58)</f>
        <v>264.58</v>
      </c>
    </row>
    <row r="4370" spans="1:2">
      <c r="A4370" s="3">
        <f ca="1">IFERROR(__xludf.DUMMYFUNCTION("""COMPUTED_VALUE"""),44691.6666666666)</f>
        <v>44691.666666666599</v>
      </c>
      <c r="B4370" s="1">
        <f ca="1">IFERROR(__xludf.DUMMYFUNCTION("""COMPUTED_VALUE"""),269.5)</f>
        <v>269.5</v>
      </c>
    </row>
    <row r="4371" spans="1:2">
      <c r="A4371" s="3">
        <f ca="1">IFERROR(__xludf.DUMMYFUNCTION("""COMPUTED_VALUE"""),44692.6666666666)</f>
        <v>44692.666666666599</v>
      </c>
      <c r="B4371" s="1">
        <f ca="1">IFERROR(__xludf.DUMMYFUNCTION("""COMPUTED_VALUE"""),260.55)</f>
        <v>260.55</v>
      </c>
    </row>
    <row r="4372" spans="1:2">
      <c r="A4372" s="3">
        <f ca="1">IFERROR(__xludf.DUMMYFUNCTION("""COMPUTED_VALUE"""),44693.6666666666)</f>
        <v>44693.666666666599</v>
      </c>
      <c r="B4372" s="1">
        <f ca="1">IFERROR(__xludf.DUMMYFUNCTION("""COMPUTED_VALUE"""),255.35)</f>
        <v>255.35</v>
      </c>
    </row>
    <row r="4373" spans="1:2">
      <c r="A4373" s="3">
        <f ca="1">IFERROR(__xludf.DUMMYFUNCTION("""COMPUTED_VALUE"""),44694.6666666666)</f>
        <v>44694.666666666599</v>
      </c>
      <c r="B4373" s="1">
        <f ca="1">IFERROR(__xludf.DUMMYFUNCTION("""COMPUTED_VALUE"""),261.12)</f>
        <v>261.12</v>
      </c>
    </row>
    <row r="4374" spans="1:2">
      <c r="A4374" s="3">
        <f ca="1">IFERROR(__xludf.DUMMYFUNCTION("""COMPUTED_VALUE"""),44697.6666666666)</f>
        <v>44697.666666666599</v>
      </c>
      <c r="B4374" s="1">
        <f ca="1">IFERROR(__xludf.DUMMYFUNCTION("""COMPUTED_VALUE"""),261.5)</f>
        <v>261.5</v>
      </c>
    </row>
    <row r="4375" spans="1:2">
      <c r="A4375" s="3">
        <f ca="1">IFERROR(__xludf.DUMMYFUNCTION("""COMPUTED_VALUE"""),44698.6666666666)</f>
        <v>44698.666666666599</v>
      </c>
      <c r="B4375" s="1">
        <f ca="1">IFERROR(__xludf.DUMMYFUNCTION("""COMPUTED_VALUE"""),266.82)</f>
        <v>266.82</v>
      </c>
    </row>
    <row r="4376" spans="1:2">
      <c r="A4376" s="3">
        <f ca="1">IFERROR(__xludf.DUMMYFUNCTION("""COMPUTED_VALUE"""),44699.6666666666)</f>
        <v>44699.666666666599</v>
      </c>
      <c r="B4376" s="1">
        <f ca="1">IFERROR(__xludf.DUMMYFUNCTION("""COMPUTED_VALUE"""),254.08)</f>
        <v>254.08</v>
      </c>
    </row>
    <row r="4377" spans="1:2">
      <c r="A4377" s="3">
        <f ca="1">IFERROR(__xludf.DUMMYFUNCTION("""COMPUTED_VALUE"""),44700.6666666666)</f>
        <v>44700.666666666599</v>
      </c>
      <c r="B4377" s="1">
        <f ca="1">IFERROR(__xludf.DUMMYFUNCTION("""COMPUTED_VALUE"""),253.14)</f>
        <v>253.14</v>
      </c>
    </row>
    <row r="4378" spans="1:2">
      <c r="A4378" s="3">
        <f ca="1">IFERROR(__xludf.DUMMYFUNCTION("""COMPUTED_VALUE"""),44701.6666666666)</f>
        <v>44701.666666666599</v>
      </c>
      <c r="B4378" s="1">
        <f ca="1">IFERROR(__xludf.DUMMYFUNCTION("""COMPUTED_VALUE"""),252.56)</f>
        <v>252.56</v>
      </c>
    </row>
    <row r="4379" spans="1:2">
      <c r="A4379" s="3">
        <f ca="1">IFERROR(__xludf.DUMMYFUNCTION("""COMPUTED_VALUE"""),44704.6666666666)</f>
        <v>44704.666666666599</v>
      </c>
      <c r="B4379" s="1">
        <f ca="1">IFERROR(__xludf.DUMMYFUNCTION("""COMPUTED_VALUE"""),260.65)</f>
        <v>260.64999999999998</v>
      </c>
    </row>
    <row r="4380" spans="1:2">
      <c r="A4380" s="3">
        <f ca="1">IFERROR(__xludf.DUMMYFUNCTION("""COMPUTED_VALUE"""),44705.6666666666)</f>
        <v>44705.666666666599</v>
      </c>
      <c r="B4380" s="1">
        <f ca="1">IFERROR(__xludf.DUMMYFUNCTION("""COMPUTED_VALUE"""),259.62)</f>
        <v>259.62</v>
      </c>
    </row>
    <row r="4381" spans="1:2">
      <c r="A4381" s="3">
        <f ca="1">IFERROR(__xludf.DUMMYFUNCTION("""COMPUTED_VALUE"""),44706.6666666666)</f>
        <v>44706.666666666599</v>
      </c>
      <c r="B4381" s="1">
        <f ca="1">IFERROR(__xludf.DUMMYFUNCTION("""COMPUTED_VALUE"""),262.52)</f>
        <v>262.52</v>
      </c>
    </row>
    <row r="4382" spans="1:2">
      <c r="A4382" s="3">
        <f ca="1">IFERROR(__xludf.DUMMYFUNCTION("""COMPUTED_VALUE"""),44707.6666666666)</f>
        <v>44707.666666666599</v>
      </c>
      <c r="B4382" s="1">
        <f ca="1">IFERROR(__xludf.DUMMYFUNCTION("""COMPUTED_VALUE"""),265.9)</f>
        <v>265.89999999999998</v>
      </c>
    </row>
    <row r="4383" spans="1:2">
      <c r="A4383" s="3">
        <f ca="1">IFERROR(__xludf.DUMMYFUNCTION("""COMPUTED_VALUE"""),44708.6666666666)</f>
        <v>44708.666666666599</v>
      </c>
      <c r="B4383" s="1">
        <f ca="1">IFERROR(__xludf.DUMMYFUNCTION("""COMPUTED_VALUE"""),273.24)</f>
        <v>273.24</v>
      </c>
    </row>
    <row r="4384" spans="1:2">
      <c r="A4384" s="3">
        <f ca="1">IFERROR(__xludf.DUMMYFUNCTION("""COMPUTED_VALUE"""),44712.6666666666)</f>
        <v>44712.666666666599</v>
      </c>
      <c r="B4384" s="1">
        <f ca="1">IFERROR(__xludf.DUMMYFUNCTION("""COMPUTED_VALUE"""),271.87)</f>
        <v>271.87</v>
      </c>
    </row>
    <row r="4385" spans="1:2">
      <c r="A4385" s="3">
        <f ca="1">IFERROR(__xludf.DUMMYFUNCTION("""COMPUTED_VALUE"""),44713.6666666666)</f>
        <v>44713.666666666599</v>
      </c>
      <c r="B4385" s="1">
        <f ca="1">IFERROR(__xludf.DUMMYFUNCTION("""COMPUTED_VALUE"""),272.42)</f>
        <v>272.42</v>
      </c>
    </row>
    <row r="4386" spans="1:2">
      <c r="A4386" s="3">
        <f ca="1">IFERROR(__xludf.DUMMYFUNCTION("""COMPUTED_VALUE"""),44714.6666666666)</f>
        <v>44714.666666666599</v>
      </c>
      <c r="B4386" s="1">
        <f ca="1">IFERROR(__xludf.DUMMYFUNCTION("""COMPUTED_VALUE"""),274.58)</f>
        <v>274.58</v>
      </c>
    </row>
    <row r="4387" spans="1:2">
      <c r="A4387" s="3">
        <f ca="1">IFERROR(__xludf.DUMMYFUNCTION("""COMPUTED_VALUE"""),44715.6666666666)</f>
        <v>44715.666666666599</v>
      </c>
      <c r="B4387" s="1">
        <f ca="1">IFERROR(__xludf.DUMMYFUNCTION("""COMPUTED_VALUE"""),270.02)</f>
        <v>270.02</v>
      </c>
    </row>
    <row r="4388" spans="1:2">
      <c r="A4388" s="3">
        <f ca="1">IFERROR(__xludf.DUMMYFUNCTION("""COMPUTED_VALUE"""),44718.6666666666)</f>
        <v>44718.666666666599</v>
      </c>
      <c r="B4388" s="1">
        <f ca="1">IFERROR(__xludf.DUMMYFUNCTION("""COMPUTED_VALUE"""),268.75)</f>
        <v>268.75</v>
      </c>
    </row>
    <row r="4389" spans="1:2">
      <c r="A4389" s="3">
        <f ca="1">IFERROR(__xludf.DUMMYFUNCTION("""COMPUTED_VALUE"""),44719.6666666666)</f>
        <v>44719.666666666599</v>
      </c>
      <c r="B4389" s="1">
        <f ca="1">IFERROR(__xludf.DUMMYFUNCTION("""COMPUTED_VALUE"""),272.5)</f>
        <v>272.5</v>
      </c>
    </row>
    <row r="4390" spans="1:2">
      <c r="A4390" s="3">
        <f ca="1">IFERROR(__xludf.DUMMYFUNCTION("""COMPUTED_VALUE"""),44720.6666666666)</f>
        <v>44720.666666666599</v>
      </c>
      <c r="B4390" s="1">
        <f ca="1">IFERROR(__xludf.DUMMYFUNCTION("""COMPUTED_VALUE"""),270.41)</f>
        <v>270.41000000000003</v>
      </c>
    </row>
    <row r="4391" spans="1:2">
      <c r="A4391" s="3">
        <f ca="1">IFERROR(__xludf.DUMMYFUNCTION("""COMPUTED_VALUE"""),44721.6666666666)</f>
        <v>44721.666666666599</v>
      </c>
      <c r="B4391" s="1">
        <f ca="1">IFERROR(__xludf.DUMMYFUNCTION("""COMPUTED_VALUE"""),264.79)</f>
        <v>264.79000000000002</v>
      </c>
    </row>
    <row r="4392" spans="1:2">
      <c r="A4392" s="3">
        <f ca="1">IFERROR(__xludf.DUMMYFUNCTION("""COMPUTED_VALUE"""),44722.6666666666)</f>
        <v>44722.666666666599</v>
      </c>
      <c r="B4392" s="1">
        <f ca="1">IFERROR(__xludf.DUMMYFUNCTION("""COMPUTED_VALUE"""),252.99)</f>
        <v>252.99</v>
      </c>
    </row>
    <row r="4393" spans="1:2">
      <c r="A4393" s="3">
        <f ca="1">IFERROR(__xludf.DUMMYFUNCTION("""COMPUTED_VALUE"""),44725.6666666666)</f>
        <v>44725.666666666599</v>
      </c>
      <c r="B4393" s="1">
        <f ca="1">IFERROR(__xludf.DUMMYFUNCTION("""COMPUTED_VALUE"""),242.26)</f>
        <v>242.26</v>
      </c>
    </row>
    <row r="4394" spans="1:2">
      <c r="A4394" s="3">
        <f ca="1">IFERROR(__xludf.DUMMYFUNCTION("""COMPUTED_VALUE"""),44726.6666666666)</f>
        <v>44726.666666666599</v>
      </c>
      <c r="B4394" s="1">
        <f ca="1">IFERROR(__xludf.DUMMYFUNCTION("""COMPUTED_VALUE"""),244.49)</f>
        <v>244.49</v>
      </c>
    </row>
    <row r="4395" spans="1:2">
      <c r="A4395" s="3">
        <f ca="1">IFERROR(__xludf.DUMMYFUNCTION("""COMPUTED_VALUE"""),44727.6666666666)</f>
        <v>44727.666666666599</v>
      </c>
      <c r="B4395" s="1">
        <f ca="1">IFERROR(__xludf.DUMMYFUNCTION("""COMPUTED_VALUE"""),251.76)</f>
        <v>251.76</v>
      </c>
    </row>
    <row r="4396" spans="1:2">
      <c r="A4396" s="3">
        <f ca="1">IFERROR(__xludf.DUMMYFUNCTION("""COMPUTED_VALUE"""),44728.6666666666)</f>
        <v>44728.666666666599</v>
      </c>
      <c r="B4396" s="1">
        <f ca="1">IFERROR(__xludf.DUMMYFUNCTION("""COMPUTED_VALUE"""),244.97)</f>
        <v>244.97</v>
      </c>
    </row>
    <row r="4397" spans="1:2">
      <c r="A4397" s="3">
        <f ca="1">IFERROR(__xludf.DUMMYFUNCTION("""COMPUTED_VALUE"""),44729.6666666666)</f>
        <v>44729.666666666599</v>
      </c>
      <c r="B4397" s="1">
        <f ca="1">IFERROR(__xludf.DUMMYFUNCTION("""COMPUTED_VALUE"""),247.65)</f>
        <v>247.65</v>
      </c>
    </row>
    <row r="4398" spans="1:2">
      <c r="A4398" s="3">
        <f ca="1">IFERROR(__xludf.DUMMYFUNCTION("""COMPUTED_VALUE"""),44733.6666666666)</f>
        <v>44733.666666666599</v>
      </c>
      <c r="B4398" s="1">
        <f ca="1">IFERROR(__xludf.DUMMYFUNCTION("""COMPUTED_VALUE"""),253.74)</f>
        <v>253.74</v>
      </c>
    </row>
    <row r="4399" spans="1:2">
      <c r="A4399" s="3">
        <f ca="1">IFERROR(__xludf.DUMMYFUNCTION("""COMPUTED_VALUE"""),44734.6666666666)</f>
        <v>44734.666666666599</v>
      </c>
      <c r="B4399" s="1">
        <f ca="1">IFERROR(__xludf.DUMMYFUNCTION("""COMPUTED_VALUE"""),253.13)</f>
        <v>253.13</v>
      </c>
    </row>
    <row r="4400" spans="1:2">
      <c r="A4400" s="3">
        <f ca="1">IFERROR(__xludf.DUMMYFUNCTION("""COMPUTED_VALUE"""),44735.6666666666)</f>
        <v>44735.666666666599</v>
      </c>
      <c r="B4400" s="1">
        <f ca="1">IFERROR(__xludf.DUMMYFUNCTION("""COMPUTED_VALUE"""),258.86)</f>
        <v>258.86</v>
      </c>
    </row>
    <row r="4401" spans="1:2">
      <c r="A4401" s="3">
        <f ca="1">IFERROR(__xludf.DUMMYFUNCTION("""COMPUTED_VALUE"""),44736.6666666666)</f>
        <v>44736.666666666599</v>
      </c>
      <c r="B4401" s="1">
        <f ca="1">IFERROR(__xludf.DUMMYFUNCTION("""COMPUTED_VALUE"""),267.7)</f>
        <v>267.7</v>
      </c>
    </row>
    <row r="4402" spans="1:2">
      <c r="A4402" s="3">
        <f ca="1">IFERROR(__xludf.DUMMYFUNCTION("""COMPUTED_VALUE"""),44739.6666666666)</f>
        <v>44739.666666666599</v>
      </c>
      <c r="B4402" s="1">
        <f ca="1">IFERROR(__xludf.DUMMYFUNCTION("""COMPUTED_VALUE"""),264.89)</f>
        <v>264.89</v>
      </c>
    </row>
    <row r="4403" spans="1:2">
      <c r="A4403" s="3">
        <f ca="1">IFERROR(__xludf.DUMMYFUNCTION("""COMPUTED_VALUE"""),44740.6666666666)</f>
        <v>44740.666666666599</v>
      </c>
      <c r="B4403" s="1">
        <f ca="1">IFERROR(__xludf.DUMMYFUNCTION("""COMPUTED_VALUE"""),256.48)</f>
        <v>256.48</v>
      </c>
    </row>
    <row r="4404" spans="1:2">
      <c r="A4404" s="3">
        <f ca="1">IFERROR(__xludf.DUMMYFUNCTION("""COMPUTED_VALUE"""),44741.6666666666)</f>
        <v>44741.666666666599</v>
      </c>
      <c r="B4404" s="1">
        <f ca="1">IFERROR(__xludf.DUMMYFUNCTION("""COMPUTED_VALUE"""),260.26)</f>
        <v>260.26</v>
      </c>
    </row>
    <row r="4405" spans="1:2">
      <c r="A4405" s="3">
        <f ca="1">IFERROR(__xludf.DUMMYFUNCTION("""COMPUTED_VALUE"""),44742.6666666666)</f>
        <v>44742.666666666599</v>
      </c>
      <c r="B4405" s="1">
        <f ca="1">IFERROR(__xludf.DUMMYFUNCTION("""COMPUTED_VALUE"""),256.83)</f>
        <v>256.83</v>
      </c>
    </row>
    <row r="4406" spans="1:2">
      <c r="A4406" s="3">
        <f ca="1">IFERROR(__xludf.DUMMYFUNCTION("""COMPUTED_VALUE"""),44743.6666666666)</f>
        <v>44743.666666666599</v>
      </c>
      <c r="B4406" s="1">
        <f ca="1">IFERROR(__xludf.DUMMYFUNCTION("""COMPUTED_VALUE"""),259.58)</f>
        <v>259.58</v>
      </c>
    </row>
    <row r="4407" spans="1:2">
      <c r="A4407" s="3">
        <f ca="1">IFERROR(__xludf.DUMMYFUNCTION("""COMPUTED_VALUE"""),44747.6666666666)</f>
        <v>44747.666666666599</v>
      </c>
      <c r="B4407" s="1">
        <f ca="1">IFERROR(__xludf.DUMMYFUNCTION("""COMPUTED_VALUE"""),262.85)</f>
        <v>262.85000000000002</v>
      </c>
    </row>
    <row r="4408" spans="1:2">
      <c r="A4408" s="3">
        <f ca="1">IFERROR(__xludf.DUMMYFUNCTION("""COMPUTED_VALUE"""),44748.6666666666)</f>
        <v>44748.666666666599</v>
      </c>
      <c r="B4408" s="1">
        <f ca="1">IFERROR(__xludf.DUMMYFUNCTION("""COMPUTED_VALUE"""),266.21)</f>
        <v>266.20999999999998</v>
      </c>
    </row>
    <row r="4409" spans="1:2">
      <c r="A4409" s="3">
        <f ca="1">IFERROR(__xludf.DUMMYFUNCTION("""COMPUTED_VALUE"""),44749.6666666666)</f>
        <v>44749.666666666599</v>
      </c>
      <c r="B4409" s="1">
        <f ca="1">IFERROR(__xludf.DUMMYFUNCTION("""COMPUTED_VALUE"""),268.4)</f>
        <v>268.39999999999998</v>
      </c>
    </row>
    <row r="4410" spans="1:2">
      <c r="A4410" s="3">
        <f ca="1">IFERROR(__xludf.DUMMYFUNCTION("""COMPUTED_VALUE"""),44750.6666666666)</f>
        <v>44750.666666666599</v>
      </c>
      <c r="B4410" s="1">
        <f ca="1">IFERROR(__xludf.DUMMYFUNCTION("""COMPUTED_VALUE"""),267.66)</f>
        <v>267.66000000000003</v>
      </c>
    </row>
    <row r="4411" spans="1:2">
      <c r="A4411" s="3">
        <f ca="1">IFERROR(__xludf.DUMMYFUNCTION("""COMPUTED_VALUE"""),44753.6666666666)</f>
        <v>44753.666666666599</v>
      </c>
      <c r="B4411" s="1">
        <f ca="1">IFERROR(__xludf.DUMMYFUNCTION("""COMPUTED_VALUE"""),264.51)</f>
        <v>264.51</v>
      </c>
    </row>
    <row r="4412" spans="1:2">
      <c r="A4412" s="3">
        <f ca="1">IFERROR(__xludf.DUMMYFUNCTION("""COMPUTED_VALUE"""),44754.6666666666)</f>
        <v>44754.666666666599</v>
      </c>
      <c r="B4412" s="1">
        <f ca="1">IFERROR(__xludf.DUMMYFUNCTION("""COMPUTED_VALUE"""),253.67)</f>
        <v>253.67</v>
      </c>
    </row>
    <row r="4413" spans="1:2">
      <c r="A4413" s="3">
        <f ca="1">IFERROR(__xludf.DUMMYFUNCTION("""COMPUTED_VALUE"""),44755.6666666666)</f>
        <v>44755.666666666599</v>
      </c>
      <c r="B4413" s="1">
        <f ca="1">IFERROR(__xludf.DUMMYFUNCTION("""COMPUTED_VALUE"""),252.72)</f>
        <v>252.72</v>
      </c>
    </row>
    <row r="4414" spans="1:2">
      <c r="A4414" s="3">
        <f ca="1">IFERROR(__xludf.DUMMYFUNCTION("""COMPUTED_VALUE"""),44756.6666666666)</f>
        <v>44756.666666666599</v>
      </c>
      <c r="B4414" s="1">
        <f ca="1">IFERROR(__xludf.DUMMYFUNCTION("""COMPUTED_VALUE"""),254.08)</f>
        <v>254.08</v>
      </c>
    </row>
    <row r="4415" spans="1:2">
      <c r="A4415" s="3">
        <f ca="1">IFERROR(__xludf.DUMMYFUNCTION("""COMPUTED_VALUE"""),44757.6666666666)</f>
        <v>44757.666666666599</v>
      </c>
      <c r="B4415" s="1">
        <f ca="1">IFERROR(__xludf.DUMMYFUNCTION("""COMPUTED_VALUE"""),256.72)</f>
        <v>256.72000000000003</v>
      </c>
    </row>
    <row r="4416" spans="1:2">
      <c r="A4416" s="3">
        <f ca="1">IFERROR(__xludf.DUMMYFUNCTION("""COMPUTED_VALUE"""),44760.6666666666)</f>
        <v>44760.666666666599</v>
      </c>
      <c r="B4416" s="1">
        <f ca="1">IFERROR(__xludf.DUMMYFUNCTION("""COMPUTED_VALUE"""),254.25)</f>
        <v>254.25</v>
      </c>
    </row>
    <row r="4417" spans="1:2">
      <c r="A4417" s="3">
        <f ca="1">IFERROR(__xludf.DUMMYFUNCTION("""COMPUTED_VALUE"""),44761.6666666666)</f>
        <v>44761.666666666599</v>
      </c>
      <c r="B4417" s="1">
        <f ca="1">IFERROR(__xludf.DUMMYFUNCTION("""COMPUTED_VALUE"""),259.53)</f>
        <v>259.52999999999997</v>
      </c>
    </row>
    <row r="4418" spans="1:2">
      <c r="A4418" s="3">
        <f ca="1">IFERROR(__xludf.DUMMYFUNCTION("""COMPUTED_VALUE"""),44762.6666666666)</f>
        <v>44762.666666666599</v>
      </c>
      <c r="B4418" s="1">
        <f ca="1">IFERROR(__xludf.DUMMYFUNCTION("""COMPUTED_VALUE"""),262.27)</f>
        <v>262.27</v>
      </c>
    </row>
    <row r="4419" spans="1:2">
      <c r="A4419" s="3">
        <f ca="1">IFERROR(__xludf.DUMMYFUNCTION("""COMPUTED_VALUE"""),44763.6666666666)</f>
        <v>44763.666666666599</v>
      </c>
      <c r="B4419" s="1">
        <f ca="1">IFERROR(__xludf.DUMMYFUNCTION("""COMPUTED_VALUE"""),264.84)</f>
        <v>264.83999999999997</v>
      </c>
    </row>
    <row r="4420" spans="1:2">
      <c r="A4420" s="3">
        <f ca="1">IFERROR(__xludf.DUMMYFUNCTION("""COMPUTED_VALUE"""),44764.6666666666)</f>
        <v>44764.666666666599</v>
      </c>
      <c r="B4420" s="1">
        <f ca="1">IFERROR(__xludf.DUMMYFUNCTION("""COMPUTED_VALUE"""),260.36)</f>
        <v>260.36</v>
      </c>
    </row>
    <row r="4421" spans="1:2">
      <c r="A4421" s="3">
        <f ca="1">IFERROR(__xludf.DUMMYFUNCTION("""COMPUTED_VALUE"""),44767.6666666666)</f>
        <v>44767.666666666599</v>
      </c>
      <c r="B4421" s="1">
        <f ca="1">IFERROR(__xludf.DUMMYFUNCTION("""COMPUTED_VALUE"""),258.83)</f>
        <v>258.83</v>
      </c>
    </row>
    <row r="4422" spans="1:2">
      <c r="A4422" s="3">
        <f ca="1">IFERROR(__xludf.DUMMYFUNCTION("""COMPUTED_VALUE"""),44768.6666666666)</f>
        <v>44768.666666666599</v>
      </c>
      <c r="B4422" s="1">
        <f ca="1">IFERROR(__xludf.DUMMYFUNCTION("""COMPUTED_VALUE"""),251.9)</f>
        <v>251.9</v>
      </c>
    </row>
    <row r="4423" spans="1:2">
      <c r="A4423" s="3">
        <f ca="1">IFERROR(__xludf.DUMMYFUNCTION("""COMPUTED_VALUE"""),44769.6666666666)</f>
        <v>44769.666666666599</v>
      </c>
      <c r="B4423" s="1">
        <f ca="1">IFERROR(__xludf.DUMMYFUNCTION("""COMPUTED_VALUE"""),268.74)</f>
        <v>268.74</v>
      </c>
    </row>
    <row r="4424" spans="1:2">
      <c r="A4424" s="3">
        <f ca="1">IFERROR(__xludf.DUMMYFUNCTION("""COMPUTED_VALUE"""),44770.6666666666)</f>
        <v>44770.666666666599</v>
      </c>
      <c r="B4424" s="1">
        <f ca="1">IFERROR(__xludf.DUMMYFUNCTION("""COMPUTED_VALUE"""),276.41)</f>
        <v>276.41000000000003</v>
      </c>
    </row>
    <row r="4425" spans="1:2">
      <c r="A4425" s="3">
        <f ca="1">IFERROR(__xludf.DUMMYFUNCTION("""COMPUTED_VALUE"""),44771.6666666666)</f>
        <v>44771.666666666599</v>
      </c>
      <c r="B4425" s="1">
        <f ca="1">IFERROR(__xludf.DUMMYFUNCTION("""COMPUTED_VALUE"""),280.74)</f>
        <v>280.74</v>
      </c>
    </row>
    <row r="4426" spans="1:2">
      <c r="A4426" s="3">
        <f ca="1">IFERROR(__xludf.DUMMYFUNCTION("""COMPUTED_VALUE"""),44774.6666666666)</f>
        <v>44774.666666666599</v>
      </c>
      <c r="B4426" s="1">
        <f ca="1">IFERROR(__xludf.DUMMYFUNCTION("""COMPUTED_VALUE"""),278.01)</f>
        <v>278.01</v>
      </c>
    </row>
    <row r="4427" spans="1:2">
      <c r="A4427" s="3">
        <f ca="1">IFERROR(__xludf.DUMMYFUNCTION("""COMPUTED_VALUE"""),44775.6666666666)</f>
        <v>44775.666666666599</v>
      </c>
      <c r="B4427" s="1">
        <f ca="1">IFERROR(__xludf.DUMMYFUNCTION("""COMPUTED_VALUE"""),274.82)</f>
        <v>274.82</v>
      </c>
    </row>
    <row r="4428" spans="1:2">
      <c r="A4428" s="3">
        <f ca="1">IFERROR(__xludf.DUMMYFUNCTION("""COMPUTED_VALUE"""),44776.6666666666)</f>
        <v>44776.666666666599</v>
      </c>
      <c r="B4428" s="1">
        <f ca="1">IFERROR(__xludf.DUMMYFUNCTION("""COMPUTED_VALUE"""),282.47)</f>
        <v>282.47000000000003</v>
      </c>
    </row>
    <row r="4429" spans="1:2">
      <c r="A4429" s="3">
        <f ca="1">IFERROR(__xludf.DUMMYFUNCTION("""COMPUTED_VALUE"""),44777.6666666666)</f>
        <v>44777.666666666599</v>
      </c>
      <c r="B4429" s="1">
        <f ca="1">IFERROR(__xludf.DUMMYFUNCTION("""COMPUTED_VALUE"""),283.65)</f>
        <v>283.64999999999998</v>
      </c>
    </row>
    <row r="4430" spans="1:2">
      <c r="A4430" s="3">
        <f ca="1">IFERROR(__xludf.DUMMYFUNCTION("""COMPUTED_VALUE"""),44778.6666666666)</f>
        <v>44778.666666666599</v>
      </c>
      <c r="B4430" s="1">
        <f ca="1">IFERROR(__xludf.DUMMYFUNCTION("""COMPUTED_VALUE"""),282.91)</f>
        <v>282.91000000000003</v>
      </c>
    </row>
    <row r="4431" spans="1:2">
      <c r="A4431" s="3">
        <f ca="1">IFERROR(__xludf.DUMMYFUNCTION("""COMPUTED_VALUE"""),44781.6666666666)</f>
        <v>44781.666666666599</v>
      </c>
      <c r="B4431" s="1">
        <f ca="1">IFERROR(__xludf.DUMMYFUNCTION("""COMPUTED_VALUE"""),280.32)</f>
        <v>280.32</v>
      </c>
    </row>
    <row r="4432" spans="1:2">
      <c r="A4432" s="3">
        <f ca="1">IFERROR(__xludf.DUMMYFUNCTION("""COMPUTED_VALUE"""),44782.6666666666)</f>
        <v>44782.666666666599</v>
      </c>
      <c r="B4432" s="1">
        <f ca="1">IFERROR(__xludf.DUMMYFUNCTION("""COMPUTED_VALUE"""),282.3)</f>
        <v>282.3</v>
      </c>
    </row>
    <row r="4433" spans="1:2">
      <c r="A4433" s="3">
        <f ca="1">IFERROR(__xludf.DUMMYFUNCTION("""COMPUTED_VALUE"""),44783.6666666666)</f>
        <v>44783.666666666599</v>
      </c>
      <c r="B4433" s="1">
        <f ca="1">IFERROR(__xludf.DUMMYFUNCTION("""COMPUTED_VALUE"""),289.16)</f>
        <v>289.16000000000003</v>
      </c>
    </row>
    <row r="4434" spans="1:2">
      <c r="A4434" s="3">
        <f ca="1">IFERROR(__xludf.DUMMYFUNCTION("""COMPUTED_VALUE"""),44784.6666666666)</f>
        <v>44784.666666666599</v>
      </c>
      <c r="B4434" s="1">
        <f ca="1">IFERROR(__xludf.DUMMYFUNCTION("""COMPUTED_VALUE"""),287.02)</f>
        <v>287.02</v>
      </c>
    </row>
    <row r="4435" spans="1:2">
      <c r="A4435" s="3">
        <f ca="1">IFERROR(__xludf.DUMMYFUNCTION("""COMPUTED_VALUE"""),44785.6666666666)</f>
        <v>44785.666666666599</v>
      </c>
      <c r="B4435" s="1">
        <f ca="1">IFERROR(__xludf.DUMMYFUNCTION("""COMPUTED_VALUE"""),291.91)</f>
        <v>291.91000000000003</v>
      </c>
    </row>
    <row r="4436" spans="1:2">
      <c r="A4436" s="3">
        <f ca="1">IFERROR(__xludf.DUMMYFUNCTION("""COMPUTED_VALUE"""),44788.6666666666)</f>
        <v>44788.666666666599</v>
      </c>
      <c r="B4436" s="1">
        <f ca="1">IFERROR(__xludf.DUMMYFUNCTION("""COMPUTED_VALUE"""),293.47)</f>
        <v>293.47000000000003</v>
      </c>
    </row>
    <row r="4437" spans="1:2">
      <c r="A4437" s="3">
        <f ca="1">IFERROR(__xludf.DUMMYFUNCTION("""COMPUTED_VALUE"""),44789.6666666666)</f>
        <v>44789.666666666599</v>
      </c>
      <c r="B4437" s="1">
        <f ca="1">IFERROR(__xludf.DUMMYFUNCTION("""COMPUTED_VALUE"""),292.71)</f>
        <v>292.70999999999998</v>
      </c>
    </row>
    <row r="4438" spans="1:2">
      <c r="A4438" s="3">
        <f ca="1">IFERROR(__xludf.DUMMYFUNCTION("""COMPUTED_VALUE"""),44790.6666666666)</f>
        <v>44790.666666666599</v>
      </c>
      <c r="B4438" s="1">
        <f ca="1">IFERROR(__xludf.DUMMYFUNCTION("""COMPUTED_VALUE"""),291.32)</f>
        <v>291.32</v>
      </c>
    </row>
    <row r="4439" spans="1:2">
      <c r="A4439" s="3">
        <f ca="1">IFERROR(__xludf.DUMMYFUNCTION("""COMPUTED_VALUE"""),44791.6666666666)</f>
        <v>44791.666666666599</v>
      </c>
      <c r="B4439" s="1">
        <f ca="1">IFERROR(__xludf.DUMMYFUNCTION("""COMPUTED_VALUE"""),290.17)</f>
        <v>290.17</v>
      </c>
    </row>
    <row r="4440" spans="1:2">
      <c r="A4440" s="3">
        <f ca="1">IFERROR(__xludf.DUMMYFUNCTION("""COMPUTED_VALUE"""),44792.6666666666)</f>
        <v>44792.666666666599</v>
      </c>
      <c r="B4440" s="1">
        <f ca="1">IFERROR(__xludf.DUMMYFUNCTION("""COMPUTED_VALUE"""),286.15)</f>
        <v>286.14999999999998</v>
      </c>
    </row>
    <row r="4441" spans="1:2">
      <c r="A4441" s="3">
        <f ca="1">IFERROR(__xludf.DUMMYFUNCTION("""COMPUTED_VALUE"""),44795.6666666666)</f>
        <v>44795.666666666599</v>
      </c>
      <c r="B4441" s="1">
        <f ca="1">IFERROR(__xludf.DUMMYFUNCTION("""COMPUTED_VALUE"""),277.75)</f>
        <v>277.75</v>
      </c>
    </row>
    <row r="4442" spans="1:2">
      <c r="A4442" s="3">
        <f ca="1">IFERROR(__xludf.DUMMYFUNCTION("""COMPUTED_VALUE"""),44796.6666666666)</f>
        <v>44796.666666666599</v>
      </c>
      <c r="B4442" s="1">
        <f ca="1">IFERROR(__xludf.DUMMYFUNCTION("""COMPUTED_VALUE"""),276.44)</f>
        <v>276.44</v>
      </c>
    </row>
    <row r="4443" spans="1:2">
      <c r="A4443" s="3">
        <f ca="1">IFERROR(__xludf.DUMMYFUNCTION("""COMPUTED_VALUE"""),44797.6666666666)</f>
        <v>44797.666666666599</v>
      </c>
      <c r="B4443" s="1">
        <f ca="1">IFERROR(__xludf.DUMMYFUNCTION("""COMPUTED_VALUE"""),275.79)</f>
        <v>275.79000000000002</v>
      </c>
    </row>
    <row r="4444" spans="1:2">
      <c r="A4444" s="3">
        <f ca="1">IFERROR(__xludf.DUMMYFUNCTION("""COMPUTED_VALUE"""),44798.6666666666)</f>
        <v>44798.666666666599</v>
      </c>
      <c r="B4444" s="1">
        <f ca="1">IFERROR(__xludf.DUMMYFUNCTION("""COMPUTED_VALUE"""),278.85)</f>
        <v>278.85000000000002</v>
      </c>
    </row>
    <row r="4445" spans="1:2">
      <c r="A4445" s="3">
        <f ca="1">IFERROR(__xludf.DUMMYFUNCTION("""COMPUTED_VALUE"""),44799.6666666666)</f>
        <v>44799.666666666599</v>
      </c>
      <c r="B4445" s="1">
        <f ca="1">IFERROR(__xludf.DUMMYFUNCTION("""COMPUTED_VALUE"""),268.09)</f>
        <v>268.08999999999997</v>
      </c>
    </row>
    <row r="4446" spans="1:2">
      <c r="A4446" s="3">
        <f ca="1">IFERROR(__xludf.DUMMYFUNCTION("""COMPUTED_VALUE"""),44802.6666666666)</f>
        <v>44802.666666666599</v>
      </c>
      <c r="B4446" s="1">
        <f ca="1">IFERROR(__xludf.DUMMYFUNCTION("""COMPUTED_VALUE"""),265.23)</f>
        <v>265.23</v>
      </c>
    </row>
    <row r="4447" spans="1:2">
      <c r="A4447" s="3">
        <f ca="1">IFERROR(__xludf.DUMMYFUNCTION("""COMPUTED_VALUE"""),44803.6666666666)</f>
        <v>44803.666666666599</v>
      </c>
      <c r="B4447" s="1">
        <f ca="1">IFERROR(__xludf.DUMMYFUNCTION("""COMPUTED_VALUE"""),262.97)</f>
        <v>262.97000000000003</v>
      </c>
    </row>
    <row r="4448" spans="1:2">
      <c r="A4448" s="3">
        <f ca="1">IFERROR(__xludf.DUMMYFUNCTION("""COMPUTED_VALUE"""),44804.6666666666)</f>
        <v>44804.666666666599</v>
      </c>
      <c r="B4448" s="1">
        <f ca="1">IFERROR(__xludf.DUMMYFUNCTION("""COMPUTED_VALUE"""),261.47)</f>
        <v>261.47000000000003</v>
      </c>
    </row>
    <row r="4449" spans="1:2">
      <c r="A4449" s="3">
        <f ca="1">IFERROR(__xludf.DUMMYFUNCTION("""COMPUTED_VALUE"""),44805.6666666666)</f>
        <v>44805.666666666599</v>
      </c>
      <c r="B4449" s="1">
        <f ca="1">IFERROR(__xludf.DUMMYFUNCTION("""COMPUTED_VALUE"""),260.4)</f>
        <v>260.39999999999998</v>
      </c>
    </row>
    <row r="4450" spans="1:2">
      <c r="A4450" s="3">
        <f ca="1">IFERROR(__xludf.DUMMYFUNCTION("""COMPUTED_VALUE"""),44806.6666666666)</f>
        <v>44806.666666666599</v>
      </c>
      <c r="B4450" s="1">
        <f ca="1">IFERROR(__xludf.DUMMYFUNCTION("""COMPUTED_VALUE"""),256.06)</f>
        <v>256.06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50"/>
  <sheetViews>
    <sheetView workbookViewId="0"/>
  </sheetViews>
  <sheetFormatPr defaultRowHeight="13.2"/>
  <cols>
    <col min="1" max="1" width="18" bestFit="1" customWidth="1"/>
    <col min="2" max="2" width="7" bestFit="1" customWidth="1"/>
  </cols>
  <sheetData>
    <row r="1" spans="1:2">
      <c r="A1" s="1" t="str">
        <f ca="1">IFERROR(__xludf.DUMMYFUNCTION("GOOGLEFINANCE(""AAPL"", ""price"",DATE(2005,1,1), DATE(2022,9,6), ""DAILY"")"),"Date")</f>
        <v>Date</v>
      </c>
      <c r="B1" s="1" t="str">
        <f ca="1">IFERROR(__xludf.DUMMYFUNCTION("""COMPUTED_VALUE"""),"Close")</f>
        <v>Close</v>
      </c>
    </row>
    <row r="2" spans="1:2">
      <c r="A2" s="3">
        <f ca="1">IFERROR(__xludf.DUMMYFUNCTION("""COMPUTED_VALUE"""),38355.6666666666)</f>
        <v>38355.666666666599</v>
      </c>
      <c r="B2" s="1">
        <f ca="1">IFERROR(__xludf.DUMMYFUNCTION("""COMPUTED_VALUE"""),1.13)</f>
        <v>1.1299999999999999</v>
      </c>
    </row>
    <row r="3" spans="1:2">
      <c r="A3" s="3">
        <f ca="1">IFERROR(__xludf.DUMMYFUNCTION("""COMPUTED_VALUE"""),38356.6666666666)</f>
        <v>38356.666666666599</v>
      </c>
      <c r="B3" s="1">
        <f ca="1">IFERROR(__xludf.DUMMYFUNCTION("""COMPUTED_VALUE"""),1.14)</f>
        <v>1.1399999999999999</v>
      </c>
    </row>
    <row r="4" spans="1:2">
      <c r="A4" s="3">
        <f ca="1">IFERROR(__xludf.DUMMYFUNCTION("""COMPUTED_VALUE"""),38357.6666666666)</f>
        <v>38357.666666666599</v>
      </c>
      <c r="B4" s="1">
        <f ca="1">IFERROR(__xludf.DUMMYFUNCTION("""COMPUTED_VALUE"""),1.15)</f>
        <v>1.1499999999999999</v>
      </c>
    </row>
    <row r="5" spans="1:2">
      <c r="A5" s="3">
        <f ca="1">IFERROR(__xludf.DUMMYFUNCTION("""COMPUTED_VALUE"""),38358.6666666666)</f>
        <v>38358.666666666599</v>
      </c>
      <c r="B5" s="1">
        <f ca="1">IFERROR(__xludf.DUMMYFUNCTION("""COMPUTED_VALUE"""),1.15)</f>
        <v>1.1499999999999999</v>
      </c>
    </row>
    <row r="6" spans="1:2">
      <c r="A6" s="3">
        <f ca="1">IFERROR(__xludf.DUMMYFUNCTION("""COMPUTED_VALUE"""),38359.6666666666)</f>
        <v>38359.666666666599</v>
      </c>
      <c r="B6" s="1">
        <f ca="1">IFERROR(__xludf.DUMMYFUNCTION("""COMPUTED_VALUE"""),1.24)</f>
        <v>1.24</v>
      </c>
    </row>
    <row r="7" spans="1:2">
      <c r="A7" s="3">
        <f ca="1">IFERROR(__xludf.DUMMYFUNCTION("""COMPUTED_VALUE"""),38362.6666666666)</f>
        <v>38362.666666666599</v>
      </c>
      <c r="B7" s="1">
        <f ca="1">IFERROR(__xludf.DUMMYFUNCTION("""COMPUTED_VALUE"""),1.23)</f>
        <v>1.23</v>
      </c>
    </row>
    <row r="8" spans="1:2">
      <c r="A8" s="3">
        <f ca="1">IFERROR(__xludf.DUMMYFUNCTION("""COMPUTED_VALUE"""),38363.6666666666)</f>
        <v>38363.666666666599</v>
      </c>
      <c r="B8" s="1">
        <f ca="1">IFERROR(__xludf.DUMMYFUNCTION("""COMPUTED_VALUE"""),1.15)</f>
        <v>1.1499999999999999</v>
      </c>
    </row>
    <row r="9" spans="1:2">
      <c r="A9" s="3">
        <f ca="1">IFERROR(__xludf.DUMMYFUNCTION("""COMPUTED_VALUE"""),38364.6666666666)</f>
        <v>38364.666666666599</v>
      </c>
      <c r="B9" s="1">
        <f ca="1">IFERROR(__xludf.DUMMYFUNCTION("""COMPUTED_VALUE"""),1.17)</f>
        <v>1.17</v>
      </c>
    </row>
    <row r="10" spans="1:2">
      <c r="A10" s="3">
        <f ca="1">IFERROR(__xludf.DUMMYFUNCTION("""COMPUTED_VALUE"""),38365.6666666666)</f>
        <v>38365.666666666599</v>
      </c>
      <c r="B10" s="1">
        <f ca="1">IFERROR(__xludf.DUMMYFUNCTION("""COMPUTED_VALUE"""),1.25)</f>
        <v>1.25</v>
      </c>
    </row>
    <row r="11" spans="1:2">
      <c r="A11" s="3">
        <f ca="1">IFERROR(__xludf.DUMMYFUNCTION("""COMPUTED_VALUE"""),38366.6666666666)</f>
        <v>38366.666666666599</v>
      </c>
      <c r="B11" s="1">
        <f ca="1">IFERROR(__xludf.DUMMYFUNCTION("""COMPUTED_VALUE"""),1.25)</f>
        <v>1.25</v>
      </c>
    </row>
    <row r="12" spans="1:2">
      <c r="A12" s="3">
        <f ca="1">IFERROR(__xludf.DUMMYFUNCTION("""COMPUTED_VALUE"""),38370.6666666666)</f>
        <v>38370.666666666599</v>
      </c>
      <c r="B12" s="1">
        <f ca="1">IFERROR(__xludf.DUMMYFUNCTION("""COMPUTED_VALUE"""),1.26)</f>
        <v>1.26</v>
      </c>
    </row>
    <row r="13" spans="1:2">
      <c r="A13" s="3">
        <f ca="1">IFERROR(__xludf.DUMMYFUNCTION("""COMPUTED_VALUE"""),38371.6666666666)</f>
        <v>38371.666666666599</v>
      </c>
      <c r="B13" s="1">
        <f ca="1">IFERROR(__xludf.DUMMYFUNCTION("""COMPUTED_VALUE"""),1.25)</f>
        <v>1.25</v>
      </c>
    </row>
    <row r="14" spans="1:2">
      <c r="A14" s="3">
        <f ca="1">IFERROR(__xludf.DUMMYFUNCTION("""COMPUTED_VALUE"""),38372.6666666666)</f>
        <v>38372.666666666599</v>
      </c>
      <c r="B14" s="1">
        <f ca="1">IFERROR(__xludf.DUMMYFUNCTION("""COMPUTED_VALUE"""),1.26)</f>
        <v>1.26</v>
      </c>
    </row>
    <row r="15" spans="1:2">
      <c r="A15" s="3">
        <f ca="1">IFERROR(__xludf.DUMMYFUNCTION("""COMPUTED_VALUE"""),38373.6666666666)</f>
        <v>38373.666666666599</v>
      </c>
      <c r="B15" s="1">
        <f ca="1">IFERROR(__xludf.DUMMYFUNCTION("""COMPUTED_VALUE"""),1.26)</f>
        <v>1.26</v>
      </c>
    </row>
    <row r="16" spans="1:2">
      <c r="A16" s="3">
        <f ca="1">IFERROR(__xludf.DUMMYFUNCTION("""COMPUTED_VALUE"""),38376.6666666666)</f>
        <v>38376.666666666599</v>
      </c>
      <c r="B16" s="1">
        <f ca="1">IFERROR(__xludf.DUMMYFUNCTION("""COMPUTED_VALUE"""),1.26)</f>
        <v>1.26</v>
      </c>
    </row>
    <row r="17" spans="1:2">
      <c r="A17" s="3">
        <f ca="1">IFERROR(__xludf.DUMMYFUNCTION("""COMPUTED_VALUE"""),38377.6666666666)</f>
        <v>38377.666666666599</v>
      </c>
      <c r="B17" s="1">
        <f ca="1">IFERROR(__xludf.DUMMYFUNCTION("""COMPUTED_VALUE"""),1.29)</f>
        <v>1.29</v>
      </c>
    </row>
    <row r="18" spans="1:2">
      <c r="A18" s="3">
        <f ca="1">IFERROR(__xludf.DUMMYFUNCTION("""COMPUTED_VALUE"""),38378.6666666666)</f>
        <v>38378.666666666599</v>
      </c>
      <c r="B18" s="1">
        <f ca="1">IFERROR(__xludf.DUMMYFUNCTION("""COMPUTED_VALUE"""),1.29)</f>
        <v>1.29</v>
      </c>
    </row>
    <row r="19" spans="1:2">
      <c r="A19" s="3">
        <f ca="1">IFERROR(__xludf.DUMMYFUNCTION("""COMPUTED_VALUE"""),38379.6666666666)</f>
        <v>38379.666666666599</v>
      </c>
      <c r="B19" s="1">
        <f ca="1">IFERROR(__xludf.DUMMYFUNCTION("""COMPUTED_VALUE"""),1.3)</f>
        <v>1.3</v>
      </c>
    </row>
    <row r="20" spans="1:2">
      <c r="A20" s="3">
        <f ca="1">IFERROR(__xludf.DUMMYFUNCTION("""COMPUTED_VALUE"""),38380.6666666666)</f>
        <v>38380.666666666599</v>
      </c>
      <c r="B20" s="1">
        <f ca="1">IFERROR(__xludf.DUMMYFUNCTION("""COMPUTED_VALUE"""),1.32)</f>
        <v>1.32</v>
      </c>
    </row>
    <row r="21" spans="1:2">
      <c r="A21" s="3">
        <f ca="1">IFERROR(__xludf.DUMMYFUNCTION("""COMPUTED_VALUE"""),38383.6666666666)</f>
        <v>38383.666666666599</v>
      </c>
      <c r="B21" s="1">
        <f ca="1">IFERROR(__xludf.DUMMYFUNCTION("""COMPUTED_VALUE"""),1.37)</f>
        <v>1.37</v>
      </c>
    </row>
    <row r="22" spans="1:2">
      <c r="A22" s="3">
        <f ca="1">IFERROR(__xludf.DUMMYFUNCTION("""COMPUTED_VALUE"""),38384.6666666666)</f>
        <v>38384.666666666599</v>
      </c>
      <c r="B22" s="1">
        <f ca="1">IFERROR(__xludf.DUMMYFUNCTION("""COMPUTED_VALUE"""),1.38)</f>
        <v>1.38</v>
      </c>
    </row>
    <row r="23" spans="1:2">
      <c r="A23" s="3">
        <f ca="1">IFERROR(__xludf.DUMMYFUNCTION("""COMPUTED_VALUE"""),38385.6666666666)</f>
        <v>38385.666666666599</v>
      </c>
      <c r="B23" s="1">
        <f ca="1">IFERROR(__xludf.DUMMYFUNCTION("""COMPUTED_VALUE"""),1.42)</f>
        <v>1.42</v>
      </c>
    </row>
    <row r="24" spans="1:2">
      <c r="A24" s="3">
        <f ca="1">IFERROR(__xludf.DUMMYFUNCTION("""COMPUTED_VALUE"""),38386.6666666666)</f>
        <v>38386.666666666599</v>
      </c>
      <c r="B24" s="1">
        <f ca="1">IFERROR(__xludf.DUMMYFUNCTION("""COMPUTED_VALUE"""),1.39)</f>
        <v>1.39</v>
      </c>
    </row>
    <row r="25" spans="1:2">
      <c r="A25" s="3">
        <f ca="1">IFERROR(__xludf.DUMMYFUNCTION("""COMPUTED_VALUE"""),38387.6666666666)</f>
        <v>38387.666666666599</v>
      </c>
      <c r="B25" s="1">
        <f ca="1">IFERROR(__xludf.DUMMYFUNCTION("""COMPUTED_VALUE"""),1.41)</f>
        <v>1.41</v>
      </c>
    </row>
    <row r="26" spans="1:2">
      <c r="A26" s="3">
        <f ca="1">IFERROR(__xludf.DUMMYFUNCTION("""COMPUTED_VALUE"""),38390.6666666666)</f>
        <v>38390.666666666599</v>
      </c>
      <c r="B26" s="1">
        <f ca="1">IFERROR(__xludf.DUMMYFUNCTION("""COMPUTED_VALUE"""),1.41)</f>
        <v>1.41</v>
      </c>
    </row>
    <row r="27" spans="1:2">
      <c r="A27" s="3">
        <f ca="1">IFERROR(__xludf.DUMMYFUNCTION("""COMPUTED_VALUE"""),38391.6666666666)</f>
        <v>38391.666666666599</v>
      </c>
      <c r="B27" s="1">
        <f ca="1">IFERROR(__xludf.DUMMYFUNCTION("""COMPUTED_VALUE"""),1.44)</f>
        <v>1.44</v>
      </c>
    </row>
    <row r="28" spans="1:2">
      <c r="A28" s="3">
        <f ca="1">IFERROR(__xludf.DUMMYFUNCTION("""COMPUTED_VALUE"""),38392.6666666666)</f>
        <v>38392.666666666599</v>
      </c>
      <c r="B28" s="1">
        <f ca="1">IFERROR(__xludf.DUMMYFUNCTION("""COMPUTED_VALUE"""),1.41)</f>
        <v>1.41</v>
      </c>
    </row>
    <row r="29" spans="1:2">
      <c r="A29" s="3">
        <f ca="1">IFERROR(__xludf.DUMMYFUNCTION("""COMPUTED_VALUE"""),38393.6666666666)</f>
        <v>38393.666666666599</v>
      </c>
      <c r="B29" s="1">
        <f ca="1">IFERROR(__xludf.DUMMYFUNCTION("""COMPUTED_VALUE"""),1.4)</f>
        <v>1.4</v>
      </c>
    </row>
    <row r="30" spans="1:2">
      <c r="A30" s="3">
        <f ca="1">IFERROR(__xludf.DUMMYFUNCTION("""COMPUTED_VALUE"""),38394.6666666666)</f>
        <v>38394.666666666599</v>
      </c>
      <c r="B30" s="1">
        <f ca="1">IFERROR(__xludf.DUMMYFUNCTION("""COMPUTED_VALUE"""),1.45)</f>
        <v>1.45</v>
      </c>
    </row>
    <row r="31" spans="1:2">
      <c r="A31" s="3">
        <f ca="1">IFERROR(__xludf.DUMMYFUNCTION("""COMPUTED_VALUE"""),38397.6666666666)</f>
        <v>38397.666666666599</v>
      </c>
      <c r="B31" s="1">
        <f ca="1">IFERROR(__xludf.DUMMYFUNCTION("""COMPUTED_VALUE"""),1.51)</f>
        <v>1.51</v>
      </c>
    </row>
    <row r="32" spans="1:2">
      <c r="A32" s="3">
        <f ca="1">IFERROR(__xludf.DUMMYFUNCTION("""COMPUTED_VALUE"""),38398.6666666666)</f>
        <v>38398.666666666599</v>
      </c>
      <c r="B32" s="1">
        <f ca="1">IFERROR(__xludf.DUMMYFUNCTION("""COMPUTED_VALUE"""),1.58)</f>
        <v>1.58</v>
      </c>
    </row>
    <row r="33" spans="1:2">
      <c r="A33" s="3">
        <f ca="1">IFERROR(__xludf.DUMMYFUNCTION("""COMPUTED_VALUE"""),38399.6666666666)</f>
        <v>38399.666666666599</v>
      </c>
      <c r="B33" s="1">
        <f ca="1">IFERROR(__xludf.DUMMYFUNCTION("""COMPUTED_VALUE"""),1.61)</f>
        <v>1.61</v>
      </c>
    </row>
    <row r="34" spans="1:2">
      <c r="A34" s="3">
        <f ca="1">IFERROR(__xludf.DUMMYFUNCTION("""COMPUTED_VALUE"""),38400.6666666666)</f>
        <v>38400.666666666599</v>
      </c>
      <c r="B34" s="1">
        <f ca="1">IFERROR(__xludf.DUMMYFUNCTION("""COMPUTED_VALUE"""),1.57)</f>
        <v>1.57</v>
      </c>
    </row>
    <row r="35" spans="1:2">
      <c r="A35" s="3">
        <f ca="1">IFERROR(__xludf.DUMMYFUNCTION("""COMPUTED_VALUE"""),38401.6666666666)</f>
        <v>38401.666666666599</v>
      </c>
      <c r="B35" s="1">
        <f ca="1">IFERROR(__xludf.DUMMYFUNCTION("""COMPUTED_VALUE"""),1.55)</f>
        <v>1.55</v>
      </c>
    </row>
    <row r="36" spans="1:2">
      <c r="A36" s="3">
        <f ca="1">IFERROR(__xludf.DUMMYFUNCTION("""COMPUTED_VALUE"""),38405.6666666666)</f>
        <v>38405.666666666599</v>
      </c>
      <c r="B36" s="1">
        <f ca="1">IFERROR(__xludf.DUMMYFUNCTION("""COMPUTED_VALUE"""),1.52)</f>
        <v>1.52</v>
      </c>
    </row>
    <row r="37" spans="1:2">
      <c r="A37" s="3">
        <f ca="1">IFERROR(__xludf.DUMMYFUNCTION("""COMPUTED_VALUE"""),38406.6666666666)</f>
        <v>38406.666666666599</v>
      </c>
      <c r="B37" s="1">
        <f ca="1">IFERROR(__xludf.DUMMYFUNCTION("""COMPUTED_VALUE"""),1.58)</f>
        <v>1.58</v>
      </c>
    </row>
    <row r="38" spans="1:2">
      <c r="A38" s="3">
        <f ca="1">IFERROR(__xludf.DUMMYFUNCTION("""COMPUTED_VALUE"""),38407.6666666666)</f>
        <v>38407.666666666599</v>
      </c>
      <c r="B38" s="1">
        <f ca="1">IFERROR(__xludf.DUMMYFUNCTION("""COMPUTED_VALUE"""),1.59)</f>
        <v>1.59</v>
      </c>
    </row>
    <row r="39" spans="1:2">
      <c r="A39" s="3">
        <f ca="1">IFERROR(__xludf.DUMMYFUNCTION("""COMPUTED_VALUE"""),38408.6666666666)</f>
        <v>38408.666666666599</v>
      </c>
      <c r="B39" s="1">
        <f ca="1">IFERROR(__xludf.DUMMYFUNCTION("""COMPUTED_VALUE"""),1.59)</f>
        <v>1.59</v>
      </c>
    </row>
    <row r="40" spans="1:2">
      <c r="A40" s="3">
        <f ca="1">IFERROR(__xludf.DUMMYFUNCTION("""COMPUTED_VALUE"""),38411.6666666666)</f>
        <v>38411.666666666599</v>
      </c>
      <c r="B40" s="1">
        <f ca="1">IFERROR(__xludf.DUMMYFUNCTION("""COMPUTED_VALUE"""),1.6)</f>
        <v>1.6</v>
      </c>
    </row>
    <row r="41" spans="1:2">
      <c r="A41" s="3">
        <f ca="1">IFERROR(__xludf.DUMMYFUNCTION("""COMPUTED_VALUE"""),38412.6666666666)</f>
        <v>38412.666666666599</v>
      </c>
      <c r="B41" s="1">
        <f ca="1">IFERROR(__xludf.DUMMYFUNCTION("""COMPUTED_VALUE"""),1.59)</f>
        <v>1.59</v>
      </c>
    </row>
    <row r="42" spans="1:2">
      <c r="A42" s="3">
        <f ca="1">IFERROR(__xludf.DUMMYFUNCTION("""COMPUTED_VALUE"""),38413.6666666666)</f>
        <v>38413.666666666599</v>
      </c>
      <c r="B42" s="1">
        <f ca="1">IFERROR(__xludf.DUMMYFUNCTION("""COMPUTED_VALUE"""),1.58)</f>
        <v>1.58</v>
      </c>
    </row>
    <row r="43" spans="1:2">
      <c r="A43" s="3">
        <f ca="1">IFERROR(__xludf.DUMMYFUNCTION("""COMPUTED_VALUE"""),38414.6666666666)</f>
        <v>38414.666666666599</v>
      </c>
      <c r="B43" s="1">
        <f ca="1">IFERROR(__xludf.DUMMYFUNCTION("""COMPUTED_VALUE"""),1.49)</f>
        <v>1.49</v>
      </c>
    </row>
    <row r="44" spans="1:2">
      <c r="A44" s="3">
        <f ca="1">IFERROR(__xludf.DUMMYFUNCTION("""COMPUTED_VALUE"""),38415.6666666666)</f>
        <v>38415.666666666599</v>
      </c>
      <c r="B44" s="1">
        <f ca="1">IFERROR(__xludf.DUMMYFUNCTION("""COMPUTED_VALUE"""),1.53)</f>
        <v>1.53</v>
      </c>
    </row>
    <row r="45" spans="1:2">
      <c r="A45" s="3">
        <f ca="1">IFERROR(__xludf.DUMMYFUNCTION("""COMPUTED_VALUE"""),38418.6666666666)</f>
        <v>38418.666666666599</v>
      </c>
      <c r="B45" s="1">
        <f ca="1">IFERROR(__xludf.DUMMYFUNCTION("""COMPUTED_VALUE"""),1.53)</f>
        <v>1.53</v>
      </c>
    </row>
    <row r="46" spans="1:2">
      <c r="A46" s="3">
        <f ca="1">IFERROR(__xludf.DUMMYFUNCTION("""COMPUTED_VALUE"""),38419.6666666666)</f>
        <v>38419.666666666599</v>
      </c>
      <c r="B46" s="1">
        <f ca="1">IFERROR(__xludf.DUMMYFUNCTION("""COMPUTED_VALUE"""),1.45)</f>
        <v>1.45</v>
      </c>
    </row>
    <row r="47" spans="1:2">
      <c r="A47" s="3">
        <f ca="1">IFERROR(__xludf.DUMMYFUNCTION("""COMPUTED_VALUE"""),38420.6666666666)</f>
        <v>38420.666666666599</v>
      </c>
      <c r="B47" s="1">
        <f ca="1">IFERROR(__xludf.DUMMYFUNCTION("""COMPUTED_VALUE"""),1.41)</f>
        <v>1.41</v>
      </c>
    </row>
    <row r="48" spans="1:2">
      <c r="A48" s="3">
        <f ca="1">IFERROR(__xludf.DUMMYFUNCTION("""COMPUTED_VALUE"""),38421.6666666666)</f>
        <v>38421.666666666599</v>
      </c>
      <c r="B48" s="1">
        <f ca="1">IFERROR(__xludf.DUMMYFUNCTION("""COMPUTED_VALUE"""),1.42)</f>
        <v>1.42</v>
      </c>
    </row>
    <row r="49" spans="1:2">
      <c r="A49" s="3">
        <f ca="1">IFERROR(__xludf.DUMMYFUNCTION("""COMPUTED_VALUE"""),38422.6666666666)</f>
        <v>38422.666666666599</v>
      </c>
      <c r="B49" s="1">
        <f ca="1">IFERROR(__xludf.DUMMYFUNCTION("""COMPUTED_VALUE"""),1.44)</f>
        <v>1.44</v>
      </c>
    </row>
    <row r="50" spans="1:2">
      <c r="A50" s="3">
        <f ca="1">IFERROR(__xludf.DUMMYFUNCTION("""COMPUTED_VALUE"""),38425.6666666666)</f>
        <v>38425.666666666599</v>
      </c>
      <c r="B50" s="1">
        <f ca="1">IFERROR(__xludf.DUMMYFUNCTION("""COMPUTED_VALUE"""),1.44)</f>
        <v>1.44</v>
      </c>
    </row>
    <row r="51" spans="1:2">
      <c r="A51" s="3">
        <f ca="1">IFERROR(__xludf.DUMMYFUNCTION("""COMPUTED_VALUE"""),38426.6666666666)</f>
        <v>38426.666666666599</v>
      </c>
      <c r="B51" s="1">
        <f ca="1">IFERROR(__xludf.DUMMYFUNCTION("""COMPUTED_VALUE"""),1.46)</f>
        <v>1.46</v>
      </c>
    </row>
    <row r="52" spans="1:2">
      <c r="A52" s="3">
        <f ca="1">IFERROR(__xludf.DUMMYFUNCTION("""COMPUTED_VALUE"""),38427.6666666666)</f>
        <v>38427.666666666599</v>
      </c>
      <c r="B52" s="1">
        <f ca="1">IFERROR(__xludf.DUMMYFUNCTION("""COMPUTED_VALUE"""),1.47)</f>
        <v>1.47</v>
      </c>
    </row>
    <row r="53" spans="1:2">
      <c r="A53" s="3">
        <f ca="1">IFERROR(__xludf.DUMMYFUNCTION("""COMPUTED_VALUE"""),38428.6666666666)</f>
        <v>38428.666666666599</v>
      </c>
      <c r="B53" s="1">
        <f ca="1">IFERROR(__xludf.DUMMYFUNCTION("""COMPUTED_VALUE"""),1.51)</f>
        <v>1.51</v>
      </c>
    </row>
    <row r="54" spans="1:2">
      <c r="A54" s="3">
        <f ca="1">IFERROR(__xludf.DUMMYFUNCTION("""COMPUTED_VALUE"""),38429.6666666666)</f>
        <v>38429.666666666599</v>
      </c>
      <c r="B54" s="1">
        <f ca="1">IFERROR(__xludf.DUMMYFUNCTION("""COMPUTED_VALUE"""),1.53)</f>
        <v>1.53</v>
      </c>
    </row>
    <row r="55" spans="1:2">
      <c r="A55" s="3">
        <f ca="1">IFERROR(__xludf.DUMMYFUNCTION("""COMPUTED_VALUE"""),38432.6666666666)</f>
        <v>38432.666666666599</v>
      </c>
      <c r="B55" s="1">
        <f ca="1">IFERROR(__xludf.DUMMYFUNCTION("""COMPUTED_VALUE"""),1.56)</f>
        <v>1.56</v>
      </c>
    </row>
    <row r="56" spans="1:2">
      <c r="A56" s="3">
        <f ca="1">IFERROR(__xludf.DUMMYFUNCTION("""COMPUTED_VALUE"""),38433.6666666666)</f>
        <v>38433.666666666599</v>
      </c>
      <c r="B56" s="1">
        <f ca="1">IFERROR(__xludf.DUMMYFUNCTION("""COMPUTED_VALUE"""),1.53)</f>
        <v>1.53</v>
      </c>
    </row>
    <row r="57" spans="1:2">
      <c r="A57" s="3">
        <f ca="1">IFERROR(__xludf.DUMMYFUNCTION("""COMPUTED_VALUE"""),38434.6666666666)</f>
        <v>38434.666666666599</v>
      </c>
      <c r="B57" s="1">
        <f ca="1">IFERROR(__xludf.DUMMYFUNCTION("""COMPUTED_VALUE"""),1.52)</f>
        <v>1.52</v>
      </c>
    </row>
    <row r="58" spans="1:2">
      <c r="A58" s="3">
        <f ca="1">IFERROR(__xludf.DUMMYFUNCTION("""COMPUTED_VALUE"""),38435.6666666666)</f>
        <v>38435.666666666599</v>
      </c>
      <c r="B58" s="1">
        <f ca="1">IFERROR(__xludf.DUMMYFUNCTION("""COMPUTED_VALUE"""),1.52)</f>
        <v>1.52</v>
      </c>
    </row>
    <row r="59" spans="1:2">
      <c r="A59" s="3">
        <f ca="1">IFERROR(__xludf.DUMMYFUNCTION("""COMPUTED_VALUE"""),38439.6666666666)</f>
        <v>38439.666666666599</v>
      </c>
      <c r="B59" s="1">
        <f ca="1">IFERROR(__xludf.DUMMYFUNCTION("""COMPUTED_VALUE"""),1.52)</f>
        <v>1.52</v>
      </c>
    </row>
    <row r="60" spans="1:2">
      <c r="A60" s="3">
        <f ca="1">IFERROR(__xludf.DUMMYFUNCTION("""COMPUTED_VALUE"""),38440.6666666666)</f>
        <v>38440.666666666599</v>
      </c>
      <c r="B60" s="1">
        <f ca="1">IFERROR(__xludf.DUMMYFUNCTION("""COMPUTED_VALUE"""),1.49)</f>
        <v>1.49</v>
      </c>
    </row>
    <row r="61" spans="1:2">
      <c r="A61" s="3">
        <f ca="1">IFERROR(__xludf.DUMMYFUNCTION("""COMPUTED_VALUE"""),38441.6666666666)</f>
        <v>38441.666666666599</v>
      </c>
      <c r="B61" s="1">
        <f ca="1">IFERROR(__xludf.DUMMYFUNCTION("""COMPUTED_VALUE"""),1.53)</f>
        <v>1.53</v>
      </c>
    </row>
    <row r="62" spans="1:2">
      <c r="A62" s="3">
        <f ca="1">IFERROR(__xludf.DUMMYFUNCTION("""COMPUTED_VALUE"""),38442.6666666666)</f>
        <v>38442.666666666599</v>
      </c>
      <c r="B62" s="1">
        <f ca="1">IFERROR(__xludf.DUMMYFUNCTION("""COMPUTED_VALUE"""),1.49)</f>
        <v>1.49</v>
      </c>
    </row>
    <row r="63" spans="1:2">
      <c r="A63" s="3">
        <f ca="1">IFERROR(__xludf.DUMMYFUNCTION("""COMPUTED_VALUE"""),38443.6666666666)</f>
        <v>38443.666666666599</v>
      </c>
      <c r="B63" s="1">
        <f ca="1">IFERROR(__xludf.DUMMYFUNCTION("""COMPUTED_VALUE"""),1.46)</f>
        <v>1.46</v>
      </c>
    </row>
    <row r="64" spans="1:2">
      <c r="A64" s="3">
        <f ca="1">IFERROR(__xludf.DUMMYFUNCTION("""COMPUTED_VALUE"""),38446.6666666666)</f>
        <v>38446.666666666599</v>
      </c>
      <c r="B64" s="1">
        <f ca="1">IFERROR(__xludf.DUMMYFUNCTION("""COMPUTED_VALUE"""),1.47)</f>
        <v>1.47</v>
      </c>
    </row>
    <row r="65" spans="1:2">
      <c r="A65" s="3">
        <f ca="1">IFERROR(__xludf.DUMMYFUNCTION("""COMPUTED_VALUE"""),38447.6666666666)</f>
        <v>38447.666666666599</v>
      </c>
      <c r="B65" s="1">
        <f ca="1">IFERROR(__xludf.DUMMYFUNCTION("""COMPUTED_VALUE"""),1.5)</f>
        <v>1.5</v>
      </c>
    </row>
    <row r="66" spans="1:2">
      <c r="A66" s="3">
        <f ca="1">IFERROR(__xludf.DUMMYFUNCTION("""COMPUTED_VALUE"""),38448.6666666666)</f>
        <v>38448.666666666599</v>
      </c>
      <c r="B66" s="1">
        <f ca="1">IFERROR(__xludf.DUMMYFUNCTION("""COMPUTED_VALUE"""),1.51)</f>
        <v>1.51</v>
      </c>
    </row>
    <row r="67" spans="1:2">
      <c r="A67" s="3">
        <f ca="1">IFERROR(__xludf.DUMMYFUNCTION("""COMPUTED_VALUE"""),38449.6666666666)</f>
        <v>38449.666666666599</v>
      </c>
      <c r="B67" s="1">
        <f ca="1">IFERROR(__xludf.DUMMYFUNCTION("""COMPUTED_VALUE"""),1.56)</f>
        <v>1.56</v>
      </c>
    </row>
    <row r="68" spans="1:2">
      <c r="A68" s="3">
        <f ca="1">IFERROR(__xludf.DUMMYFUNCTION("""COMPUTED_VALUE"""),38450.6666666666)</f>
        <v>38450.666666666599</v>
      </c>
      <c r="B68" s="1">
        <f ca="1">IFERROR(__xludf.DUMMYFUNCTION("""COMPUTED_VALUE"""),1.56)</f>
        <v>1.56</v>
      </c>
    </row>
    <row r="69" spans="1:2">
      <c r="A69" s="3">
        <f ca="1">IFERROR(__xludf.DUMMYFUNCTION("""COMPUTED_VALUE"""),38453.6666666666)</f>
        <v>38453.666666666599</v>
      </c>
      <c r="B69" s="1">
        <f ca="1">IFERROR(__xludf.DUMMYFUNCTION("""COMPUTED_VALUE"""),1.5)</f>
        <v>1.5</v>
      </c>
    </row>
    <row r="70" spans="1:2">
      <c r="A70" s="3">
        <f ca="1">IFERROR(__xludf.DUMMYFUNCTION("""COMPUTED_VALUE"""),38454.6666666666)</f>
        <v>38454.666666666599</v>
      </c>
      <c r="B70" s="1">
        <f ca="1">IFERROR(__xludf.DUMMYFUNCTION("""COMPUTED_VALUE"""),1.52)</f>
        <v>1.52</v>
      </c>
    </row>
    <row r="71" spans="1:2">
      <c r="A71" s="3">
        <f ca="1">IFERROR(__xludf.DUMMYFUNCTION("""COMPUTED_VALUE"""),38455.6666666666)</f>
        <v>38455.666666666599</v>
      </c>
      <c r="B71" s="1">
        <f ca="1">IFERROR(__xludf.DUMMYFUNCTION("""COMPUTED_VALUE"""),1.45)</f>
        <v>1.45</v>
      </c>
    </row>
    <row r="72" spans="1:2">
      <c r="A72" s="3">
        <f ca="1">IFERROR(__xludf.DUMMYFUNCTION("""COMPUTED_VALUE"""),38456.6666666666)</f>
        <v>38456.666666666599</v>
      </c>
      <c r="B72" s="1">
        <f ca="1">IFERROR(__xludf.DUMMYFUNCTION("""COMPUTED_VALUE"""),1.33)</f>
        <v>1.33</v>
      </c>
    </row>
    <row r="73" spans="1:2">
      <c r="A73" s="3">
        <f ca="1">IFERROR(__xludf.DUMMYFUNCTION("""COMPUTED_VALUE"""),38457.6666666666)</f>
        <v>38457.666666666599</v>
      </c>
      <c r="B73" s="1">
        <f ca="1">IFERROR(__xludf.DUMMYFUNCTION("""COMPUTED_VALUE"""),1.26)</f>
        <v>1.26</v>
      </c>
    </row>
    <row r="74" spans="1:2">
      <c r="A74" s="3">
        <f ca="1">IFERROR(__xludf.DUMMYFUNCTION("""COMPUTED_VALUE"""),38460.6666666666)</f>
        <v>38460.666666666599</v>
      </c>
      <c r="B74" s="1">
        <f ca="1">IFERROR(__xludf.DUMMYFUNCTION("""COMPUTED_VALUE"""),1.27)</f>
        <v>1.27</v>
      </c>
    </row>
    <row r="75" spans="1:2">
      <c r="A75" s="3">
        <f ca="1">IFERROR(__xludf.DUMMYFUNCTION("""COMPUTED_VALUE"""),38461.6666666666)</f>
        <v>38461.666666666599</v>
      </c>
      <c r="B75" s="1">
        <f ca="1">IFERROR(__xludf.DUMMYFUNCTION("""COMPUTED_VALUE"""),1.32)</f>
        <v>1.32</v>
      </c>
    </row>
    <row r="76" spans="1:2">
      <c r="A76" s="3">
        <f ca="1">IFERROR(__xludf.DUMMYFUNCTION("""COMPUTED_VALUE"""),38462.6666666666)</f>
        <v>38462.666666666599</v>
      </c>
      <c r="B76" s="1">
        <f ca="1">IFERROR(__xludf.DUMMYFUNCTION("""COMPUTED_VALUE"""),1.27)</f>
        <v>1.27</v>
      </c>
    </row>
    <row r="77" spans="1:2">
      <c r="A77" s="3">
        <f ca="1">IFERROR(__xludf.DUMMYFUNCTION("""COMPUTED_VALUE"""),38463.6666666666)</f>
        <v>38463.666666666599</v>
      </c>
      <c r="B77" s="1">
        <f ca="1">IFERROR(__xludf.DUMMYFUNCTION("""COMPUTED_VALUE"""),1.33)</f>
        <v>1.33</v>
      </c>
    </row>
    <row r="78" spans="1:2">
      <c r="A78" s="3">
        <f ca="1">IFERROR(__xludf.DUMMYFUNCTION("""COMPUTED_VALUE"""),38464.6666666666)</f>
        <v>38464.666666666599</v>
      </c>
      <c r="B78" s="1">
        <f ca="1">IFERROR(__xludf.DUMMYFUNCTION("""COMPUTED_VALUE"""),1.27)</f>
        <v>1.27</v>
      </c>
    </row>
    <row r="79" spans="1:2">
      <c r="A79" s="3">
        <f ca="1">IFERROR(__xludf.DUMMYFUNCTION("""COMPUTED_VALUE"""),38467.6666666666)</f>
        <v>38467.666666666599</v>
      </c>
      <c r="B79" s="1">
        <f ca="1">IFERROR(__xludf.DUMMYFUNCTION("""COMPUTED_VALUE"""),1.3)</f>
        <v>1.3</v>
      </c>
    </row>
    <row r="80" spans="1:2">
      <c r="A80" s="3">
        <f ca="1">IFERROR(__xludf.DUMMYFUNCTION("""COMPUTED_VALUE"""),38468.6666666666)</f>
        <v>38468.666666666599</v>
      </c>
      <c r="B80" s="1">
        <f ca="1">IFERROR(__xludf.DUMMYFUNCTION("""COMPUTED_VALUE"""),1.29)</f>
        <v>1.29</v>
      </c>
    </row>
    <row r="81" spans="1:2">
      <c r="A81" s="3">
        <f ca="1">IFERROR(__xludf.DUMMYFUNCTION("""COMPUTED_VALUE"""),38469.6666666666)</f>
        <v>38469.666666666599</v>
      </c>
      <c r="B81" s="1">
        <f ca="1">IFERROR(__xludf.DUMMYFUNCTION("""COMPUTED_VALUE"""),1.28)</f>
        <v>1.28</v>
      </c>
    </row>
    <row r="82" spans="1:2">
      <c r="A82" s="3">
        <f ca="1">IFERROR(__xludf.DUMMYFUNCTION("""COMPUTED_VALUE"""),38470.6666666666)</f>
        <v>38470.666666666599</v>
      </c>
      <c r="B82" s="1">
        <f ca="1">IFERROR(__xludf.DUMMYFUNCTION("""COMPUTED_VALUE"""),1.27)</f>
        <v>1.27</v>
      </c>
    </row>
    <row r="83" spans="1:2">
      <c r="A83" s="3">
        <f ca="1">IFERROR(__xludf.DUMMYFUNCTION("""COMPUTED_VALUE"""),38471.6666666666)</f>
        <v>38471.666666666599</v>
      </c>
      <c r="B83" s="1">
        <f ca="1">IFERROR(__xludf.DUMMYFUNCTION("""COMPUTED_VALUE"""),1.29)</f>
        <v>1.29</v>
      </c>
    </row>
    <row r="84" spans="1:2">
      <c r="A84" s="3">
        <f ca="1">IFERROR(__xludf.DUMMYFUNCTION("""COMPUTED_VALUE"""),38474.6666666666)</f>
        <v>38474.666666666599</v>
      </c>
      <c r="B84" s="1">
        <f ca="1">IFERROR(__xludf.DUMMYFUNCTION("""COMPUTED_VALUE"""),1.3)</f>
        <v>1.3</v>
      </c>
    </row>
    <row r="85" spans="1:2">
      <c r="A85" s="3">
        <f ca="1">IFERROR(__xludf.DUMMYFUNCTION("""COMPUTED_VALUE"""),38475.6666666666)</f>
        <v>38475.666666666599</v>
      </c>
      <c r="B85" s="1">
        <f ca="1">IFERROR(__xludf.DUMMYFUNCTION("""COMPUTED_VALUE"""),1.29)</f>
        <v>1.29</v>
      </c>
    </row>
    <row r="86" spans="1:2">
      <c r="A86" s="3">
        <f ca="1">IFERROR(__xludf.DUMMYFUNCTION("""COMPUTED_VALUE"""),38476.6666666666)</f>
        <v>38476.666666666599</v>
      </c>
      <c r="B86" s="1">
        <f ca="1">IFERROR(__xludf.DUMMYFUNCTION("""COMPUTED_VALUE"""),1.33)</f>
        <v>1.33</v>
      </c>
    </row>
    <row r="87" spans="1:2">
      <c r="A87" s="3">
        <f ca="1">IFERROR(__xludf.DUMMYFUNCTION("""COMPUTED_VALUE"""),38477.6666666666)</f>
        <v>38477.666666666599</v>
      </c>
      <c r="B87" s="1">
        <f ca="1">IFERROR(__xludf.DUMMYFUNCTION("""COMPUTED_VALUE"""),1.31)</f>
        <v>1.31</v>
      </c>
    </row>
    <row r="88" spans="1:2">
      <c r="A88" s="3">
        <f ca="1">IFERROR(__xludf.DUMMYFUNCTION("""COMPUTED_VALUE"""),38478.6666666666)</f>
        <v>38478.666666666599</v>
      </c>
      <c r="B88" s="1">
        <f ca="1">IFERROR(__xludf.DUMMYFUNCTION("""COMPUTED_VALUE"""),1.33)</f>
        <v>1.33</v>
      </c>
    </row>
    <row r="89" spans="1:2">
      <c r="A89" s="3">
        <f ca="1">IFERROR(__xludf.DUMMYFUNCTION("""COMPUTED_VALUE"""),38481.6666666666)</f>
        <v>38481.666666666599</v>
      </c>
      <c r="B89" s="1">
        <f ca="1">IFERROR(__xludf.DUMMYFUNCTION("""COMPUTED_VALUE"""),1.32)</f>
        <v>1.32</v>
      </c>
    </row>
    <row r="90" spans="1:2">
      <c r="A90" s="3">
        <f ca="1">IFERROR(__xludf.DUMMYFUNCTION("""COMPUTED_VALUE"""),38482.6666666666)</f>
        <v>38482.666666666599</v>
      </c>
      <c r="B90" s="1">
        <f ca="1">IFERROR(__xludf.DUMMYFUNCTION("""COMPUTED_VALUE"""),1.3)</f>
        <v>1.3</v>
      </c>
    </row>
    <row r="91" spans="1:2">
      <c r="A91" s="3">
        <f ca="1">IFERROR(__xludf.DUMMYFUNCTION("""COMPUTED_VALUE"""),38483.6666666666)</f>
        <v>38483.666666666599</v>
      </c>
      <c r="B91" s="1">
        <f ca="1">IFERROR(__xludf.DUMMYFUNCTION("""COMPUTED_VALUE"""),1.27)</f>
        <v>1.27</v>
      </c>
    </row>
    <row r="92" spans="1:2">
      <c r="A92" s="3">
        <f ca="1">IFERROR(__xludf.DUMMYFUNCTION("""COMPUTED_VALUE"""),38484.6666666666)</f>
        <v>38484.666666666599</v>
      </c>
      <c r="B92" s="1">
        <f ca="1">IFERROR(__xludf.DUMMYFUNCTION("""COMPUTED_VALUE"""),1.22)</f>
        <v>1.22</v>
      </c>
    </row>
    <row r="93" spans="1:2">
      <c r="A93" s="3">
        <f ca="1">IFERROR(__xludf.DUMMYFUNCTION("""COMPUTED_VALUE"""),38485.6666666666)</f>
        <v>38485.666666666599</v>
      </c>
      <c r="B93" s="1">
        <f ca="1">IFERROR(__xludf.DUMMYFUNCTION("""COMPUTED_VALUE"""),1.24)</f>
        <v>1.24</v>
      </c>
    </row>
    <row r="94" spans="1:2">
      <c r="A94" s="3">
        <f ca="1">IFERROR(__xludf.DUMMYFUNCTION("""COMPUTED_VALUE"""),38488.6666666666)</f>
        <v>38488.666666666599</v>
      </c>
      <c r="B94" s="1">
        <f ca="1">IFERROR(__xludf.DUMMYFUNCTION("""COMPUTED_VALUE"""),1.27)</f>
        <v>1.27</v>
      </c>
    </row>
    <row r="95" spans="1:2">
      <c r="A95" s="3">
        <f ca="1">IFERROR(__xludf.DUMMYFUNCTION("""COMPUTED_VALUE"""),38489.6666666666)</f>
        <v>38489.666666666599</v>
      </c>
      <c r="B95" s="1">
        <f ca="1">IFERROR(__xludf.DUMMYFUNCTION("""COMPUTED_VALUE"""),1.26)</f>
        <v>1.26</v>
      </c>
    </row>
    <row r="96" spans="1:2">
      <c r="A96" s="3">
        <f ca="1">IFERROR(__xludf.DUMMYFUNCTION("""COMPUTED_VALUE"""),38490.6666666666)</f>
        <v>38490.666666666599</v>
      </c>
      <c r="B96" s="1">
        <f ca="1">IFERROR(__xludf.DUMMYFUNCTION("""COMPUTED_VALUE"""),1.28)</f>
        <v>1.28</v>
      </c>
    </row>
    <row r="97" spans="1:2">
      <c r="A97" s="3">
        <f ca="1">IFERROR(__xludf.DUMMYFUNCTION("""COMPUTED_VALUE"""),38491.6666666666)</f>
        <v>38491.666666666599</v>
      </c>
      <c r="B97" s="1">
        <f ca="1">IFERROR(__xludf.DUMMYFUNCTION("""COMPUTED_VALUE"""),1.34)</f>
        <v>1.34</v>
      </c>
    </row>
    <row r="98" spans="1:2">
      <c r="A98" s="3">
        <f ca="1">IFERROR(__xludf.DUMMYFUNCTION("""COMPUTED_VALUE"""),38492.6666666666)</f>
        <v>38492.666666666599</v>
      </c>
      <c r="B98" s="1">
        <f ca="1">IFERROR(__xludf.DUMMYFUNCTION("""COMPUTED_VALUE"""),1.34)</f>
        <v>1.34</v>
      </c>
    </row>
    <row r="99" spans="1:2">
      <c r="A99" s="3">
        <f ca="1">IFERROR(__xludf.DUMMYFUNCTION("""COMPUTED_VALUE"""),38495.6666666666)</f>
        <v>38495.666666666599</v>
      </c>
      <c r="B99" s="1">
        <f ca="1">IFERROR(__xludf.DUMMYFUNCTION("""COMPUTED_VALUE"""),1.42)</f>
        <v>1.42</v>
      </c>
    </row>
    <row r="100" spans="1:2">
      <c r="A100" s="3">
        <f ca="1">IFERROR(__xludf.DUMMYFUNCTION("""COMPUTED_VALUE"""),38496.6666666666)</f>
        <v>38496.666666666599</v>
      </c>
      <c r="B100" s="1">
        <f ca="1">IFERROR(__xludf.DUMMYFUNCTION("""COMPUTED_VALUE"""),1.42)</f>
        <v>1.42</v>
      </c>
    </row>
    <row r="101" spans="1:2">
      <c r="A101" s="3">
        <f ca="1">IFERROR(__xludf.DUMMYFUNCTION("""COMPUTED_VALUE"""),38497.6666666666)</f>
        <v>38497.666666666599</v>
      </c>
      <c r="B101" s="1">
        <f ca="1">IFERROR(__xludf.DUMMYFUNCTION("""COMPUTED_VALUE"""),1.42)</f>
        <v>1.42</v>
      </c>
    </row>
    <row r="102" spans="1:2">
      <c r="A102" s="3">
        <f ca="1">IFERROR(__xludf.DUMMYFUNCTION("""COMPUTED_VALUE"""),38498.6666666666)</f>
        <v>38498.666666666599</v>
      </c>
      <c r="B102" s="1">
        <f ca="1">IFERROR(__xludf.DUMMYFUNCTION("""COMPUTED_VALUE"""),1.46)</f>
        <v>1.46</v>
      </c>
    </row>
    <row r="103" spans="1:2">
      <c r="A103" s="3">
        <f ca="1">IFERROR(__xludf.DUMMYFUNCTION("""COMPUTED_VALUE"""),38499.6666666666)</f>
        <v>38499.666666666599</v>
      </c>
      <c r="B103" s="1">
        <f ca="1">IFERROR(__xludf.DUMMYFUNCTION("""COMPUTED_VALUE"""),1.45)</f>
        <v>1.45</v>
      </c>
    </row>
    <row r="104" spans="1:2">
      <c r="A104" s="3">
        <f ca="1">IFERROR(__xludf.DUMMYFUNCTION("""COMPUTED_VALUE"""),38503.6666666666)</f>
        <v>38503.666666666599</v>
      </c>
      <c r="B104" s="1">
        <f ca="1">IFERROR(__xludf.DUMMYFUNCTION("""COMPUTED_VALUE"""),1.42)</f>
        <v>1.42</v>
      </c>
    </row>
    <row r="105" spans="1:2">
      <c r="A105" s="3">
        <f ca="1">IFERROR(__xludf.DUMMYFUNCTION("""COMPUTED_VALUE"""),38504.6666666666)</f>
        <v>38504.666666666599</v>
      </c>
      <c r="B105" s="1">
        <f ca="1">IFERROR(__xludf.DUMMYFUNCTION("""COMPUTED_VALUE"""),1.44)</f>
        <v>1.44</v>
      </c>
    </row>
    <row r="106" spans="1:2">
      <c r="A106" s="3">
        <f ca="1">IFERROR(__xludf.DUMMYFUNCTION("""COMPUTED_VALUE"""),38505.6666666666)</f>
        <v>38505.666666666599</v>
      </c>
      <c r="B106" s="1">
        <f ca="1">IFERROR(__xludf.DUMMYFUNCTION("""COMPUTED_VALUE"""),1.41)</f>
        <v>1.41</v>
      </c>
    </row>
    <row r="107" spans="1:2">
      <c r="A107" s="3">
        <f ca="1">IFERROR(__xludf.DUMMYFUNCTION("""COMPUTED_VALUE"""),38506.6666666666)</f>
        <v>38506.666666666599</v>
      </c>
      <c r="B107" s="1">
        <f ca="1">IFERROR(__xludf.DUMMYFUNCTION("""COMPUTED_VALUE"""),1.37)</f>
        <v>1.37</v>
      </c>
    </row>
    <row r="108" spans="1:2">
      <c r="A108" s="3">
        <f ca="1">IFERROR(__xludf.DUMMYFUNCTION("""COMPUTED_VALUE"""),38509.6666666666)</f>
        <v>38509.666666666599</v>
      </c>
      <c r="B108" s="1">
        <f ca="1">IFERROR(__xludf.DUMMYFUNCTION("""COMPUTED_VALUE"""),1.35)</f>
        <v>1.35</v>
      </c>
    </row>
    <row r="109" spans="1:2">
      <c r="A109" s="3">
        <f ca="1">IFERROR(__xludf.DUMMYFUNCTION("""COMPUTED_VALUE"""),38510.6666666666)</f>
        <v>38510.666666666599</v>
      </c>
      <c r="B109" s="1">
        <f ca="1">IFERROR(__xludf.DUMMYFUNCTION("""COMPUTED_VALUE"""),1.31)</f>
        <v>1.31</v>
      </c>
    </row>
    <row r="110" spans="1:2">
      <c r="A110" s="3">
        <f ca="1">IFERROR(__xludf.DUMMYFUNCTION("""COMPUTED_VALUE"""),38511.6666666666)</f>
        <v>38511.666666666599</v>
      </c>
      <c r="B110" s="1">
        <f ca="1">IFERROR(__xludf.DUMMYFUNCTION("""COMPUTED_VALUE"""),1.32)</f>
        <v>1.32</v>
      </c>
    </row>
    <row r="111" spans="1:2">
      <c r="A111" s="3">
        <f ca="1">IFERROR(__xludf.DUMMYFUNCTION("""COMPUTED_VALUE"""),38512.6666666666)</f>
        <v>38512.666666666599</v>
      </c>
      <c r="B111" s="1">
        <f ca="1">IFERROR(__xludf.DUMMYFUNCTION("""COMPUTED_VALUE"""),1.34)</f>
        <v>1.34</v>
      </c>
    </row>
    <row r="112" spans="1:2">
      <c r="A112" s="3">
        <f ca="1">IFERROR(__xludf.DUMMYFUNCTION("""COMPUTED_VALUE"""),38513.6666666666)</f>
        <v>38513.666666666599</v>
      </c>
      <c r="B112" s="1">
        <f ca="1">IFERROR(__xludf.DUMMYFUNCTION("""COMPUTED_VALUE"""),1.28)</f>
        <v>1.28</v>
      </c>
    </row>
    <row r="113" spans="1:2">
      <c r="A113" s="3">
        <f ca="1">IFERROR(__xludf.DUMMYFUNCTION("""COMPUTED_VALUE"""),38516.6666666666)</f>
        <v>38516.666666666599</v>
      </c>
      <c r="B113" s="1">
        <f ca="1">IFERROR(__xludf.DUMMYFUNCTION("""COMPUTED_VALUE"""),1.28)</f>
        <v>1.28</v>
      </c>
    </row>
    <row r="114" spans="1:2">
      <c r="A114" s="3">
        <f ca="1">IFERROR(__xludf.DUMMYFUNCTION("""COMPUTED_VALUE"""),38517.6666666666)</f>
        <v>38517.666666666599</v>
      </c>
      <c r="B114" s="1">
        <f ca="1">IFERROR(__xludf.DUMMYFUNCTION("""COMPUTED_VALUE"""),1.29)</f>
        <v>1.29</v>
      </c>
    </row>
    <row r="115" spans="1:2">
      <c r="A115" s="3">
        <f ca="1">IFERROR(__xludf.DUMMYFUNCTION("""COMPUTED_VALUE"""),38518.6666666666)</f>
        <v>38518.666666666599</v>
      </c>
      <c r="B115" s="1">
        <f ca="1">IFERROR(__xludf.DUMMYFUNCTION("""COMPUTED_VALUE"""),1.33)</f>
        <v>1.33</v>
      </c>
    </row>
    <row r="116" spans="1:2">
      <c r="A116" s="3">
        <f ca="1">IFERROR(__xludf.DUMMYFUNCTION("""COMPUTED_VALUE"""),38519.6666666666)</f>
        <v>38519.666666666599</v>
      </c>
      <c r="B116" s="1">
        <f ca="1">IFERROR(__xludf.DUMMYFUNCTION("""COMPUTED_VALUE"""),1.36)</f>
        <v>1.36</v>
      </c>
    </row>
    <row r="117" spans="1:2">
      <c r="A117" s="3">
        <f ca="1">IFERROR(__xludf.DUMMYFUNCTION("""COMPUTED_VALUE"""),38520.6666666666)</f>
        <v>38520.666666666599</v>
      </c>
      <c r="B117" s="1">
        <f ca="1">IFERROR(__xludf.DUMMYFUNCTION("""COMPUTED_VALUE"""),1.37)</f>
        <v>1.37</v>
      </c>
    </row>
    <row r="118" spans="1:2">
      <c r="A118" s="3">
        <f ca="1">IFERROR(__xludf.DUMMYFUNCTION("""COMPUTED_VALUE"""),38523.6666666666)</f>
        <v>38523.666666666599</v>
      </c>
      <c r="B118" s="1">
        <f ca="1">IFERROR(__xludf.DUMMYFUNCTION("""COMPUTED_VALUE"""),1.34)</f>
        <v>1.34</v>
      </c>
    </row>
    <row r="119" spans="1:2">
      <c r="A119" s="3">
        <f ca="1">IFERROR(__xludf.DUMMYFUNCTION("""COMPUTED_VALUE"""),38524.6666666666)</f>
        <v>38524.666666666599</v>
      </c>
      <c r="B119" s="1">
        <f ca="1">IFERROR(__xludf.DUMMYFUNCTION("""COMPUTED_VALUE"""),1.35)</f>
        <v>1.35</v>
      </c>
    </row>
    <row r="120" spans="1:2">
      <c r="A120" s="3">
        <f ca="1">IFERROR(__xludf.DUMMYFUNCTION("""COMPUTED_VALUE"""),38525.6666666666)</f>
        <v>38525.666666666599</v>
      </c>
      <c r="B120" s="1">
        <f ca="1">IFERROR(__xludf.DUMMYFUNCTION("""COMPUTED_VALUE"""),1.38)</f>
        <v>1.38</v>
      </c>
    </row>
    <row r="121" spans="1:2">
      <c r="A121" s="3">
        <f ca="1">IFERROR(__xludf.DUMMYFUNCTION("""COMPUTED_VALUE"""),38526.6666666666)</f>
        <v>38526.666666666599</v>
      </c>
      <c r="B121" s="1">
        <f ca="1">IFERROR(__xludf.DUMMYFUNCTION("""COMPUTED_VALUE"""),1.39)</f>
        <v>1.39</v>
      </c>
    </row>
    <row r="122" spans="1:2">
      <c r="A122" s="3">
        <f ca="1">IFERROR(__xludf.DUMMYFUNCTION("""COMPUTED_VALUE"""),38527.6666666666)</f>
        <v>38527.666666666599</v>
      </c>
      <c r="B122" s="1">
        <f ca="1">IFERROR(__xludf.DUMMYFUNCTION("""COMPUTED_VALUE"""),1.35)</f>
        <v>1.35</v>
      </c>
    </row>
    <row r="123" spans="1:2">
      <c r="A123" s="3">
        <f ca="1">IFERROR(__xludf.DUMMYFUNCTION("""COMPUTED_VALUE"""),38530.6666666666)</f>
        <v>38530.666666666599</v>
      </c>
      <c r="B123" s="1">
        <f ca="1">IFERROR(__xludf.DUMMYFUNCTION("""COMPUTED_VALUE"""),1.33)</f>
        <v>1.33</v>
      </c>
    </row>
    <row r="124" spans="1:2">
      <c r="A124" s="3">
        <f ca="1">IFERROR(__xludf.DUMMYFUNCTION("""COMPUTED_VALUE"""),38531.6666666666)</f>
        <v>38531.666666666599</v>
      </c>
      <c r="B124" s="1">
        <f ca="1">IFERROR(__xludf.DUMMYFUNCTION("""COMPUTED_VALUE"""),1.33)</f>
        <v>1.33</v>
      </c>
    </row>
    <row r="125" spans="1:2">
      <c r="A125" s="3">
        <f ca="1">IFERROR(__xludf.DUMMYFUNCTION("""COMPUTED_VALUE"""),38532.6666666666)</f>
        <v>38532.666666666599</v>
      </c>
      <c r="B125" s="1">
        <f ca="1">IFERROR(__xludf.DUMMYFUNCTION("""COMPUTED_VALUE"""),1.3)</f>
        <v>1.3</v>
      </c>
    </row>
    <row r="126" spans="1:2">
      <c r="A126" s="3">
        <f ca="1">IFERROR(__xludf.DUMMYFUNCTION("""COMPUTED_VALUE"""),38533.6666666666)</f>
        <v>38533.666666666599</v>
      </c>
      <c r="B126" s="1">
        <f ca="1">IFERROR(__xludf.DUMMYFUNCTION("""COMPUTED_VALUE"""),1.31)</f>
        <v>1.31</v>
      </c>
    </row>
    <row r="127" spans="1:2">
      <c r="A127" s="3">
        <f ca="1">IFERROR(__xludf.DUMMYFUNCTION("""COMPUTED_VALUE"""),38534.6666666666)</f>
        <v>38534.666666666599</v>
      </c>
      <c r="B127" s="1">
        <f ca="1">IFERROR(__xludf.DUMMYFUNCTION("""COMPUTED_VALUE"""),1.3)</f>
        <v>1.3</v>
      </c>
    </row>
    <row r="128" spans="1:2">
      <c r="A128" s="3">
        <f ca="1">IFERROR(__xludf.DUMMYFUNCTION("""COMPUTED_VALUE"""),38538.6666666666)</f>
        <v>38538.666666666599</v>
      </c>
      <c r="B128" s="1">
        <f ca="1">IFERROR(__xludf.DUMMYFUNCTION("""COMPUTED_VALUE"""),1.36)</f>
        <v>1.36</v>
      </c>
    </row>
    <row r="129" spans="1:2">
      <c r="A129" s="3">
        <f ca="1">IFERROR(__xludf.DUMMYFUNCTION("""COMPUTED_VALUE"""),38539.6666666666)</f>
        <v>38539.666666666599</v>
      </c>
      <c r="B129" s="1">
        <f ca="1">IFERROR(__xludf.DUMMYFUNCTION("""COMPUTED_VALUE"""),1.34)</f>
        <v>1.34</v>
      </c>
    </row>
    <row r="130" spans="1:2">
      <c r="A130" s="3">
        <f ca="1">IFERROR(__xludf.DUMMYFUNCTION("""COMPUTED_VALUE"""),38540.6666666666)</f>
        <v>38540.666666666599</v>
      </c>
      <c r="B130" s="1">
        <f ca="1">IFERROR(__xludf.DUMMYFUNCTION("""COMPUTED_VALUE"""),1.34)</f>
        <v>1.34</v>
      </c>
    </row>
    <row r="131" spans="1:2">
      <c r="A131" s="3">
        <f ca="1">IFERROR(__xludf.DUMMYFUNCTION("""COMPUTED_VALUE"""),38541.6666666666)</f>
        <v>38541.666666666599</v>
      </c>
      <c r="B131" s="1">
        <f ca="1">IFERROR(__xludf.DUMMYFUNCTION("""COMPUTED_VALUE"""),1.37)</f>
        <v>1.37</v>
      </c>
    </row>
    <row r="132" spans="1:2">
      <c r="A132" s="3">
        <f ca="1">IFERROR(__xludf.DUMMYFUNCTION("""COMPUTED_VALUE"""),38544.6666666666)</f>
        <v>38544.666666666599</v>
      </c>
      <c r="B132" s="1">
        <f ca="1">IFERROR(__xludf.DUMMYFUNCTION("""COMPUTED_VALUE"""),1.36)</f>
        <v>1.36</v>
      </c>
    </row>
    <row r="133" spans="1:2">
      <c r="A133" s="3">
        <f ca="1">IFERROR(__xludf.DUMMYFUNCTION("""COMPUTED_VALUE"""),38545.6666666666)</f>
        <v>38545.666666666599</v>
      </c>
      <c r="B133" s="1">
        <f ca="1">IFERROR(__xludf.DUMMYFUNCTION("""COMPUTED_VALUE"""),1.37)</f>
        <v>1.37</v>
      </c>
    </row>
    <row r="134" spans="1:2">
      <c r="A134" s="3">
        <f ca="1">IFERROR(__xludf.DUMMYFUNCTION("""COMPUTED_VALUE"""),38546.6666666666)</f>
        <v>38546.666666666599</v>
      </c>
      <c r="B134" s="1">
        <f ca="1">IFERROR(__xludf.DUMMYFUNCTION("""COMPUTED_VALUE"""),1.37)</f>
        <v>1.37</v>
      </c>
    </row>
    <row r="135" spans="1:2">
      <c r="A135" s="3">
        <f ca="1">IFERROR(__xludf.DUMMYFUNCTION("""COMPUTED_VALUE"""),38547.6666666666)</f>
        <v>38547.666666666599</v>
      </c>
      <c r="B135" s="1">
        <f ca="1">IFERROR(__xludf.DUMMYFUNCTION("""COMPUTED_VALUE"""),1.46)</f>
        <v>1.46</v>
      </c>
    </row>
    <row r="136" spans="1:2">
      <c r="A136" s="3">
        <f ca="1">IFERROR(__xludf.DUMMYFUNCTION("""COMPUTED_VALUE"""),38548.6666666666)</f>
        <v>38548.666666666599</v>
      </c>
      <c r="B136" s="1">
        <f ca="1">IFERROR(__xludf.DUMMYFUNCTION("""COMPUTED_VALUE"""),1.48)</f>
        <v>1.48</v>
      </c>
    </row>
    <row r="137" spans="1:2">
      <c r="A137" s="3">
        <f ca="1">IFERROR(__xludf.DUMMYFUNCTION("""COMPUTED_VALUE"""),38551.6666666666)</f>
        <v>38551.666666666599</v>
      </c>
      <c r="B137" s="1">
        <f ca="1">IFERROR(__xludf.DUMMYFUNCTION("""COMPUTED_VALUE"""),1.48)</f>
        <v>1.48</v>
      </c>
    </row>
    <row r="138" spans="1:2">
      <c r="A138" s="3">
        <f ca="1">IFERROR(__xludf.DUMMYFUNCTION("""COMPUTED_VALUE"""),38552.6666666666)</f>
        <v>38552.666666666599</v>
      </c>
      <c r="B138" s="1">
        <f ca="1">IFERROR(__xludf.DUMMYFUNCTION("""COMPUTED_VALUE"""),1.54)</f>
        <v>1.54</v>
      </c>
    </row>
    <row r="139" spans="1:2">
      <c r="A139" s="3">
        <f ca="1">IFERROR(__xludf.DUMMYFUNCTION("""COMPUTED_VALUE"""),38553.6666666666)</f>
        <v>38553.666666666599</v>
      </c>
      <c r="B139" s="1">
        <f ca="1">IFERROR(__xludf.DUMMYFUNCTION("""COMPUTED_VALUE"""),1.56)</f>
        <v>1.56</v>
      </c>
    </row>
    <row r="140" spans="1:2">
      <c r="A140" s="3">
        <f ca="1">IFERROR(__xludf.DUMMYFUNCTION("""COMPUTED_VALUE"""),38554.6666666666)</f>
        <v>38554.666666666599</v>
      </c>
      <c r="B140" s="1">
        <f ca="1">IFERROR(__xludf.DUMMYFUNCTION("""COMPUTED_VALUE"""),1.55)</f>
        <v>1.55</v>
      </c>
    </row>
    <row r="141" spans="1:2">
      <c r="A141" s="3">
        <f ca="1">IFERROR(__xludf.DUMMYFUNCTION("""COMPUTED_VALUE"""),38555.6666666666)</f>
        <v>38555.666666666599</v>
      </c>
      <c r="B141" s="1">
        <f ca="1">IFERROR(__xludf.DUMMYFUNCTION("""COMPUTED_VALUE"""),1.57)</f>
        <v>1.57</v>
      </c>
    </row>
    <row r="142" spans="1:2">
      <c r="A142" s="3">
        <f ca="1">IFERROR(__xludf.DUMMYFUNCTION("""COMPUTED_VALUE"""),38558.6666666666)</f>
        <v>38558.666666666599</v>
      </c>
      <c r="B142" s="1">
        <f ca="1">IFERROR(__xludf.DUMMYFUNCTION("""COMPUTED_VALUE"""),1.56)</f>
        <v>1.56</v>
      </c>
    </row>
    <row r="143" spans="1:2">
      <c r="A143" s="3">
        <f ca="1">IFERROR(__xludf.DUMMYFUNCTION("""COMPUTED_VALUE"""),38559.6666666666)</f>
        <v>38559.666666666599</v>
      </c>
      <c r="B143" s="1">
        <f ca="1">IFERROR(__xludf.DUMMYFUNCTION("""COMPUTED_VALUE"""),1.56)</f>
        <v>1.56</v>
      </c>
    </row>
    <row r="144" spans="1:2">
      <c r="A144" s="3">
        <f ca="1">IFERROR(__xludf.DUMMYFUNCTION("""COMPUTED_VALUE"""),38560.6666666666)</f>
        <v>38560.666666666599</v>
      </c>
      <c r="B144" s="1">
        <f ca="1">IFERROR(__xludf.DUMMYFUNCTION("""COMPUTED_VALUE"""),1.57)</f>
        <v>1.57</v>
      </c>
    </row>
    <row r="145" spans="1:2">
      <c r="A145" s="3">
        <f ca="1">IFERROR(__xludf.DUMMYFUNCTION("""COMPUTED_VALUE"""),38561.6666666666)</f>
        <v>38561.666666666599</v>
      </c>
      <c r="B145" s="1">
        <f ca="1">IFERROR(__xludf.DUMMYFUNCTION("""COMPUTED_VALUE"""),1.56)</f>
        <v>1.56</v>
      </c>
    </row>
    <row r="146" spans="1:2">
      <c r="A146" s="3">
        <f ca="1">IFERROR(__xludf.DUMMYFUNCTION("""COMPUTED_VALUE"""),38562.6666666666)</f>
        <v>38562.666666666599</v>
      </c>
      <c r="B146" s="1">
        <f ca="1">IFERROR(__xludf.DUMMYFUNCTION("""COMPUTED_VALUE"""),1.52)</f>
        <v>1.52</v>
      </c>
    </row>
    <row r="147" spans="1:2">
      <c r="A147" s="3">
        <f ca="1">IFERROR(__xludf.DUMMYFUNCTION("""COMPUTED_VALUE"""),38565.6666666666)</f>
        <v>38565.666666666599</v>
      </c>
      <c r="B147" s="1">
        <f ca="1">IFERROR(__xludf.DUMMYFUNCTION("""COMPUTED_VALUE"""),1.53)</f>
        <v>1.53</v>
      </c>
    </row>
    <row r="148" spans="1:2">
      <c r="A148" s="3">
        <f ca="1">IFERROR(__xludf.DUMMYFUNCTION("""COMPUTED_VALUE"""),38566.6666666666)</f>
        <v>38566.666666666599</v>
      </c>
      <c r="B148" s="1">
        <f ca="1">IFERROR(__xludf.DUMMYFUNCTION("""COMPUTED_VALUE"""),1.54)</f>
        <v>1.54</v>
      </c>
    </row>
    <row r="149" spans="1:2">
      <c r="A149" s="3">
        <f ca="1">IFERROR(__xludf.DUMMYFUNCTION("""COMPUTED_VALUE"""),38567.6666666666)</f>
        <v>38567.666666666599</v>
      </c>
      <c r="B149" s="1">
        <f ca="1">IFERROR(__xludf.DUMMYFUNCTION("""COMPUTED_VALUE"""),1.54)</f>
        <v>1.54</v>
      </c>
    </row>
    <row r="150" spans="1:2">
      <c r="A150" s="3">
        <f ca="1">IFERROR(__xludf.DUMMYFUNCTION("""COMPUTED_VALUE"""),38568.6666666666)</f>
        <v>38568.666666666599</v>
      </c>
      <c r="B150" s="1">
        <f ca="1">IFERROR(__xludf.DUMMYFUNCTION("""COMPUTED_VALUE"""),1.53)</f>
        <v>1.53</v>
      </c>
    </row>
    <row r="151" spans="1:2">
      <c r="A151" s="3">
        <f ca="1">IFERROR(__xludf.DUMMYFUNCTION("""COMPUTED_VALUE"""),38569.6666666666)</f>
        <v>38569.666666666599</v>
      </c>
      <c r="B151" s="1">
        <f ca="1">IFERROR(__xludf.DUMMYFUNCTION("""COMPUTED_VALUE"""),1.54)</f>
        <v>1.54</v>
      </c>
    </row>
    <row r="152" spans="1:2">
      <c r="A152" s="3">
        <f ca="1">IFERROR(__xludf.DUMMYFUNCTION("""COMPUTED_VALUE"""),38572.6666666666)</f>
        <v>38572.666666666599</v>
      </c>
      <c r="B152" s="1">
        <f ca="1">IFERROR(__xludf.DUMMYFUNCTION("""COMPUTED_VALUE"""),1.52)</f>
        <v>1.52</v>
      </c>
    </row>
    <row r="153" spans="1:2">
      <c r="A153" s="3">
        <f ca="1">IFERROR(__xludf.DUMMYFUNCTION("""COMPUTED_VALUE"""),38573.6666666666)</f>
        <v>38573.666666666599</v>
      </c>
      <c r="B153" s="1">
        <f ca="1">IFERROR(__xludf.DUMMYFUNCTION("""COMPUTED_VALUE"""),1.57)</f>
        <v>1.57</v>
      </c>
    </row>
    <row r="154" spans="1:2">
      <c r="A154" s="3">
        <f ca="1">IFERROR(__xludf.DUMMYFUNCTION("""COMPUTED_VALUE"""),38574.6666666666)</f>
        <v>38574.666666666599</v>
      </c>
      <c r="B154" s="1">
        <f ca="1">IFERROR(__xludf.DUMMYFUNCTION("""COMPUTED_VALUE"""),1.55)</f>
        <v>1.55</v>
      </c>
    </row>
    <row r="155" spans="1:2">
      <c r="A155" s="3">
        <f ca="1">IFERROR(__xludf.DUMMYFUNCTION("""COMPUTED_VALUE"""),38575.6666666666)</f>
        <v>38575.666666666599</v>
      </c>
      <c r="B155" s="1">
        <f ca="1">IFERROR(__xludf.DUMMYFUNCTION("""COMPUTED_VALUE"""),1.57)</f>
        <v>1.57</v>
      </c>
    </row>
    <row r="156" spans="1:2">
      <c r="A156" s="3">
        <f ca="1">IFERROR(__xludf.DUMMYFUNCTION("""COMPUTED_VALUE"""),38576.6666666666)</f>
        <v>38576.666666666599</v>
      </c>
      <c r="B156" s="1">
        <f ca="1">IFERROR(__xludf.DUMMYFUNCTION("""COMPUTED_VALUE"""),1.65)</f>
        <v>1.65</v>
      </c>
    </row>
    <row r="157" spans="1:2">
      <c r="A157" s="3">
        <f ca="1">IFERROR(__xludf.DUMMYFUNCTION("""COMPUTED_VALUE"""),38579.6666666666)</f>
        <v>38579.666666666599</v>
      </c>
      <c r="B157" s="1">
        <f ca="1">IFERROR(__xludf.DUMMYFUNCTION("""COMPUTED_VALUE"""),1.7)</f>
        <v>1.7</v>
      </c>
    </row>
    <row r="158" spans="1:2">
      <c r="A158" s="3">
        <f ca="1">IFERROR(__xludf.DUMMYFUNCTION("""COMPUTED_VALUE"""),38580.6666666666)</f>
        <v>38580.666666666599</v>
      </c>
      <c r="B158" s="1">
        <f ca="1">IFERROR(__xludf.DUMMYFUNCTION("""COMPUTED_VALUE"""),1.65)</f>
        <v>1.65</v>
      </c>
    </row>
    <row r="159" spans="1:2">
      <c r="A159" s="3">
        <f ca="1">IFERROR(__xludf.DUMMYFUNCTION("""COMPUTED_VALUE"""),38581.6666666666)</f>
        <v>38581.666666666599</v>
      </c>
      <c r="B159" s="1">
        <f ca="1">IFERROR(__xludf.DUMMYFUNCTION("""COMPUTED_VALUE"""),1.68)</f>
        <v>1.68</v>
      </c>
    </row>
    <row r="160" spans="1:2">
      <c r="A160" s="3">
        <f ca="1">IFERROR(__xludf.DUMMYFUNCTION("""COMPUTED_VALUE"""),38582.6666666666)</f>
        <v>38582.666666666599</v>
      </c>
      <c r="B160" s="1">
        <f ca="1">IFERROR(__xludf.DUMMYFUNCTION("""COMPUTED_VALUE"""),1.65)</f>
        <v>1.65</v>
      </c>
    </row>
    <row r="161" spans="1:2">
      <c r="A161" s="3">
        <f ca="1">IFERROR(__xludf.DUMMYFUNCTION("""COMPUTED_VALUE"""),38583.6666666666)</f>
        <v>38583.666666666599</v>
      </c>
      <c r="B161" s="1">
        <f ca="1">IFERROR(__xludf.DUMMYFUNCTION("""COMPUTED_VALUE"""),1.64)</f>
        <v>1.64</v>
      </c>
    </row>
    <row r="162" spans="1:2">
      <c r="A162" s="3">
        <f ca="1">IFERROR(__xludf.DUMMYFUNCTION("""COMPUTED_VALUE"""),38586.6666666666)</f>
        <v>38586.666666666599</v>
      </c>
      <c r="B162" s="1">
        <f ca="1">IFERROR(__xludf.DUMMYFUNCTION("""COMPUTED_VALUE"""),1.64)</f>
        <v>1.64</v>
      </c>
    </row>
    <row r="163" spans="1:2">
      <c r="A163" s="3">
        <f ca="1">IFERROR(__xludf.DUMMYFUNCTION("""COMPUTED_VALUE"""),38587.6666666666)</f>
        <v>38587.666666666599</v>
      </c>
      <c r="B163" s="1">
        <f ca="1">IFERROR(__xludf.DUMMYFUNCTION("""COMPUTED_VALUE"""),1.63)</f>
        <v>1.63</v>
      </c>
    </row>
    <row r="164" spans="1:2">
      <c r="A164" s="3">
        <f ca="1">IFERROR(__xludf.DUMMYFUNCTION("""COMPUTED_VALUE"""),38588.6666666666)</f>
        <v>38588.666666666599</v>
      </c>
      <c r="B164" s="1">
        <f ca="1">IFERROR(__xludf.DUMMYFUNCTION("""COMPUTED_VALUE"""),1.63)</f>
        <v>1.63</v>
      </c>
    </row>
    <row r="165" spans="1:2">
      <c r="A165" s="3">
        <f ca="1">IFERROR(__xludf.DUMMYFUNCTION("""COMPUTED_VALUE"""),38589.6666666666)</f>
        <v>38589.666666666599</v>
      </c>
      <c r="B165" s="1">
        <f ca="1">IFERROR(__xludf.DUMMYFUNCTION("""COMPUTED_VALUE"""),1.65)</f>
        <v>1.65</v>
      </c>
    </row>
    <row r="166" spans="1:2">
      <c r="A166" s="3">
        <f ca="1">IFERROR(__xludf.DUMMYFUNCTION("""COMPUTED_VALUE"""),38590.6666666666)</f>
        <v>38590.666666666599</v>
      </c>
      <c r="B166" s="1">
        <f ca="1">IFERROR(__xludf.DUMMYFUNCTION("""COMPUTED_VALUE"""),1.63)</f>
        <v>1.63</v>
      </c>
    </row>
    <row r="167" spans="1:2">
      <c r="A167" s="3">
        <f ca="1">IFERROR(__xludf.DUMMYFUNCTION("""COMPUTED_VALUE"""),38593.6666666666)</f>
        <v>38593.666666666599</v>
      </c>
      <c r="B167" s="1">
        <f ca="1">IFERROR(__xludf.DUMMYFUNCTION("""COMPUTED_VALUE"""),1.64)</f>
        <v>1.64</v>
      </c>
    </row>
    <row r="168" spans="1:2">
      <c r="A168" s="3">
        <f ca="1">IFERROR(__xludf.DUMMYFUNCTION("""COMPUTED_VALUE"""),38594.6666666666)</f>
        <v>38594.666666666599</v>
      </c>
      <c r="B168" s="1">
        <f ca="1">IFERROR(__xludf.DUMMYFUNCTION("""COMPUTED_VALUE"""),1.66)</f>
        <v>1.66</v>
      </c>
    </row>
    <row r="169" spans="1:2">
      <c r="A169" s="3">
        <f ca="1">IFERROR(__xludf.DUMMYFUNCTION("""COMPUTED_VALUE"""),38595.6666666666)</f>
        <v>38595.666666666599</v>
      </c>
      <c r="B169" s="1">
        <f ca="1">IFERROR(__xludf.DUMMYFUNCTION("""COMPUTED_VALUE"""),1.67)</f>
        <v>1.67</v>
      </c>
    </row>
    <row r="170" spans="1:2">
      <c r="A170" s="3">
        <f ca="1">IFERROR(__xludf.DUMMYFUNCTION("""COMPUTED_VALUE"""),38596.6666666666)</f>
        <v>38596.666666666599</v>
      </c>
      <c r="B170" s="1">
        <f ca="1">IFERROR(__xludf.DUMMYFUNCTION("""COMPUTED_VALUE"""),1.65)</f>
        <v>1.65</v>
      </c>
    </row>
    <row r="171" spans="1:2">
      <c r="A171" s="3">
        <f ca="1">IFERROR(__xludf.DUMMYFUNCTION("""COMPUTED_VALUE"""),38597.6666666666)</f>
        <v>38597.666666666599</v>
      </c>
      <c r="B171" s="1">
        <f ca="1">IFERROR(__xludf.DUMMYFUNCTION("""COMPUTED_VALUE"""),1.65)</f>
        <v>1.65</v>
      </c>
    </row>
    <row r="172" spans="1:2">
      <c r="A172" s="3">
        <f ca="1">IFERROR(__xludf.DUMMYFUNCTION("""COMPUTED_VALUE"""),38601.6666666666)</f>
        <v>38601.666666666599</v>
      </c>
      <c r="B172" s="1">
        <f ca="1">IFERROR(__xludf.DUMMYFUNCTION("""COMPUTED_VALUE"""),1.74)</f>
        <v>1.74</v>
      </c>
    </row>
    <row r="173" spans="1:2">
      <c r="A173" s="3">
        <f ca="1">IFERROR(__xludf.DUMMYFUNCTION("""COMPUTED_VALUE"""),38602.6666666666)</f>
        <v>38602.666666666599</v>
      </c>
      <c r="B173" s="1">
        <f ca="1">IFERROR(__xludf.DUMMYFUNCTION("""COMPUTED_VALUE"""),1.74)</f>
        <v>1.74</v>
      </c>
    </row>
    <row r="174" spans="1:2">
      <c r="A174" s="3">
        <f ca="1">IFERROR(__xludf.DUMMYFUNCTION("""COMPUTED_VALUE"""),38603.6666666666)</f>
        <v>38603.666666666599</v>
      </c>
      <c r="B174" s="1">
        <f ca="1">IFERROR(__xludf.DUMMYFUNCTION("""COMPUTED_VALUE"""),1.78)</f>
        <v>1.78</v>
      </c>
    </row>
    <row r="175" spans="1:2">
      <c r="A175" s="3">
        <f ca="1">IFERROR(__xludf.DUMMYFUNCTION("""COMPUTED_VALUE"""),38604.6666666666)</f>
        <v>38604.666666666599</v>
      </c>
      <c r="B175" s="1">
        <f ca="1">IFERROR(__xludf.DUMMYFUNCTION("""COMPUTED_VALUE"""),1.83)</f>
        <v>1.83</v>
      </c>
    </row>
    <row r="176" spans="1:2">
      <c r="A176" s="3">
        <f ca="1">IFERROR(__xludf.DUMMYFUNCTION("""COMPUTED_VALUE"""),38607.6666666666)</f>
        <v>38607.666666666599</v>
      </c>
      <c r="B176" s="1">
        <f ca="1">IFERROR(__xludf.DUMMYFUNCTION("""COMPUTED_VALUE"""),1.84)</f>
        <v>1.84</v>
      </c>
    </row>
    <row r="177" spans="1:2">
      <c r="A177" s="3">
        <f ca="1">IFERROR(__xludf.DUMMYFUNCTION("""COMPUTED_VALUE"""),38608.6666666666)</f>
        <v>38608.666666666599</v>
      </c>
      <c r="B177" s="1">
        <f ca="1">IFERROR(__xludf.DUMMYFUNCTION("""COMPUTED_VALUE"""),1.82)</f>
        <v>1.82</v>
      </c>
    </row>
    <row r="178" spans="1:2">
      <c r="A178" s="3">
        <f ca="1">IFERROR(__xludf.DUMMYFUNCTION("""COMPUTED_VALUE"""),38609.6666666666)</f>
        <v>38609.666666666599</v>
      </c>
      <c r="B178" s="1">
        <f ca="1">IFERROR(__xludf.DUMMYFUNCTION("""COMPUTED_VALUE"""),1.77)</f>
        <v>1.77</v>
      </c>
    </row>
    <row r="179" spans="1:2">
      <c r="A179" s="3">
        <f ca="1">IFERROR(__xludf.DUMMYFUNCTION("""COMPUTED_VALUE"""),38610.6666666666)</f>
        <v>38610.666666666599</v>
      </c>
      <c r="B179" s="1">
        <f ca="1">IFERROR(__xludf.DUMMYFUNCTION("""COMPUTED_VALUE"""),1.78)</f>
        <v>1.78</v>
      </c>
    </row>
    <row r="180" spans="1:2">
      <c r="A180" s="3">
        <f ca="1">IFERROR(__xludf.DUMMYFUNCTION("""COMPUTED_VALUE"""),38611.6666666666)</f>
        <v>38611.666666666599</v>
      </c>
      <c r="B180" s="1">
        <f ca="1">IFERROR(__xludf.DUMMYFUNCTION("""COMPUTED_VALUE"""),1.83)</f>
        <v>1.83</v>
      </c>
    </row>
    <row r="181" spans="1:2">
      <c r="A181" s="3">
        <f ca="1">IFERROR(__xludf.DUMMYFUNCTION("""COMPUTED_VALUE"""),38614.6666666666)</f>
        <v>38614.666666666599</v>
      </c>
      <c r="B181" s="1">
        <f ca="1">IFERROR(__xludf.DUMMYFUNCTION("""COMPUTED_VALUE"""),1.88)</f>
        <v>1.88</v>
      </c>
    </row>
    <row r="182" spans="1:2">
      <c r="A182" s="3">
        <f ca="1">IFERROR(__xludf.DUMMYFUNCTION("""COMPUTED_VALUE"""),38615.6666666666)</f>
        <v>38615.666666666599</v>
      </c>
      <c r="B182" s="1">
        <f ca="1">IFERROR(__xludf.DUMMYFUNCTION("""COMPUTED_VALUE"""),1.9)</f>
        <v>1.9</v>
      </c>
    </row>
    <row r="183" spans="1:2">
      <c r="A183" s="3">
        <f ca="1">IFERROR(__xludf.DUMMYFUNCTION("""COMPUTED_VALUE"""),38616.6666666666)</f>
        <v>38616.666666666599</v>
      </c>
      <c r="B183" s="1">
        <f ca="1">IFERROR(__xludf.DUMMYFUNCTION("""COMPUTED_VALUE"""),1.86)</f>
        <v>1.86</v>
      </c>
    </row>
    <row r="184" spans="1:2">
      <c r="A184" s="3">
        <f ca="1">IFERROR(__xludf.DUMMYFUNCTION("""COMPUTED_VALUE"""),38617.6666666666)</f>
        <v>38617.666666666599</v>
      </c>
      <c r="B184" s="1">
        <f ca="1">IFERROR(__xludf.DUMMYFUNCTION("""COMPUTED_VALUE"""),1.85)</f>
        <v>1.85</v>
      </c>
    </row>
    <row r="185" spans="1:2">
      <c r="A185" s="3">
        <f ca="1">IFERROR(__xludf.DUMMYFUNCTION("""COMPUTED_VALUE"""),38618.6666666666)</f>
        <v>38618.666666666599</v>
      </c>
      <c r="B185" s="1">
        <f ca="1">IFERROR(__xludf.DUMMYFUNCTION("""COMPUTED_VALUE"""),1.9)</f>
        <v>1.9</v>
      </c>
    </row>
    <row r="186" spans="1:2">
      <c r="A186" s="3">
        <f ca="1">IFERROR(__xludf.DUMMYFUNCTION("""COMPUTED_VALUE"""),38621.6666666666)</f>
        <v>38621.666666666599</v>
      </c>
      <c r="B186" s="1">
        <f ca="1">IFERROR(__xludf.DUMMYFUNCTION("""COMPUTED_VALUE"""),1.92)</f>
        <v>1.92</v>
      </c>
    </row>
    <row r="187" spans="1:2">
      <c r="A187" s="3">
        <f ca="1">IFERROR(__xludf.DUMMYFUNCTION("""COMPUTED_VALUE"""),38622.6666666666)</f>
        <v>38622.666666666599</v>
      </c>
      <c r="B187" s="1">
        <f ca="1">IFERROR(__xludf.DUMMYFUNCTION("""COMPUTED_VALUE"""),1.91)</f>
        <v>1.91</v>
      </c>
    </row>
    <row r="188" spans="1:2">
      <c r="A188" s="3">
        <f ca="1">IFERROR(__xludf.DUMMYFUNCTION("""COMPUTED_VALUE"""),38623.6666666666)</f>
        <v>38623.666666666599</v>
      </c>
      <c r="B188" s="1">
        <f ca="1">IFERROR(__xludf.DUMMYFUNCTION("""COMPUTED_VALUE"""),1.82)</f>
        <v>1.82</v>
      </c>
    </row>
    <row r="189" spans="1:2">
      <c r="A189" s="3">
        <f ca="1">IFERROR(__xludf.DUMMYFUNCTION("""COMPUTED_VALUE"""),38624.6666666666)</f>
        <v>38624.666666666599</v>
      </c>
      <c r="B189" s="1">
        <f ca="1">IFERROR(__xludf.DUMMYFUNCTION("""COMPUTED_VALUE"""),1.87)</f>
        <v>1.87</v>
      </c>
    </row>
    <row r="190" spans="1:2">
      <c r="A190" s="3">
        <f ca="1">IFERROR(__xludf.DUMMYFUNCTION("""COMPUTED_VALUE"""),38625.6666666666)</f>
        <v>38625.666666666599</v>
      </c>
      <c r="B190" s="1">
        <f ca="1">IFERROR(__xludf.DUMMYFUNCTION("""COMPUTED_VALUE"""),1.91)</f>
        <v>1.91</v>
      </c>
    </row>
    <row r="191" spans="1:2">
      <c r="A191" s="3">
        <f ca="1">IFERROR(__xludf.DUMMYFUNCTION("""COMPUTED_VALUE"""),38628.6666666666)</f>
        <v>38628.666666666599</v>
      </c>
      <c r="B191" s="1">
        <f ca="1">IFERROR(__xludf.DUMMYFUNCTION("""COMPUTED_VALUE"""),1.94)</f>
        <v>1.94</v>
      </c>
    </row>
    <row r="192" spans="1:2">
      <c r="A192" s="3">
        <f ca="1">IFERROR(__xludf.DUMMYFUNCTION("""COMPUTED_VALUE"""),38629.6666666666)</f>
        <v>38629.666666666599</v>
      </c>
      <c r="B192" s="1">
        <f ca="1">IFERROR(__xludf.DUMMYFUNCTION("""COMPUTED_VALUE"""),1.92)</f>
        <v>1.92</v>
      </c>
    </row>
    <row r="193" spans="1:2">
      <c r="A193" s="3">
        <f ca="1">IFERROR(__xludf.DUMMYFUNCTION("""COMPUTED_VALUE"""),38630.6666666666)</f>
        <v>38630.666666666599</v>
      </c>
      <c r="B193" s="1">
        <f ca="1">IFERROR(__xludf.DUMMYFUNCTION("""COMPUTED_VALUE"""),1.89)</f>
        <v>1.89</v>
      </c>
    </row>
    <row r="194" spans="1:2">
      <c r="A194" s="3">
        <f ca="1">IFERROR(__xludf.DUMMYFUNCTION("""COMPUTED_VALUE"""),38631.6666666666)</f>
        <v>38631.666666666599</v>
      </c>
      <c r="B194" s="1">
        <f ca="1">IFERROR(__xludf.DUMMYFUNCTION("""COMPUTED_VALUE"""),1.85)</f>
        <v>1.85</v>
      </c>
    </row>
    <row r="195" spans="1:2">
      <c r="A195" s="3">
        <f ca="1">IFERROR(__xludf.DUMMYFUNCTION("""COMPUTED_VALUE"""),38632.6666666666)</f>
        <v>38632.666666666599</v>
      </c>
      <c r="B195" s="1">
        <f ca="1">IFERROR(__xludf.DUMMYFUNCTION("""COMPUTED_VALUE"""),1.83)</f>
        <v>1.83</v>
      </c>
    </row>
    <row r="196" spans="1:2">
      <c r="A196" s="3">
        <f ca="1">IFERROR(__xludf.DUMMYFUNCTION("""COMPUTED_VALUE"""),38635.6666666666)</f>
        <v>38635.666666666599</v>
      </c>
      <c r="B196" s="1">
        <f ca="1">IFERROR(__xludf.DUMMYFUNCTION("""COMPUTED_VALUE"""),1.8)</f>
        <v>1.8</v>
      </c>
    </row>
    <row r="197" spans="1:2">
      <c r="A197" s="3">
        <f ca="1">IFERROR(__xludf.DUMMYFUNCTION("""COMPUTED_VALUE"""),38636.6666666666)</f>
        <v>38636.666666666599</v>
      </c>
      <c r="B197" s="1">
        <f ca="1">IFERROR(__xludf.DUMMYFUNCTION("""COMPUTED_VALUE"""),1.84)</f>
        <v>1.84</v>
      </c>
    </row>
    <row r="198" spans="1:2">
      <c r="A198" s="3">
        <f ca="1">IFERROR(__xludf.DUMMYFUNCTION("""COMPUTED_VALUE"""),38637.6666666666)</f>
        <v>38637.666666666599</v>
      </c>
      <c r="B198" s="1">
        <f ca="1">IFERROR(__xludf.DUMMYFUNCTION("""COMPUTED_VALUE"""),1.76)</f>
        <v>1.76</v>
      </c>
    </row>
    <row r="199" spans="1:2">
      <c r="A199" s="3">
        <f ca="1">IFERROR(__xludf.DUMMYFUNCTION("""COMPUTED_VALUE"""),38638.6666666666)</f>
        <v>38638.666666666599</v>
      </c>
      <c r="B199" s="1">
        <f ca="1">IFERROR(__xludf.DUMMYFUNCTION("""COMPUTED_VALUE"""),1.92)</f>
        <v>1.92</v>
      </c>
    </row>
    <row r="200" spans="1:2">
      <c r="A200" s="3">
        <f ca="1">IFERROR(__xludf.DUMMYFUNCTION("""COMPUTED_VALUE"""),38639.6666666666)</f>
        <v>38639.666666666599</v>
      </c>
      <c r="B200" s="1">
        <f ca="1">IFERROR(__xludf.DUMMYFUNCTION("""COMPUTED_VALUE"""),1.93)</f>
        <v>1.93</v>
      </c>
    </row>
    <row r="201" spans="1:2">
      <c r="A201" s="3">
        <f ca="1">IFERROR(__xludf.DUMMYFUNCTION("""COMPUTED_VALUE"""),38642.6666666666)</f>
        <v>38642.666666666599</v>
      </c>
      <c r="B201" s="1">
        <f ca="1">IFERROR(__xludf.DUMMYFUNCTION("""COMPUTED_VALUE"""),1.91)</f>
        <v>1.91</v>
      </c>
    </row>
    <row r="202" spans="1:2">
      <c r="A202" s="3">
        <f ca="1">IFERROR(__xludf.DUMMYFUNCTION("""COMPUTED_VALUE"""),38643.6666666666)</f>
        <v>38643.666666666599</v>
      </c>
      <c r="B202" s="1">
        <f ca="1">IFERROR(__xludf.DUMMYFUNCTION("""COMPUTED_VALUE"""),1.86)</f>
        <v>1.86</v>
      </c>
    </row>
    <row r="203" spans="1:2">
      <c r="A203" s="3">
        <f ca="1">IFERROR(__xludf.DUMMYFUNCTION("""COMPUTED_VALUE"""),38644.6666666666)</f>
        <v>38644.666666666599</v>
      </c>
      <c r="B203" s="1">
        <f ca="1">IFERROR(__xludf.DUMMYFUNCTION("""COMPUTED_VALUE"""),1.96)</f>
        <v>1.96</v>
      </c>
    </row>
    <row r="204" spans="1:2">
      <c r="A204" s="3">
        <f ca="1">IFERROR(__xludf.DUMMYFUNCTION("""COMPUTED_VALUE"""),38645.6666666666)</f>
        <v>38645.666666666599</v>
      </c>
      <c r="B204" s="1">
        <f ca="1">IFERROR(__xludf.DUMMYFUNCTION("""COMPUTED_VALUE"""),2.01)</f>
        <v>2.0099999999999998</v>
      </c>
    </row>
    <row r="205" spans="1:2">
      <c r="A205" s="3">
        <f ca="1">IFERROR(__xludf.DUMMYFUNCTION("""COMPUTED_VALUE"""),38646.6666666666)</f>
        <v>38646.666666666599</v>
      </c>
      <c r="B205" s="1">
        <f ca="1">IFERROR(__xludf.DUMMYFUNCTION("""COMPUTED_VALUE"""),1.99)</f>
        <v>1.99</v>
      </c>
    </row>
    <row r="206" spans="1:2">
      <c r="A206" s="3">
        <f ca="1">IFERROR(__xludf.DUMMYFUNCTION("""COMPUTED_VALUE"""),38649.6666666666)</f>
        <v>38649.666666666599</v>
      </c>
      <c r="B206" s="1">
        <f ca="1">IFERROR(__xludf.DUMMYFUNCTION("""COMPUTED_VALUE"""),2.03)</f>
        <v>2.0299999999999998</v>
      </c>
    </row>
    <row r="207" spans="1:2">
      <c r="A207" s="3">
        <f ca="1">IFERROR(__xludf.DUMMYFUNCTION("""COMPUTED_VALUE"""),38650.6666666666)</f>
        <v>38650.666666666599</v>
      </c>
      <c r="B207" s="1">
        <f ca="1">IFERROR(__xludf.DUMMYFUNCTION("""COMPUTED_VALUE"""),2)</f>
        <v>2</v>
      </c>
    </row>
    <row r="208" spans="1:2">
      <c r="A208" s="3">
        <f ca="1">IFERROR(__xludf.DUMMYFUNCTION("""COMPUTED_VALUE"""),38651.6666666666)</f>
        <v>38651.666666666599</v>
      </c>
      <c r="B208" s="1">
        <f ca="1">IFERROR(__xludf.DUMMYFUNCTION("""COMPUTED_VALUE"""),2.04)</f>
        <v>2.04</v>
      </c>
    </row>
    <row r="209" spans="1:2">
      <c r="A209" s="3">
        <f ca="1">IFERROR(__xludf.DUMMYFUNCTION("""COMPUTED_VALUE"""),38652.6666666666)</f>
        <v>38652.666666666599</v>
      </c>
      <c r="B209" s="1">
        <f ca="1">IFERROR(__xludf.DUMMYFUNCTION("""COMPUTED_VALUE"""),1.98)</f>
        <v>1.98</v>
      </c>
    </row>
    <row r="210" spans="1:2">
      <c r="A210" s="3">
        <f ca="1">IFERROR(__xludf.DUMMYFUNCTION("""COMPUTED_VALUE"""),38653.6666666666)</f>
        <v>38653.666666666599</v>
      </c>
      <c r="B210" s="1">
        <f ca="1">IFERROR(__xludf.DUMMYFUNCTION("""COMPUTED_VALUE"""),1.95)</f>
        <v>1.95</v>
      </c>
    </row>
    <row r="211" spans="1:2">
      <c r="A211" s="3">
        <f ca="1">IFERROR(__xludf.DUMMYFUNCTION("""COMPUTED_VALUE"""),38656.6666666666)</f>
        <v>38656.666666666599</v>
      </c>
      <c r="B211" s="1">
        <f ca="1">IFERROR(__xludf.DUMMYFUNCTION("""COMPUTED_VALUE"""),2.06)</f>
        <v>2.06</v>
      </c>
    </row>
    <row r="212" spans="1:2">
      <c r="A212" s="3">
        <f ca="1">IFERROR(__xludf.DUMMYFUNCTION("""COMPUTED_VALUE"""),38657.6666666666)</f>
        <v>38657.666666666599</v>
      </c>
      <c r="B212" s="1">
        <f ca="1">IFERROR(__xludf.DUMMYFUNCTION("""COMPUTED_VALUE"""),2.05)</f>
        <v>2.0499999999999998</v>
      </c>
    </row>
    <row r="213" spans="1:2">
      <c r="A213" s="3">
        <f ca="1">IFERROR(__xludf.DUMMYFUNCTION("""COMPUTED_VALUE"""),38658.6666666666)</f>
        <v>38658.666666666599</v>
      </c>
      <c r="B213" s="1">
        <f ca="1">IFERROR(__xludf.DUMMYFUNCTION("""COMPUTED_VALUE"""),2.14)</f>
        <v>2.14</v>
      </c>
    </row>
    <row r="214" spans="1:2">
      <c r="A214" s="3">
        <f ca="1">IFERROR(__xludf.DUMMYFUNCTION("""COMPUTED_VALUE"""),38659.6666666666)</f>
        <v>38659.666666666599</v>
      </c>
      <c r="B214" s="1">
        <f ca="1">IFERROR(__xludf.DUMMYFUNCTION("""COMPUTED_VALUE"""),2.21)</f>
        <v>2.21</v>
      </c>
    </row>
    <row r="215" spans="1:2">
      <c r="A215" s="3">
        <f ca="1">IFERROR(__xludf.DUMMYFUNCTION("""COMPUTED_VALUE"""),38660.6666666666)</f>
        <v>38660.666666666599</v>
      </c>
      <c r="B215" s="1">
        <f ca="1">IFERROR(__xludf.DUMMYFUNCTION("""COMPUTED_VALUE"""),2.18)</f>
        <v>2.1800000000000002</v>
      </c>
    </row>
    <row r="216" spans="1:2">
      <c r="A216" s="3">
        <f ca="1">IFERROR(__xludf.DUMMYFUNCTION("""COMPUTED_VALUE"""),38663.6666666666)</f>
        <v>38663.666666666599</v>
      </c>
      <c r="B216" s="1">
        <f ca="1">IFERROR(__xludf.DUMMYFUNCTION("""COMPUTED_VALUE"""),2.15)</f>
        <v>2.15</v>
      </c>
    </row>
    <row r="217" spans="1:2">
      <c r="A217" s="3">
        <f ca="1">IFERROR(__xludf.DUMMYFUNCTION("""COMPUTED_VALUE"""),38664.6666666666)</f>
        <v>38664.666666666599</v>
      </c>
      <c r="B217" s="1">
        <f ca="1">IFERROR(__xludf.DUMMYFUNCTION("""COMPUTED_VALUE"""),2.14)</f>
        <v>2.14</v>
      </c>
    </row>
    <row r="218" spans="1:2">
      <c r="A218" s="3">
        <f ca="1">IFERROR(__xludf.DUMMYFUNCTION("""COMPUTED_VALUE"""),38665.6666666666)</f>
        <v>38665.666666666599</v>
      </c>
      <c r="B218" s="1">
        <f ca="1">IFERROR(__xludf.DUMMYFUNCTION("""COMPUTED_VALUE"""),2.15)</f>
        <v>2.15</v>
      </c>
    </row>
    <row r="219" spans="1:2">
      <c r="A219" s="3">
        <f ca="1">IFERROR(__xludf.DUMMYFUNCTION("""COMPUTED_VALUE"""),38666.6666666666)</f>
        <v>38666.666666666599</v>
      </c>
      <c r="B219" s="1">
        <f ca="1">IFERROR(__xludf.DUMMYFUNCTION("""COMPUTED_VALUE"""),2.19)</f>
        <v>2.19</v>
      </c>
    </row>
    <row r="220" spans="1:2">
      <c r="A220" s="3">
        <f ca="1">IFERROR(__xludf.DUMMYFUNCTION("""COMPUTED_VALUE"""),38667.6666666666)</f>
        <v>38667.666666666599</v>
      </c>
      <c r="B220" s="1">
        <f ca="1">IFERROR(__xludf.DUMMYFUNCTION("""COMPUTED_VALUE"""),2.2)</f>
        <v>2.2000000000000002</v>
      </c>
    </row>
    <row r="221" spans="1:2">
      <c r="A221" s="3">
        <f ca="1">IFERROR(__xludf.DUMMYFUNCTION("""COMPUTED_VALUE"""),38670.6666666666)</f>
        <v>38670.666666666599</v>
      </c>
      <c r="B221" s="1">
        <f ca="1">IFERROR(__xludf.DUMMYFUNCTION("""COMPUTED_VALUE"""),2.19)</f>
        <v>2.19</v>
      </c>
    </row>
    <row r="222" spans="1:2">
      <c r="A222" s="3">
        <f ca="1">IFERROR(__xludf.DUMMYFUNCTION("""COMPUTED_VALUE"""),38671.6666666666)</f>
        <v>38671.666666666599</v>
      </c>
      <c r="B222" s="1">
        <f ca="1">IFERROR(__xludf.DUMMYFUNCTION("""COMPUTED_VALUE"""),2.22)</f>
        <v>2.2200000000000002</v>
      </c>
    </row>
    <row r="223" spans="1:2">
      <c r="A223" s="3">
        <f ca="1">IFERROR(__xludf.DUMMYFUNCTION("""COMPUTED_VALUE"""),38672.6666666666)</f>
        <v>38672.666666666599</v>
      </c>
      <c r="B223" s="1">
        <f ca="1">IFERROR(__xludf.DUMMYFUNCTION("""COMPUTED_VALUE"""),2.32)</f>
        <v>2.3199999999999998</v>
      </c>
    </row>
    <row r="224" spans="1:2">
      <c r="A224" s="3">
        <f ca="1">IFERROR(__xludf.DUMMYFUNCTION("""COMPUTED_VALUE"""),38673.6666666666)</f>
        <v>38673.666666666599</v>
      </c>
      <c r="B224" s="1">
        <f ca="1">IFERROR(__xludf.DUMMYFUNCTION("""COMPUTED_VALUE"""),2.3)</f>
        <v>2.2999999999999998</v>
      </c>
    </row>
    <row r="225" spans="1:2">
      <c r="A225" s="3">
        <f ca="1">IFERROR(__xludf.DUMMYFUNCTION("""COMPUTED_VALUE"""),38674.6666666666)</f>
        <v>38674.666666666599</v>
      </c>
      <c r="B225" s="1">
        <f ca="1">IFERROR(__xludf.DUMMYFUNCTION("""COMPUTED_VALUE"""),2.31)</f>
        <v>2.31</v>
      </c>
    </row>
    <row r="226" spans="1:2">
      <c r="A226" s="3">
        <f ca="1">IFERROR(__xludf.DUMMYFUNCTION("""COMPUTED_VALUE"""),38677.6666666666)</f>
        <v>38677.666666666599</v>
      </c>
      <c r="B226" s="1">
        <f ca="1">IFERROR(__xludf.DUMMYFUNCTION("""COMPUTED_VALUE"""),2.32)</f>
        <v>2.3199999999999998</v>
      </c>
    </row>
    <row r="227" spans="1:2">
      <c r="A227" s="3">
        <f ca="1">IFERROR(__xludf.DUMMYFUNCTION("""COMPUTED_VALUE"""),38678.6666666666)</f>
        <v>38678.666666666599</v>
      </c>
      <c r="B227" s="1">
        <f ca="1">IFERROR(__xludf.DUMMYFUNCTION("""COMPUTED_VALUE"""),2.38)</f>
        <v>2.38</v>
      </c>
    </row>
    <row r="228" spans="1:2">
      <c r="A228" s="3">
        <f ca="1">IFERROR(__xludf.DUMMYFUNCTION("""COMPUTED_VALUE"""),38679.6666666666)</f>
        <v>38679.666666666599</v>
      </c>
      <c r="B228" s="1">
        <f ca="1">IFERROR(__xludf.DUMMYFUNCTION("""COMPUTED_VALUE"""),2.4)</f>
        <v>2.4</v>
      </c>
    </row>
    <row r="229" spans="1:2">
      <c r="A229" s="3">
        <f ca="1">IFERROR(__xludf.DUMMYFUNCTION("""COMPUTED_VALUE"""),38681.6666666666)</f>
        <v>38681.666666666599</v>
      </c>
      <c r="B229" s="1">
        <f ca="1">IFERROR(__xludf.DUMMYFUNCTION("""COMPUTED_VALUE"""),2.48)</f>
        <v>2.48</v>
      </c>
    </row>
    <row r="230" spans="1:2">
      <c r="A230" s="3">
        <f ca="1">IFERROR(__xludf.DUMMYFUNCTION("""COMPUTED_VALUE"""),38684.6666666666)</f>
        <v>38684.666666666599</v>
      </c>
      <c r="B230" s="1">
        <f ca="1">IFERROR(__xludf.DUMMYFUNCTION("""COMPUTED_VALUE"""),2.49)</f>
        <v>2.4900000000000002</v>
      </c>
    </row>
    <row r="231" spans="1:2">
      <c r="A231" s="3">
        <f ca="1">IFERROR(__xludf.DUMMYFUNCTION("""COMPUTED_VALUE"""),38685.6666666666)</f>
        <v>38685.666666666599</v>
      </c>
      <c r="B231" s="1">
        <f ca="1">IFERROR(__xludf.DUMMYFUNCTION("""COMPUTED_VALUE"""),2.43)</f>
        <v>2.4300000000000002</v>
      </c>
    </row>
    <row r="232" spans="1:2">
      <c r="A232" s="3">
        <f ca="1">IFERROR(__xludf.DUMMYFUNCTION("""COMPUTED_VALUE"""),38686.6666666666)</f>
        <v>38686.666666666599</v>
      </c>
      <c r="B232" s="1">
        <f ca="1">IFERROR(__xludf.DUMMYFUNCTION("""COMPUTED_VALUE"""),2.42)</f>
        <v>2.42</v>
      </c>
    </row>
    <row r="233" spans="1:2">
      <c r="A233" s="3">
        <f ca="1">IFERROR(__xludf.DUMMYFUNCTION("""COMPUTED_VALUE"""),38687.6666666666)</f>
        <v>38687.666666666599</v>
      </c>
      <c r="B233" s="1">
        <f ca="1">IFERROR(__xludf.DUMMYFUNCTION("""COMPUTED_VALUE"""),2.56)</f>
        <v>2.56</v>
      </c>
    </row>
    <row r="234" spans="1:2">
      <c r="A234" s="3">
        <f ca="1">IFERROR(__xludf.DUMMYFUNCTION("""COMPUTED_VALUE"""),38688.6666666666)</f>
        <v>38688.666666666599</v>
      </c>
      <c r="B234" s="1">
        <f ca="1">IFERROR(__xludf.DUMMYFUNCTION("""COMPUTED_VALUE"""),2.59)</f>
        <v>2.59</v>
      </c>
    </row>
    <row r="235" spans="1:2">
      <c r="A235" s="3">
        <f ca="1">IFERROR(__xludf.DUMMYFUNCTION("""COMPUTED_VALUE"""),38691.6666666666)</f>
        <v>38691.666666666599</v>
      </c>
      <c r="B235" s="1">
        <f ca="1">IFERROR(__xludf.DUMMYFUNCTION("""COMPUTED_VALUE"""),2.57)</f>
        <v>2.57</v>
      </c>
    </row>
    <row r="236" spans="1:2">
      <c r="A236" s="3">
        <f ca="1">IFERROR(__xludf.DUMMYFUNCTION("""COMPUTED_VALUE"""),38692.6666666666)</f>
        <v>38692.666666666599</v>
      </c>
      <c r="B236" s="1">
        <f ca="1">IFERROR(__xludf.DUMMYFUNCTION("""COMPUTED_VALUE"""),2.64)</f>
        <v>2.64</v>
      </c>
    </row>
    <row r="237" spans="1:2">
      <c r="A237" s="3">
        <f ca="1">IFERROR(__xludf.DUMMYFUNCTION("""COMPUTED_VALUE"""),38693.6666666666)</f>
        <v>38693.666666666599</v>
      </c>
      <c r="B237" s="1">
        <f ca="1">IFERROR(__xludf.DUMMYFUNCTION("""COMPUTED_VALUE"""),2.64)</f>
        <v>2.64</v>
      </c>
    </row>
    <row r="238" spans="1:2">
      <c r="A238" s="3">
        <f ca="1">IFERROR(__xludf.DUMMYFUNCTION("""COMPUTED_VALUE"""),38694.6666666666)</f>
        <v>38694.666666666599</v>
      </c>
      <c r="B238" s="1">
        <f ca="1">IFERROR(__xludf.DUMMYFUNCTION("""COMPUTED_VALUE"""),2.65)</f>
        <v>2.65</v>
      </c>
    </row>
    <row r="239" spans="1:2">
      <c r="A239" s="3">
        <f ca="1">IFERROR(__xludf.DUMMYFUNCTION("""COMPUTED_VALUE"""),38695.6666666666)</f>
        <v>38695.666666666599</v>
      </c>
      <c r="B239" s="1">
        <f ca="1">IFERROR(__xludf.DUMMYFUNCTION("""COMPUTED_VALUE"""),2.65)</f>
        <v>2.65</v>
      </c>
    </row>
    <row r="240" spans="1:2">
      <c r="A240" s="3">
        <f ca="1">IFERROR(__xludf.DUMMYFUNCTION("""COMPUTED_VALUE"""),38698.6666666666)</f>
        <v>38698.666666666599</v>
      </c>
      <c r="B240" s="1">
        <f ca="1">IFERROR(__xludf.DUMMYFUNCTION("""COMPUTED_VALUE"""),2.68)</f>
        <v>2.68</v>
      </c>
    </row>
    <row r="241" spans="1:2">
      <c r="A241" s="3">
        <f ca="1">IFERROR(__xludf.DUMMYFUNCTION("""COMPUTED_VALUE"""),38699.6666666666)</f>
        <v>38699.666666666599</v>
      </c>
      <c r="B241" s="1">
        <f ca="1">IFERROR(__xludf.DUMMYFUNCTION("""COMPUTED_VALUE"""),2.68)</f>
        <v>2.68</v>
      </c>
    </row>
    <row r="242" spans="1:2">
      <c r="A242" s="3">
        <f ca="1">IFERROR(__xludf.DUMMYFUNCTION("""COMPUTED_VALUE"""),38700.6666666666)</f>
        <v>38700.666666666599</v>
      </c>
      <c r="B242" s="1">
        <f ca="1">IFERROR(__xludf.DUMMYFUNCTION("""COMPUTED_VALUE"""),2.57)</f>
        <v>2.57</v>
      </c>
    </row>
    <row r="243" spans="1:2">
      <c r="A243" s="3">
        <f ca="1">IFERROR(__xludf.DUMMYFUNCTION("""COMPUTED_VALUE"""),38701.6666666666)</f>
        <v>38701.666666666599</v>
      </c>
      <c r="B243" s="1">
        <f ca="1">IFERROR(__xludf.DUMMYFUNCTION("""COMPUTED_VALUE"""),2.58)</f>
        <v>2.58</v>
      </c>
    </row>
    <row r="244" spans="1:2">
      <c r="A244" s="3">
        <f ca="1">IFERROR(__xludf.DUMMYFUNCTION("""COMPUTED_VALUE"""),38702.6666666666)</f>
        <v>38702.666666666599</v>
      </c>
      <c r="B244" s="1">
        <f ca="1">IFERROR(__xludf.DUMMYFUNCTION("""COMPUTED_VALUE"""),2.54)</f>
        <v>2.54</v>
      </c>
    </row>
    <row r="245" spans="1:2">
      <c r="A245" s="3">
        <f ca="1">IFERROR(__xludf.DUMMYFUNCTION("""COMPUTED_VALUE"""),38705.6666666666)</f>
        <v>38705.666666666599</v>
      </c>
      <c r="B245" s="1">
        <f ca="1">IFERROR(__xludf.DUMMYFUNCTION("""COMPUTED_VALUE"""),2.55)</f>
        <v>2.5499999999999998</v>
      </c>
    </row>
    <row r="246" spans="1:2">
      <c r="A246" s="3">
        <f ca="1">IFERROR(__xludf.DUMMYFUNCTION("""COMPUTED_VALUE"""),38706.6666666666)</f>
        <v>38706.666666666599</v>
      </c>
      <c r="B246" s="1">
        <f ca="1">IFERROR(__xludf.DUMMYFUNCTION("""COMPUTED_VALUE"""),2.58)</f>
        <v>2.58</v>
      </c>
    </row>
    <row r="247" spans="1:2">
      <c r="A247" s="3">
        <f ca="1">IFERROR(__xludf.DUMMYFUNCTION("""COMPUTED_VALUE"""),38707.6666666666)</f>
        <v>38707.666666666599</v>
      </c>
      <c r="B247" s="1">
        <f ca="1">IFERROR(__xludf.DUMMYFUNCTION("""COMPUTED_VALUE"""),2.63)</f>
        <v>2.63</v>
      </c>
    </row>
    <row r="248" spans="1:2">
      <c r="A248" s="3">
        <f ca="1">IFERROR(__xludf.DUMMYFUNCTION("""COMPUTED_VALUE"""),38708.6666666666)</f>
        <v>38708.666666666599</v>
      </c>
      <c r="B248" s="1">
        <f ca="1">IFERROR(__xludf.DUMMYFUNCTION("""COMPUTED_VALUE"""),2.64)</f>
        <v>2.64</v>
      </c>
    </row>
    <row r="249" spans="1:2">
      <c r="A249" s="3">
        <f ca="1">IFERROR(__xludf.DUMMYFUNCTION("""COMPUTED_VALUE"""),38709.6666666666)</f>
        <v>38709.666666666599</v>
      </c>
      <c r="B249" s="1">
        <f ca="1">IFERROR(__xludf.DUMMYFUNCTION("""COMPUTED_VALUE"""),2.62)</f>
        <v>2.62</v>
      </c>
    </row>
    <row r="250" spans="1:2">
      <c r="A250" s="3">
        <f ca="1">IFERROR(__xludf.DUMMYFUNCTION("""COMPUTED_VALUE"""),38713.6666666666)</f>
        <v>38713.666666666599</v>
      </c>
      <c r="B250" s="1">
        <f ca="1">IFERROR(__xludf.DUMMYFUNCTION("""COMPUTED_VALUE"""),2.65)</f>
        <v>2.65</v>
      </c>
    </row>
    <row r="251" spans="1:2">
      <c r="A251" s="3">
        <f ca="1">IFERROR(__xludf.DUMMYFUNCTION("""COMPUTED_VALUE"""),38714.6666666666)</f>
        <v>38714.666666666599</v>
      </c>
      <c r="B251" s="1">
        <f ca="1">IFERROR(__xludf.DUMMYFUNCTION("""COMPUTED_VALUE"""),2.63)</f>
        <v>2.63</v>
      </c>
    </row>
    <row r="252" spans="1:2">
      <c r="A252" s="3">
        <f ca="1">IFERROR(__xludf.DUMMYFUNCTION("""COMPUTED_VALUE"""),38715.6666666666)</f>
        <v>38715.666666666599</v>
      </c>
      <c r="B252" s="1">
        <f ca="1">IFERROR(__xludf.DUMMYFUNCTION("""COMPUTED_VALUE"""),2.55)</f>
        <v>2.5499999999999998</v>
      </c>
    </row>
    <row r="253" spans="1:2">
      <c r="A253" s="3">
        <f ca="1">IFERROR(__xludf.DUMMYFUNCTION("""COMPUTED_VALUE"""),38716.6666666666)</f>
        <v>38716.666666666599</v>
      </c>
      <c r="B253" s="1">
        <f ca="1">IFERROR(__xludf.DUMMYFUNCTION("""COMPUTED_VALUE"""),2.57)</f>
        <v>2.57</v>
      </c>
    </row>
    <row r="254" spans="1:2">
      <c r="A254" s="3">
        <f ca="1">IFERROR(__xludf.DUMMYFUNCTION("""COMPUTED_VALUE"""),38720.6666666666)</f>
        <v>38720.666666666599</v>
      </c>
      <c r="B254" s="1">
        <f ca="1">IFERROR(__xludf.DUMMYFUNCTION("""COMPUTED_VALUE"""),2.67)</f>
        <v>2.67</v>
      </c>
    </row>
    <row r="255" spans="1:2">
      <c r="A255" s="3">
        <f ca="1">IFERROR(__xludf.DUMMYFUNCTION("""COMPUTED_VALUE"""),38721.6666666666)</f>
        <v>38721.666666666599</v>
      </c>
      <c r="B255" s="1">
        <f ca="1">IFERROR(__xludf.DUMMYFUNCTION("""COMPUTED_VALUE"""),2.68)</f>
        <v>2.68</v>
      </c>
    </row>
    <row r="256" spans="1:2">
      <c r="A256" s="3">
        <f ca="1">IFERROR(__xludf.DUMMYFUNCTION("""COMPUTED_VALUE"""),38722.6666666666)</f>
        <v>38722.666666666599</v>
      </c>
      <c r="B256" s="1">
        <f ca="1">IFERROR(__xludf.DUMMYFUNCTION("""COMPUTED_VALUE"""),2.66)</f>
        <v>2.66</v>
      </c>
    </row>
    <row r="257" spans="1:2">
      <c r="A257" s="3">
        <f ca="1">IFERROR(__xludf.DUMMYFUNCTION("""COMPUTED_VALUE"""),38723.6666666666)</f>
        <v>38723.666666666599</v>
      </c>
      <c r="B257" s="1">
        <f ca="1">IFERROR(__xludf.DUMMYFUNCTION("""COMPUTED_VALUE"""),2.73)</f>
        <v>2.73</v>
      </c>
    </row>
    <row r="258" spans="1:2">
      <c r="A258" s="3">
        <f ca="1">IFERROR(__xludf.DUMMYFUNCTION("""COMPUTED_VALUE"""),38726.6666666666)</f>
        <v>38726.666666666599</v>
      </c>
      <c r="B258" s="1">
        <f ca="1">IFERROR(__xludf.DUMMYFUNCTION("""COMPUTED_VALUE"""),2.72)</f>
        <v>2.72</v>
      </c>
    </row>
    <row r="259" spans="1:2">
      <c r="A259" s="3">
        <f ca="1">IFERROR(__xludf.DUMMYFUNCTION("""COMPUTED_VALUE"""),38727.6666666666)</f>
        <v>38727.666666666599</v>
      </c>
      <c r="B259" s="1">
        <f ca="1">IFERROR(__xludf.DUMMYFUNCTION("""COMPUTED_VALUE"""),2.89)</f>
        <v>2.89</v>
      </c>
    </row>
    <row r="260" spans="1:2">
      <c r="A260" s="3">
        <f ca="1">IFERROR(__xludf.DUMMYFUNCTION("""COMPUTED_VALUE"""),38728.6666666666)</f>
        <v>38728.666666666599</v>
      </c>
      <c r="B260" s="1">
        <f ca="1">IFERROR(__xludf.DUMMYFUNCTION("""COMPUTED_VALUE"""),3)</f>
        <v>3</v>
      </c>
    </row>
    <row r="261" spans="1:2">
      <c r="A261" s="3">
        <f ca="1">IFERROR(__xludf.DUMMYFUNCTION("""COMPUTED_VALUE"""),38729.6666666666)</f>
        <v>38729.666666666599</v>
      </c>
      <c r="B261" s="1">
        <f ca="1">IFERROR(__xludf.DUMMYFUNCTION("""COMPUTED_VALUE"""),3.01)</f>
        <v>3.01</v>
      </c>
    </row>
    <row r="262" spans="1:2">
      <c r="A262" s="3">
        <f ca="1">IFERROR(__xludf.DUMMYFUNCTION("""COMPUTED_VALUE"""),38730.6666666666)</f>
        <v>38730.666666666599</v>
      </c>
      <c r="B262" s="1">
        <f ca="1">IFERROR(__xludf.DUMMYFUNCTION("""COMPUTED_VALUE"""),3.06)</f>
        <v>3.06</v>
      </c>
    </row>
    <row r="263" spans="1:2">
      <c r="A263" s="3">
        <f ca="1">IFERROR(__xludf.DUMMYFUNCTION("""COMPUTED_VALUE"""),38734.6666666666)</f>
        <v>38734.666666666599</v>
      </c>
      <c r="B263" s="1">
        <f ca="1">IFERROR(__xludf.DUMMYFUNCTION("""COMPUTED_VALUE"""),3.03)</f>
        <v>3.03</v>
      </c>
    </row>
    <row r="264" spans="1:2">
      <c r="A264" s="3">
        <f ca="1">IFERROR(__xludf.DUMMYFUNCTION("""COMPUTED_VALUE"""),38735.6666666666)</f>
        <v>38735.666666666599</v>
      </c>
      <c r="B264" s="1">
        <f ca="1">IFERROR(__xludf.DUMMYFUNCTION("""COMPUTED_VALUE"""),2.95)</f>
        <v>2.95</v>
      </c>
    </row>
    <row r="265" spans="1:2">
      <c r="A265" s="3">
        <f ca="1">IFERROR(__xludf.DUMMYFUNCTION("""COMPUTED_VALUE"""),38736.6666666666)</f>
        <v>38736.666666666599</v>
      </c>
      <c r="B265" s="1">
        <f ca="1">IFERROR(__xludf.DUMMYFUNCTION("""COMPUTED_VALUE"""),2.82)</f>
        <v>2.82</v>
      </c>
    </row>
    <row r="266" spans="1:2">
      <c r="A266" s="3">
        <f ca="1">IFERROR(__xludf.DUMMYFUNCTION("""COMPUTED_VALUE"""),38737.6666666666)</f>
        <v>38737.666666666599</v>
      </c>
      <c r="B266" s="1">
        <f ca="1">IFERROR(__xludf.DUMMYFUNCTION("""COMPUTED_VALUE"""),2.72)</f>
        <v>2.72</v>
      </c>
    </row>
    <row r="267" spans="1:2">
      <c r="A267" s="3">
        <f ca="1">IFERROR(__xludf.DUMMYFUNCTION("""COMPUTED_VALUE"""),38740.6666666666)</f>
        <v>38740.666666666599</v>
      </c>
      <c r="B267" s="1">
        <f ca="1">IFERROR(__xludf.DUMMYFUNCTION("""COMPUTED_VALUE"""),2.77)</f>
        <v>2.77</v>
      </c>
    </row>
    <row r="268" spans="1:2">
      <c r="A268" s="3">
        <f ca="1">IFERROR(__xludf.DUMMYFUNCTION("""COMPUTED_VALUE"""),38741.6666666666)</f>
        <v>38741.666666666599</v>
      </c>
      <c r="B268" s="1">
        <f ca="1">IFERROR(__xludf.DUMMYFUNCTION("""COMPUTED_VALUE"""),2.72)</f>
        <v>2.72</v>
      </c>
    </row>
    <row r="269" spans="1:2">
      <c r="A269" s="3">
        <f ca="1">IFERROR(__xludf.DUMMYFUNCTION("""COMPUTED_VALUE"""),38742.6666666666)</f>
        <v>38742.666666666599</v>
      </c>
      <c r="B269" s="1">
        <f ca="1">IFERROR(__xludf.DUMMYFUNCTION("""COMPUTED_VALUE"""),2.65)</f>
        <v>2.65</v>
      </c>
    </row>
    <row r="270" spans="1:2">
      <c r="A270" s="3">
        <f ca="1">IFERROR(__xludf.DUMMYFUNCTION("""COMPUTED_VALUE"""),38743.6666666666)</f>
        <v>38743.666666666599</v>
      </c>
      <c r="B270" s="1">
        <f ca="1">IFERROR(__xludf.DUMMYFUNCTION("""COMPUTED_VALUE"""),2.58)</f>
        <v>2.58</v>
      </c>
    </row>
    <row r="271" spans="1:2">
      <c r="A271" s="3">
        <f ca="1">IFERROR(__xludf.DUMMYFUNCTION("""COMPUTED_VALUE"""),38744.6666666666)</f>
        <v>38744.666666666599</v>
      </c>
      <c r="B271" s="1">
        <f ca="1">IFERROR(__xludf.DUMMYFUNCTION("""COMPUTED_VALUE"""),2.57)</f>
        <v>2.57</v>
      </c>
    </row>
    <row r="272" spans="1:2">
      <c r="A272" s="3">
        <f ca="1">IFERROR(__xludf.DUMMYFUNCTION("""COMPUTED_VALUE"""),38747.6666666666)</f>
        <v>38747.666666666599</v>
      </c>
      <c r="B272" s="1">
        <f ca="1">IFERROR(__xludf.DUMMYFUNCTION("""COMPUTED_VALUE"""),2.68)</f>
        <v>2.68</v>
      </c>
    </row>
    <row r="273" spans="1:2">
      <c r="A273" s="3">
        <f ca="1">IFERROR(__xludf.DUMMYFUNCTION("""COMPUTED_VALUE"""),38748.6666666666)</f>
        <v>38748.666666666599</v>
      </c>
      <c r="B273" s="1">
        <f ca="1">IFERROR(__xludf.DUMMYFUNCTION("""COMPUTED_VALUE"""),2.7)</f>
        <v>2.7</v>
      </c>
    </row>
    <row r="274" spans="1:2">
      <c r="A274" s="3">
        <f ca="1">IFERROR(__xludf.DUMMYFUNCTION("""COMPUTED_VALUE"""),38749.6666666666)</f>
        <v>38749.666666666599</v>
      </c>
      <c r="B274" s="1">
        <f ca="1">IFERROR(__xludf.DUMMYFUNCTION("""COMPUTED_VALUE"""),2.69)</f>
        <v>2.69</v>
      </c>
    </row>
    <row r="275" spans="1:2">
      <c r="A275" s="3">
        <f ca="1">IFERROR(__xludf.DUMMYFUNCTION("""COMPUTED_VALUE"""),38750.6666666666)</f>
        <v>38750.666666666599</v>
      </c>
      <c r="B275" s="1">
        <f ca="1">IFERROR(__xludf.DUMMYFUNCTION("""COMPUTED_VALUE"""),2.58)</f>
        <v>2.58</v>
      </c>
    </row>
    <row r="276" spans="1:2">
      <c r="A276" s="3">
        <f ca="1">IFERROR(__xludf.DUMMYFUNCTION("""COMPUTED_VALUE"""),38751.6666666666)</f>
        <v>38751.666666666599</v>
      </c>
      <c r="B276" s="1">
        <f ca="1">IFERROR(__xludf.DUMMYFUNCTION("""COMPUTED_VALUE"""),2.57)</f>
        <v>2.57</v>
      </c>
    </row>
    <row r="277" spans="1:2">
      <c r="A277" s="3">
        <f ca="1">IFERROR(__xludf.DUMMYFUNCTION("""COMPUTED_VALUE"""),38754.6666666666)</f>
        <v>38754.666666666599</v>
      </c>
      <c r="B277" s="1">
        <f ca="1">IFERROR(__xludf.DUMMYFUNCTION("""COMPUTED_VALUE"""),2.4)</f>
        <v>2.4</v>
      </c>
    </row>
    <row r="278" spans="1:2">
      <c r="A278" s="3">
        <f ca="1">IFERROR(__xludf.DUMMYFUNCTION("""COMPUTED_VALUE"""),38755.6666666666)</f>
        <v>38755.666666666599</v>
      </c>
      <c r="B278" s="1">
        <f ca="1">IFERROR(__xludf.DUMMYFUNCTION("""COMPUTED_VALUE"""),2.41)</f>
        <v>2.41</v>
      </c>
    </row>
    <row r="279" spans="1:2">
      <c r="A279" s="3">
        <f ca="1">IFERROR(__xludf.DUMMYFUNCTION("""COMPUTED_VALUE"""),38756.6666666666)</f>
        <v>38756.666666666599</v>
      </c>
      <c r="B279" s="1">
        <f ca="1">IFERROR(__xludf.DUMMYFUNCTION("""COMPUTED_VALUE"""),2.46)</f>
        <v>2.46</v>
      </c>
    </row>
    <row r="280" spans="1:2">
      <c r="A280" s="3">
        <f ca="1">IFERROR(__xludf.DUMMYFUNCTION("""COMPUTED_VALUE"""),38757.6666666666)</f>
        <v>38757.666666666599</v>
      </c>
      <c r="B280" s="1">
        <f ca="1">IFERROR(__xludf.DUMMYFUNCTION("""COMPUTED_VALUE"""),2.32)</f>
        <v>2.3199999999999998</v>
      </c>
    </row>
    <row r="281" spans="1:2">
      <c r="A281" s="3">
        <f ca="1">IFERROR(__xludf.DUMMYFUNCTION("""COMPUTED_VALUE"""),38758.6666666666)</f>
        <v>38758.666666666599</v>
      </c>
      <c r="B281" s="1">
        <f ca="1">IFERROR(__xludf.DUMMYFUNCTION("""COMPUTED_VALUE"""),2.4)</f>
        <v>2.4</v>
      </c>
    </row>
    <row r="282" spans="1:2">
      <c r="A282" s="3">
        <f ca="1">IFERROR(__xludf.DUMMYFUNCTION("""COMPUTED_VALUE"""),38761.6666666666)</f>
        <v>38761.666666666599</v>
      </c>
      <c r="B282" s="1">
        <f ca="1">IFERROR(__xludf.DUMMYFUNCTION("""COMPUTED_VALUE"""),2.31)</f>
        <v>2.31</v>
      </c>
    </row>
    <row r="283" spans="1:2">
      <c r="A283" s="3">
        <f ca="1">IFERROR(__xludf.DUMMYFUNCTION("""COMPUTED_VALUE"""),38762.6666666666)</f>
        <v>38762.666666666599</v>
      </c>
      <c r="B283" s="1">
        <f ca="1">IFERROR(__xludf.DUMMYFUNCTION("""COMPUTED_VALUE"""),2.42)</f>
        <v>2.42</v>
      </c>
    </row>
    <row r="284" spans="1:2">
      <c r="A284" s="3">
        <f ca="1">IFERROR(__xludf.DUMMYFUNCTION("""COMPUTED_VALUE"""),38763.6666666666)</f>
        <v>38763.666666666599</v>
      </c>
      <c r="B284" s="1">
        <f ca="1">IFERROR(__xludf.DUMMYFUNCTION("""COMPUTED_VALUE"""),2.47)</f>
        <v>2.4700000000000002</v>
      </c>
    </row>
    <row r="285" spans="1:2">
      <c r="A285" s="3">
        <f ca="1">IFERROR(__xludf.DUMMYFUNCTION("""COMPUTED_VALUE"""),38764.6666666666)</f>
        <v>38764.666666666599</v>
      </c>
      <c r="B285" s="1">
        <f ca="1">IFERROR(__xludf.DUMMYFUNCTION("""COMPUTED_VALUE"""),2.52)</f>
        <v>2.52</v>
      </c>
    </row>
    <row r="286" spans="1:2">
      <c r="A286" s="3">
        <f ca="1">IFERROR(__xludf.DUMMYFUNCTION("""COMPUTED_VALUE"""),38765.6666666666)</f>
        <v>38765.666666666599</v>
      </c>
      <c r="B286" s="1">
        <f ca="1">IFERROR(__xludf.DUMMYFUNCTION("""COMPUTED_VALUE"""),2.51)</f>
        <v>2.5099999999999998</v>
      </c>
    </row>
    <row r="287" spans="1:2">
      <c r="A287" s="3">
        <f ca="1">IFERROR(__xludf.DUMMYFUNCTION("""COMPUTED_VALUE"""),38769.6666666666)</f>
        <v>38769.666666666599</v>
      </c>
      <c r="B287" s="1">
        <f ca="1">IFERROR(__xludf.DUMMYFUNCTION("""COMPUTED_VALUE"""),2.47)</f>
        <v>2.4700000000000002</v>
      </c>
    </row>
    <row r="288" spans="1:2">
      <c r="A288" s="3">
        <f ca="1">IFERROR(__xludf.DUMMYFUNCTION("""COMPUTED_VALUE"""),38770.6666666666)</f>
        <v>38770.666666666599</v>
      </c>
      <c r="B288" s="1">
        <f ca="1">IFERROR(__xludf.DUMMYFUNCTION("""COMPUTED_VALUE"""),2.55)</f>
        <v>2.5499999999999998</v>
      </c>
    </row>
    <row r="289" spans="1:2">
      <c r="A289" s="3">
        <f ca="1">IFERROR(__xludf.DUMMYFUNCTION("""COMPUTED_VALUE"""),38771.6666666666)</f>
        <v>38771.666666666599</v>
      </c>
      <c r="B289" s="1">
        <f ca="1">IFERROR(__xludf.DUMMYFUNCTION("""COMPUTED_VALUE"""),2.56)</f>
        <v>2.56</v>
      </c>
    </row>
    <row r="290" spans="1:2">
      <c r="A290" s="3">
        <f ca="1">IFERROR(__xludf.DUMMYFUNCTION("""COMPUTED_VALUE"""),38772.6666666666)</f>
        <v>38772.666666666599</v>
      </c>
      <c r="B290" s="1">
        <f ca="1">IFERROR(__xludf.DUMMYFUNCTION("""COMPUTED_VALUE"""),2.55)</f>
        <v>2.5499999999999998</v>
      </c>
    </row>
    <row r="291" spans="1:2">
      <c r="A291" s="3">
        <f ca="1">IFERROR(__xludf.DUMMYFUNCTION("""COMPUTED_VALUE"""),38775.6666666666)</f>
        <v>38775.666666666599</v>
      </c>
      <c r="B291" s="1">
        <f ca="1">IFERROR(__xludf.DUMMYFUNCTION("""COMPUTED_VALUE"""),2.54)</f>
        <v>2.54</v>
      </c>
    </row>
    <row r="292" spans="1:2">
      <c r="A292" s="3">
        <f ca="1">IFERROR(__xludf.DUMMYFUNCTION("""COMPUTED_VALUE"""),38776.6666666666)</f>
        <v>38776.666666666599</v>
      </c>
      <c r="B292" s="1">
        <f ca="1">IFERROR(__xludf.DUMMYFUNCTION("""COMPUTED_VALUE"""),2.45)</f>
        <v>2.4500000000000002</v>
      </c>
    </row>
    <row r="293" spans="1:2">
      <c r="A293" s="3">
        <f ca="1">IFERROR(__xludf.DUMMYFUNCTION("""COMPUTED_VALUE"""),38777.6666666666)</f>
        <v>38777.666666666599</v>
      </c>
      <c r="B293" s="1">
        <f ca="1">IFERROR(__xludf.DUMMYFUNCTION("""COMPUTED_VALUE"""),2.47)</f>
        <v>2.4700000000000002</v>
      </c>
    </row>
    <row r="294" spans="1:2">
      <c r="A294" s="3">
        <f ca="1">IFERROR(__xludf.DUMMYFUNCTION("""COMPUTED_VALUE"""),38778.6666666666)</f>
        <v>38778.666666666599</v>
      </c>
      <c r="B294" s="1">
        <f ca="1">IFERROR(__xludf.DUMMYFUNCTION("""COMPUTED_VALUE"""),2.49)</f>
        <v>2.4900000000000002</v>
      </c>
    </row>
    <row r="295" spans="1:2">
      <c r="A295" s="3">
        <f ca="1">IFERROR(__xludf.DUMMYFUNCTION("""COMPUTED_VALUE"""),38779.6666666666)</f>
        <v>38779.666666666599</v>
      </c>
      <c r="B295" s="1">
        <f ca="1">IFERROR(__xludf.DUMMYFUNCTION("""COMPUTED_VALUE"""),2.42)</f>
        <v>2.42</v>
      </c>
    </row>
    <row r="296" spans="1:2">
      <c r="A296" s="3">
        <f ca="1">IFERROR(__xludf.DUMMYFUNCTION("""COMPUTED_VALUE"""),38782.6666666666)</f>
        <v>38782.666666666599</v>
      </c>
      <c r="B296" s="1">
        <f ca="1">IFERROR(__xludf.DUMMYFUNCTION("""COMPUTED_VALUE"""),2.34)</f>
        <v>2.34</v>
      </c>
    </row>
    <row r="297" spans="1:2">
      <c r="A297" s="3">
        <f ca="1">IFERROR(__xludf.DUMMYFUNCTION("""COMPUTED_VALUE"""),38783.6666666666)</f>
        <v>38783.666666666599</v>
      </c>
      <c r="B297" s="1">
        <f ca="1">IFERROR(__xludf.DUMMYFUNCTION("""COMPUTED_VALUE"""),2.37)</f>
        <v>2.37</v>
      </c>
    </row>
    <row r="298" spans="1:2">
      <c r="A298" s="3">
        <f ca="1">IFERROR(__xludf.DUMMYFUNCTION("""COMPUTED_VALUE"""),38784.6666666666)</f>
        <v>38784.666666666599</v>
      </c>
      <c r="B298" s="1">
        <f ca="1">IFERROR(__xludf.DUMMYFUNCTION("""COMPUTED_VALUE"""),2.35)</f>
        <v>2.35</v>
      </c>
    </row>
    <row r="299" spans="1:2">
      <c r="A299" s="3">
        <f ca="1">IFERROR(__xludf.DUMMYFUNCTION("""COMPUTED_VALUE"""),38785.6666666666)</f>
        <v>38785.666666666599</v>
      </c>
      <c r="B299" s="1">
        <f ca="1">IFERROR(__xludf.DUMMYFUNCTION("""COMPUTED_VALUE"""),2.28)</f>
        <v>2.2799999999999998</v>
      </c>
    </row>
    <row r="300" spans="1:2">
      <c r="A300" s="3">
        <f ca="1">IFERROR(__xludf.DUMMYFUNCTION("""COMPUTED_VALUE"""),38786.6666666666)</f>
        <v>38786.666666666599</v>
      </c>
      <c r="B300" s="1">
        <f ca="1">IFERROR(__xludf.DUMMYFUNCTION("""COMPUTED_VALUE"""),2.26)</f>
        <v>2.2599999999999998</v>
      </c>
    </row>
    <row r="301" spans="1:2">
      <c r="A301" s="3">
        <f ca="1">IFERROR(__xludf.DUMMYFUNCTION("""COMPUTED_VALUE"""),38789.6666666666)</f>
        <v>38789.666666666599</v>
      </c>
      <c r="B301" s="1">
        <f ca="1">IFERROR(__xludf.DUMMYFUNCTION("""COMPUTED_VALUE"""),2.35)</f>
        <v>2.35</v>
      </c>
    </row>
    <row r="302" spans="1:2">
      <c r="A302" s="3">
        <f ca="1">IFERROR(__xludf.DUMMYFUNCTION("""COMPUTED_VALUE"""),38790.6666666666)</f>
        <v>38790.666666666599</v>
      </c>
      <c r="B302" s="1">
        <f ca="1">IFERROR(__xludf.DUMMYFUNCTION("""COMPUTED_VALUE"""),2.4)</f>
        <v>2.4</v>
      </c>
    </row>
    <row r="303" spans="1:2">
      <c r="A303" s="3">
        <f ca="1">IFERROR(__xludf.DUMMYFUNCTION("""COMPUTED_VALUE"""),38791.6666666666)</f>
        <v>38791.666666666599</v>
      </c>
      <c r="B303" s="1">
        <f ca="1">IFERROR(__xludf.DUMMYFUNCTION("""COMPUTED_VALUE"""),2.37)</f>
        <v>2.37</v>
      </c>
    </row>
    <row r="304" spans="1:2">
      <c r="A304" s="3">
        <f ca="1">IFERROR(__xludf.DUMMYFUNCTION("""COMPUTED_VALUE"""),38792.6666666666)</f>
        <v>38792.666666666599</v>
      </c>
      <c r="B304" s="1">
        <f ca="1">IFERROR(__xludf.DUMMYFUNCTION("""COMPUTED_VALUE"""),2.3)</f>
        <v>2.2999999999999998</v>
      </c>
    </row>
    <row r="305" spans="1:2">
      <c r="A305" s="3">
        <f ca="1">IFERROR(__xludf.DUMMYFUNCTION("""COMPUTED_VALUE"""),38793.6666666666)</f>
        <v>38793.666666666599</v>
      </c>
      <c r="B305" s="1">
        <f ca="1">IFERROR(__xludf.DUMMYFUNCTION("""COMPUTED_VALUE"""),2.31)</f>
        <v>2.31</v>
      </c>
    </row>
    <row r="306" spans="1:2">
      <c r="A306" s="3">
        <f ca="1">IFERROR(__xludf.DUMMYFUNCTION("""COMPUTED_VALUE"""),38796.6666666666)</f>
        <v>38796.666666666599</v>
      </c>
      <c r="B306" s="1">
        <f ca="1">IFERROR(__xludf.DUMMYFUNCTION("""COMPUTED_VALUE"""),2.29)</f>
        <v>2.29</v>
      </c>
    </row>
    <row r="307" spans="1:2">
      <c r="A307" s="3">
        <f ca="1">IFERROR(__xludf.DUMMYFUNCTION("""COMPUTED_VALUE"""),38797.6666666666)</f>
        <v>38797.666666666599</v>
      </c>
      <c r="B307" s="1">
        <f ca="1">IFERROR(__xludf.DUMMYFUNCTION("""COMPUTED_VALUE"""),2.21)</f>
        <v>2.21</v>
      </c>
    </row>
    <row r="308" spans="1:2">
      <c r="A308" s="3">
        <f ca="1">IFERROR(__xludf.DUMMYFUNCTION("""COMPUTED_VALUE"""),38798.6666666666)</f>
        <v>38798.666666666599</v>
      </c>
      <c r="B308" s="1">
        <f ca="1">IFERROR(__xludf.DUMMYFUNCTION("""COMPUTED_VALUE"""),2.2)</f>
        <v>2.2000000000000002</v>
      </c>
    </row>
    <row r="309" spans="1:2">
      <c r="A309" s="3">
        <f ca="1">IFERROR(__xludf.DUMMYFUNCTION("""COMPUTED_VALUE"""),38799.6666666666)</f>
        <v>38799.666666666599</v>
      </c>
      <c r="B309" s="1">
        <f ca="1">IFERROR(__xludf.DUMMYFUNCTION("""COMPUTED_VALUE"""),2.15)</f>
        <v>2.15</v>
      </c>
    </row>
    <row r="310" spans="1:2">
      <c r="A310" s="3">
        <f ca="1">IFERROR(__xludf.DUMMYFUNCTION("""COMPUTED_VALUE"""),38800.6666666666)</f>
        <v>38800.666666666599</v>
      </c>
      <c r="B310" s="1">
        <f ca="1">IFERROR(__xludf.DUMMYFUNCTION("""COMPUTED_VALUE"""),2.14)</f>
        <v>2.14</v>
      </c>
    </row>
    <row r="311" spans="1:2">
      <c r="A311" s="3">
        <f ca="1">IFERROR(__xludf.DUMMYFUNCTION("""COMPUTED_VALUE"""),38803.6666666666)</f>
        <v>38803.666666666599</v>
      </c>
      <c r="B311" s="1">
        <f ca="1">IFERROR(__xludf.DUMMYFUNCTION("""COMPUTED_VALUE"""),2.13)</f>
        <v>2.13</v>
      </c>
    </row>
    <row r="312" spans="1:2">
      <c r="A312" s="3">
        <f ca="1">IFERROR(__xludf.DUMMYFUNCTION("""COMPUTED_VALUE"""),38804.6666666666)</f>
        <v>38804.666666666599</v>
      </c>
      <c r="B312" s="1">
        <f ca="1">IFERROR(__xludf.DUMMYFUNCTION("""COMPUTED_VALUE"""),2.1)</f>
        <v>2.1</v>
      </c>
    </row>
    <row r="313" spans="1:2">
      <c r="A313" s="3">
        <f ca="1">IFERROR(__xludf.DUMMYFUNCTION("""COMPUTED_VALUE"""),38805.6666666666)</f>
        <v>38805.666666666599</v>
      </c>
      <c r="B313" s="1">
        <f ca="1">IFERROR(__xludf.DUMMYFUNCTION("""COMPUTED_VALUE"""),2.23)</f>
        <v>2.23</v>
      </c>
    </row>
    <row r="314" spans="1:2">
      <c r="A314" s="3">
        <f ca="1">IFERROR(__xludf.DUMMYFUNCTION("""COMPUTED_VALUE"""),38806.6666666666)</f>
        <v>38806.666666666599</v>
      </c>
      <c r="B314" s="1">
        <f ca="1">IFERROR(__xludf.DUMMYFUNCTION("""COMPUTED_VALUE"""),2.24)</f>
        <v>2.2400000000000002</v>
      </c>
    </row>
    <row r="315" spans="1:2">
      <c r="A315" s="3">
        <f ca="1">IFERROR(__xludf.DUMMYFUNCTION("""COMPUTED_VALUE"""),38807.6666666666)</f>
        <v>38807.666666666599</v>
      </c>
      <c r="B315" s="1">
        <f ca="1">IFERROR(__xludf.DUMMYFUNCTION("""COMPUTED_VALUE"""),2.24)</f>
        <v>2.2400000000000002</v>
      </c>
    </row>
    <row r="316" spans="1:2">
      <c r="A316" s="3">
        <f ca="1">IFERROR(__xludf.DUMMYFUNCTION("""COMPUTED_VALUE"""),38810.6666666666)</f>
        <v>38810.666666666599</v>
      </c>
      <c r="B316" s="1">
        <f ca="1">IFERROR(__xludf.DUMMYFUNCTION("""COMPUTED_VALUE"""),2.24)</f>
        <v>2.2400000000000002</v>
      </c>
    </row>
    <row r="317" spans="1:2">
      <c r="A317" s="3">
        <f ca="1">IFERROR(__xludf.DUMMYFUNCTION("""COMPUTED_VALUE"""),38811.6666666666)</f>
        <v>38811.666666666599</v>
      </c>
      <c r="B317" s="1">
        <f ca="1">IFERROR(__xludf.DUMMYFUNCTION("""COMPUTED_VALUE"""),2.18)</f>
        <v>2.1800000000000002</v>
      </c>
    </row>
    <row r="318" spans="1:2">
      <c r="A318" s="3">
        <f ca="1">IFERROR(__xludf.DUMMYFUNCTION("""COMPUTED_VALUE"""),38812.6666666666)</f>
        <v>38812.666666666599</v>
      </c>
      <c r="B318" s="1">
        <f ca="1">IFERROR(__xludf.DUMMYFUNCTION("""COMPUTED_VALUE"""),2.4)</f>
        <v>2.4</v>
      </c>
    </row>
    <row r="319" spans="1:2">
      <c r="A319" s="3">
        <f ca="1">IFERROR(__xludf.DUMMYFUNCTION("""COMPUTED_VALUE"""),38813.6666666666)</f>
        <v>38813.666666666599</v>
      </c>
      <c r="B319" s="1">
        <f ca="1">IFERROR(__xludf.DUMMYFUNCTION("""COMPUTED_VALUE"""),2.54)</f>
        <v>2.54</v>
      </c>
    </row>
    <row r="320" spans="1:2">
      <c r="A320" s="3">
        <f ca="1">IFERROR(__xludf.DUMMYFUNCTION("""COMPUTED_VALUE"""),38814.6666666666)</f>
        <v>38814.666666666599</v>
      </c>
      <c r="B320" s="1">
        <f ca="1">IFERROR(__xludf.DUMMYFUNCTION("""COMPUTED_VALUE"""),2.49)</f>
        <v>2.4900000000000002</v>
      </c>
    </row>
    <row r="321" spans="1:2">
      <c r="A321" s="3">
        <f ca="1">IFERROR(__xludf.DUMMYFUNCTION("""COMPUTED_VALUE"""),38817.6666666666)</f>
        <v>38817.666666666599</v>
      </c>
      <c r="B321" s="1">
        <f ca="1">IFERROR(__xludf.DUMMYFUNCTION("""COMPUTED_VALUE"""),2.45)</f>
        <v>2.4500000000000002</v>
      </c>
    </row>
    <row r="322" spans="1:2">
      <c r="A322" s="3">
        <f ca="1">IFERROR(__xludf.DUMMYFUNCTION("""COMPUTED_VALUE"""),38818.6666666666)</f>
        <v>38818.666666666599</v>
      </c>
      <c r="B322" s="1">
        <f ca="1">IFERROR(__xludf.DUMMYFUNCTION("""COMPUTED_VALUE"""),2.43)</f>
        <v>2.4300000000000002</v>
      </c>
    </row>
    <row r="323" spans="1:2">
      <c r="A323" s="3">
        <f ca="1">IFERROR(__xludf.DUMMYFUNCTION("""COMPUTED_VALUE"""),38819.6666666666)</f>
        <v>38819.666666666599</v>
      </c>
      <c r="B323" s="1">
        <f ca="1">IFERROR(__xludf.DUMMYFUNCTION("""COMPUTED_VALUE"""),2.38)</f>
        <v>2.38</v>
      </c>
    </row>
    <row r="324" spans="1:2">
      <c r="A324" s="3">
        <f ca="1">IFERROR(__xludf.DUMMYFUNCTION("""COMPUTED_VALUE"""),38820.6666666666)</f>
        <v>38820.666666666599</v>
      </c>
      <c r="B324" s="1">
        <f ca="1">IFERROR(__xludf.DUMMYFUNCTION("""COMPUTED_VALUE"""),2.37)</f>
        <v>2.37</v>
      </c>
    </row>
    <row r="325" spans="1:2">
      <c r="A325" s="3">
        <f ca="1">IFERROR(__xludf.DUMMYFUNCTION("""COMPUTED_VALUE"""),38824.6666666666)</f>
        <v>38824.666666666599</v>
      </c>
      <c r="B325" s="1">
        <f ca="1">IFERROR(__xludf.DUMMYFUNCTION("""COMPUTED_VALUE"""),2.31)</f>
        <v>2.31</v>
      </c>
    </row>
    <row r="326" spans="1:2">
      <c r="A326" s="3">
        <f ca="1">IFERROR(__xludf.DUMMYFUNCTION("""COMPUTED_VALUE"""),38825.6666666666)</f>
        <v>38825.666666666599</v>
      </c>
      <c r="B326" s="1">
        <f ca="1">IFERROR(__xludf.DUMMYFUNCTION("""COMPUTED_VALUE"""),2.37)</f>
        <v>2.37</v>
      </c>
    </row>
    <row r="327" spans="1:2">
      <c r="A327" s="3">
        <f ca="1">IFERROR(__xludf.DUMMYFUNCTION("""COMPUTED_VALUE"""),38826.6666666666)</f>
        <v>38826.666666666599</v>
      </c>
      <c r="B327" s="1">
        <f ca="1">IFERROR(__xludf.DUMMYFUNCTION("""COMPUTED_VALUE"""),2.34)</f>
        <v>2.34</v>
      </c>
    </row>
    <row r="328" spans="1:2">
      <c r="A328" s="3">
        <f ca="1">IFERROR(__xludf.DUMMYFUNCTION("""COMPUTED_VALUE"""),38827.6666666666)</f>
        <v>38827.666666666599</v>
      </c>
      <c r="B328" s="1">
        <f ca="1">IFERROR(__xludf.DUMMYFUNCTION("""COMPUTED_VALUE"""),2.42)</f>
        <v>2.42</v>
      </c>
    </row>
    <row r="329" spans="1:2">
      <c r="A329" s="3">
        <f ca="1">IFERROR(__xludf.DUMMYFUNCTION("""COMPUTED_VALUE"""),38828.6666666666)</f>
        <v>38828.666666666599</v>
      </c>
      <c r="B329" s="1">
        <f ca="1">IFERROR(__xludf.DUMMYFUNCTION("""COMPUTED_VALUE"""),2.39)</f>
        <v>2.39</v>
      </c>
    </row>
    <row r="330" spans="1:2">
      <c r="A330" s="3">
        <f ca="1">IFERROR(__xludf.DUMMYFUNCTION("""COMPUTED_VALUE"""),38831.6666666666)</f>
        <v>38831.666666666599</v>
      </c>
      <c r="B330" s="1">
        <f ca="1">IFERROR(__xludf.DUMMYFUNCTION("""COMPUTED_VALUE"""),2.35)</f>
        <v>2.35</v>
      </c>
    </row>
    <row r="331" spans="1:2">
      <c r="A331" s="3">
        <f ca="1">IFERROR(__xludf.DUMMYFUNCTION("""COMPUTED_VALUE"""),38832.6666666666)</f>
        <v>38832.666666666599</v>
      </c>
      <c r="B331" s="1">
        <f ca="1">IFERROR(__xludf.DUMMYFUNCTION("""COMPUTED_VALUE"""),2.36)</f>
        <v>2.36</v>
      </c>
    </row>
    <row r="332" spans="1:2">
      <c r="A332" s="3">
        <f ca="1">IFERROR(__xludf.DUMMYFUNCTION("""COMPUTED_VALUE"""),38833.6666666666)</f>
        <v>38833.666666666599</v>
      </c>
      <c r="B332" s="1">
        <f ca="1">IFERROR(__xludf.DUMMYFUNCTION("""COMPUTED_VALUE"""),2.43)</f>
        <v>2.4300000000000002</v>
      </c>
    </row>
    <row r="333" spans="1:2">
      <c r="A333" s="3">
        <f ca="1">IFERROR(__xludf.DUMMYFUNCTION("""COMPUTED_VALUE"""),38834.6666666666)</f>
        <v>38834.666666666599</v>
      </c>
      <c r="B333" s="1">
        <f ca="1">IFERROR(__xludf.DUMMYFUNCTION("""COMPUTED_VALUE"""),2.48)</f>
        <v>2.48</v>
      </c>
    </row>
    <row r="334" spans="1:2">
      <c r="A334" s="3">
        <f ca="1">IFERROR(__xludf.DUMMYFUNCTION("""COMPUTED_VALUE"""),38835.6666666666)</f>
        <v>38835.666666666599</v>
      </c>
      <c r="B334" s="1">
        <f ca="1">IFERROR(__xludf.DUMMYFUNCTION("""COMPUTED_VALUE"""),2.51)</f>
        <v>2.5099999999999998</v>
      </c>
    </row>
    <row r="335" spans="1:2">
      <c r="A335" s="3">
        <f ca="1">IFERROR(__xludf.DUMMYFUNCTION("""COMPUTED_VALUE"""),38838.6666666666)</f>
        <v>38838.666666666599</v>
      </c>
      <c r="B335" s="1">
        <f ca="1">IFERROR(__xludf.DUMMYFUNCTION("""COMPUTED_VALUE"""),2.49)</f>
        <v>2.4900000000000002</v>
      </c>
    </row>
    <row r="336" spans="1:2">
      <c r="A336" s="3">
        <f ca="1">IFERROR(__xludf.DUMMYFUNCTION("""COMPUTED_VALUE"""),38839.6666666666)</f>
        <v>38839.666666666599</v>
      </c>
      <c r="B336" s="1">
        <f ca="1">IFERROR(__xludf.DUMMYFUNCTION("""COMPUTED_VALUE"""),2.56)</f>
        <v>2.56</v>
      </c>
    </row>
    <row r="337" spans="1:2">
      <c r="A337" s="3">
        <f ca="1">IFERROR(__xludf.DUMMYFUNCTION("""COMPUTED_VALUE"""),38840.6666666666)</f>
        <v>38840.666666666599</v>
      </c>
      <c r="B337" s="1">
        <f ca="1">IFERROR(__xludf.DUMMYFUNCTION("""COMPUTED_VALUE"""),2.54)</f>
        <v>2.54</v>
      </c>
    </row>
    <row r="338" spans="1:2">
      <c r="A338" s="3">
        <f ca="1">IFERROR(__xludf.DUMMYFUNCTION("""COMPUTED_VALUE"""),38841.6666666666)</f>
        <v>38841.666666666599</v>
      </c>
      <c r="B338" s="1">
        <f ca="1">IFERROR(__xludf.DUMMYFUNCTION("""COMPUTED_VALUE"""),2.54)</f>
        <v>2.54</v>
      </c>
    </row>
    <row r="339" spans="1:2">
      <c r="A339" s="3">
        <f ca="1">IFERROR(__xludf.DUMMYFUNCTION("""COMPUTED_VALUE"""),38842.6666666666)</f>
        <v>38842.666666666599</v>
      </c>
      <c r="B339" s="1">
        <f ca="1">IFERROR(__xludf.DUMMYFUNCTION("""COMPUTED_VALUE"""),2.57)</f>
        <v>2.57</v>
      </c>
    </row>
    <row r="340" spans="1:2">
      <c r="A340" s="3">
        <f ca="1">IFERROR(__xludf.DUMMYFUNCTION("""COMPUTED_VALUE"""),38845.6666666666)</f>
        <v>38845.666666666599</v>
      </c>
      <c r="B340" s="1">
        <f ca="1">IFERROR(__xludf.DUMMYFUNCTION("""COMPUTED_VALUE"""),2.57)</f>
        <v>2.57</v>
      </c>
    </row>
    <row r="341" spans="1:2">
      <c r="A341" s="3">
        <f ca="1">IFERROR(__xludf.DUMMYFUNCTION("""COMPUTED_VALUE"""),38846.6666666666)</f>
        <v>38846.666666666599</v>
      </c>
      <c r="B341" s="1">
        <f ca="1">IFERROR(__xludf.DUMMYFUNCTION("""COMPUTED_VALUE"""),2.54)</f>
        <v>2.54</v>
      </c>
    </row>
    <row r="342" spans="1:2">
      <c r="A342" s="3">
        <f ca="1">IFERROR(__xludf.DUMMYFUNCTION("""COMPUTED_VALUE"""),38847.6666666666)</f>
        <v>38847.666666666599</v>
      </c>
      <c r="B342" s="1">
        <f ca="1">IFERROR(__xludf.DUMMYFUNCTION("""COMPUTED_VALUE"""),2.52)</f>
        <v>2.52</v>
      </c>
    </row>
    <row r="343" spans="1:2">
      <c r="A343" s="3">
        <f ca="1">IFERROR(__xludf.DUMMYFUNCTION("""COMPUTED_VALUE"""),38848.6666666666)</f>
        <v>38848.666666666599</v>
      </c>
      <c r="B343" s="1">
        <f ca="1">IFERROR(__xludf.DUMMYFUNCTION("""COMPUTED_VALUE"""),2.43)</f>
        <v>2.4300000000000002</v>
      </c>
    </row>
    <row r="344" spans="1:2">
      <c r="A344" s="3">
        <f ca="1">IFERROR(__xludf.DUMMYFUNCTION("""COMPUTED_VALUE"""),38849.6666666666)</f>
        <v>38849.666666666599</v>
      </c>
      <c r="B344" s="1">
        <f ca="1">IFERROR(__xludf.DUMMYFUNCTION("""COMPUTED_VALUE"""),2.42)</f>
        <v>2.42</v>
      </c>
    </row>
    <row r="345" spans="1:2">
      <c r="A345" s="3">
        <f ca="1">IFERROR(__xludf.DUMMYFUNCTION("""COMPUTED_VALUE"""),38852.6666666666)</f>
        <v>38852.666666666599</v>
      </c>
      <c r="B345" s="1">
        <f ca="1">IFERROR(__xludf.DUMMYFUNCTION("""COMPUTED_VALUE"""),2.42)</f>
        <v>2.42</v>
      </c>
    </row>
    <row r="346" spans="1:2">
      <c r="A346" s="3">
        <f ca="1">IFERROR(__xludf.DUMMYFUNCTION("""COMPUTED_VALUE"""),38853.6666666666)</f>
        <v>38853.666666666599</v>
      </c>
      <c r="B346" s="1">
        <f ca="1">IFERROR(__xludf.DUMMYFUNCTION("""COMPUTED_VALUE"""),2.32)</f>
        <v>2.3199999999999998</v>
      </c>
    </row>
    <row r="347" spans="1:2">
      <c r="A347" s="3">
        <f ca="1">IFERROR(__xludf.DUMMYFUNCTION("""COMPUTED_VALUE"""),38854.6666666666)</f>
        <v>38854.666666666599</v>
      </c>
      <c r="B347" s="1">
        <f ca="1">IFERROR(__xludf.DUMMYFUNCTION("""COMPUTED_VALUE"""),2.33)</f>
        <v>2.33</v>
      </c>
    </row>
    <row r="348" spans="1:2">
      <c r="A348" s="3">
        <f ca="1">IFERROR(__xludf.DUMMYFUNCTION("""COMPUTED_VALUE"""),38855.6666666666)</f>
        <v>38855.666666666599</v>
      </c>
      <c r="B348" s="1">
        <f ca="1">IFERROR(__xludf.DUMMYFUNCTION("""COMPUTED_VALUE"""),2.26)</f>
        <v>2.2599999999999998</v>
      </c>
    </row>
    <row r="349" spans="1:2">
      <c r="A349" s="3">
        <f ca="1">IFERROR(__xludf.DUMMYFUNCTION("""COMPUTED_VALUE"""),38856.6666666666)</f>
        <v>38856.666666666599</v>
      </c>
      <c r="B349" s="1">
        <f ca="1">IFERROR(__xludf.DUMMYFUNCTION("""COMPUTED_VALUE"""),2.3)</f>
        <v>2.2999999999999998</v>
      </c>
    </row>
    <row r="350" spans="1:2">
      <c r="A350" s="3">
        <f ca="1">IFERROR(__xludf.DUMMYFUNCTION("""COMPUTED_VALUE"""),38859.6666666666)</f>
        <v>38859.666666666599</v>
      </c>
      <c r="B350" s="1">
        <f ca="1">IFERROR(__xludf.DUMMYFUNCTION("""COMPUTED_VALUE"""),2.26)</f>
        <v>2.2599999999999998</v>
      </c>
    </row>
    <row r="351" spans="1:2">
      <c r="A351" s="3">
        <f ca="1">IFERROR(__xludf.DUMMYFUNCTION("""COMPUTED_VALUE"""),38860.6666666666)</f>
        <v>38860.666666666599</v>
      </c>
      <c r="B351" s="1">
        <f ca="1">IFERROR(__xludf.DUMMYFUNCTION("""COMPUTED_VALUE"""),2.26)</f>
        <v>2.2599999999999998</v>
      </c>
    </row>
    <row r="352" spans="1:2">
      <c r="A352" s="3">
        <f ca="1">IFERROR(__xludf.DUMMYFUNCTION("""COMPUTED_VALUE"""),38861.6666666666)</f>
        <v>38861.666666666599</v>
      </c>
      <c r="B352" s="1">
        <f ca="1">IFERROR(__xludf.DUMMYFUNCTION("""COMPUTED_VALUE"""),2.26)</f>
        <v>2.2599999999999998</v>
      </c>
    </row>
    <row r="353" spans="1:2">
      <c r="A353" s="3">
        <f ca="1">IFERROR(__xludf.DUMMYFUNCTION("""COMPUTED_VALUE"""),38862.6666666666)</f>
        <v>38862.666666666599</v>
      </c>
      <c r="B353" s="1">
        <f ca="1">IFERROR(__xludf.DUMMYFUNCTION("""COMPUTED_VALUE"""),2.3)</f>
        <v>2.2999999999999998</v>
      </c>
    </row>
    <row r="354" spans="1:2">
      <c r="A354" s="3">
        <f ca="1">IFERROR(__xludf.DUMMYFUNCTION("""COMPUTED_VALUE"""),38863.6666666666)</f>
        <v>38863.666666666599</v>
      </c>
      <c r="B354" s="1">
        <f ca="1">IFERROR(__xludf.DUMMYFUNCTION("""COMPUTED_VALUE"""),2.27)</f>
        <v>2.27</v>
      </c>
    </row>
    <row r="355" spans="1:2">
      <c r="A355" s="3">
        <f ca="1">IFERROR(__xludf.DUMMYFUNCTION("""COMPUTED_VALUE"""),38867.6666666666)</f>
        <v>38867.666666666599</v>
      </c>
      <c r="B355" s="1">
        <f ca="1">IFERROR(__xludf.DUMMYFUNCTION("""COMPUTED_VALUE"""),2.19)</f>
        <v>2.19</v>
      </c>
    </row>
    <row r="356" spans="1:2">
      <c r="A356" s="3">
        <f ca="1">IFERROR(__xludf.DUMMYFUNCTION("""COMPUTED_VALUE"""),38868.6666666666)</f>
        <v>38868.666666666599</v>
      </c>
      <c r="B356" s="1">
        <f ca="1">IFERROR(__xludf.DUMMYFUNCTION("""COMPUTED_VALUE"""),2.13)</f>
        <v>2.13</v>
      </c>
    </row>
    <row r="357" spans="1:2">
      <c r="A357" s="3">
        <f ca="1">IFERROR(__xludf.DUMMYFUNCTION("""COMPUTED_VALUE"""),38869.6666666666)</f>
        <v>38869.666666666599</v>
      </c>
      <c r="B357" s="1">
        <f ca="1">IFERROR(__xludf.DUMMYFUNCTION("""COMPUTED_VALUE"""),2.22)</f>
        <v>2.2200000000000002</v>
      </c>
    </row>
    <row r="358" spans="1:2">
      <c r="A358" s="3">
        <f ca="1">IFERROR(__xludf.DUMMYFUNCTION("""COMPUTED_VALUE"""),38870.6666666666)</f>
        <v>38870.666666666599</v>
      </c>
      <c r="B358" s="1">
        <f ca="1">IFERROR(__xludf.DUMMYFUNCTION("""COMPUTED_VALUE"""),2.2)</f>
        <v>2.2000000000000002</v>
      </c>
    </row>
    <row r="359" spans="1:2">
      <c r="A359" s="3">
        <f ca="1">IFERROR(__xludf.DUMMYFUNCTION("""COMPUTED_VALUE"""),38873.6666666666)</f>
        <v>38873.666666666599</v>
      </c>
      <c r="B359" s="1">
        <f ca="1">IFERROR(__xludf.DUMMYFUNCTION("""COMPUTED_VALUE"""),2.14)</f>
        <v>2.14</v>
      </c>
    </row>
    <row r="360" spans="1:2">
      <c r="A360" s="3">
        <f ca="1">IFERROR(__xludf.DUMMYFUNCTION("""COMPUTED_VALUE"""),38874.6666666666)</f>
        <v>38874.666666666599</v>
      </c>
      <c r="B360" s="1">
        <f ca="1">IFERROR(__xludf.DUMMYFUNCTION("""COMPUTED_VALUE"""),2.13)</f>
        <v>2.13</v>
      </c>
    </row>
    <row r="361" spans="1:2">
      <c r="A361" s="3">
        <f ca="1">IFERROR(__xludf.DUMMYFUNCTION("""COMPUTED_VALUE"""),38875.6666666666)</f>
        <v>38875.666666666599</v>
      </c>
      <c r="B361" s="1">
        <f ca="1">IFERROR(__xludf.DUMMYFUNCTION("""COMPUTED_VALUE"""),2.09)</f>
        <v>2.09</v>
      </c>
    </row>
    <row r="362" spans="1:2">
      <c r="A362" s="3">
        <f ca="1">IFERROR(__xludf.DUMMYFUNCTION("""COMPUTED_VALUE"""),38876.6666666666)</f>
        <v>38876.666666666599</v>
      </c>
      <c r="B362" s="1">
        <f ca="1">IFERROR(__xludf.DUMMYFUNCTION("""COMPUTED_VALUE"""),2.17)</f>
        <v>2.17</v>
      </c>
    </row>
    <row r="363" spans="1:2">
      <c r="A363" s="3">
        <f ca="1">IFERROR(__xludf.DUMMYFUNCTION("""COMPUTED_VALUE"""),38877.6666666666)</f>
        <v>38877.666666666599</v>
      </c>
      <c r="B363" s="1">
        <f ca="1">IFERROR(__xludf.DUMMYFUNCTION("""COMPUTED_VALUE"""),2.12)</f>
        <v>2.12</v>
      </c>
    </row>
    <row r="364" spans="1:2">
      <c r="A364" s="3">
        <f ca="1">IFERROR(__xludf.DUMMYFUNCTION("""COMPUTED_VALUE"""),38880.6666666666)</f>
        <v>38880.666666666599</v>
      </c>
      <c r="B364" s="1">
        <f ca="1">IFERROR(__xludf.DUMMYFUNCTION("""COMPUTED_VALUE"""),2.04)</f>
        <v>2.04</v>
      </c>
    </row>
    <row r="365" spans="1:2">
      <c r="A365" s="3">
        <f ca="1">IFERROR(__xludf.DUMMYFUNCTION("""COMPUTED_VALUE"""),38881.6666666666)</f>
        <v>38881.666666666599</v>
      </c>
      <c r="B365" s="1">
        <f ca="1">IFERROR(__xludf.DUMMYFUNCTION("""COMPUTED_VALUE"""),2.08)</f>
        <v>2.08</v>
      </c>
    </row>
    <row r="366" spans="1:2">
      <c r="A366" s="3">
        <f ca="1">IFERROR(__xludf.DUMMYFUNCTION("""COMPUTED_VALUE"""),38882.6666666666)</f>
        <v>38882.666666666599</v>
      </c>
      <c r="B366" s="1">
        <f ca="1">IFERROR(__xludf.DUMMYFUNCTION("""COMPUTED_VALUE"""),2.06)</f>
        <v>2.06</v>
      </c>
    </row>
    <row r="367" spans="1:2">
      <c r="A367" s="3">
        <f ca="1">IFERROR(__xludf.DUMMYFUNCTION("""COMPUTED_VALUE"""),38883.6666666666)</f>
        <v>38883.666666666599</v>
      </c>
      <c r="B367" s="1">
        <f ca="1">IFERROR(__xludf.DUMMYFUNCTION("""COMPUTED_VALUE"""),2.12)</f>
        <v>2.12</v>
      </c>
    </row>
    <row r="368" spans="1:2">
      <c r="A368" s="3">
        <f ca="1">IFERROR(__xludf.DUMMYFUNCTION("""COMPUTED_VALUE"""),38884.6666666666)</f>
        <v>38884.666666666599</v>
      </c>
      <c r="B368" s="1">
        <f ca="1">IFERROR(__xludf.DUMMYFUNCTION("""COMPUTED_VALUE"""),2.06)</f>
        <v>2.06</v>
      </c>
    </row>
    <row r="369" spans="1:2">
      <c r="A369" s="3">
        <f ca="1">IFERROR(__xludf.DUMMYFUNCTION("""COMPUTED_VALUE"""),38887.6666666666)</f>
        <v>38887.666666666599</v>
      </c>
      <c r="B369" s="1">
        <f ca="1">IFERROR(__xludf.DUMMYFUNCTION("""COMPUTED_VALUE"""),2.04)</f>
        <v>2.04</v>
      </c>
    </row>
    <row r="370" spans="1:2">
      <c r="A370" s="3">
        <f ca="1">IFERROR(__xludf.DUMMYFUNCTION("""COMPUTED_VALUE"""),38888.6666666666)</f>
        <v>38888.666666666599</v>
      </c>
      <c r="B370" s="1">
        <f ca="1">IFERROR(__xludf.DUMMYFUNCTION("""COMPUTED_VALUE"""),2.05)</f>
        <v>2.0499999999999998</v>
      </c>
    </row>
    <row r="371" spans="1:2">
      <c r="A371" s="3">
        <f ca="1">IFERROR(__xludf.DUMMYFUNCTION("""COMPUTED_VALUE"""),38889.6666666666)</f>
        <v>38889.666666666599</v>
      </c>
      <c r="B371" s="1">
        <f ca="1">IFERROR(__xludf.DUMMYFUNCTION("""COMPUTED_VALUE"""),2.07)</f>
        <v>2.0699999999999998</v>
      </c>
    </row>
    <row r="372" spans="1:2">
      <c r="A372" s="3">
        <f ca="1">IFERROR(__xludf.DUMMYFUNCTION("""COMPUTED_VALUE"""),38890.6666666666)</f>
        <v>38890.666666666599</v>
      </c>
      <c r="B372" s="1">
        <f ca="1">IFERROR(__xludf.DUMMYFUNCTION("""COMPUTED_VALUE"""),2.13)</f>
        <v>2.13</v>
      </c>
    </row>
    <row r="373" spans="1:2">
      <c r="A373" s="3">
        <f ca="1">IFERROR(__xludf.DUMMYFUNCTION("""COMPUTED_VALUE"""),38891.6666666666)</f>
        <v>38891.666666666599</v>
      </c>
      <c r="B373" s="1">
        <f ca="1">IFERROR(__xludf.DUMMYFUNCTION("""COMPUTED_VALUE"""),2.1)</f>
        <v>2.1</v>
      </c>
    </row>
    <row r="374" spans="1:2">
      <c r="A374" s="3">
        <f ca="1">IFERROR(__xludf.DUMMYFUNCTION("""COMPUTED_VALUE"""),38894.6666666666)</f>
        <v>38894.666666666599</v>
      </c>
      <c r="B374" s="1">
        <f ca="1">IFERROR(__xludf.DUMMYFUNCTION("""COMPUTED_VALUE"""),2.11)</f>
        <v>2.11</v>
      </c>
    </row>
    <row r="375" spans="1:2">
      <c r="A375" s="3">
        <f ca="1">IFERROR(__xludf.DUMMYFUNCTION("""COMPUTED_VALUE"""),38895.6666666666)</f>
        <v>38895.666666666599</v>
      </c>
      <c r="B375" s="1">
        <f ca="1">IFERROR(__xludf.DUMMYFUNCTION("""COMPUTED_VALUE"""),2.05)</f>
        <v>2.0499999999999998</v>
      </c>
    </row>
    <row r="376" spans="1:2">
      <c r="A376" s="3">
        <f ca="1">IFERROR(__xludf.DUMMYFUNCTION("""COMPUTED_VALUE"""),38896.6666666666)</f>
        <v>38896.666666666599</v>
      </c>
      <c r="B376" s="1">
        <f ca="1">IFERROR(__xludf.DUMMYFUNCTION("""COMPUTED_VALUE"""),2)</f>
        <v>2</v>
      </c>
    </row>
    <row r="377" spans="1:2">
      <c r="A377" s="3">
        <f ca="1">IFERROR(__xludf.DUMMYFUNCTION("""COMPUTED_VALUE"""),38897.6666666666)</f>
        <v>38897.666666666599</v>
      </c>
      <c r="B377" s="1">
        <f ca="1">IFERROR(__xludf.DUMMYFUNCTION("""COMPUTED_VALUE"""),2.11)</f>
        <v>2.11</v>
      </c>
    </row>
    <row r="378" spans="1:2">
      <c r="A378" s="3">
        <f ca="1">IFERROR(__xludf.DUMMYFUNCTION("""COMPUTED_VALUE"""),38898.6666666666)</f>
        <v>38898.666666666599</v>
      </c>
      <c r="B378" s="1">
        <f ca="1">IFERROR(__xludf.DUMMYFUNCTION("""COMPUTED_VALUE"""),2.05)</f>
        <v>2.0499999999999998</v>
      </c>
    </row>
    <row r="379" spans="1:2">
      <c r="A379" s="3">
        <f ca="1">IFERROR(__xludf.DUMMYFUNCTION("""COMPUTED_VALUE"""),38901.6666666666)</f>
        <v>38901.666666666599</v>
      </c>
      <c r="B379" s="1">
        <f ca="1">IFERROR(__xludf.DUMMYFUNCTION("""COMPUTED_VALUE"""),2.07)</f>
        <v>2.0699999999999998</v>
      </c>
    </row>
    <row r="380" spans="1:2">
      <c r="A380" s="3">
        <f ca="1">IFERROR(__xludf.DUMMYFUNCTION("""COMPUTED_VALUE"""),38903.6666666666)</f>
        <v>38903.666666666599</v>
      </c>
      <c r="B380" s="1">
        <f ca="1">IFERROR(__xludf.DUMMYFUNCTION("""COMPUTED_VALUE"""),2.04)</f>
        <v>2.04</v>
      </c>
    </row>
    <row r="381" spans="1:2">
      <c r="A381" s="3">
        <f ca="1">IFERROR(__xludf.DUMMYFUNCTION("""COMPUTED_VALUE"""),38904.6666666666)</f>
        <v>38904.666666666599</v>
      </c>
      <c r="B381" s="1">
        <f ca="1">IFERROR(__xludf.DUMMYFUNCTION("""COMPUTED_VALUE"""),1.99)</f>
        <v>1.99</v>
      </c>
    </row>
    <row r="382" spans="1:2">
      <c r="A382" s="3">
        <f ca="1">IFERROR(__xludf.DUMMYFUNCTION("""COMPUTED_VALUE"""),38905.6666666666)</f>
        <v>38905.666666666599</v>
      </c>
      <c r="B382" s="1">
        <f ca="1">IFERROR(__xludf.DUMMYFUNCTION("""COMPUTED_VALUE"""),1.98)</f>
        <v>1.98</v>
      </c>
    </row>
    <row r="383" spans="1:2">
      <c r="A383" s="3">
        <f ca="1">IFERROR(__xludf.DUMMYFUNCTION("""COMPUTED_VALUE"""),38908.6666666666)</f>
        <v>38908.666666666599</v>
      </c>
      <c r="B383" s="1">
        <f ca="1">IFERROR(__xludf.DUMMYFUNCTION("""COMPUTED_VALUE"""),1.96)</f>
        <v>1.96</v>
      </c>
    </row>
    <row r="384" spans="1:2">
      <c r="A384" s="3">
        <f ca="1">IFERROR(__xludf.DUMMYFUNCTION("""COMPUTED_VALUE"""),38909.6666666666)</f>
        <v>38909.666666666599</v>
      </c>
      <c r="B384" s="1">
        <f ca="1">IFERROR(__xludf.DUMMYFUNCTION("""COMPUTED_VALUE"""),1.99)</f>
        <v>1.99</v>
      </c>
    </row>
    <row r="385" spans="1:2">
      <c r="A385" s="3">
        <f ca="1">IFERROR(__xludf.DUMMYFUNCTION("""COMPUTED_VALUE"""),38910.6666666666)</f>
        <v>38910.666666666599</v>
      </c>
      <c r="B385" s="1">
        <f ca="1">IFERROR(__xludf.DUMMYFUNCTION("""COMPUTED_VALUE"""),1.89)</f>
        <v>1.89</v>
      </c>
    </row>
    <row r="386" spans="1:2">
      <c r="A386" s="3">
        <f ca="1">IFERROR(__xludf.DUMMYFUNCTION("""COMPUTED_VALUE"""),38911.6666666666)</f>
        <v>38911.666666666599</v>
      </c>
      <c r="B386" s="1">
        <f ca="1">IFERROR(__xludf.DUMMYFUNCTION("""COMPUTED_VALUE"""),1.87)</f>
        <v>1.87</v>
      </c>
    </row>
    <row r="387" spans="1:2">
      <c r="A387" s="3">
        <f ca="1">IFERROR(__xludf.DUMMYFUNCTION("""COMPUTED_VALUE"""),38912.6666666666)</f>
        <v>38912.666666666599</v>
      </c>
      <c r="B387" s="1">
        <f ca="1">IFERROR(__xludf.DUMMYFUNCTION("""COMPUTED_VALUE"""),1.81)</f>
        <v>1.81</v>
      </c>
    </row>
    <row r="388" spans="1:2">
      <c r="A388" s="3">
        <f ca="1">IFERROR(__xludf.DUMMYFUNCTION("""COMPUTED_VALUE"""),38915.6666666666)</f>
        <v>38915.666666666599</v>
      </c>
      <c r="B388" s="1">
        <f ca="1">IFERROR(__xludf.DUMMYFUNCTION("""COMPUTED_VALUE"""),1.87)</f>
        <v>1.87</v>
      </c>
    </row>
    <row r="389" spans="1:2">
      <c r="A389" s="3">
        <f ca="1">IFERROR(__xludf.DUMMYFUNCTION("""COMPUTED_VALUE"""),38916.6666666666)</f>
        <v>38916.666666666599</v>
      </c>
      <c r="B389" s="1">
        <f ca="1">IFERROR(__xludf.DUMMYFUNCTION("""COMPUTED_VALUE"""),1.89)</f>
        <v>1.89</v>
      </c>
    </row>
    <row r="390" spans="1:2">
      <c r="A390" s="3">
        <f ca="1">IFERROR(__xludf.DUMMYFUNCTION("""COMPUTED_VALUE"""),38917.6666666666)</f>
        <v>38917.666666666599</v>
      </c>
      <c r="B390" s="1">
        <f ca="1">IFERROR(__xludf.DUMMYFUNCTION("""COMPUTED_VALUE"""),1.93)</f>
        <v>1.93</v>
      </c>
    </row>
    <row r="391" spans="1:2">
      <c r="A391" s="3">
        <f ca="1">IFERROR(__xludf.DUMMYFUNCTION("""COMPUTED_VALUE"""),38918.6666666666)</f>
        <v>38918.666666666599</v>
      </c>
      <c r="B391" s="1">
        <f ca="1">IFERROR(__xludf.DUMMYFUNCTION("""COMPUTED_VALUE"""),2.16)</f>
        <v>2.16</v>
      </c>
    </row>
    <row r="392" spans="1:2">
      <c r="A392" s="3">
        <f ca="1">IFERROR(__xludf.DUMMYFUNCTION("""COMPUTED_VALUE"""),38919.6666666666)</f>
        <v>38919.666666666599</v>
      </c>
      <c r="B392" s="1">
        <f ca="1">IFERROR(__xludf.DUMMYFUNCTION("""COMPUTED_VALUE"""),2.17)</f>
        <v>2.17</v>
      </c>
    </row>
    <row r="393" spans="1:2">
      <c r="A393" s="3">
        <f ca="1">IFERROR(__xludf.DUMMYFUNCTION("""COMPUTED_VALUE"""),38922.6666666666)</f>
        <v>38922.666666666599</v>
      </c>
      <c r="B393" s="1">
        <f ca="1">IFERROR(__xludf.DUMMYFUNCTION("""COMPUTED_VALUE"""),2.19)</f>
        <v>2.19</v>
      </c>
    </row>
    <row r="394" spans="1:2">
      <c r="A394" s="3">
        <f ca="1">IFERROR(__xludf.DUMMYFUNCTION("""COMPUTED_VALUE"""),38923.6666666666)</f>
        <v>38923.666666666599</v>
      </c>
      <c r="B394" s="1">
        <f ca="1">IFERROR(__xludf.DUMMYFUNCTION("""COMPUTED_VALUE"""),2.21)</f>
        <v>2.21</v>
      </c>
    </row>
    <row r="395" spans="1:2">
      <c r="A395" s="3">
        <f ca="1">IFERROR(__xludf.DUMMYFUNCTION("""COMPUTED_VALUE"""),38924.6666666666)</f>
        <v>38924.666666666599</v>
      </c>
      <c r="B395" s="1">
        <f ca="1">IFERROR(__xludf.DUMMYFUNCTION("""COMPUTED_VALUE"""),2.28)</f>
        <v>2.2799999999999998</v>
      </c>
    </row>
    <row r="396" spans="1:2">
      <c r="A396" s="3">
        <f ca="1">IFERROR(__xludf.DUMMYFUNCTION("""COMPUTED_VALUE"""),38925.6666666666)</f>
        <v>38925.666666666599</v>
      </c>
      <c r="B396" s="1">
        <f ca="1">IFERROR(__xludf.DUMMYFUNCTION("""COMPUTED_VALUE"""),2.26)</f>
        <v>2.2599999999999998</v>
      </c>
    </row>
    <row r="397" spans="1:2">
      <c r="A397" s="3">
        <f ca="1">IFERROR(__xludf.DUMMYFUNCTION("""COMPUTED_VALUE"""),38926.6666666666)</f>
        <v>38926.666666666599</v>
      </c>
      <c r="B397" s="1">
        <f ca="1">IFERROR(__xludf.DUMMYFUNCTION("""COMPUTED_VALUE"""),2.34)</f>
        <v>2.34</v>
      </c>
    </row>
    <row r="398" spans="1:2">
      <c r="A398" s="3">
        <f ca="1">IFERROR(__xludf.DUMMYFUNCTION("""COMPUTED_VALUE"""),38929.6666666666)</f>
        <v>38929.666666666599</v>
      </c>
      <c r="B398" s="1">
        <f ca="1">IFERROR(__xludf.DUMMYFUNCTION("""COMPUTED_VALUE"""),2.43)</f>
        <v>2.4300000000000002</v>
      </c>
    </row>
    <row r="399" spans="1:2">
      <c r="A399" s="3">
        <f ca="1">IFERROR(__xludf.DUMMYFUNCTION("""COMPUTED_VALUE"""),38930.6666666666)</f>
        <v>38930.666666666599</v>
      </c>
      <c r="B399" s="1">
        <f ca="1">IFERROR(__xludf.DUMMYFUNCTION("""COMPUTED_VALUE"""),2.4)</f>
        <v>2.4</v>
      </c>
    </row>
    <row r="400" spans="1:2">
      <c r="A400" s="3">
        <f ca="1">IFERROR(__xludf.DUMMYFUNCTION("""COMPUTED_VALUE"""),38931.6666666666)</f>
        <v>38931.666666666599</v>
      </c>
      <c r="B400" s="1">
        <f ca="1">IFERROR(__xludf.DUMMYFUNCTION("""COMPUTED_VALUE"""),2.43)</f>
        <v>2.4300000000000002</v>
      </c>
    </row>
    <row r="401" spans="1:2">
      <c r="A401" s="3">
        <f ca="1">IFERROR(__xludf.DUMMYFUNCTION("""COMPUTED_VALUE"""),38932.6666666666)</f>
        <v>38932.666666666599</v>
      </c>
      <c r="B401" s="1">
        <f ca="1">IFERROR(__xludf.DUMMYFUNCTION("""COMPUTED_VALUE"""),2.49)</f>
        <v>2.4900000000000002</v>
      </c>
    </row>
    <row r="402" spans="1:2">
      <c r="A402" s="3">
        <f ca="1">IFERROR(__xludf.DUMMYFUNCTION("""COMPUTED_VALUE"""),38933.6666666666)</f>
        <v>38933.666666666599</v>
      </c>
      <c r="B402" s="1">
        <f ca="1">IFERROR(__xludf.DUMMYFUNCTION("""COMPUTED_VALUE"""),2.44)</f>
        <v>2.44</v>
      </c>
    </row>
    <row r="403" spans="1:2">
      <c r="A403" s="3">
        <f ca="1">IFERROR(__xludf.DUMMYFUNCTION("""COMPUTED_VALUE"""),38936.6666666666)</f>
        <v>38936.666666666599</v>
      </c>
      <c r="B403" s="1">
        <f ca="1">IFERROR(__xludf.DUMMYFUNCTION("""COMPUTED_VALUE"""),2.4)</f>
        <v>2.4</v>
      </c>
    </row>
    <row r="404" spans="1:2">
      <c r="A404" s="3">
        <f ca="1">IFERROR(__xludf.DUMMYFUNCTION("""COMPUTED_VALUE"""),38937.6666666666)</f>
        <v>38937.666666666599</v>
      </c>
      <c r="B404" s="1">
        <f ca="1">IFERROR(__xludf.DUMMYFUNCTION("""COMPUTED_VALUE"""),2.31)</f>
        <v>2.31</v>
      </c>
    </row>
    <row r="405" spans="1:2">
      <c r="A405" s="3">
        <f ca="1">IFERROR(__xludf.DUMMYFUNCTION("""COMPUTED_VALUE"""),38938.6666666666)</f>
        <v>38938.666666666599</v>
      </c>
      <c r="B405" s="1">
        <f ca="1">IFERROR(__xludf.DUMMYFUNCTION("""COMPUTED_VALUE"""),2.27)</f>
        <v>2.27</v>
      </c>
    </row>
    <row r="406" spans="1:2">
      <c r="A406" s="3">
        <f ca="1">IFERROR(__xludf.DUMMYFUNCTION("""COMPUTED_VALUE"""),38939.6666666666)</f>
        <v>38939.666666666599</v>
      </c>
      <c r="B406" s="1">
        <f ca="1">IFERROR(__xludf.DUMMYFUNCTION("""COMPUTED_VALUE"""),2.29)</f>
        <v>2.29</v>
      </c>
    </row>
    <row r="407" spans="1:2">
      <c r="A407" s="3">
        <f ca="1">IFERROR(__xludf.DUMMYFUNCTION("""COMPUTED_VALUE"""),38940.6666666666)</f>
        <v>38940.666666666599</v>
      </c>
      <c r="B407" s="1">
        <f ca="1">IFERROR(__xludf.DUMMYFUNCTION("""COMPUTED_VALUE"""),2.27)</f>
        <v>2.27</v>
      </c>
    </row>
    <row r="408" spans="1:2">
      <c r="A408" s="3">
        <f ca="1">IFERROR(__xludf.DUMMYFUNCTION("""COMPUTED_VALUE"""),38943.6666666666)</f>
        <v>38943.666666666599</v>
      </c>
      <c r="B408" s="1">
        <f ca="1">IFERROR(__xludf.DUMMYFUNCTION("""COMPUTED_VALUE"""),2.28)</f>
        <v>2.2799999999999998</v>
      </c>
    </row>
    <row r="409" spans="1:2">
      <c r="A409" s="3">
        <f ca="1">IFERROR(__xludf.DUMMYFUNCTION("""COMPUTED_VALUE"""),38944.6666666666)</f>
        <v>38944.666666666599</v>
      </c>
      <c r="B409" s="1">
        <f ca="1">IFERROR(__xludf.DUMMYFUNCTION("""COMPUTED_VALUE"""),2.37)</f>
        <v>2.37</v>
      </c>
    </row>
    <row r="410" spans="1:2">
      <c r="A410" s="3">
        <f ca="1">IFERROR(__xludf.DUMMYFUNCTION("""COMPUTED_VALUE"""),38945.6666666666)</f>
        <v>38945.666666666599</v>
      </c>
      <c r="B410" s="1">
        <f ca="1">IFERROR(__xludf.DUMMYFUNCTION("""COMPUTED_VALUE"""),2.43)</f>
        <v>2.4300000000000002</v>
      </c>
    </row>
    <row r="411" spans="1:2">
      <c r="A411" s="3">
        <f ca="1">IFERROR(__xludf.DUMMYFUNCTION("""COMPUTED_VALUE"""),38946.6666666666)</f>
        <v>38946.666666666599</v>
      </c>
      <c r="B411" s="1">
        <f ca="1">IFERROR(__xludf.DUMMYFUNCTION("""COMPUTED_VALUE"""),2.41)</f>
        <v>2.41</v>
      </c>
    </row>
    <row r="412" spans="1:2">
      <c r="A412" s="3">
        <f ca="1">IFERROR(__xludf.DUMMYFUNCTION("""COMPUTED_VALUE"""),38947.6666666666)</f>
        <v>38947.666666666599</v>
      </c>
      <c r="B412" s="1">
        <f ca="1">IFERROR(__xludf.DUMMYFUNCTION("""COMPUTED_VALUE"""),2.43)</f>
        <v>2.4300000000000002</v>
      </c>
    </row>
    <row r="413" spans="1:2">
      <c r="A413" s="3">
        <f ca="1">IFERROR(__xludf.DUMMYFUNCTION("""COMPUTED_VALUE"""),38950.6666666666)</f>
        <v>38950.666666666599</v>
      </c>
      <c r="B413" s="1">
        <f ca="1">IFERROR(__xludf.DUMMYFUNCTION("""COMPUTED_VALUE"""),2.38)</f>
        <v>2.38</v>
      </c>
    </row>
    <row r="414" spans="1:2">
      <c r="A414" s="3">
        <f ca="1">IFERROR(__xludf.DUMMYFUNCTION("""COMPUTED_VALUE"""),38951.6666666666)</f>
        <v>38951.666666666599</v>
      </c>
      <c r="B414" s="1">
        <f ca="1">IFERROR(__xludf.DUMMYFUNCTION("""COMPUTED_VALUE"""),2.42)</f>
        <v>2.42</v>
      </c>
    </row>
    <row r="415" spans="1:2">
      <c r="A415" s="3">
        <f ca="1">IFERROR(__xludf.DUMMYFUNCTION("""COMPUTED_VALUE"""),38952.6666666666)</f>
        <v>38952.666666666599</v>
      </c>
      <c r="B415" s="1">
        <f ca="1">IFERROR(__xludf.DUMMYFUNCTION("""COMPUTED_VALUE"""),2.4)</f>
        <v>2.4</v>
      </c>
    </row>
    <row r="416" spans="1:2">
      <c r="A416" s="3">
        <f ca="1">IFERROR(__xludf.DUMMYFUNCTION("""COMPUTED_VALUE"""),38953.6666666666)</f>
        <v>38953.666666666599</v>
      </c>
      <c r="B416" s="1">
        <f ca="1">IFERROR(__xludf.DUMMYFUNCTION("""COMPUTED_VALUE"""),2.42)</f>
        <v>2.42</v>
      </c>
    </row>
    <row r="417" spans="1:2">
      <c r="A417" s="3">
        <f ca="1">IFERROR(__xludf.DUMMYFUNCTION("""COMPUTED_VALUE"""),38954.6666666666)</f>
        <v>38954.666666666599</v>
      </c>
      <c r="B417" s="1">
        <f ca="1">IFERROR(__xludf.DUMMYFUNCTION("""COMPUTED_VALUE"""),2.46)</f>
        <v>2.46</v>
      </c>
    </row>
    <row r="418" spans="1:2">
      <c r="A418" s="3">
        <f ca="1">IFERROR(__xludf.DUMMYFUNCTION("""COMPUTED_VALUE"""),38957.6666666666)</f>
        <v>38957.666666666599</v>
      </c>
      <c r="B418" s="1">
        <f ca="1">IFERROR(__xludf.DUMMYFUNCTION("""COMPUTED_VALUE"""),2.39)</f>
        <v>2.39</v>
      </c>
    </row>
    <row r="419" spans="1:2">
      <c r="A419" s="3">
        <f ca="1">IFERROR(__xludf.DUMMYFUNCTION("""COMPUTED_VALUE"""),38958.6666666666)</f>
        <v>38958.666666666599</v>
      </c>
      <c r="B419" s="1">
        <f ca="1">IFERROR(__xludf.DUMMYFUNCTION("""COMPUTED_VALUE"""),2.37)</f>
        <v>2.37</v>
      </c>
    </row>
    <row r="420" spans="1:2">
      <c r="A420" s="3">
        <f ca="1">IFERROR(__xludf.DUMMYFUNCTION("""COMPUTED_VALUE"""),38959.6666666666)</f>
        <v>38959.666666666599</v>
      </c>
      <c r="B420" s="1">
        <f ca="1">IFERROR(__xludf.DUMMYFUNCTION("""COMPUTED_VALUE"""),2.39)</f>
        <v>2.39</v>
      </c>
    </row>
    <row r="421" spans="1:2">
      <c r="A421" s="3">
        <f ca="1">IFERROR(__xludf.DUMMYFUNCTION("""COMPUTED_VALUE"""),38960.6666666666)</f>
        <v>38960.666666666599</v>
      </c>
      <c r="B421" s="1">
        <f ca="1">IFERROR(__xludf.DUMMYFUNCTION("""COMPUTED_VALUE"""),2.42)</f>
        <v>2.42</v>
      </c>
    </row>
    <row r="422" spans="1:2">
      <c r="A422" s="3">
        <f ca="1">IFERROR(__xludf.DUMMYFUNCTION("""COMPUTED_VALUE"""),38961.6666666666)</f>
        <v>38961.666666666599</v>
      </c>
      <c r="B422" s="1">
        <f ca="1">IFERROR(__xludf.DUMMYFUNCTION("""COMPUTED_VALUE"""),2.44)</f>
        <v>2.44</v>
      </c>
    </row>
    <row r="423" spans="1:2">
      <c r="A423" s="3">
        <f ca="1">IFERROR(__xludf.DUMMYFUNCTION("""COMPUTED_VALUE"""),38965.6666666666)</f>
        <v>38965.666666666599</v>
      </c>
      <c r="B423" s="1">
        <f ca="1">IFERROR(__xludf.DUMMYFUNCTION("""COMPUTED_VALUE"""),2.55)</f>
        <v>2.5499999999999998</v>
      </c>
    </row>
    <row r="424" spans="1:2">
      <c r="A424" s="3">
        <f ca="1">IFERROR(__xludf.DUMMYFUNCTION("""COMPUTED_VALUE"""),38966.6666666666)</f>
        <v>38966.666666666599</v>
      </c>
      <c r="B424" s="1">
        <f ca="1">IFERROR(__xludf.DUMMYFUNCTION("""COMPUTED_VALUE"""),2.5)</f>
        <v>2.5</v>
      </c>
    </row>
    <row r="425" spans="1:2">
      <c r="A425" s="3">
        <f ca="1">IFERROR(__xludf.DUMMYFUNCTION("""COMPUTED_VALUE"""),38967.6666666666)</f>
        <v>38967.666666666599</v>
      </c>
      <c r="B425" s="1">
        <f ca="1">IFERROR(__xludf.DUMMYFUNCTION("""COMPUTED_VALUE"""),2.6)</f>
        <v>2.6</v>
      </c>
    </row>
    <row r="426" spans="1:2">
      <c r="A426" s="3">
        <f ca="1">IFERROR(__xludf.DUMMYFUNCTION("""COMPUTED_VALUE"""),38968.6666666666)</f>
        <v>38968.666666666599</v>
      </c>
      <c r="B426" s="1">
        <f ca="1">IFERROR(__xludf.DUMMYFUNCTION("""COMPUTED_VALUE"""),2.59)</f>
        <v>2.59</v>
      </c>
    </row>
    <row r="427" spans="1:2">
      <c r="A427" s="3">
        <f ca="1">IFERROR(__xludf.DUMMYFUNCTION("""COMPUTED_VALUE"""),38971.6666666666)</f>
        <v>38971.666666666599</v>
      </c>
      <c r="B427" s="1">
        <f ca="1">IFERROR(__xludf.DUMMYFUNCTION("""COMPUTED_VALUE"""),2.59)</f>
        <v>2.59</v>
      </c>
    </row>
    <row r="428" spans="1:2">
      <c r="A428" s="3">
        <f ca="1">IFERROR(__xludf.DUMMYFUNCTION("""COMPUTED_VALUE"""),38972.6666666666)</f>
        <v>38972.666666666599</v>
      </c>
      <c r="B428" s="1">
        <f ca="1">IFERROR(__xludf.DUMMYFUNCTION("""COMPUTED_VALUE"""),2.59)</f>
        <v>2.59</v>
      </c>
    </row>
    <row r="429" spans="1:2">
      <c r="A429" s="3">
        <f ca="1">IFERROR(__xludf.DUMMYFUNCTION("""COMPUTED_VALUE"""),38973.6666666666)</f>
        <v>38973.666666666599</v>
      </c>
      <c r="B429" s="1">
        <f ca="1">IFERROR(__xludf.DUMMYFUNCTION("""COMPUTED_VALUE"""),2.65)</f>
        <v>2.65</v>
      </c>
    </row>
    <row r="430" spans="1:2">
      <c r="A430" s="3">
        <f ca="1">IFERROR(__xludf.DUMMYFUNCTION("""COMPUTED_VALUE"""),38974.6666666666)</f>
        <v>38974.666666666599</v>
      </c>
      <c r="B430" s="1">
        <f ca="1">IFERROR(__xludf.DUMMYFUNCTION("""COMPUTED_VALUE"""),2.65)</f>
        <v>2.65</v>
      </c>
    </row>
    <row r="431" spans="1:2">
      <c r="A431" s="3">
        <f ca="1">IFERROR(__xludf.DUMMYFUNCTION("""COMPUTED_VALUE"""),38975.6666666666)</f>
        <v>38975.666666666599</v>
      </c>
      <c r="B431" s="1">
        <f ca="1">IFERROR(__xludf.DUMMYFUNCTION("""COMPUTED_VALUE"""),2.65)</f>
        <v>2.65</v>
      </c>
    </row>
    <row r="432" spans="1:2">
      <c r="A432" s="3">
        <f ca="1">IFERROR(__xludf.DUMMYFUNCTION("""COMPUTED_VALUE"""),38978.6666666666)</f>
        <v>38978.666666666599</v>
      </c>
      <c r="B432" s="1">
        <f ca="1">IFERROR(__xludf.DUMMYFUNCTION("""COMPUTED_VALUE"""),2.64)</f>
        <v>2.64</v>
      </c>
    </row>
    <row r="433" spans="1:2">
      <c r="A433" s="3">
        <f ca="1">IFERROR(__xludf.DUMMYFUNCTION("""COMPUTED_VALUE"""),38979.6666666666)</f>
        <v>38979.666666666599</v>
      </c>
      <c r="B433" s="1">
        <f ca="1">IFERROR(__xludf.DUMMYFUNCTION("""COMPUTED_VALUE"""),2.63)</f>
        <v>2.63</v>
      </c>
    </row>
    <row r="434" spans="1:2">
      <c r="A434" s="3">
        <f ca="1">IFERROR(__xludf.DUMMYFUNCTION("""COMPUTED_VALUE"""),38980.6666666666)</f>
        <v>38980.666666666599</v>
      </c>
      <c r="B434" s="1">
        <f ca="1">IFERROR(__xludf.DUMMYFUNCTION("""COMPUTED_VALUE"""),2.69)</f>
        <v>2.69</v>
      </c>
    </row>
    <row r="435" spans="1:2">
      <c r="A435" s="3">
        <f ca="1">IFERROR(__xludf.DUMMYFUNCTION("""COMPUTED_VALUE"""),38981.6666666666)</f>
        <v>38981.666666666599</v>
      </c>
      <c r="B435" s="1">
        <f ca="1">IFERROR(__xludf.DUMMYFUNCTION("""COMPUTED_VALUE"""),2.67)</f>
        <v>2.67</v>
      </c>
    </row>
    <row r="436" spans="1:2">
      <c r="A436" s="3">
        <f ca="1">IFERROR(__xludf.DUMMYFUNCTION("""COMPUTED_VALUE"""),38982.6666666666)</f>
        <v>38982.666666666599</v>
      </c>
      <c r="B436" s="1">
        <f ca="1">IFERROR(__xludf.DUMMYFUNCTION("""COMPUTED_VALUE"""),2.61)</f>
        <v>2.61</v>
      </c>
    </row>
    <row r="437" spans="1:2">
      <c r="A437" s="3">
        <f ca="1">IFERROR(__xludf.DUMMYFUNCTION("""COMPUTED_VALUE"""),38985.6666666666)</f>
        <v>38985.666666666599</v>
      </c>
      <c r="B437" s="1">
        <f ca="1">IFERROR(__xludf.DUMMYFUNCTION("""COMPUTED_VALUE"""),2.71)</f>
        <v>2.71</v>
      </c>
    </row>
    <row r="438" spans="1:2">
      <c r="A438" s="3">
        <f ca="1">IFERROR(__xludf.DUMMYFUNCTION("""COMPUTED_VALUE"""),38986.6666666666)</f>
        <v>38986.666666666599</v>
      </c>
      <c r="B438" s="1">
        <f ca="1">IFERROR(__xludf.DUMMYFUNCTION("""COMPUTED_VALUE"""),2.77)</f>
        <v>2.77</v>
      </c>
    </row>
    <row r="439" spans="1:2">
      <c r="A439" s="3">
        <f ca="1">IFERROR(__xludf.DUMMYFUNCTION("""COMPUTED_VALUE"""),38987.6666666666)</f>
        <v>38987.666666666599</v>
      </c>
      <c r="B439" s="1">
        <f ca="1">IFERROR(__xludf.DUMMYFUNCTION("""COMPUTED_VALUE"""),2.73)</f>
        <v>2.73</v>
      </c>
    </row>
    <row r="440" spans="1:2">
      <c r="A440" s="3">
        <f ca="1">IFERROR(__xludf.DUMMYFUNCTION("""COMPUTED_VALUE"""),38988.6666666666)</f>
        <v>38988.666666666599</v>
      </c>
      <c r="B440" s="1">
        <f ca="1">IFERROR(__xludf.DUMMYFUNCTION("""COMPUTED_VALUE"""),2.75)</f>
        <v>2.75</v>
      </c>
    </row>
    <row r="441" spans="1:2">
      <c r="A441" s="3">
        <f ca="1">IFERROR(__xludf.DUMMYFUNCTION("""COMPUTED_VALUE"""),38989.6666666666)</f>
        <v>38989.666666666599</v>
      </c>
      <c r="B441" s="1">
        <f ca="1">IFERROR(__xludf.DUMMYFUNCTION("""COMPUTED_VALUE"""),2.75)</f>
        <v>2.75</v>
      </c>
    </row>
    <row r="442" spans="1:2">
      <c r="A442" s="3">
        <f ca="1">IFERROR(__xludf.DUMMYFUNCTION("""COMPUTED_VALUE"""),38992.6666666666)</f>
        <v>38992.666666666599</v>
      </c>
      <c r="B442" s="1">
        <f ca="1">IFERROR(__xludf.DUMMYFUNCTION("""COMPUTED_VALUE"""),2.67)</f>
        <v>2.67</v>
      </c>
    </row>
    <row r="443" spans="1:2">
      <c r="A443" s="3">
        <f ca="1">IFERROR(__xludf.DUMMYFUNCTION("""COMPUTED_VALUE"""),38993.6666666666)</f>
        <v>38993.666666666599</v>
      </c>
      <c r="B443" s="1">
        <f ca="1">IFERROR(__xludf.DUMMYFUNCTION("""COMPUTED_VALUE"""),2.65)</f>
        <v>2.65</v>
      </c>
    </row>
    <row r="444" spans="1:2">
      <c r="A444" s="3">
        <f ca="1">IFERROR(__xludf.DUMMYFUNCTION("""COMPUTED_VALUE"""),38994.6666666666)</f>
        <v>38994.666666666599</v>
      </c>
      <c r="B444" s="1">
        <f ca="1">IFERROR(__xludf.DUMMYFUNCTION("""COMPUTED_VALUE"""),2.69)</f>
        <v>2.69</v>
      </c>
    </row>
    <row r="445" spans="1:2">
      <c r="A445" s="3">
        <f ca="1">IFERROR(__xludf.DUMMYFUNCTION("""COMPUTED_VALUE"""),38995.6666666666)</f>
        <v>38995.666666666599</v>
      </c>
      <c r="B445" s="1">
        <f ca="1">IFERROR(__xludf.DUMMYFUNCTION("""COMPUTED_VALUE"""),2.67)</f>
        <v>2.67</v>
      </c>
    </row>
    <row r="446" spans="1:2">
      <c r="A446" s="3">
        <f ca="1">IFERROR(__xludf.DUMMYFUNCTION("""COMPUTED_VALUE"""),38996.6666666666)</f>
        <v>38996.666666666599</v>
      </c>
      <c r="B446" s="1">
        <f ca="1">IFERROR(__xludf.DUMMYFUNCTION("""COMPUTED_VALUE"""),2.65)</f>
        <v>2.65</v>
      </c>
    </row>
    <row r="447" spans="1:2">
      <c r="A447" s="3">
        <f ca="1">IFERROR(__xludf.DUMMYFUNCTION("""COMPUTED_VALUE"""),38999.6666666666)</f>
        <v>38999.666666666599</v>
      </c>
      <c r="B447" s="1">
        <f ca="1">IFERROR(__xludf.DUMMYFUNCTION("""COMPUTED_VALUE"""),2.67)</f>
        <v>2.67</v>
      </c>
    </row>
    <row r="448" spans="1:2">
      <c r="A448" s="3">
        <f ca="1">IFERROR(__xludf.DUMMYFUNCTION("""COMPUTED_VALUE"""),39000.6666666666)</f>
        <v>39000.666666666599</v>
      </c>
      <c r="B448" s="1">
        <f ca="1">IFERROR(__xludf.DUMMYFUNCTION("""COMPUTED_VALUE"""),2.64)</f>
        <v>2.64</v>
      </c>
    </row>
    <row r="449" spans="1:2">
      <c r="A449" s="3">
        <f ca="1">IFERROR(__xludf.DUMMYFUNCTION("""COMPUTED_VALUE"""),39001.6666666666)</f>
        <v>39001.666666666599</v>
      </c>
      <c r="B449" s="1">
        <f ca="1">IFERROR(__xludf.DUMMYFUNCTION("""COMPUTED_VALUE"""),2.62)</f>
        <v>2.62</v>
      </c>
    </row>
    <row r="450" spans="1:2">
      <c r="A450" s="3">
        <f ca="1">IFERROR(__xludf.DUMMYFUNCTION("""COMPUTED_VALUE"""),39002.6666666666)</f>
        <v>39002.666666666599</v>
      </c>
      <c r="B450" s="1">
        <f ca="1">IFERROR(__xludf.DUMMYFUNCTION("""COMPUTED_VALUE"""),2.69)</f>
        <v>2.69</v>
      </c>
    </row>
    <row r="451" spans="1:2">
      <c r="A451" s="3">
        <f ca="1">IFERROR(__xludf.DUMMYFUNCTION("""COMPUTED_VALUE"""),39003.6666666666)</f>
        <v>39003.666666666599</v>
      </c>
      <c r="B451" s="1">
        <f ca="1">IFERROR(__xludf.DUMMYFUNCTION("""COMPUTED_VALUE"""),2.68)</f>
        <v>2.68</v>
      </c>
    </row>
    <row r="452" spans="1:2">
      <c r="A452" s="3">
        <f ca="1">IFERROR(__xludf.DUMMYFUNCTION("""COMPUTED_VALUE"""),39006.6666666666)</f>
        <v>39006.666666666599</v>
      </c>
      <c r="B452" s="1">
        <f ca="1">IFERROR(__xludf.DUMMYFUNCTION("""COMPUTED_VALUE"""),2.69)</f>
        <v>2.69</v>
      </c>
    </row>
    <row r="453" spans="1:2">
      <c r="A453" s="3">
        <f ca="1">IFERROR(__xludf.DUMMYFUNCTION("""COMPUTED_VALUE"""),39007.6666666666)</f>
        <v>39007.666666666599</v>
      </c>
      <c r="B453" s="1">
        <f ca="1">IFERROR(__xludf.DUMMYFUNCTION("""COMPUTED_VALUE"""),2.65)</f>
        <v>2.65</v>
      </c>
    </row>
    <row r="454" spans="1:2">
      <c r="A454" s="3">
        <f ca="1">IFERROR(__xludf.DUMMYFUNCTION("""COMPUTED_VALUE"""),39008.6666666666)</f>
        <v>39008.666666666599</v>
      </c>
      <c r="B454" s="1">
        <f ca="1">IFERROR(__xludf.DUMMYFUNCTION("""COMPUTED_VALUE"""),2.66)</f>
        <v>2.66</v>
      </c>
    </row>
    <row r="455" spans="1:2">
      <c r="A455" s="3">
        <f ca="1">IFERROR(__xludf.DUMMYFUNCTION("""COMPUTED_VALUE"""),39009.6666666666)</f>
        <v>39009.666666666599</v>
      </c>
      <c r="B455" s="1">
        <f ca="1">IFERROR(__xludf.DUMMYFUNCTION("""COMPUTED_VALUE"""),2.82)</f>
        <v>2.82</v>
      </c>
    </row>
    <row r="456" spans="1:2">
      <c r="A456" s="3">
        <f ca="1">IFERROR(__xludf.DUMMYFUNCTION("""COMPUTED_VALUE"""),39010.6666666666)</f>
        <v>39010.666666666599</v>
      </c>
      <c r="B456" s="1">
        <f ca="1">IFERROR(__xludf.DUMMYFUNCTION("""COMPUTED_VALUE"""),2.86)</f>
        <v>2.86</v>
      </c>
    </row>
    <row r="457" spans="1:2">
      <c r="A457" s="3">
        <f ca="1">IFERROR(__xludf.DUMMYFUNCTION("""COMPUTED_VALUE"""),39013.6666666666)</f>
        <v>39013.666666666599</v>
      </c>
      <c r="B457" s="1">
        <f ca="1">IFERROR(__xludf.DUMMYFUNCTION("""COMPUTED_VALUE"""),2.91)</f>
        <v>2.91</v>
      </c>
    </row>
    <row r="458" spans="1:2">
      <c r="A458" s="3">
        <f ca="1">IFERROR(__xludf.DUMMYFUNCTION("""COMPUTED_VALUE"""),39014.6666666666)</f>
        <v>39014.666666666599</v>
      </c>
      <c r="B458" s="1">
        <f ca="1">IFERROR(__xludf.DUMMYFUNCTION("""COMPUTED_VALUE"""),2.89)</f>
        <v>2.89</v>
      </c>
    </row>
    <row r="459" spans="1:2">
      <c r="A459" s="3">
        <f ca="1">IFERROR(__xludf.DUMMYFUNCTION("""COMPUTED_VALUE"""),39015.6666666666)</f>
        <v>39015.666666666599</v>
      </c>
      <c r="B459" s="1">
        <f ca="1">IFERROR(__xludf.DUMMYFUNCTION("""COMPUTED_VALUE"""),2.92)</f>
        <v>2.92</v>
      </c>
    </row>
    <row r="460" spans="1:2">
      <c r="A460" s="3">
        <f ca="1">IFERROR(__xludf.DUMMYFUNCTION("""COMPUTED_VALUE"""),39016.6666666666)</f>
        <v>39016.666666666599</v>
      </c>
      <c r="B460" s="1">
        <f ca="1">IFERROR(__xludf.DUMMYFUNCTION("""COMPUTED_VALUE"""),2.94)</f>
        <v>2.94</v>
      </c>
    </row>
    <row r="461" spans="1:2">
      <c r="A461" s="3">
        <f ca="1">IFERROR(__xludf.DUMMYFUNCTION("""COMPUTED_VALUE"""),39017.6666666666)</f>
        <v>39017.666666666599</v>
      </c>
      <c r="B461" s="1">
        <f ca="1">IFERROR(__xludf.DUMMYFUNCTION("""COMPUTED_VALUE"""),2.87)</f>
        <v>2.87</v>
      </c>
    </row>
    <row r="462" spans="1:2">
      <c r="A462" s="3">
        <f ca="1">IFERROR(__xludf.DUMMYFUNCTION("""COMPUTED_VALUE"""),39020.6666666666)</f>
        <v>39020.666666666599</v>
      </c>
      <c r="B462" s="1">
        <f ca="1">IFERROR(__xludf.DUMMYFUNCTION("""COMPUTED_VALUE"""),2.87)</f>
        <v>2.87</v>
      </c>
    </row>
    <row r="463" spans="1:2">
      <c r="A463" s="3">
        <f ca="1">IFERROR(__xludf.DUMMYFUNCTION("""COMPUTED_VALUE"""),39021.6666666666)</f>
        <v>39021.666666666599</v>
      </c>
      <c r="B463" s="1">
        <f ca="1">IFERROR(__xludf.DUMMYFUNCTION("""COMPUTED_VALUE"""),2.9)</f>
        <v>2.9</v>
      </c>
    </row>
    <row r="464" spans="1:2">
      <c r="A464" s="3">
        <f ca="1">IFERROR(__xludf.DUMMYFUNCTION("""COMPUTED_VALUE"""),39022.6666666666)</f>
        <v>39022.666666666599</v>
      </c>
      <c r="B464" s="1">
        <f ca="1">IFERROR(__xludf.DUMMYFUNCTION("""COMPUTED_VALUE"""),2.83)</f>
        <v>2.83</v>
      </c>
    </row>
    <row r="465" spans="1:2">
      <c r="A465" s="3">
        <f ca="1">IFERROR(__xludf.DUMMYFUNCTION("""COMPUTED_VALUE"""),39023.6666666666)</f>
        <v>39023.666666666599</v>
      </c>
      <c r="B465" s="1">
        <f ca="1">IFERROR(__xludf.DUMMYFUNCTION("""COMPUTED_VALUE"""),2.82)</f>
        <v>2.82</v>
      </c>
    </row>
    <row r="466" spans="1:2">
      <c r="A466" s="3">
        <f ca="1">IFERROR(__xludf.DUMMYFUNCTION("""COMPUTED_VALUE"""),39024.6666666666)</f>
        <v>39024.666666666599</v>
      </c>
      <c r="B466" s="1">
        <f ca="1">IFERROR(__xludf.DUMMYFUNCTION("""COMPUTED_VALUE"""),2.8)</f>
        <v>2.8</v>
      </c>
    </row>
    <row r="467" spans="1:2">
      <c r="A467" s="3">
        <f ca="1">IFERROR(__xludf.DUMMYFUNCTION("""COMPUTED_VALUE"""),39027.6666666666)</f>
        <v>39027.666666666599</v>
      </c>
      <c r="B467" s="1">
        <f ca="1">IFERROR(__xludf.DUMMYFUNCTION("""COMPUTED_VALUE"""),2.85)</f>
        <v>2.85</v>
      </c>
    </row>
    <row r="468" spans="1:2">
      <c r="A468" s="3">
        <f ca="1">IFERROR(__xludf.DUMMYFUNCTION("""COMPUTED_VALUE"""),39028.6666666666)</f>
        <v>39028.666666666599</v>
      </c>
      <c r="B468" s="1">
        <f ca="1">IFERROR(__xludf.DUMMYFUNCTION("""COMPUTED_VALUE"""),2.88)</f>
        <v>2.88</v>
      </c>
    </row>
    <row r="469" spans="1:2">
      <c r="A469" s="3">
        <f ca="1">IFERROR(__xludf.DUMMYFUNCTION("""COMPUTED_VALUE"""),39029.6666666666)</f>
        <v>39029.666666666599</v>
      </c>
      <c r="B469" s="1">
        <f ca="1">IFERROR(__xludf.DUMMYFUNCTION("""COMPUTED_VALUE"""),2.94)</f>
        <v>2.94</v>
      </c>
    </row>
    <row r="470" spans="1:2">
      <c r="A470" s="3">
        <f ca="1">IFERROR(__xludf.DUMMYFUNCTION("""COMPUTED_VALUE"""),39030.6666666666)</f>
        <v>39030.666666666599</v>
      </c>
      <c r="B470" s="1">
        <f ca="1">IFERROR(__xludf.DUMMYFUNCTION("""COMPUTED_VALUE"""),2.98)</f>
        <v>2.98</v>
      </c>
    </row>
    <row r="471" spans="1:2">
      <c r="A471" s="3">
        <f ca="1">IFERROR(__xludf.DUMMYFUNCTION("""COMPUTED_VALUE"""),39031.6666666666)</f>
        <v>39031.666666666599</v>
      </c>
      <c r="B471" s="1">
        <f ca="1">IFERROR(__xludf.DUMMYFUNCTION("""COMPUTED_VALUE"""),2.97)</f>
        <v>2.97</v>
      </c>
    </row>
    <row r="472" spans="1:2">
      <c r="A472" s="3">
        <f ca="1">IFERROR(__xludf.DUMMYFUNCTION("""COMPUTED_VALUE"""),39034.6666666666)</f>
        <v>39034.666666666599</v>
      </c>
      <c r="B472" s="1">
        <f ca="1">IFERROR(__xludf.DUMMYFUNCTION("""COMPUTED_VALUE"""),3.01)</f>
        <v>3.01</v>
      </c>
    </row>
    <row r="473" spans="1:2">
      <c r="A473" s="3">
        <f ca="1">IFERROR(__xludf.DUMMYFUNCTION("""COMPUTED_VALUE"""),39035.6666666666)</f>
        <v>39035.666666666599</v>
      </c>
      <c r="B473" s="1">
        <f ca="1">IFERROR(__xludf.DUMMYFUNCTION("""COMPUTED_VALUE"""),3.04)</f>
        <v>3.04</v>
      </c>
    </row>
    <row r="474" spans="1:2">
      <c r="A474" s="3">
        <f ca="1">IFERROR(__xludf.DUMMYFUNCTION("""COMPUTED_VALUE"""),39036.6666666666)</f>
        <v>39036.666666666599</v>
      </c>
      <c r="B474" s="1">
        <f ca="1">IFERROR(__xludf.DUMMYFUNCTION("""COMPUTED_VALUE"""),3.03)</f>
        <v>3.03</v>
      </c>
    </row>
    <row r="475" spans="1:2">
      <c r="A475" s="3">
        <f ca="1">IFERROR(__xludf.DUMMYFUNCTION("""COMPUTED_VALUE"""),39037.6666666666)</f>
        <v>39037.666666666599</v>
      </c>
      <c r="B475" s="1">
        <f ca="1">IFERROR(__xludf.DUMMYFUNCTION("""COMPUTED_VALUE"""),3.06)</f>
        <v>3.06</v>
      </c>
    </row>
    <row r="476" spans="1:2">
      <c r="A476" s="3">
        <f ca="1">IFERROR(__xludf.DUMMYFUNCTION("""COMPUTED_VALUE"""),39038.6666666666)</f>
        <v>39038.666666666599</v>
      </c>
      <c r="B476" s="1">
        <f ca="1">IFERROR(__xludf.DUMMYFUNCTION("""COMPUTED_VALUE"""),3.07)</f>
        <v>3.07</v>
      </c>
    </row>
    <row r="477" spans="1:2">
      <c r="A477" s="3">
        <f ca="1">IFERROR(__xludf.DUMMYFUNCTION("""COMPUTED_VALUE"""),39041.6666666666)</f>
        <v>39041.666666666599</v>
      </c>
      <c r="B477" s="1">
        <f ca="1">IFERROR(__xludf.DUMMYFUNCTION("""COMPUTED_VALUE"""),3.09)</f>
        <v>3.09</v>
      </c>
    </row>
    <row r="478" spans="1:2">
      <c r="A478" s="3">
        <f ca="1">IFERROR(__xludf.DUMMYFUNCTION("""COMPUTED_VALUE"""),39042.6666666666)</f>
        <v>39042.666666666599</v>
      </c>
      <c r="B478" s="1">
        <f ca="1">IFERROR(__xludf.DUMMYFUNCTION("""COMPUTED_VALUE"""),3.16)</f>
        <v>3.16</v>
      </c>
    </row>
    <row r="479" spans="1:2">
      <c r="A479" s="3">
        <f ca="1">IFERROR(__xludf.DUMMYFUNCTION("""COMPUTED_VALUE"""),39043.6666666666)</f>
        <v>39043.666666666599</v>
      </c>
      <c r="B479" s="1">
        <f ca="1">IFERROR(__xludf.DUMMYFUNCTION("""COMPUTED_VALUE"""),3.23)</f>
        <v>3.23</v>
      </c>
    </row>
    <row r="480" spans="1:2">
      <c r="A480" s="3">
        <f ca="1">IFERROR(__xludf.DUMMYFUNCTION("""COMPUTED_VALUE"""),39045.6666666666)</f>
        <v>39045.666666666599</v>
      </c>
      <c r="B480" s="1">
        <f ca="1">IFERROR(__xludf.DUMMYFUNCTION("""COMPUTED_VALUE"""),3.27)</f>
        <v>3.27</v>
      </c>
    </row>
    <row r="481" spans="1:2">
      <c r="A481" s="3">
        <f ca="1">IFERROR(__xludf.DUMMYFUNCTION("""COMPUTED_VALUE"""),39048.6666666666)</f>
        <v>39048.666666666599</v>
      </c>
      <c r="B481" s="1">
        <f ca="1">IFERROR(__xludf.DUMMYFUNCTION("""COMPUTED_VALUE"""),3.2)</f>
        <v>3.2</v>
      </c>
    </row>
    <row r="482" spans="1:2">
      <c r="A482" s="3">
        <f ca="1">IFERROR(__xludf.DUMMYFUNCTION("""COMPUTED_VALUE"""),39049.6666666666)</f>
        <v>39049.666666666599</v>
      </c>
      <c r="B482" s="1">
        <f ca="1">IFERROR(__xludf.DUMMYFUNCTION("""COMPUTED_VALUE"""),3.28)</f>
        <v>3.28</v>
      </c>
    </row>
    <row r="483" spans="1:2">
      <c r="A483" s="3">
        <f ca="1">IFERROR(__xludf.DUMMYFUNCTION("""COMPUTED_VALUE"""),39050.6666666666)</f>
        <v>39050.666666666599</v>
      </c>
      <c r="B483" s="1">
        <f ca="1">IFERROR(__xludf.DUMMYFUNCTION("""COMPUTED_VALUE"""),3.28)</f>
        <v>3.28</v>
      </c>
    </row>
    <row r="484" spans="1:2">
      <c r="A484" s="3">
        <f ca="1">IFERROR(__xludf.DUMMYFUNCTION("""COMPUTED_VALUE"""),39051.6666666666)</f>
        <v>39051.666666666599</v>
      </c>
      <c r="B484" s="1">
        <f ca="1">IFERROR(__xludf.DUMMYFUNCTION("""COMPUTED_VALUE"""),3.27)</f>
        <v>3.27</v>
      </c>
    </row>
    <row r="485" spans="1:2">
      <c r="A485" s="3">
        <f ca="1">IFERROR(__xludf.DUMMYFUNCTION("""COMPUTED_VALUE"""),39052.6666666666)</f>
        <v>39052.666666666599</v>
      </c>
      <c r="B485" s="1">
        <f ca="1">IFERROR(__xludf.DUMMYFUNCTION("""COMPUTED_VALUE"""),3.26)</f>
        <v>3.26</v>
      </c>
    </row>
    <row r="486" spans="1:2">
      <c r="A486" s="3">
        <f ca="1">IFERROR(__xludf.DUMMYFUNCTION("""COMPUTED_VALUE"""),39055.6666666666)</f>
        <v>39055.666666666599</v>
      </c>
      <c r="B486" s="1">
        <f ca="1">IFERROR(__xludf.DUMMYFUNCTION("""COMPUTED_VALUE"""),3.25)</f>
        <v>3.25</v>
      </c>
    </row>
    <row r="487" spans="1:2">
      <c r="A487" s="3">
        <f ca="1">IFERROR(__xludf.DUMMYFUNCTION("""COMPUTED_VALUE"""),39056.6666666666)</f>
        <v>39056.666666666599</v>
      </c>
      <c r="B487" s="1">
        <f ca="1">IFERROR(__xludf.DUMMYFUNCTION("""COMPUTED_VALUE"""),3.26)</f>
        <v>3.26</v>
      </c>
    </row>
    <row r="488" spans="1:2">
      <c r="A488" s="3">
        <f ca="1">IFERROR(__xludf.DUMMYFUNCTION("""COMPUTED_VALUE"""),39057.6666666666)</f>
        <v>39057.666666666599</v>
      </c>
      <c r="B488" s="1">
        <f ca="1">IFERROR(__xludf.DUMMYFUNCTION("""COMPUTED_VALUE"""),3.21)</f>
        <v>3.21</v>
      </c>
    </row>
    <row r="489" spans="1:2">
      <c r="A489" s="3">
        <f ca="1">IFERROR(__xludf.DUMMYFUNCTION("""COMPUTED_VALUE"""),39058.6666666666)</f>
        <v>39058.666666666599</v>
      </c>
      <c r="B489" s="1">
        <f ca="1">IFERROR(__xludf.DUMMYFUNCTION("""COMPUTED_VALUE"""),3.11)</f>
        <v>3.11</v>
      </c>
    </row>
    <row r="490" spans="1:2">
      <c r="A490" s="3">
        <f ca="1">IFERROR(__xludf.DUMMYFUNCTION("""COMPUTED_VALUE"""),39059.6666666666)</f>
        <v>39059.666666666599</v>
      </c>
      <c r="B490" s="1">
        <f ca="1">IFERROR(__xludf.DUMMYFUNCTION("""COMPUTED_VALUE"""),3.15)</f>
        <v>3.15</v>
      </c>
    </row>
    <row r="491" spans="1:2">
      <c r="A491" s="3">
        <f ca="1">IFERROR(__xludf.DUMMYFUNCTION("""COMPUTED_VALUE"""),39062.6666666666)</f>
        <v>39062.666666666599</v>
      </c>
      <c r="B491" s="1">
        <f ca="1">IFERROR(__xludf.DUMMYFUNCTION("""COMPUTED_VALUE"""),3.17)</f>
        <v>3.17</v>
      </c>
    </row>
    <row r="492" spans="1:2">
      <c r="A492" s="3">
        <f ca="1">IFERROR(__xludf.DUMMYFUNCTION("""COMPUTED_VALUE"""),39063.6666666666)</f>
        <v>39063.666666666599</v>
      </c>
      <c r="B492" s="1">
        <f ca="1">IFERROR(__xludf.DUMMYFUNCTION("""COMPUTED_VALUE"""),3.08)</f>
        <v>3.08</v>
      </c>
    </row>
    <row r="493" spans="1:2">
      <c r="A493" s="3">
        <f ca="1">IFERROR(__xludf.DUMMYFUNCTION("""COMPUTED_VALUE"""),39064.6666666666)</f>
        <v>39064.666666666599</v>
      </c>
      <c r="B493" s="1">
        <f ca="1">IFERROR(__xludf.DUMMYFUNCTION("""COMPUTED_VALUE"""),3.18)</f>
        <v>3.18</v>
      </c>
    </row>
    <row r="494" spans="1:2">
      <c r="A494" s="3">
        <f ca="1">IFERROR(__xludf.DUMMYFUNCTION("""COMPUTED_VALUE"""),39065.6666666666)</f>
        <v>39065.666666666599</v>
      </c>
      <c r="B494" s="1">
        <f ca="1">IFERROR(__xludf.DUMMYFUNCTION("""COMPUTED_VALUE"""),3.16)</f>
        <v>3.16</v>
      </c>
    </row>
    <row r="495" spans="1:2">
      <c r="A495" s="3">
        <f ca="1">IFERROR(__xludf.DUMMYFUNCTION("""COMPUTED_VALUE"""),39066.6666666666)</f>
        <v>39066.666666666599</v>
      </c>
      <c r="B495" s="1">
        <f ca="1">IFERROR(__xludf.DUMMYFUNCTION("""COMPUTED_VALUE"""),3.13)</f>
        <v>3.13</v>
      </c>
    </row>
    <row r="496" spans="1:2">
      <c r="A496" s="3">
        <f ca="1">IFERROR(__xludf.DUMMYFUNCTION("""COMPUTED_VALUE"""),39069.6666666666)</f>
        <v>39069.666666666599</v>
      </c>
      <c r="B496" s="1">
        <f ca="1">IFERROR(__xludf.DUMMYFUNCTION("""COMPUTED_VALUE"""),3.05)</f>
        <v>3.05</v>
      </c>
    </row>
    <row r="497" spans="1:2">
      <c r="A497" s="3">
        <f ca="1">IFERROR(__xludf.DUMMYFUNCTION("""COMPUTED_VALUE"""),39070.6666666666)</f>
        <v>39070.666666666599</v>
      </c>
      <c r="B497" s="1">
        <f ca="1">IFERROR(__xludf.DUMMYFUNCTION("""COMPUTED_VALUE"""),3.08)</f>
        <v>3.08</v>
      </c>
    </row>
    <row r="498" spans="1:2">
      <c r="A498" s="3">
        <f ca="1">IFERROR(__xludf.DUMMYFUNCTION("""COMPUTED_VALUE"""),39071.6666666666)</f>
        <v>39071.666666666599</v>
      </c>
      <c r="B498" s="1">
        <f ca="1">IFERROR(__xludf.DUMMYFUNCTION("""COMPUTED_VALUE"""),3.03)</f>
        <v>3.03</v>
      </c>
    </row>
    <row r="499" spans="1:2">
      <c r="A499" s="3">
        <f ca="1">IFERROR(__xludf.DUMMYFUNCTION("""COMPUTED_VALUE"""),39072.6666666666)</f>
        <v>39072.666666666599</v>
      </c>
      <c r="B499" s="1">
        <f ca="1">IFERROR(__xludf.DUMMYFUNCTION("""COMPUTED_VALUE"""),2.96)</f>
        <v>2.96</v>
      </c>
    </row>
    <row r="500" spans="1:2">
      <c r="A500" s="3">
        <f ca="1">IFERROR(__xludf.DUMMYFUNCTION("""COMPUTED_VALUE"""),39073.6666666666)</f>
        <v>39073.666666666599</v>
      </c>
      <c r="B500" s="1">
        <f ca="1">IFERROR(__xludf.DUMMYFUNCTION("""COMPUTED_VALUE"""),2.94)</f>
        <v>2.94</v>
      </c>
    </row>
    <row r="501" spans="1:2">
      <c r="A501" s="3">
        <f ca="1">IFERROR(__xludf.DUMMYFUNCTION("""COMPUTED_VALUE"""),39077.6666666666)</f>
        <v>39077.666666666599</v>
      </c>
      <c r="B501" s="1">
        <f ca="1">IFERROR(__xludf.DUMMYFUNCTION("""COMPUTED_VALUE"""),2.91)</f>
        <v>2.91</v>
      </c>
    </row>
    <row r="502" spans="1:2">
      <c r="A502" s="3">
        <f ca="1">IFERROR(__xludf.DUMMYFUNCTION("""COMPUTED_VALUE"""),39078.6666666666)</f>
        <v>39078.666666666599</v>
      </c>
      <c r="B502" s="1">
        <f ca="1">IFERROR(__xludf.DUMMYFUNCTION("""COMPUTED_VALUE"""),2.91)</f>
        <v>2.91</v>
      </c>
    </row>
    <row r="503" spans="1:2">
      <c r="A503" s="3">
        <f ca="1">IFERROR(__xludf.DUMMYFUNCTION("""COMPUTED_VALUE"""),39079.6666666666)</f>
        <v>39079.666666666599</v>
      </c>
      <c r="B503" s="1">
        <f ca="1">IFERROR(__xludf.DUMMYFUNCTION("""COMPUTED_VALUE"""),2.89)</f>
        <v>2.89</v>
      </c>
    </row>
    <row r="504" spans="1:2">
      <c r="A504" s="3">
        <f ca="1">IFERROR(__xludf.DUMMYFUNCTION("""COMPUTED_VALUE"""),39080.6666666666)</f>
        <v>39080.666666666599</v>
      </c>
      <c r="B504" s="1">
        <f ca="1">IFERROR(__xludf.DUMMYFUNCTION("""COMPUTED_VALUE"""),3.03)</f>
        <v>3.03</v>
      </c>
    </row>
    <row r="505" spans="1:2">
      <c r="A505" s="3">
        <f ca="1">IFERROR(__xludf.DUMMYFUNCTION("""COMPUTED_VALUE"""),39085.6666666666)</f>
        <v>39085.666666666599</v>
      </c>
      <c r="B505" s="1">
        <f ca="1">IFERROR(__xludf.DUMMYFUNCTION("""COMPUTED_VALUE"""),2.99)</f>
        <v>2.99</v>
      </c>
    </row>
    <row r="506" spans="1:2">
      <c r="A506" s="3">
        <f ca="1">IFERROR(__xludf.DUMMYFUNCTION("""COMPUTED_VALUE"""),39086.6666666666)</f>
        <v>39086.666666666599</v>
      </c>
      <c r="B506" s="1">
        <f ca="1">IFERROR(__xludf.DUMMYFUNCTION("""COMPUTED_VALUE"""),3.06)</f>
        <v>3.06</v>
      </c>
    </row>
    <row r="507" spans="1:2">
      <c r="A507" s="3">
        <f ca="1">IFERROR(__xludf.DUMMYFUNCTION("""COMPUTED_VALUE"""),39087.6666666666)</f>
        <v>39087.666666666599</v>
      </c>
      <c r="B507" s="1">
        <f ca="1">IFERROR(__xludf.DUMMYFUNCTION("""COMPUTED_VALUE"""),3.04)</f>
        <v>3.04</v>
      </c>
    </row>
    <row r="508" spans="1:2">
      <c r="A508" s="3">
        <f ca="1">IFERROR(__xludf.DUMMYFUNCTION("""COMPUTED_VALUE"""),39090.6666666666)</f>
        <v>39090.666666666599</v>
      </c>
      <c r="B508" s="1">
        <f ca="1">IFERROR(__xludf.DUMMYFUNCTION("""COMPUTED_VALUE"""),3.05)</f>
        <v>3.05</v>
      </c>
    </row>
    <row r="509" spans="1:2">
      <c r="A509" s="3">
        <f ca="1">IFERROR(__xludf.DUMMYFUNCTION("""COMPUTED_VALUE"""),39091.6666666666)</f>
        <v>39091.666666666599</v>
      </c>
      <c r="B509" s="1">
        <f ca="1">IFERROR(__xludf.DUMMYFUNCTION("""COMPUTED_VALUE"""),3.31)</f>
        <v>3.31</v>
      </c>
    </row>
    <row r="510" spans="1:2">
      <c r="A510" s="3">
        <f ca="1">IFERROR(__xludf.DUMMYFUNCTION("""COMPUTED_VALUE"""),39092.6666666666)</f>
        <v>39092.666666666599</v>
      </c>
      <c r="B510" s="1">
        <f ca="1">IFERROR(__xludf.DUMMYFUNCTION("""COMPUTED_VALUE"""),3.46)</f>
        <v>3.46</v>
      </c>
    </row>
    <row r="511" spans="1:2">
      <c r="A511" s="3">
        <f ca="1">IFERROR(__xludf.DUMMYFUNCTION("""COMPUTED_VALUE"""),39093.6666666666)</f>
        <v>39093.666666666599</v>
      </c>
      <c r="B511" s="1">
        <f ca="1">IFERROR(__xludf.DUMMYFUNCTION("""COMPUTED_VALUE"""),3.42)</f>
        <v>3.42</v>
      </c>
    </row>
    <row r="512" spans="1:2">
      <c r="A512" s="3">
        <f ca="1">IFERROR(__xludf.DUMMYFUNCTION("""COMPUTED_VALUE"""),39094.6666666666)</f>
        <v>39094.666666666599</v>
      </c>
      <c r="B512" s="1">
        <f ca="1">IFERROR(__xludf.DUMMYFUNCTION("""COMPUTED_VALUE"""),3.38)</f>
        <v>3.38</v>
      </c>
    </row>
    <row r="513" spans="1:2">
      <c r="A513" s="3">
        <f ca="1">IFERROR(__xludf.DUMMYFUNCTION("""COMPUTED_VALUE"""),39098.6666666666)</f>
        <v>39098.666666666599</v>
      </c>
      <c r="B513" s="1">
        <f ca="1">IFERROR(__xludf.DUMMYFUNCTION("""COMPUTED_VALUE"""),3.47)</f>
        <v>3.47</v>
      </c>
    </row>
    <row r="514" spans="1:2">
      <c r="A514" s="3">
        <f ca="1">IFERROR(__xludf.DUMMYFUNCTION("""COMPUTED_VALUE"""),39099.6666666666)</f>
        <v>39099.666666666599</v>
      </c>
      <c r="B514" s="1">
        <f ca="1">IFERROR(__xludf.DUMMYFUNCTION("""COMPUTED_VALUE"""),3.39)</f>
        <v>3.39</v>
      </c>
    </row>
    <row r="515" spans="1:2">
      <c r="A515" s="3">
        <f ca="1">IFERROR(__xludf.DUMMYFUNCTION("""COMPUTED_VALUE"""),39100.6666666666)</f>
        <v>39100.666666666599</v>
      </c>
      <c r="B515" s="1">
        <f ca="1">IFERROR(__xludf.DUMMYFUNCTION("""COMPUTED_VALUE"""),3.18)</f>
        <v>3.18</v>
      </c>
    </row>
    <row r="516" spans="1:2">
      <c r="A516" s="3">
        <f ca="1">IFERROR(__xludf.DUMMYFUNCTION("""COMPUTED_VALUE"""),39101.6666666666)</f>
        <v>39101.666666666599</v>
      </c>
      <c r="B516" s="1">
        <f ca="1">IFERROR(__xludf.DUMMYFUNCTION("""COMPUTED_VALUE"""),3.16)</f>
        <v>3.16</v>
      </c>
    </row>
    <row r="517" spans="1:2">
      <c r="A517" s="3">
        <f ca="1">IFERROR(__xludf.DUMMYFUNCTION("""COMPUTED_VALUE"""),39104.6666666666)</f>
        <v>39104.666666666599</v>
      </c>
      <c r="B517" s="1">
        <f ca="1">IFERROR(__xludf.DUMMYFUNCTION("""COMPUTED_VALUE"""),3.1)</f>
        <v>3.1</v>
      </c>
    </row>
    <row r="518" spans="1:2">
      <c r="A518" s="3">
        <f ca="1">IFERROR(__xludf.DUMMYFUNCTION("""COMPUTED_VALUE"""),39105.6666666666)</f>
        <v>39105.666666666599</v>
      </c>
      <c r="B518" s="1">
        <f ca="1">IFERROR(__xludf.DUMMYFUNCTION("""COMPUTED_VALUE"""),3.06)</f>
        <v>3.06</v>
      </c>
    </row>
    <row r="519" spans="1:2">
      <c r="A519" s="3">
        <f ca="1">IFERROR(__xludf.DUMMYFUNCTION("""COMPUTED_VALUE"""),39106.6666666666)</f>
        <v>39106.666666666599</v>
      </c>
      <c r="B519" s="1">
        <f ca="1">IFERROR(__xludf.DUMMYFUNCTION("""COMPUTED_VALUE"""),3.1)</f>
        <v>3.1</v>
      </c>
    </row>
    <row r="520" spans="1:2">
      <c r="A520" s="3">
        <f ca="1">IFERROR(__xludf.DUMMYFUNCTION("""COMPUTED_VALUE"""),39107.6666666666)</f>
        <v>39107.666666666599</v>
      </c>
      <c r="B520" s="1">
        <f ca="1">IFERROR(__xludf.DUMMYFUNCTION("""COMPUTED_VALUE"""),3.08)</f>
        <v>3.08</v>
      </c>
    </row>
    <row r="521" spans="1:2">
      <c r="A521" s="3">
        <f ca="1">IFERROR(__xludf.DUMMYFUNCTION("""COMPUTED_VALUE"""),39108.6666666666)</f>
        <v>39108.666666666599</v>
      </c>
      <c r="B521" s="1">
        <f ca="1">IFERROR(__xludf.DUMMYFUNCTION("""COMPUTED_VALUE"""),3.05)</f>
        <v>3.05</v>
      </c>
    </row>
    <row r="522" spans="1:2">
      <c r="A522" s="3">
        <f ca="1">IFERROR(__xludf.DUMMYFUNCTION("""COMPUTED_VALUE"""),39111.6666666666)</f>
        <v>39111.666666666599</v>
      </c>
      <c r="B522" s="1">
        <f ca="1">IFERROR(__xludf.DUMMYFUNCTION("""COMPUTED_VALUE"""),3.07)</f>
        <v>3.07</v>
      </c>
    </row>
    <row r="523" spans="1:2">
      <c r="A523" s="3">
        <f ca="1">IFERROR(__xludf.DUMMYFUNCTION("""COMPUTED_VALUE"""),39112.6666666666)</f>
        <v>39112.666666666599</v>
      </c>
      <c r="B523" s="1">
        <f ca="1">IFERROR(__xludf.DUMMYFUNCTION("""COMPUTED_VALUE"""),3.06)</f>
        <v>3.06</v>
      </c>
    </row>
    <row r="524" spans="1:2">
      <c r="A524" s="3">
        <f ca="1">IFERROR(__xludf.DUMMYFUNCTION("""COMPUTED_VALUE"""),39113.6666666666)</f>
        <v>39113.666666666599</v>
      </c>
      <c r="B524" s="1">
        <f ca="1">IFERROR(__xludf.DUMMYFUNCTION("""COMPUTED_VALUE"""),3.06)</f>
        <v>3.06</v>
      </c>
    </row>
    <row r="525" spans="1:2">
      <c r="A525" s="3">
        <f ca="1">IFERROR(__xludf.DUMMYFUNCTION("""COMPUTED_VALUE"""),39114.6666666666)</f>
        <v>39114.666666666599</v>
      </c>
      <c r="B525" s="1">
        <f ca="1">IFERROR(__xludf.DUMMYFUNCTION("""COMPUTED_VALUE"""),3.03)</f>
        <v>3.03</v>
      </c>
    </row>
    <row r="526" spans="1:2">
      <c r="A526" s="3">
        <f ca="1">IFERROR(__xludf.DUMMYFUNCTION("""COMPUTED_VALUE"""),39115.6666666666)</f>
        <v>39115.666666666599</v>
      </c>
      <c r="B526" s="1">
        <f ca="1">IFERROR(__xludf.DUMMYFUNCTION("""COMPUTED_VALUE"""),3.03)</f>
        <v>3.03</v>
      </c>
    </row>
    <row r="527" spans="1:2">
      <c r="A527" s="3">
        <f ca="1">IFERROR(__xludf.DUMMYFUNCTION("""COMPUTED_VALUE"""),39118.6666666666)</f>
        <v>39118.666666666599</v>
      </c>
      <c r="B527" s="1">
        <f ca="1">IFERROR(__xludf.DUMMYFUNCTION("""COMPUTED_VALUE"""),3)</f>
        <v>3</v>
      </c>
    </row>
    <row r="528" spans="1:2">
      <c r="A528" s="3">
        <f ca="1">IFERROR(__xludf.DUMMYFUNCTION("""COMPUTED_VALUE"""),39119.6666666666)</f>
        <v>39119.666666666599</v>
      </c>
      <c r="B528" s="1">
        <f ca="1">IFERROR(__xludf.DUMMYFUNCTION("""COMPUTED_VALUE"""),3.01)</f>
        <v>3.01</v>
      </c>
    </row>
    <row r="529" spans="1:2">
      <c r="A529" s="3">
        <f ca="1">IFERROR(__xludf.DUMMYFUNCTION("""COMPUTED_VALUE"""),39120.6666666666)</f>
        <v>39120.666666666599</v>
      </c>
      <c r="B529" s="1">
        <f ca="1">IFERROR(__xludf.DUMMYFUNCTION("""COMPUTED_VALUE"""),3.08)</f>
        <v>3.08</v>
      </c>
    </row>
    <row r="530" spans="1:2">
      <c r="A530" s="3">
        <f ca="1">IFERROR(__xludf.DUMMYFUNCTION("""COMPUTED_VALUE"""),39121.6666666666)</f>
        <v>39121.666666666599</v>
      </c>
      <c r="B530" s="1">
        <f ca="1">IFERROR(__xludf.DUMMYFUNCTION("""COMPUTED_VALUE"""),3.08)</f>
        <v>3.08</v>
      </c>
    </row>
    <row r="531" spans="1:2">
      <c r="A531" s="3">
        <f ca="1">IFERROR(__xludf.DUMMYFUNCTION("""COMPUTED_VALUE"""),39122.6666666666)</f>
        <v>39122.666666666599</v>
      </c>
      <c r="B531" s="1">
        <f ca="1">IFERROR(__xludf.DUMMYFUNCTION("""COMPUTED_VALUE"""),2.97)</f>
        <v>2.97</v>
      </c>
    </row>
    <row r="532" spans="1:2">
      <c r="A532" s="3">
        <f ca="1">IFERROR(__xludf.DUMMYFUNCTION("""COMPUTED_VALUE"""),39125.6666666666)</f>
        <v>39125.666666666599</v>
      </c>
      <c r="B532" s="1">
        <f ca="1">IFERROR(__xludf.DUMMYFUNCTION("""COMPUTED_VALUE"""),3.03)</f>
        <v>3.03</v>
      </c>
    </row>
    <row r="533" spans="1:2">
      <c r="A533" s="3">
        <f ca="1">IFERROR(__xludf.DUMMYFUNCTION("""COMPUTED_VALUE"""),39126.6666666666)</f>
        <v>39126.666666666599</v>
      </c>
      <c r="B533" s="1">
        <f ca="1">IFERROR(__xludf.DUMMYFUNCTION("""COMPUTED_VALUE"""),3.02)</f>
        <v>3.02</v>
      </c>
    </row>
    <row r="534" spans="1:2">
      <c r="A534" s="3">
        <f ca="1">IFERROR(__xludf.DUMMYFUNCTION("""COMPUTED_VALUE"""),39127.6666666666)</f>
        <v>39127.666666666599</v>
      </c>
      <c r="B534" s="1">
        <f ca="1">IFERROR(__xludf.DUMMYFUNCTION("""COMPUTED_VALUE"""),3.05)</f>
        <v>3.05</v>
      </c>
    </row>
    <row r="535" spans="1:2">
      <c r="A535" s="3">
        <f ca="1">IFERROR(__xludf.DUMMYFUNCTION("""COMPUTED_VALUE"""),39128.6666666666)</f>
        <v>39128.666666666599</v>
      </c>
      <c r="B535" s="1">
        <f ca="1">IFERROR(__xludf.DUMMYFUNCTION("""COMPUTED_VALUE"""),3.04)</f>
        <v>3.04</v>
      </c>
    </row>
    <row r="536" spans="1:2">
      <c r="A536" s="3">
        <f ca="1">IFERROR(__xludf.DUMMYFUNCTION("""COMPUTED_VALUE"""),39129.6666666666)</f>
        <v>39129.666666666599</v>
      </c>
      <c r="B536" s="1">
        <f ca="1">IFERROR(__xludf.DUMMYFUNCTION("""COMPUTED_VALUE"""),3.03)</f>
        <v>3.03</v>
      </c>
    </row>
    <row r="537" spans="1:2">
      <c r="A537" s="3">
        <f ca="1">IFERROR(__xludf.DUMMYFUNCTION("""COMPUTED_VALUE"""),39133.6666666666)</f>
        <v>39133.666666666599</v>
      </c>
      <c r="B537" s="1">
        <f ca="1">IFERROR(__xludf.DUMMYFUNCTION("""COMPUTED_VALUE"""),3.07)</f>
        <v>3.07</v>
      </c>
    </row>
    <row r="538" spans="1:2">
      <c r="A538" s="3">
        <f ca="1">IFERROR(__xludf.DUMMYFUNCTION("""COMPUTED_VALUE"""),39134.6666666666)</f>
        <v>39134.666666666599</v>
      </c>
      <c r="B538" s="1">
        <f ca="1">IFERROR(__xludf.DUMMYFUNCTION("""COMPUTED_VALUE"""),3.19)</f>
        <v>3.19</v>
      </c>
    </row>
    <row r="539" spans="1:2">
      <c r="A539" s="3">
        <f ca="1">IFERROR(__xludf.DUMMYFUNCTION("""COMPUTED_VALUE"""),39135.6666666666)</f>
        <v>39135.666666666599</v>
      </c>
      <c r="B539" s="1">
        <f ca="1">IFERROR(__xludf.DUMMYFUNCTION("""COMPUTED_VALUE"""),3.2)</f>
        <v>3.2</v>
      </c>
    </row>
    <row r="540" spans="1:2">
      <c r="A540" s="3">
        <f ca="1">IFERROR(__xludf.DUMMYFUNCTION("""COMPUTED_VALUE"""),39136.6666666666)</f>
        <v>39136.666666666599</v>
      </c>
      <c r="B540" s="1">
        <f ca="1">IFERROR(__xludf.DUMMYFUNCTION("""COMPUTED_VALUE"""),3.18)</f>
        <v>3.18</v>
      </c>
    </row>
    <row r="541" spans="1:2">
      <c r="A541" s="3">
        <f ca="1">IFERROR(__xludf.DUMMYFUNCTION("""COMPUTED_VALUE"""),39139.6666666666)</f>
        <v>39139.666666666599</v>
      </c>
      <c r="B541" s="1">
        <f ca="1">IFERROR(__xludf.DUMMYFUNCTION("""COMPUTED_VALUE"""),3.17)</f>
        <v>3.17</v>
      </c>
    </row>
    <row r="542" spans="1:2">
      <c r="A542" s="3">
        <f ca="1">IFERROR(__xludf.DUMMYFUNCTION("""COMPUTED_VALUE"""),39140.6666666666)</f>
        <v>39140.666666666599</v>
      </c>
      <c r="B542" s="1">
        <f ca="1">IFERROR(__xludf.DUMMYFUNCTION("""COMPUTED_VALUE"""),3)</f>
        <v>3</v>
      </c>
    </row>
    <row r="543" spans="1:2">
      <c r="A543" s="3">
        <f ca="1">IFERROR(__xludf.DUMMYFUNCTION("""COMPUTED_VALUE"""),39141.6666666666)</f>
        <v>39141.666666666599</v>
      </c>
      <c r="B543" s="1">
        <f ca="1">IFERROR(__xludf.DUMMYFUNCTION("""COMPUTED_VALUE"""),3.02)</f>
        <v>3.02</v>
      </c>
    </row>
    <row r="544" spans="1:2">
      <c r="A544" s="3">
        <f ca="1">IFERROR(__xludf.DUMMYFUNCTION("""COMPUTED_VALUE"""),39142.6666666666)</f>
        <v>39142.666666666599</v>
      </c>
      <c r="B544" s="1">
        <f ca="1">IFERROR(__xludf.DUMMYFUNCTION("""COMPUTED_VALUE"""),3.11)</f>
        <v>3.11</v>
      </c>
    </row>
    <row r="545" spans="1:2">
      <c r="A545" s="3">
        <f ca="1">IFERROR(__xludf.DUMMYFUNCTION("""COMPUTED_VALUE"""),39143.6666666666)</f>
        <v>39143.666666666599</v>
      </c>
      <c r="B545" s="1">
        <f ca="1">IFERROR(__xludf.DUMMYFUNCTION("""COMPUTED_VALUE"""),3.05)</f>
        <v>3.05</v>
      </c>
    </row>
    <row r="546" spans="1:2">
      <c r="A546" s="3">
        <f ca="1">IFERROR(__xludf.DUMMYFUNCTION("""COMPUTED_VALUE"""),39146.6666666666)</f>
        <v>39146.666666666599</v>
      </c>
      <c r="B546" s="1">
        <f ca="1">IFERROR(__xludf.DUMMYFUNCTION("""COMPUTED_VALUE"""),3.08)</f>
        <v>3.08</v>
      </c>
    </row>
    <row r="547" spans="1:2">
      <c r="A547" s="3">
        <f ca="1">IFERROR(__xludf.DUMMYFUNCTION("""COMPUTED_VALUE"""),39147.6666666666)</f>
        <v>39147.666666666599</v>
      </c>
      <c r="B547" s="1">
        <f ca="1">IFERROR(__xludf.DUMMYFUNCTION("""COMPUTED_VALUE"""),3.15)</f>
        <v>3.15</v>
      </c>
    </row>
    <row r="548" spans="1:2">
      <c r="A548" s="3">
        <f ca="1">IFERROR(__xludf.DUMMYFUNCTION("""COMPUTED_VALUE"""),39148.6666666666)</f>
        <v>39148.666666666599</v>
      </c>
      <c r="B548" s="1">
        <f ca="1">IFERROR(__xludf.DUMMYFUNCTION("""COMPUTED_VALUE"""),3.13)</f>
        <v>3.13</v>
      </c>
    </row>
    <row r="549" spans="1:2">
      <c r="A549" s="3">
        <f ca="1">IFERROR(__xludf.DUMMYFUNCTION("""COMPUTED_VALUE"""),39149.6666666666)</f>
        <v>39149.666666666599</v>
      </c>
      <c r="B549" s="1">
        <f ca="1">IFERROR(__xludf.DUMMYFUNCTION("""COMPUTED_VALUE"""),3.14)</f>
        <v>3.14</v>
      </c>
    </row>
    <row r="550" spans="1:2">
      <c r="A550" s="3">
        <f ca="1">IFERROR(__xludf.DUMMYFUNCTION("""COMPUTED_VALUE"""),39150.6666666666)</f>
        <v>39150.666666666599</v>
      </c>
      <c r="B550" s="1">
        <f ca="1">IFERROR(__xludf.DUMMYFUNCTION("""COMPUTED_VALUE"""),3.14)</f>
        <v>3.14</v>
      </c>
    </row>
    <row r="551" spans="1:2">
      <c r="A551" s="3">
        <f ca="1">IFERROR(__xludf.DUMMYFUNCTION("""COMPUTED_VALUE"""),39153.6666666666)</f>
        <v>39153.666666666599</v>
      </c>
      <c r="B551" s="1">
        <f ca="1">IFERROR(__xludf.DUMMYFUNCTION("""COMPUTED_VALUE"""),3.21)</f>
        <v>3.21</v>
      </c>
    </row>
    <row r="552" spans="1:2">
      <c r="A552" s="3">
        <f ca="1">IFERROR(__xludf.DUMMYFUNCTION("""COMPUTED_VALUE"""),39154.6666666666)</f>
        <v>39154.666666666599</v>
      </c>
      <c r="B552" s="1">
        <f ca="1">IFERROR(__xludf.DUMMYFUNCTION("""COMPUTED_VALUE"""),3.16)</f>
        <v>3.16</v>
      </c>
    </row>
    <row r="553" spans="1:2">
      <c r="A553" s="3">
        <f ca="1">IFERROR(__xludf.DUMMYFUNCTION("""COMPUTED_VALUE"""),39155.6666666666)</f>
        <v>39155.666666666599</v>
      </c>
      <c r="B553" s="1">
        <f ca="1">IFERROR(__xludf.DUMMYFUNCTION("""COMPUTED_VALUE"""),3.21)</f>
        <v>3.21</v>
      </c>
    </row>
    <row r="554" spans="1:2">
      <c r="A554" s="3">
        <f ca="1">IFERROR(__xludf.DUMMYFUNCTION("""COMPUTED_VALUE"""),39156.6666666666)</f>
        <v>39156.666666666599</v>
      </c>
      <c r="B554" s="1">
        <f ca="1">IFERROR(__xludf.DUMMYFUNCTION("""COMPUTED_VALUE"""),3.2)</f>
        <v>3.2</v>
      </c>
    </row>
    <row r="555" spans="1:2">
      <c r="A555" s="3">
        <f ca="1">IFERROR(__xludf.DUMMYFUNCTION("""COMPUTED_VALUE"""),39157.6666666666)</f>
        <v>39157.666666666599</v>
      </c>
      <c r="B555" s="1">
        <f ca="1">IFERROR(__xludf.DUMMYFUNCTION("""COMPUTED_VALUE"""),3.2)</f>
        <v>3.2</v>
      </c>
    </row>
    <row r="556" spans="1:2">
      <c r="A556" s="3">
        <f ca="1">IFERROR(__xludf.DUMMYFUNCTION("""COMPUTED_VALUE"""),39160.6666666666)</f>
        <v>39160.666666666599</v>
      </c>
      <c r="B556" s="1">
        <f ca="1">IFERROR(__xludf.DUMMYFUNCTION("""COMPUTED_VALUE"""),3.25)</f>
        <v>3.25</v>
      </c>
    </row>
    <row r="557" spans="1:2">
      <c r="A557" s="3">
        <f ca="1">IFERROR(__xludf.DUMMYFUNCTION("""COMPUTED_VALUE"""),39161.6666666666)</f>
        <v>39161.666666666599</v>
      </c>
      <c r="B557" s="1">
        <f ca="1">IFERROR(__xludf.DUMMYFUNCTION("""COMPUTED_VALUE"""),3.27)</f>
        <v>3.27</v>
      </c>
    </row>
    <row r="558" spans="1:2">
      <c r="A558" s="3">
        <f ca="1">IFERROR(__xludf.DUMMYFUNCTION("""COMPUTED_VALUE"""),39162.6666666666)</f>
        <v>39162.666666666599</v>
      </c>
      <c r="B558" s="1">
        <f ca="1">IFERROR(__xludf.DUMMYFUNCTION("""COMPUTED_VALUE"""),3.35)</f>
        <v>3.35</v>
      </c>
    </row>
    <row r="559" spans="1:2">
      <c r="A559" s="3">
        <f ca="1">IFERROR(__xludf.DUMMYFUNCTION("""COMPUTED_VALUE"""),39163.6666666666)</f>
        <v>39163.666666666599</v>
      </c>
      <c r="B559" s="1">
        <f ca="1">IFERROR(__xludf.DUMMYFUNCTION("""COMPUTED_VALUE"""),3.36)</f>
        <v>3.36</v>
      </c>
    </row>
    <row r="560" spans="1:2">
      <c r="A560" s="3">
        <f ca="1">IFERROR(__xludf.DUMMYFUNCTION("""COMPUTED_VALUE"""),39164.6666666666)</f>
        <v>39164.666666666599</v>
      </c>
      <c r="B560" s="1">
        <f ca="1">IFERROR(__xludf.DUMMYFUNCTION("""COMPUTED_VALUE"""),3.34)</f>
        <v>3.34</v>
      </c>
    </row>
    <row r="561" spans="1:2">
      <c r="A561" s="3">
        <f ca="1">IFERROR(__xludf.DUMMYFUNCTION("""COMPUTED_VALUE"""),39167.6666666666)</f>
        <v>39167.666666666599</v>
      </c>
      <c r="B561" s="1">
        <f ca="1">IFERROR(__xludf.DUMMYFUNCTION("""COMPUTED_VALUE"""),3.42)</f>
        <v>3.42</v>
      </c>
    </row>
    <row r="562" spans="1:2">
      <c r="A562" s="3">
        <f ca="1">IFERROR(__xludf.DUMMYFUNCTION("""COMPUTED_VALUE"""),39168.6666666666)</f>
        <v>39168.666666666599</v>
      </c>
      <c r="B562" s="1">
        <f ca="1">IFERROR(__xludf.DUMMYFUNCTION("""COMPUTED_VALUE"""),3.41)</f>
        <v>3.41</v>
      </c>
    </row>
    <row r="563" spans="1:2">
      <c r="A563" s="3">
        <f ca="1">IFERROR(__xludf.DUMMYFUNCTION("""COMPUTED_VALUE"""),39169.6666666666)</f>
        <v>39169.666666666599</v>
      </c>
      <c r="B563" s="1">
        <f ca="1">IFERROR(__xludf.DUMMYFUNCTION("""COMPUTED_VALUE"""),3.33)</f>
        <v>3.33</v>
      </c>
    </row>
    <row r="564" spans="1:2">
      <c r="A564" s="3">
        <f ca="1">IFERROR(__xludf.DUMMYFUNCTION("""COMPUTED_VALUE"""),39170.6666666666)</f>
        <v>39170.666666666599</v>
      </c>
      <c r="B564" s="1">
        <f ca="1">IFERROR(__xludf.DUMMYFUNCTION("""COMPUTED_VALUE"""),3.35)</f>
        <v>3.35</v>
      </c>
    </row>
    <row r="565" spans="1:2">
      <c r="A565" s="3">
        <f ca="1">IFERROR(__xludf.DUMMYFUNCTION("""COMPUTED_VALUE"""),39171.6666666666)</f>
        <v>39171.666666666599</v>
      </c>
      <c r="B565" s="1">
        <f ca="1">IFERROR(__xludf.DUMMYFUNCTION("""COMPUTED_VALUE"""),3.32)</f>
        <v>3.32</v>
      </c>
    </row>
    <row r="566" spans="1:2">
      <c r="A566" s="3">
        <f ca="1">IFERROR(__xludf.DUMMYFUNCTION("""COMPUTED_VALUE"""),39174.6666666666)</f>
        <v>39174.666666666599</v>
      </c>
      <c r="B566" s="1">
        <f ca="1">IFERROR(__xludf.DUMMYFUNCTION("""COMPUTED_VALUE"""),3.34)</f>
        <v>3.34</v>
      </c>
    </row>
    <row r="567" spans="1:2">
      <c r="A567" s="3">
        <f ca="1">IFERROR(__xludf.DUMMYFUNCTION("""COMPUTED_VALUE"""),39175.6666666666)</f>
        <v>39175.666666666599</v>
      </c>
      <c r="B567" s="1">
        <f ca="1">IFERROR(__xludf.DUMMYFUNCTION("""COMPUTED_VALUE"""),3.38)</f>
        <v>3.38</v>
      </c>
    </row>
    <row r="568" spans="1:2">
      <c r="A568" s="3">
        <f ca="1">IFERROR(__xludf.DUMMYFUNCTION("""COMPUTED_VALUE"""),39176.6666666666)</f>
        <v>39176.666666666599</v>
      </c>
      <c r="B568" s="1">
        <f ca="1">IFERROR(__xludf.DUMMYFUNCTION("""COMPUTED_VALUE"""),3.37)</f>
        <v>3.37</v>
      </c>
    </row>
    <row r="569" spans="1:2">
      <c r="A569" s="3">
        <f ca="1">IFERROR(__xludf.DUMMYFUNCTION("""COMPUTED_VALUE"""),39177.6666666666)</f>
        <v>39177.666666666599</v>
      </c>
      <c r="B569" s="1">
        <f ca="1">IFERROR(__xludf.DUMMYFUNCTION("""COMPUTED_VALUE"""),3.38)</f>
        <v>3.38</v>
      </c>
    </row>
    <row r="570" spans="1:2">
      <c r="A570" s="3">
        <f ca="1">IFERROR(__xludf.DUMMYFUNCTION("""COMPUTED_VALUE"""),39181.6666666666)</f>
        <v>39181.666666666599</v>
      </c>
      <c r="B570" s="1">
        <f ca="1">IFERROR(__xludf.DUMMYFUNCTION("""COMPUTED_VALUE"""),3.34)</f>
        <v>3.34</v>
      </c>
    </row>
    <row r="571" spans="1:2">
      <c r="A571" s="3">
        <f ca="1">IFERROR(__xludf.DUMMYFUNCTION("""COMPUTED_VALUE"""),39182.6666666666)</f>
        <v>39182.666666666599</v>
      </c>
      <c r="B571" s="1">
        <f ca="1">IFERROR(__xludf.DUMMYFUNCTION("""COMPUTED_VALUE"""),3.37)</f>
        <v>3.37</v>
      </c>
    </row>
    <row r="572" spans="1:2">
      <c r="A572" s="3">
        <f ca="1">IFERROR(__xludf.DUMMYFUNCTION("""COMPUTED_VALUE"""),39183.6666666666)</f>
        <v>39183.666666666599</v>
      </c>
      <c r="B572" s="1">
        <f ca="1">IFERROR(__xludf.DUMMYFUNCTION("""COMPUTED_VALUE"""),3.31)</f>
        <v>3.31</v>
      </c>
    </row>
    <row r="573" spans="1:2">
      <c r="A573" s="3">
        <f ca="1">IFERROR(__xludf.DUMMYFUNCTION("""COMPUTED_VALUE"""),39184.6666666666)</f>
        <v>39184.666666666599</v>
      </c>
      <c r="B573" s="1">
        <f ca="1">IFERROR(__xludf.DUMMYFUNCTION("""COMPUTED_VALUE"""),3.29)</f>
        <v>3.29</v>
      </c>
    </row>
    <row r="574" spans="1:2">
      <c r="A574" s="3">
        <f ca="1">IFERROR(__xludf.DUMMYFUNCTION("""COMPUTED_VALUE"""),39185.6666666666)</f>
        <v>39185.666666666599</v>
      </c>
      <c r="B574" s="1">
        <f ca="1">IFERROR(__xludf.DUMMYFUNCTION("""COMPUTED_VALUE"""),3.22)</f>
        <v>3.22</v>
      </c>
    </row>
    <row r="575" spans="1:2">
      <c r="A575" s="3">
        <f ca="1">IFERROR(__xludf.DUMMYFUNCTION("""COMPUTED_VALUE"""),39188.6666666666)</f>
        <v>39188.666666666599</v>
      </c>
      <c r="B575" s="1">
        <f ca="1">IFERROR(__xludf.DUMMYFUNCTION("""COMPUTED_VALUE"""),3.27)</f>
        <v>3.27</v>
      </c>
    </row>
    <row r="576" spans="1:2">
      <c r="A576" s="3">
        <f ca="1">IFERROR(__xludf.DUMMYFUNCTION("""COMPUTED_VALUE"""),39189.6666666666)</f>
        <v>39189.666666666599</v>
      </c>
      <c r="B576" s="1">
        <f ca="1">IFERROR(__xludf.DUMMYFUNCTION("""COMPUTED_VALUE"""),3.23)</f>
        <v>3.23</v>
      </c>
    </row>
    <row r="577" spans="1:2">
      <c r="A577" s="3">
        <f ca="1">IFERROR(__xludf.DUMMYFUNCTION("""COMPUTED_VALUE"""),39190.6666666666)</f>
        <v>39190.666666666599</v>
      </c>
      <c r="B577" s="1">
        <f ca="1">IFERROR(__xludf.DUMMYFUNCTION("""COMPUTED_VALUE"""),3.23)</f>
        <v>3.23</v>
      </c>
    </row>
    <row r="578" spans="1:2">
      <c r="A578" s="3">
        <f ca="1">IFERROR(__xludf.DUMMYFUNCTION("""COMPUTED_VALUE"""),39191.6666666666)</f>
        <v>39191.666666666599</v>
      </c>
      <c r="B578" s="1">
        <f ca="1">IFERROR(__xludf.DUMMYFUNCTION("""COMPUTED_VALUE"""),3.22)</f>
        <v>3.22</v>
      </c>
    </row>
    <row r="579" spans="1:2">
      <c r="A579" s="3">
        <f ca="1">IFERROR(__xludf.DUMMYFUNCTION("""COMPUTED_VALUE"""),39192.6666666666)</f>
        <v>39192.666666666599</v>
      </c>
      <c r="B579" s="1">
        <f ca="1">IFERROR(__xludf.DUMMYFUNCTION("""COMPUTED_VALUE"""),3.25)</f>
        <v>3.25</v>
      </c>
    </row>
    <row r="580" spans="1:2">
      <c r="A580" s="3">
        <f ca="1">IFERROR(__xludf.DUMMYFUNCTION("""COMPUTED_VALUE"""),39195.6666666666)</f>
        <v>39195.666666666599</v>
      </c>
      <c r="B580" s="1">
        <f ca="1">IFERROR(__xludf.DUMMYFUNCTION("""COMPUTED_VALUE"""),3.34)</f>
        <v>3.34</v>
      </c>
    </row>
    <row r="581" spans="1:2">
      <c r="A581" s="3">
        <f ca="1">IFERROR(__xludf.DUMMYFUNCTION("""COMPUTED_VALUE"""),39196.6666666666)</f>
        <v>39196.666666666599</v>
      </c>
      <c r="B581" s="1">
        <f ca="1">IFERROR(__xludf.DUMMYFUNCTION("""COMPUTED_VALUE"""),3.33)</f>
        <v>3.33</v>
      </c>
    </row>
    <row r="582" spans="1:2">
      <c r="A582" s="3">
        <f ca="1">IFERROR(__xludf.DUMMYFUNCTION("""COMPUTED_VALUE"""),39197.6666666666)</f>
        <v>39197.666666666599</v>
      </c>
      <c r="B582" s="1">
        <f ca="1">IFERROR(__xludf.DUMMYFUNCTION("""COMPUTED_VALUE"""),3.41)</f>
        <v>3.41</v>
      </c>
    </row>
    <row r="583" spans="1:2">
      <c r="A583" s="3">
        <f ca="1">IFERROR(__xludf.DUMMYFUNCTION("""COMPUTED_VALUE"""),39198.6666666666)</f>
        <v>39198.666666666599</v>
      </c>
      <c r="B583" s="1">
        <f ca="1">IFERROR(__xludf.DUMMYFUNCTION("""COMPUTED_VALUE"""),3.53)</f>
        <v>3.53</v>
      </c>
    </row>
    <row r="584" spans="1:2">
      <c r="A584" s="3">
        <f ca="1">IFERROR(__xludf.DUMMYFUNCTION("""COMPUTED_VALUE"""),39199.6666666666)</f>
        <v>39199.666666666599</v>
      </c>
      <c r="B584" s="1">
        <f ca="1">IFERROR(__xludf.DUMMYFUNCTION("""COMPUTED_VALUE"""),3.57)</f>
        <v>3.57</v>
      </c>
    </row>
    <row r="585" spans="1:2">
      <c r="A585" s="3">
        <f ca="1">IFERROR(__xludf.DUMMYFUNCTION("""COMPUTED_VALUE"""),39202.6666666666)</f>
        <v>39202.666666666599</v>
      </c>
      <c r="B585" s="1">
        <f ca="1">IFERROR(__xludf.DUMMYFUNCTION("""COMPUTED_VALUE"""),3.56)</f>
        <v>3.56</v>
      </c>
    </row>
    <row r="586" spans="1:2">
      <c r="A586" s="3">
        <f ca="1">IFERROR(__xludf.DUMMYFUNCTION("""COMPUTED_VALUE"""),39203.6666666666)</f>
        <v>39203.666666666599</v>
      </c>
      <c r="B586" s="1">
        <f ca="1">IFERROR(__xludf.DUMMYFUNCTION("""COMPUTED_VALUE"""),3.55)</f>
        <v>3.55</v>
      </c>
    </row>
    <row r="587" spans="1:2">
      <c r="A587" s="3">
        <f ca="1">IFERROR(__xludf.DUMMYFUNCTION("""COMPUTED_VALUE"""),39204.6666666666)</f>
        <v>39204.666666666599</v>
      </c>
      <c r="B587" s="1">
        <f ca="1">IFERROR(__xludf.DUMMYFUNCTION("""COMPUTED_VALUE"""),3.59)</f>
        <v>3.59</v>
      </c>
    </row>
    <row r="588" spans="1:2">
      <c r="A588" s="3">
        <f ca="1">IFERROR(__xludf.DUMMYFUNCTION("""COMPUTED_VALUE"""),39205.6666666666)</f>
        <v>39205.666666666599</v>
      </c>
      <c r="B588" s="1">
        <f ca="1">IFERROR(__xludf.DUMMYFUNCTION("""COMPUTED_VALUE"""),3.59)</f>
        <v>3.59</v>
      </c>
    </row>
    <row r="589" spans="1:2">
      <c r="A589" s="3">
        <f ca="1">IFERROR(__xludf.DUMMYFUNCTION("""COMPUTED_VALUE"""),39206.6666666666)</f>
        <v>39206.666666666599</v>
      </c>
      <c r="B589" s="1">
        <f ca="1">IFERROR(__xludf.DUMMYFUNCTION("""COMPUTED_VALUE"""),3.6)</f>
        <v>3.6</v>
      </c>
    </row>
    <row r="590" spans="1:2">
      <c r="A590" s="3">
        <f ca="1">IFERROR(__xludf.DUMMYFUNCTION("""COMPUTED_VALUE"""),39209.6666666666)</f>
        <v>39209.666666666599</v>
      </c>
      <c r="B590" s="1">
        <f ca="1">IFERROR(__xludf.DUMMYFUNCTION("""COMPUTED_VALUE"""),3.71)</f>
        <v>3.71</v>
      </c>
    </row>
    <row r="591" spans="1:2">
      <c r="A591" s="3">
        <f ca="1">IFERROR(__xludf.DUMMYFUNCTION("""COMPUTED_VALUE"""),39210.6666666666)</f>
        <v>39210.666666666599</v>
      </c>
      <c r="B591" s="1">
        <f ca="1">IFERROR(__xludf.DUMMYFUNCTION("""COMPUTED_VALUE"""),3.75)</f>
        <v>3.75</v>
      </c>
    </row>
    <row r="592" spans="1:2">
      <c r="A592" s="3">
        <f ca="1">IFERROR(__xludf.DUMMYFUNCTION("""COMPUTED_VALUE"""),39211.6666666666)</f>
        <v>39211.666666666599</v>
      </c>
      <c r="B592" s="1">
        <f ca="1">IFERROR(__xludf.DUMMYFUNCTION("""COMPUTED_VALUE"""),3.82)</f>
        <v>3.82</v>
      </c>
    </row>
    <row r="593" spans="1:2">
      <c r="A593" s="3">
        <f ca="1">IFERROR(__xludf.DUMMYFUNCTION("""COMPUTED_VALUE"""),39212.6666666666)</f>
        <v>39212.666666666599</v>
      </c>
      <c r="B593" s="1">
        <f ca="1">IFERROR(__xludf.DUMMYFUNCTION("""COMPUTED_VALUE"""),3.83)</f>
        <v>3.83</v>
      </c>
    </row>
    <row r="594" spans="1:2">
      <c r="A594" s="3">
        <f ca="1">IFERROR(__xludf.DUMMYFUNCTION("""COMPUTED_VALUE"""),39213.6666666666)</f>
        <v>39213.666666666599</v>
      </c>
      <c r="B594" s="1">
        <f ca="1">IFERROR(__xludf.DUMMYFUNCTION("""COMPUTED_VALUE"""),3.88)</f>
        <v>3.88</v>
      </c>
    </row>
    <row r="595" spans="1:2">
      <c r="A595" s="3">
        <f ca="1">IFERROR(__xludf.DUMMYFUNCTION("""COMPUTED_VALUE"""),39216.6666666666)</f>
        <v>39216.666666666599</v>
      </c>
      <c r="B595" s="1">
        <f ca="1">IFERROR(__xludf.DUMMYFUNCTION("""COMPUTED_VALUE"""),3.91)</f>
        <v>3.91</v>
      </c>
    </row>
    <row r="596" spans="1:2">
      <c r="A596" s="3">
        <f ca="1">IFERROR(__xludf.DUMMYFUNCTION("""COMPUTED_VALUE"""),39217.6666666666)</f>
        <v>39217.666666666599</v>
      </c>
      <c r="B596" s="1">
        <f ca="1">IFERROR(__xludf.DUMMYFUNCTION("""COMPUTED_VALUE"""),3.84)</f>
        <v>3.84</v>
      </c>
    </row>
    <row r="597" spans="1:2">
      <c r="A597" s="3">
        <f ca="1">IFERROR(__xludf.DUMMYFUNCTION("""COMPUTED_VALUE"""),39218.6666666666)</f>
        <v>39218.666666666599</v>
      </c>
      <c r="B597" s="1">
        <f ca="1">IFERROR(__xludf.DUMMYFUNCTION("""COMPUTED_VALUE"""),3.83)</f>
        <v>3.83</v>
      </c>
    </row>
    <row r="598" spans="1:2">
      <c r="A598" s="3">
        <f ca="1">IFERROR(__xludf.DUMMYFUNCTION("""COMPUTED_VALUE"""),39219.6666666666)</f>
        <v>39219.666666666599</v>
      </c>
      <c r="B598" s="1">
        <f ca="1">IFERROR(__xludf.DUMMYFUNCTION("""COMPUTED_VALUE"""),3.91)</f>
        <v>3.91</v>
      </c>
    </row>
    <row r="599" spans="1:2">
      <c r="A599" s="3">
        <f ca="1">IFERROR(__xludf.DUMMYFUNCTION("""COMPUTED_VALUE"""),39220.6666666666)</f>
        <v>39220.666666666599</v>
      </c>
      <c r="B599" s="1">
        <f ca="1">IFERROR(__xludf.DUMMYFUNCTION("""COMPUTED_VALUE"""),3.93)</f>
        <v>3.93</v>
      </c>
    </row>
    <row r="600" spans="1:2">
      <c r="A600" s="3">
        <f ca="1">IFERROR(__xludf.DUMMYFUNCTION("""COMPUTED_VALUE"""),39223.6666666666)</f>
        <v>39223.666666666599</v>
      </c>
      <c r="B600" s="1">
        <f ca="1">IFERROR(__xludf.DUMMYFUNCTION("""COMPUTED_VALUE"""),4)</f>
        <v>4</v>
      </c>
    </row>
    <row r="601" spans="1:2">
      <c r="A601" s="3">
        <f ca="1">IFERROR(__xludf.DUMMYFUNCTION("""COMPUTED_VALUE"""),39224.6666666666)</f>
        <v>39224.666666666599</v>
      </c>
      <c r="B601" s="1">
        <f ca="1">IFERROR(__xludf.DUMMYFUNCTION("""COMPUTED_VALUE"""),4.06)</f>
        <v>4.0599999999999996</v>
      </c>
    </row>
    <row r="602" spans="1:2">
      <c r="A602" s="3">
        <f ca="1">IFERROR(__xludf.DUMMYFUNCTION("""COMPUTED_VALUE"""),39225.6666666666)</f>
        <v>39225.666666666599</v>
      </c>
      <c r="B602" s="1">
        <f ca="1">IFERROR(__xludf.DUMMYFUNCTION("""COMPUTED_VALUE"""),4.03)</f>
        <v>4.03</v>
      </c>
    </row>
    <row r="603" spans="1:2">
      <c r="A603" s="3">
        <f ca="1">IFERROR(__xludf.DUMMYFUNCTION("""COMPUTED_VALUE"""),39226.6666666666)</f>
        <v>39226.666666666599</v>
      </c>
      <c r="B603" s="1">
        <f ca="1">IFERROR(__xludf.DUMMYFUNCTION("""COMPUTED_VALUE"""),3.95)</f>
        <v>3.95</v>
      </c>
    </row>
    <row r="604" spans="1:2">
      <c r="A604" s="3">
        <f ca="1">IFERROR(__xludf.DUMMYFUNCTION("""COMPUTED_VALUE"""),39227.6666666666)</f>
        <v>39227.666666666599</v>
      </c>
      <c r="B604" s="1">
        <f ca="1">IFERROR(__xludf.DUMMYFUNCTION("""COMPUTED_VALUE"""),4.06)</f>
        <v>4.0599999999999996</v>
      </c>
    </row>
    <row r="605" spans="1:2">
      <c r="A605" s="3">
        <f ca="1">IFERROR(__xludf.DUMMYFUNCTION("""COMPUTED_VALUE"""),39231.6666666666)</f>
        <v>39231.666666666599</v>
      </c>
      <c r="B605" s="1">
        <f ca="1">IFERROR(__xludf.DUMMYFUNCTION("""COMPUTED_VALUE"""),4.08)</f>
        <v>4.08</v>
      </c>
    </row>
    <row r="606" spans="1:2">
      <c r="A606" s="3">
        <f ca="1">IFERROR(__xludf.DUMMYFUNCTION("""COMPUTED_VALUE"""),39232.6666666666)</f>
        <v>39232.666666666599</v>
      </c>
      <c r="B606" s="1">
        <f ca="1">IFERROR(__xludf.DUMMYFUNCTION("""COMPUTED_VALUE"""),4.24)</f>
        <v>4.24</v>
      </c>
    </row>
    <row r="607" spans="1:2">
      <c r="A607" s="3">
        <f ca="1">IFERROR(__xludf.DUMMYFUNCTION("""COMPUTED_VALUE"""),39233.6666666666)</f>
        <v>39233.666666666599</v>
      </c>
      <c r="B607" s="1">
        <f ca="1">IFERROR(__xludf.DUMMYFUNCTION("""COMPUTED_VALUE"""),4.33)</f>
        <v>4.33</v>
      </c>
    </row>
    <row r="608" spans="1:2">
      <c r="A608" s="3">
        <f ca="1">IFERROR(__xludf.DUMMYFUNCTION("""COMPUTED_VALUE"""),39234.6666666666)</f>
        <v>39234.666666666599</v>
      </c>
      <c r="B608" s="1">
        <f ca="1">IFERROR(__xludf.DUMMYFUNCTION("""COMPUTED_VALUE"""),4.23)</f>
        <v>4.2300000000000004</v>
      </c>
    </row>
    <row r="609" spans="1:2">
      <c r="A609" s="3">
        <f ca="1">IFERROR(__xludf.DUMMYFUNCTION("""COMPUTED_VALUE"""),39237.6666666666)</f>
        <v>39237.666666666599</v>
      </c>
      <c r="B609" s="1">
        <f ca="1">IFERROR(__xludf.DUMMYFUNCTION("""COMPUTED_VALUE"""),4.33)</f>
        <v>4.33</v>
      </c>
    </row>
    <row r="610" spans="1:2">
      <c r="A610" s="3">
        <f ca="1">IFERROR(__xludf.DUMMYFUNCTION("""COMPUTED_VALUE"""),39238.6666666666)</f>
        <v>39238.666666666599</v>
      </c>
      <c r="B610" s="1">
        <f ca="1">IFERROR(__xludf.DUMMYFUNCTION("""COMPUTED_VALUE"""),4.38)</f>
        <v>4.38</v>
      </c>
    </row>
    <row r="611" spans="1:2">
      <c r="A611" s="3">
        <f ca="1">IFERROR(__xludf.DUMMYFUNCTION("""COMPUTED_VALUE"""),39239.6666666666)</f>
        <v>39239.666666666599</v>
      </c>
      <c r="B611" s="1">
        <f ca="1">IFERROR(__xludf.DUMMYFUNCTION("""COMPUTED_VALUE"""),4.42)</f>
        <v>4.42</v>
      </c>
    </row>
    <row r="612" spans="1:2">
      <c r="A612" s="3">
        <f ca="1">IFERROR(__xludf.DUMMYFUNCTION("""COMPUTED_VALUE"""),39240.6666666666)</f>
        <v>39240.666666666599</v>
      </c>
      <c r="B612" s="1">
        <f ca="1">IFERROR(__xludf.DUMMYFUNCTION("""COMPUTED_VALUE"""),4.43)</f>
        <v>4.43</v>
      </c>
    </row>
    <row r="613" spans="1:2">
      <c r="A613" s="3">
        <f ca="1">IFERROR(__xludf.DUMMYFUNCTION("""COMPUTED_VALUE"""),39241.6666666666)</f>
        <v>39241.666666666599</v>
      </c>
      <c r="B613" s="1">
        <f ca="1">IFERROR(__xludf.DUMMYFUNCTION("""COMPUTED_VALUE"""),4.45)</f>
        <v>4.45</v>
      </c>
    </row>
    <row r="614" spans="1:2">
      <c r="A614" s="3">
        <f ca="1">IFERROR(__xludf.DUMMYFUNCTION("""COMPUTED_VALUE"""),39244.6666666666)</f>
        <v>39244.666666666599</v>
      </c>
      <c r="B614" s="1">
        <f ca="1">IFERROR(__xludf.DUMMYFUNCTION("""COMPUTED_VALUE"""),4.29)</f>
        <v>4.29</v>
      </c>
    </row>
    <row r="615" spans="1:2">
      <c r="A615" s="3">
        <f ca="1">IFERROR(__xludf.DUMMYFUNCTION("""COMPUTED_VALUE"""),39245.6666666666)</f>
        <v>39245.666666666599</v>
      </c>
      <c r="B615" s="1">
        <f ca="1">IFERROR(__xludf.DUMMYFUNCTION("""COMPUTED_VALUE"""),4.3)</f>
        <v>4.3</v>
      </c>
    </row>
    <row r="616" spans="1:2">
      <c r="A616" s="3">
        <f ca="1">IFERROR(__xludf.DUMMYFUNCTION("""COMPUTED_VALUE"""),39246.6666666666)</f>
        <v>39246.666666666599</v>
      </c>
      <c r="B616" s="1">
        <f ca="1">IFERROR(__xludf.DUMMYFUNCTION("""COMPUTED_VALUE"""),4.2)</f>
        <v>4.2</v>
      </c>
    </row>
    <row r="617" spans="1:2">
      <c r="A617" s="3">
        <f ca="1">IFERROR(__xludf.DUMMYFUNCTION("""COMPUTED_VALUE"""),39247.6666666666)</f>
        <v>39247.666666666599</v>
      </c>
      <c r="B617" s="1">
        <f ca="1">IFERROR(__xludf.DUMMYFUNCTION("""COMPUTED_VALUE"""),4.24)</f>
        <v>4.24</v>
      </c>
    </row>
    <row r="618" spans="1:2">
      <c r="A618" s="3">
        <f ca="1">IFERROR(__xludf.DUMMYFUNCTION("""COMPUTED_VALUE"""),39248.6666666666)</f>
        <v>39248.666666666599</v>
      </c>
      <c r="B618" s="1">
        <f ca="1">IFERROR(__xludf.DUMMYFUNCTION("""COMPUTED_VALUE"""),4.3)</f>
        <v>4.3</v>
      </c>
    </row>
    <row r="619" spans="1:2">
      <c r="A619" s="3">
        <f ca="1">IFERROR(__xludf.DUMMYFUNCTION("""COMPUTED_VALUE"""),39251.6666666666)</f>
        <v>39251.666666666599</v>
      </c>
      <c r="B619" s="1">
        <f ca="1">IFERROR(__xludf.DUMMYFUNCTION("""COMPUTED_VALUE"""),4.47)</f>
        <v>4.47</v>
      </c>
    </row>
    <row r="620" spans="1:2">
      <c r="A620" s="3">
        <f ca="1">IFERROR(__xludf.DUMMYFUNCTION("""COMPUTED_VALUE"""),39252.6666666666)</f>
        <v>39252.666666666599</v>
      </c>
      <c r="B620" s="1">
        <f ca="1">IFERROR(__xludf.DUMMYFUNCTION("""COMPUTED_VALUE"""),4.42)</f>
        <v>4.42</v>
      </c>
    </row>
    <row r="621" spans="1:2">
      <c r="A621" s="3">
        <f ca="1">IFERROR(__xludf.DUMMYFUNCTION("""COMPUTED_VALUE"""),39253.6666666666)</f>
        <v>39253.666666666599</v>
      </c>
      <c r="B621" s="1">
        <f ca="1">IFERROR(__xludf.DUMMYFUNCTION("""COMPUTED_VALUE"""),4.34)</f>
        <v>4.34</v>
      </c>
    </row>
    <row r="622" spans="1:2">
      <c r="A622" s="3">
        <f ca="1">IFERROR(__xludf.DUMMYFUNCTION("""COMPUTED_VALUE"""),39254.6666666666)</f>
        <v>39254.666666666599</v>
      </c>
      <c r="B622" s="1">
        <f ca="1">IFERROR(__xludf.DUMMYFUNCTION("""COMPUTED_VALUE"""),4.43)</f>
        <v>4.43</v>
      </c>
    </row>
    <row r="623" spans="1:2">
      <c r="A623" s="3">
        <f ca="1">IFERROR(__xludf.DUMMYFUNCTION("""COMPUTED_VALUE"""),39255.6666666666)</f>
        <v>39255.666666666599</v>
      </c>
      <c r="B623" s="1">
        <f ca="1">IFERROR(__xludf.DUMMYFUNCTION("""COMPUTED_VALUE"""),4.39)</f>
        <v>4.3899999999999997</v>
      </c>
    </row>
    <row r="624" spans="1:2">
      <c r="A624" s="3">
        <f ca="1">IFERROR(__xludf.DUMMYFUNCTION("""COMPUTED_VALUE"""),39258.6666666666)</f>
        <v>39258.666666666599</v>
      </c>
      <c r="B624" s="1">
        <f ca="1">IFERROR(__xludf.DUMMYFUNCTION("""COMPUTED_VALUE"""),4.37)</f>
        <v>4.37</v>
      </c>
    </row>
    <row r="625" spans="1:2">
      <c r="A625" s="3">
        <f ca="1">IFERROR(__xludf.DUMMYFUNCTION("""COMPUTED_VALUE"""),39259.6666666666)</f>
        <v>39259.666666666599</v>
      </c>
      <c r="B625" s="1">
        <f ca="1">IFERROR(__xludf.DUMMYFUNCTION("""COMPUTED_VALUE"""),4.27)</f>
        <v>4.2699999999999996</v>
      </c>
    </row>
    <row r="626" spans="1:2">
      <c r="A626" s="3">
        <f ca="1">IFERROR(__xludf.DUMMYFUNCTION("""COMPUTED_VALUE"""),39260.6666666666)</f>
        <v>39260.666666666599</v>
      </c>
      <c r="B626" s="1">
        <f ca="1">IFERROR(__xludf.DUMMYFUNCTION("""COMPUTED_VALUE"""),4.35)</f>
        <v>4.3499999999999996</v>
      </c>
    </row>
    <row r="627" spans="1:2">
      <c r="A627" s="3">
        <f ca="1">IFERROR(__xludf.DUMMYFUNCTION("""COMPUTED_VALUE"""),39261.6666666666)</f>
        <v>39261.666666666599</v>
      </c>
      <c r="B627" s="1">
        <f ca="1">IFERROR(__xludf.DUMMYFUNCTION("""COMPUTED_VALUE"""),4.31)</f>
        <v>4.3099999999999996</v>
      </c>
    </row>
    <row r="628" spans="1:2">
      <c r="A628" s="3">
        <f ca="1">IFERROR(__xludf.DUMMYFUNCTION("""COMPUTED_VALUE"""),39262.6666666666)</f>
        <v>39262.666666666599</v>
      </c>
      <c r="B628" s="1">
        <f ca="1">IFERROR(__xludf.DUMMYFUNCTION("""COMPUTED_VALUE"""),4.36)</f>
        <v>4.3600000000000003</v>
      </c>
    </row>
    <row r="629" spans="1:2">
      <c r="A629" s="3">
        <f ca="1">IFERROR(__xludf.DUMMYFUNCTION("""COMPUTED_VALUE"""),39265.6666666666)</f>
        <v>39265.666666666599</v>
      </c>
      <c r="B629" s="1">
        <f ca="1">IFERROR(__xludf.DUMMYFUNCTION("""COMPUTED_VALUE"""),4.33)</f>
        <v>4.33</v>
      </c>
    </row>
    <row r="630" spans="1:2">
      <c r="A630" s="3">
        <f ca="1">IFERROR(__xludf.DUMMYFUNCTION("""COMPUTED_VALUE"""),39266.6666666666)</f>
        <v>39266.666666666599</v>
      </c>
      <c r="B630" s="1">
        <f ca="1">IFERROR(__xludf.DUMMYFUNCTION("""COMPUTED_VALUE"""),4.54)</f>
        <v>4.54</v>
      </c>
    </row>
    <row r="631" spans="1:2">
      <c r="A631" s="3">
        <f ca="1">IFERROR(__xludf.DUMMYFUNCTION("""COMPUTED_VALUE"""),39268.6666666666)</f>
        <v>39268.666666666599</v>
      </c>
      <c r="B631" s="1">
        <f ca="1">IFERROR(__xludf.DUMMYFUNCTION("""COMPUTED_VALUE"""),4.74)</f>
        <v>4.74</v>
      </c>
    </row>
    <row r="632" spans="1:2">
      <c r="A632" s="3">
        <f ca="1">IFERROR(__xludf.DUMMYFUNCTION("""COMPUTED_VALUE"""),39269.6666666666)</f>
        <v>39269.666666666599</v>
      </c>
      <c r="B632" s="1">
        <f ca="1">IFERROR(__xludf.DUMMYFUNCTION("""COMPUTED_VALUE"""),4.72)</f>
        <v>4.72</v>
      </c>
    </row>
    <row r="633" spans="1:2">
      <c r="A633" s="3">
        <f ca="1">IFERROR(__xludf.DUMMYFUNCTION("""COMPUTED_VALUE"""),39272.6666666666)</f>
        <v>39272.666666666599</v>
      </c>
      <c r="B633" s="1">
        <f ca="1">IFERROR(__xludf.DUMMYFUNCTION("""COMPUTED_VALUE"""),4.65)</f>
        <v>4.6500000000000004</v>
      </c>
    </row>
    <row r="634" spans="1:2">
      <c r="A634" s="3">
        <f ca="1">IFERROR(__xludf.DUMMYFUNCTION("""COMPUTED_VALUE"""),39273.6666666666)</f>
        <v>39273.666666666599</v>
      </c>
      <c r="B634" s="1">
        <f ca="1">IFERROR(__xludf.DUMMYFUNCTION("""COMPUTED_VALUE"""),4.73)</f>
        <v>4.7300000000000004</v>
      </c>
    </row>
    <row r="635" spans="1:2">
      <c r="A635" s="3">
        <f ca="1">IFERROR(__xludf.DUMMYFUNCTION("""COMPUTED_VALUE"""),39274.6666666666)</f>
        <v>39274.666666666599</v>
      </c>
      <c r="B635" s="1">
        <f ca="1">IFERROR(__xludf.DUMMYFUNCTION("""COMPUTED_VALUE"""),4.73)</f>
        <v>4.7300000000000004</v>
      </c>
    </row>
    <row r="636" spans="1:2">
      <c r="A636" s="3">
        <f ca="1">IFERROR(__xludf.DUMMYFUNCTION("""COMPUTED_VALUE"""),39275.6666666666)</f>
        <v>39275.666666666599</v>
      </c>
      <c r="B636" s="1">
        <f ca="1">IFERROR(__xludf.DUMMYFUNCTION("""COMPUTED_VALUE"""),4.79)</f>
        <v>4.79</v>
      </c>
    </row>
    <row r="637" spans="1:2">
      <c r="A637" s="3">
        <f ca="1">IFERROR(__xludf.DUMMYFUNCTION("""COMPUTED_VALUE"""),39276.6666666666)</f>
        <v>39276.666666666599</v>
      </c>
      <c r="B637" s="1">
        <f ca="1">IFERROR(__xludf.DUMMYFUNCTION("""COMPUTED_VALUE"""),4.92)</f>
        <v>4.92</v>
      </c>
    </row>
    <row r="638" spans="1:2">
      <c r="A638" s="3">
        <f ca="1">IFERROR(__xludf.DUMMYFUNCTION("""COMPUTED_VALUE"""),39279.6666666666)</f>
        <v>39279.666666666599</v>
      </c>
      <c r="B638" s="1">
        <f ca="1">IFERROR(__xludf.DUMMYFUNCTION("""COMPUTED_VALUE"""),4.93)</f>
        <v>4.93</v>
      </c>
    </row>
    <row r="639" spans="1:2">
      <c r="A639" s="3">
        <f ca="1">IFERROR(__xludf.DUMMYFUNCTION("""COMPUTED_VALUE"""),39280.6666666666)</f>
        <v>39280.666666666599</v>
      </c>
      <c r="B639" s="1">
        <f ca="1">IFERROR(__xludf.DUMMYFUNCTION("""COMPUTED_VALUE"""),4.96)</f>
        <v>4.96</v>
      </c>
    </row>
    <row r="640" spans="1:2">
      <c r="A640" s="3">
        <f ca="1">IFERROR(__xludf.DUMMYFUNCTION("""COMPUTED_VALUE"""),39281.6666666666)</f>
        <v>39281.666666666599</v>
      </c>
      <c r="B640" s="1">
        <f ca="1">IFERROR(__xludf.DUMMYFUNCTION("""COMPUTED_VALUE"""),4.93)</f>
        <v>4.93</v>
      </c>
    </row>
    <row r="641" spans="1:2">
      <c r="A641" s="3">
        <f ca="1">IFERROR(__xludf.DUMMYFUNCTION("""COMPUTED_VALUE"""),39282.6666666666)</f>
        <v>39282.666666666599</v>
      </c>
      <c r="B641" s="1">
        <f ca="1">IFERROR(__xludf.DUMMYFUNCTION("""COMPUTED_VALUE"""),5)</f>
        <v>5</v>
      </c>
    </row>
    <row r="642" spans="1:2">
      <c r="A642" s="3">
        <f ca="1">IFERROR(__xludf.DUMMYFUNCTION("""COMPUTED_VALUE"""),39283.6666666666)</f>
        <v>39283.666666666599</v>
      </c>
      <c r="B642" s="1">
        <f ca="1">IFERROR(__xludf.DUMMYFUNCTION("""COMPUTED_VALUE"""),5.13)</f>
        <v>5.13</v>
      </c>
    </row>
    <row r="643" spans="1:2">
      <c r="A643" s="3">
        <f ca="1">IFERROR(__xludf.DUMMYFUNCTION("""COMPUTED_VALUE"""),39286.6666666666)</f>
        <v>39286.666666666599</v>
      </c>
      <c r="B643" s="1">
        <f ca="1">IFERROR(__xludf.DUMMYFUNCTION("""COMPUTED_VALUE"""),5.13)</f>
        <v>5.13</v>
      </c>
    </row>
    <row r="644" spans="1:2">
      <c r="A644" s="3">
        <f ca="1">IFERROR(__xludf.DUMMYFUNCTION("""COMPUTED_VALUE"""),39287.6666666666)</f>
        <v>39287.666666666599</v>
      </c>
      <c r="B644" s="1">
        <f ca="1">IFERROR(__xludf.DUMMYFUNCTION("""COMPUTED_VALUE"""),4.82)</f>
        <v>4.82</v>
      </c>
    </row>
    <row r="645" spans="1:2">
      <c r="A645" s="3">
        <f ca="1">IFERROR(__xludf.DUMMYFUNCTION("""COMPUTED_VALUE"""),39288.6666666666)</f>
        <v>39288.666666666599</v>
      </c>
      <c r="B645" s="1">
        <f ca="1">IFERROR(__xludf.DUMMYFUNCTION("""COMPUTED_VALUE"""),4.9)</f>
        <v>4.9000000000000004</v>
      </c>
    </row>
    <row r="646" spans="1:2">
      <c r="A646" s="3">
        <f ca="1">IFERROR(__xludf.DUMMYFUNCTION("""COMPUTED_VALUE"""),39289.6666666666)</f>
        <v>39289.666666666599</v>
      </c>
      <c r="B646" s="1">
        <f ca="1">IFERROR(__xludf.DUMMYFUNCTION("""COMPUTED_VALUE"""),5.21)</f>
        <v>5.21</v>
      </c>
    </row>
    <row r="647" spans="1:2">
      <c r="A647" s="3">
        <f ca="1">IFERROR(__xludf.DUMMYFUNCTION("""COMPUTED_VALUE"""),39290.6666666666)</f>
        <v>39290.666666666599</v>
      </c>
      <c r="B647" s="1">
        <f ca="1">IFERROR(__xludf.DUMMYFUNCTION("""COMPUTED_VALUE"""),5.14)</f>
        <v>5.14</v>
      </c>
    </row>
    <row r="648" spans="1:2">
      <c r="A648" s="3">
        <f ca="1">IFERROR(__xludf.DUMMYFUNCTION("""COMPUTED_VALUE"""),39293.6666666666)</f>
        <v>39293.666666666599</v>
      </c>
      <c r="B648" s="1">
        <f ca="1">IFERROR(__xludf.DUMMYFUNCTION("""COMPUTED_VALUE"""),5.05)</f>
        <v>5.05</v>
      </c>
    </row>
    <row r="649" spans="1:2">
      <c r="A649" s="3">
        <f ca="1">IFERROR(__xludf.DUMMYFUNCTION("""COMPUTED_VALUE"""),39294.6666666666)</f>
        <v>39294.666666666599</v>
      </c>
      <c r="B649" s="1">
        <f ca="1">IFERROR(__xludf.DUMMYFUNCTION("""COMPUTED_VALUE"""),4.71)</f>
        <v>4.71</v>
      </c>
    </row>
    <row r="650" spans="1:2">
      <c r="A650" s="3">
        <f ca="1">IFERROR(__xludf.DUMMYFUNCTION("""COMPUTED_VALUE"""),39295.6666666666)</f>
        <v>39295.666666666599</v>
      </c>
      <c r="B650" s="1">
        <f ca="1">IFERROR(__xludf.DUMMYFUNCTION("""COMPUTED_VALUE"""),4.82)</f>
        <v>4.82</v>
      </c>
    </row>
    <row r="651" spans="1:2">
      <c r="A651" s="3">
        <f ca="1">IFERROR(__xludf.DUMMYFUNCTION("""COMPUTED_VALUE"""),39296.6666666666)</f>
        <v>39296.666666666599</v>
      </c>
      <c r="B651" s="1">
        <f ca="1">IFERROR(__xludf.DUMMYFUNCTION("""COMPUTED_VALUE"""),4.87)</f>
        <v>4.87</v>
      </c>
    </row>
    <row r="652" spans="1:2">
      <c r="A652" s="3">
        <f ca="1">IFERROR(__xludf.DUMMYFUNCTION("""COMPUTED_VALUE"""),39297.6666666666)</f>
        <v>39297.666666666599</v>
      </c>
      <c r="B652" s="1">
        <f ca="1">IFERROR(__xludf.DUMMYFUNCTION("""COMPUTED_VALUE"""),4.71)</f>
        <v>4.71</v>
      </c>
    </row>
    <row r="653" spans="1:2">
      <c r="A653" s="3">
        <f ca="1">IFERROR(__xludf.DUMMYFUNCTION("""COMPUTED_VALUE"""),39300.6666666666)</f>
        <v>39300.666666666599</v>
      </c>
      <c r="B653" s="1">
        <f ca="1">IFERROR(__xludf.DUMMYFUNCTION("""COMPUTED_VALUE"""),4.83)</f>
        <v>4.83</v>
      </c>
    </row>
    <row r="654" spans="1:2">
      <c r="A654" s="3">
        <f ca="1">IFERROR(__xludf.DUMMYFUNCTION("""COMPUTED_VALUE"""),39301.6666666666)</f>
        <v>39301.666666666599</v>
      </c>
      <c r="B654" s="1">
        <f ca="1">IFERROR(__xludf.DUMMYFUNCTION("""COMPUTED_VALUE"""),4.82)</f>
        <v>4.82</v>
      </c>
    </row>
    <row r="655" spans="1:2">
      <c r="A655" s="3">
        <f ca="1">IFERROR(__xludf.DUMMYFUNCTION("""COMPUTED_VALUE"""),39302.6666666666)</f>
        <v>39302.666666666599</v>
      </c>
      <c r="B655" s="1">
        <f ca="1">IFERROR(__xludf.DUMMYFUNCTION("""COMPUTED_VALUE"""),4.79)</f>
        <v>4.79</v>
      </c>
    </row>
    <row r="656" spans="1:2">
      <c r="A656" s="3">
        <f ca="1">IFERROR(__xludf.DUMMYFUNCTION("""COMPUTED_VALUE"""),39303.6666666666)</f>
        <v>39303.666666666599</v>
      </c>
      <c r="B656" s="1">
        <f ca="1">IFERROR(__xludf.DUMMYFUNCTION("""COMPUTED_VALUE"""),4.51)</f>
        <v>4.51</v>
      </c>
    </row>
    <row r="657" spans="1:2">
      <c r="A657" s="3">
        <f ca="1">IFERROR(__xludf.DUMMYFUNCTION("""COMPUTED_VALUE"""),39304.6666666666)</f>
        <v>39304.666666666599</v>
      </c>
      <c r="B657" s="1">
        <f ca="1">IFERROR(__xludf.DUMMYFUNCTION("""COMPUTED_VALUE"""),4.46)</f>
        <v>4.46</v>
      </c>
    </row>
    <row r="658" spans="1:2">
      <c r="A658" s="3">
        <f ca="1">IFERROR(__xludf.DUMMYFUNCTION("""COMPUTED_VALUE"""),39307.6666666666)</f>
        <v>39307.666666666599</v>
      </c>
      <c r="B658" s="1">
        <f ca="1">IFERROR(__xludf.DUMMYFUNCTION("""COMPUTED_VALUE"""),4.56)</f>
        <v>4.5599999999999996</v>
      </c>
    </row>
    <row r="659" spans="1:2">
      <c r="A659" s="3">
        <f ca="1">IFERROR(__xludf.DUMMYFUNCTION("""COMPUTED_VALUE"""),39308.6666666666)</f>
        <v>39308.666666666599</v>
      </c>
      <c r="B659" s="1">
        <f ca="1">IFERROR(__xludf.DUMMYFUNCTION("""COMPUTED_VALUE"""),4.43)</f>
        <v>4.43</v>
      </c>
    </row>
    <row r="660" spans="1:2">
      <c r="A660" s="3">
        <f ca="1">IFERROR(__xludf.DUMMYFUNCTION("""COMPUTED_VALUE"""),39309.6666666666)</f>
        <v>39309.666666666599</v>
      </c>
      <c r="B660" s="1">
        <f ca="1">IFERROR(__xludf.DUMMYFUNCTION("""COMPUTED_VALUE"""),4.28)</f>
        <v>4.28</v>
      </c>
    </row>
    <row r="661" spans="1:2">
      <c r="A661" s="3">
        <f ca="1">IFERROR(__xludf.DUMMYFUNCTION("""COMPUTED_VALUE"""),39310.6666666666)</f>
        <v>39310.666666666599</v>
      </c>
      <c r="B661" s="1">
        <f ca="1">IFERROR(__xludf.DUMMYFUNCTION("""COMPUTED_VALUE"""),4.18)</f>
        <v>4.18</v>
      </c>
    </row>
    <row r="662" spans="1:2">
      <c r="A662" s="3">
        <f ca="1">IFERROR(__xludf.DUMMYFUNCTION("""COMPUTED_VALUE"""),39311.6666666666)</f>
        <v>39311.666666666599</v>
      </c>
      <c r="B662" s="1">
        <f ca="1">IFERROR(__xludf.DUMMYFUNCTION("""COMPUTED_VALUE"""),4.36)</f>
        <v>4.3600000000000003</v>
      </c>
    </row>
    <row r="663" spans="1:2">
      <c r="A663" s="3">
        <f ca="1">IFERROR(__xludf.DUMMYFUNCTION("""COMPUTED_VALUE"""),39314.6666666666)</f>
        <v>39314.666666666599</v>
      </c>
      <c r="B663" s="1">
        <f ca="1">IFERROR(__xludf.DUMMYFUNCTION("""COMPUTED_VALUE"""),4.37)</f>
        <v>4.37</v>
      </c>
    </row>
    <row r="664" spans="1:2">
      <c r="A664" s="3">
        <f ca="1">IFERROR(__xludf.DUMMYFUNCTION("""COMPUTED_VALUE"""),39315.6666666666)</f>
        <v>39315.666666666599</v>
      </c>
      <c r="B664" s="1">
        <f ca="1">IFERROR(__xludf.DUMMYFUNCTION("""COMPUTED_VALUE"""),4.56)</f>
        <v>4.5599999999999996</v>
      </c>
    </row>
    <row r="665" spans="1:2">
      <c r="A665" s="3">
        <f ca="1">IFERROR(__xludf.DUMMYFUNCTION("""COMPUTED_VALUE"""),39316.6666666666)</f>
        <v>39316.666666666599</v>
      </c>
      <c r="B665" s="1">
        <f ca="1">IFERROR(__xludf.DUMMYFUNCTION("""COMPUTED_VALUE"""),4.73)</f>
        <v>4.7300000000000004</v>
      </c>
    </row>
    <row r="666" spans="1:2">
      <c r="A666" s="3">
        <f ca="1">IFERROR(__xludf.DUMMYFUNCTION("""COMPUTED_VALUE"""),39317.6666666666)</f>
        <v>39317.666666666599</v>
      </c>
      <c r="B666" s="1">
        <f ca="1">IFERROR(__xludf.DUMMYFUNCTION("""COMPUTED_VALUE"""),4.68)</f>
        <v>4.68</v>
      </c>
    </row>
    <row r="667" spans="1:2">
      <c r="A667" s="3">
        <f ca="1">IFERROR(__xludf.DUMMYFUNCTION("""COMPUTED_VALUE"""),39318.6666666666)</f>
        <v>39318.666666666599</v>
      </c>
      <c r="B667" s="1">
        <f ca="1">IFERROR(__xludf.DUMMYFUNCTION("""COMPUTED_VALUE"""),4.83)</f>
        <v>4.83</v>
      </c>
    </row>
    <row r="668" spans="1:2">
      <c r="A668" s="3">
        <f ca="1">IFERROR(__xludf.DUMMYFUNCTION("""COMPUTED_VALUE"""),39321.6666666666)</f>
        <v>39321.666666666599</v>
      </c>
      <c r="B668" s="1">
        <f ca="1">IFERROR(__xludf.DUMMYFUNCTION("""COMPUTED_VALUE"""),4.72)</f>
        <v>4.72</v>
      </c>
    </row>
    <row r="669" spans="1:2">
      <c r="A669" s="3">
        <f ca="1">IFERROR(__xludf.DUMMYFUNCTION("""COMPUTED_VALUE"""),39322.6666666666)</f>
        <v>39322.666666666599</v>
      </c>
      <c r="B669" s="1">
        <f ca="1">IFERROR(__xludf.DUMMYFUNCTION("""COMPUTED_VALUE"""),4.53)</f>
        <v>4.53</v>
      </c>
    </row>
    <row r="670" spans="1:2">
      <c r="A670" s="3">
        <f ca="1">IFERROR(__xludf.DUMMYFUNCTION("""COMPUTED_VALUE"""),39323.6666666666)</f>
        <v>39323.666666666599</v>
      </c>
      <c r="B670" s="1">
        <f ca="1">IFERROR(__xludf.DUMMYFUNCTION("""COMPUTED_VALUE"""),4.79)</f>
        <v>4.79</v>
      </c>
    </row>
    <row r="671" spans="1:2">
      <c r="A671" s="3">
        <f ca="1">IFERROR(__xludf.DUMMYFUNCTION("""COMPUTED_VALUE"""),39324.6666666666)</f>
        <v>39324.666666666599</v>
      </c>
      <c r="B671" s="1">
        <f ca="1">IFERROR(__xludf.DUMMYFUNCTION("""COMPUTED_VALUE"""),4.87)</f>
        <v>4.87</v>
      </c>
    </row>
    <row r="672" spans="1:2">
      <c r="A672" s="3">
        <f ca="1">IFERROR(__xludf.DUMMYFUNCTION("""COMPUTED_VALUE"""),39325.6666666666)</f>
        <v>39325.666666666599</v>
      </c>
      <c r="B672" s="1">
        <f ca="1">IFERROR(__xludf.DUMMYFUNCTION("""COMPUTED_VALUE"""),4.95)</f>
        <v>4.95</v>
      </c>
    </row>
    <row r="673" spans="1:2">
      <c r="A673" s="3">
        <f ca="1">IFERROR(__xludf.DUMMYFUNCTION("""COMPUTED_VALUE"""),39329.6666666666)</f>
        <v>39329.666666666599</v>
      </c>
      <c r="B673" s="1">
        <f ca="1">IFERROR(__xludf.DUMMYFUNCTION("""COMPUTED_VALUE"""),5.15)</f>
        <v>5.15</v>
      </c>
    </row>
    <row r="674" spans="1:2">
      <c r="A674" s="3">
        <f ca="1">IFERROR(__xludf.DUMMYFUNCTION("""COMPUTED_VALUE"""),39330.6666666666)</f>
        <v>39330.666666666599</v>
      </c>
      <c r="B674" s="1">
        <f ca="1">IFERROR(__xludf.DUMMYFUNCTION("""COMPUTED_VALUE"""),4.88)</f>
        <v>4.88</v>
      </c>
    </row>
    <row r="675" spans="1:2">
      <c r="A675" s="3">
        <f ca="1">IFERROR(__xludf.DUMMYFUNCTION("""COMPUTED_VALUE"""),39331.6666666666)</f>
        <v>39331.666666666599</v>
      </c>
      <c r="B675" s="1">
        <f ca="1">IFERROR(__xludf.DUMMYFUNCTION("""COMPUTED_VALUE"""),4.82)</f>
        <v>4.82</v>
      </c>
    </row>
    <row r="676" spans="1:2">
      <c r="A676" s="3">
        <f ca="1">IFERROR(__xludf.DUMMYFUNCTION("""COMPUTED_VALUE"""),39332.6666666666)</f>
        <v>39332.666666666599</v>
      </c>
      <c r="B676" s="1">
        <f ca="1">IFERROR(__xludf.DUMMYFUNCTION("""COMPUTED_VALUE"""),4.71)</f>
        <v>4.71</v>
      </c>
    </row>
    <row r="677" spans="1:2">
      <c r="A677" s="3">
        <f ca="1">IFERROR(__xludf.DUMMYFUNCTION("""COMPUTED_VALUE"""),39335.6666666666)</f>
        <v>39335.666666666599</v>
      </c>
      <c r="B677" s="1">
        <f ca="1">IFERROR(__xludf.DUMMYFUNCTION("""COMPUTED_VALUE"""),4.88)</f>
        <v>4.88</v>
      </c>
    </row>
    <row r="678" spans="1:2">
      <c r="A678" s="3">
        <f ca="1">IFERROR(__xludf.DUMMYFUNCTION("""COMPUTED_VALUE"""),39336.6666666666)</f>
        <v>39336.666666666599</v>
      </c>
      <c r="B678" s="1">
        <f ca="1">IFERROR(__xludf.DUMMYFUNCTION("""COMPUTED_VALUE"""),4.84)</f>
        <v>4.84</v>
      </c>
    </row>
    <row r="679" spans="1:2">
      <c r="A679" s="3">
        <f ca="1">IFERROR(__xludf.DUMMYFUNCTION("""COMPUTED_VALUE"""),39337.6666666666)</f>
        <v>39337.666666666599</v>
      </c>
      <c r="B679" s="1">
        <f ca="1">IFERROR(__xludf.DUMMYFUNCTION("""COMPUTED_VALUE"""),4.89)</f>
        <v>4.8899999999999997</v>
      </c>
    </row>
    <row r="680" spans="1:2">
      <c r="A680" s="3">
        <f ca="1">IFERROR(__xludf.DUMMYFUNCTION("""COMPUTED_VALUE"""),39338.6666666666)</f>
        <v>39338.666666666599</v>
      </c>
      <c r="B680" s="1">
        <f ca="1">IFERROR(__xludf.DUMMYFUNCTION("""COMPUTED_VALUE"""),4.9)</f>
        <v>4.9000000000000004</v>
      </c>
    </row>
    <row r="681" spans="1:2">
      <c r="A681" s="3">
        <f ca="1">IFERROR(__xludf.DUMMYFUNCTION("""COMPUTED_VALUE"""),39339.6666666666)</f>
        <v>39339.666666666599</v>
      </c>
      <c r="B681" s="1">
        <f ca="1">IFERROR(__xludf.DUMMYFUNCTION("""COMPUTED_VALUE"""),4.96)</f>
        <v>4.96</v>
      </c>
    </row>
    <row r="682" spans="1:2">
      <c r="A682" s="3">
        <f ca="1">IFERROR(__xludf.DUMMYFUNCTION("""COMPUTED_VALUE"""),39342.6666666666)</f>
        <v>39342.666666666599</v>
      </c>
      <c r="B682" s="1">
        <f ca="1">IFERROR(__xludf.DUMMYFUNCTION("""COMPUTED_VALUE"""),4.94)</f>
        <v>4.9400000000000004</v>
      </c>
    </row>
    <row r="683" spans="1:2">
      <c r="A683" s="3">
        <f ca="1">IFERROR(__xludf.DUMMYFUNCTION("""COMPUTED_VALUE"""),39343.6666666666)</f>
        <v>39343.666666666599</v>
      </c>
      <c r="B683" s="1">
        <f ca="1">IFERROR(__xludf.DUMMYFUNCTION("""COMPUTED_VALUE"""),5.03)</f>
        <v>5.03</v>
      </c>
    </row>
    <row r="684" spans="1:2">
      <c r="A684" s="3">
        <f ca="1">IFERROR(__xludf.DUMMYFUNCTION("""COMPUTED_VALUE"""),39344.6666666666)</f>
        <v>39344.666666666599</v>
      </c>
      <c r="B684" s="1">
        <f ca="1">IFERROR(__xludf.DUMMYFUNCTION("""COMPUTED_VALUE"""),5.03)</f>
        <v>5.03</v>
      </c>
    </row>
    <row r="685" spans="1:2">
      <c r="A685" s="3">
        <f ca="1">IFERROR(__xludf.DUMMYFUNCTION("""COMPUTED_VALUE"""),39345.6666666666)</f>
        <v>39345.666666666599</v>
      </c>
      <c r="B685" s="1">
        <f ca="1">IFERROR(__xludf.DUMMYFUNCTION("""COMPUTED_VALUE"""),5.01)</f>
        <v>5.01</v>
      </c>
    </row>
    <row r="686" spans="1:2">
      <c r="A686" s="3">
        <f ca="1">IFERROR(__xludf.DUMMYFUNCTION("""COMPUTED_VALUE"""),39346.6666666666)</f>
        <v>39346.666666666599</v>
      </c>
      <c r="B686" s="1">
        <f ca="1">IFERROR(__xludf.DUMMYFUNCTION("""COMPUTED_VALUE"""),5.15)</f>
        <v>5.15</v>
      </c>
    </row>
    <row r="687" spans="1:2">
      <c r="A687" s="3">
        <f ca="1">IFERROR(__xludf.DUMMYFUNCTION("""COMPUTED_VALUE"""),39349.6666666666)</f>
        <v>39349.666666666599</v>
      </c>
      <c r="B687" s="1">
        <f ca="1">IFERROR(__xludf.DUMMYFUNCTION("""COMPUTED_VALUE"""),5.3)</f>
        <v>5.3</v>
      </c>
    </row>
    <row r="688" spans="1:2">
      <c r="A688" s="3">
        <f ca="1">IFERROR(__xludf.DUMMYFUNCTION("""COMPUTED_VALUE"""),39350.6666666666)</f>
        <v>39350.666666666599</v>
      </c>
      <c r="B688" s="1">
        <f ca="1">IFERROR(__xludf.DUMMYFUNCTION("""COMPUTED_VALUE"""),5.47)</f>
        <v>5.47</v>
      </c>
    </row>
    <row r="689" spans="1:2">
      <c r="A689" s="3">
        <f ca="1">IFERROR(__xludf.DUMMYFUNCTION("""COMPUTED_VALUE"""),39351.6666666666)</f>
        <v>39351.666666666599</v>
      </c>
      <c r="B689" s="1">
        <f ca="1">IFERROR(__xludf.DUMMYFUNCTION("""COMPUTED_VALUE"""),5.46)</f>
        <v>5.46</v>
      </c>
    </row>
    <row r="690" spans="1:2">
      <c r="A690" s="3">
        <f ca="1">IFERROR(__xludf.DUMMYFUNCTION("""COMPUTED_VALUE"""),39352.6666666666)</f>
        <v>39352.666666666599</v>
      </c>
      <c r="B690" s="1">
        <f ca="1">IFERROR(__xludf.DUMMYFUNCTION("""COMPUTED_VALUE"""),5.52)</f>
        <v>5.52</v>
      </c>
    </row>
    <row r="691" spans="1:2">
      <c r="A691" s="3">
        <f ca="1">IFERROR(__xludf.DUMMYFUNCTION("""COMPUTED_VALUE"""),39353.6666666666)</f>
        <v>39353.666666666599</v>
      </c>
      <c r="B691" s="1">
        <f ca="1">IFERROR(__xludf.DUMMYFUNCTION("""COMPUTED_VALUE"""),5.48)</f>
        <v>5.48</v>
      </c>
    </row>
    <row r="692" spans="1:2">
      <c r="A692" s="3">
        <f ca="1">IFERROR(__xludf.DUMMYFUNCTION("""COMPUTED_VALUE"""),39356.6666666666)</f>
        <v>39356.666666666599</v>
      </c>
      <c r="B692" s="1">
        <f ca="1">IFERROR(__xludf.DUMMYFUNCTION("""COMPUTED_VALUE"""),5.58)</f>
        <v>5.58</v>
      </c>
    </row>
    <row r="693" spans="1:2">
      <c r="A693" s="3">
        <f ca="1">IFERROR(__xludf.DUMMYFUNCTION("""COMPUTED_VALUE"""),39357.6666666666)</f>
        <v>39357.666666666599</v>
      </c>
      <c r="B693" s="1">
        <f ca="1">IFERROR(__xludf.DUMMYFUNCTION("""COMPUTED_VALUE"""),5.66)</f>
        <v>5.66</v>
      </c>
    </row>
    <row r="694" spans="1:2">
      <c r="A694" s="3">
        <f ca="1">IFERROR(__xludf.DUMMYFUNCTION("""COMPUTED_VALUE"""),39358.6666666666)</f>
        <v>39358.666666666599</v>
      </c>
      <c r="B694" s="1">
        <f ca="1">IFERROR(__xludf.DUMMYFUNCTION("""COMPUTED_VALUE"""),5.64)</f>
        <v>5.64</v>
      </c>
    </row>
    <row r="695" spans="1:2">
      <c r="A695" s="3">
        <f ca="1">IFERROR(__xludf.DUMMYFUNCTION("""COMPUTED_VALUE"""),39359.6666666666)</f>
        <v>39359.666666666599</v>
      </c>
      <c r="B695" s="1">
        <f ca="1">IFERROR(__xludf.DUMMYFUNCTION("""COMPUTED_VALUE"""),5.58)</f>
        <v>5.58</v>
      </c>
    </row>
    <row r="696" spans="1:2">
      <c r="A696" s="3">
        <f ca="1">IFERROR(__xludf.DUMMYFUNCTION("""COMPUTED_VALUE"""),39360.6666666666)</f>
        <v>39360.666666666599</v>
      </c>
      <c r="B696" s="1">
        <f ca="1">IFERROR(__xludf.DUMMYFUNCTION("""COMPUTED_VALUE"""),5.77)</f>
        <v>5.77</v>
      </c>
    </row>
    <row r="697" spans="1:2">
      <c r="A697" s="3">
        <f ca="1">IFERROR(__xludf.DUMMYFUNCTION("""COMPUTED_VALUE"""),39363.6666666666)</f>
        <v>39363.666666666599</v>
      </c>
      <c r="B697" s="1">
        <f ca="1">IFERROR(__xludf.DUMMYFUNCTION("""COMPUTED_VALUE"""),6)</f>
        <v>6</v>
      </c>
    </row>
    <row r="698" spans="1:2">
      <c r="A698" s="3">
        <f ca="1">IFERROR(__xludf.DUMMYFUNCTION("""COMPUTED_VALUE"""),39364.6666666666)</f>
        <v>39364.666666666599</v>
      </c>
      <c r="B698" s="1">
        <f ca="1">IFERROR(__xludf.DUMMYFUNCTION("""COMPUTED_VALUE"""),6)</f>
        <v>6</v>
      </c>
    </row>
    <row r="699" spans="1:2">
      <c r="A699" s="3">
        <f ca="1">IFERROR(__xludf.DUMMYFUNCTION("""COMPUTED_VALUE"""),39365.6666666666)</f>
        <v>39365.666666666599</v>
      </c>
      <c r="B699" s="1">
        <f ca="1">IFERROR(__xludf.DUMMYFUNCTION("""COMPUTED_VALUE"""),5.96)</f>
        <v>5.96</v>
      </c>
    </row>
    <row r="700" spans="1:2">
      <c r="A700" s="3">
        <f ca="1">IFERROR(__xludf.DUMMYFUNCTION("""COMPUTED_VALUE"""),39366.6666666666)</f>
        <v>39366.666666666599</v>
      </c>
      <c r="B700" s="1">
        <f ca="1">IFERROR(__xludf.DUMMYFUNCTION("""COMPUTED_VALUE"""),5.79)</f>
        <v>5.79</v>
      </c>
    </row>
    <row r="701" spans="1:2">
      <c r="A701" s="3">
        <f ca="1">IFERROR(__xludf.DUMMYFUNCTION("""COMPUTED_VALUE"""),39367.6666666666)</f>
        <v>39367.666666666599</v>
      </c>
      <c r="B701" s="1">
        <f ca="1">IFERROR(__xludf.DUMMYFUNCTION("""COMPUTED_VALUE"""),5.97)</f>
        <v>5.97</v>
      </c>
    </row>
    <row r="702" spans="1:2">
      <c r="A702" s="3">
        <f ca="1">IFERROR(__xludf.DUMMYFUNCTION("""COMPUTED_VALUE"""),39370.6666666666)</f>
        <v>39370.666666666599</v>
      </c>
      <c r="B702" s="1">
        <f ca="1">IFERROR(__xludf.DUMMYFUNCTION("""COMPUTED_VALUE"""),5.96)</f>
        <v>5.96</v>
      </c>
    </row>
    <row r="703" spans="1:2">
      <c r="A703" s="3">
        <f ca="1">IFERROR(__xludf.DUMMYFUNCTION("""COMPUTED_VALUE"""),39371.6666666666)</f>
        <v>39371.666666666599</v>
      </c>
      <c r="B703" s="1">
        <f ca="1">IFERROR(__xludf.DUMMYFUNCTION("""COMPUTED_VALUE"""),6.06)</f>
        <v>6.06</v>
      </c>
    </row>
    <row r="704" spans="1:2">
      <c r="A704" s="3">
        <f ca="1">IFERROR(__xludf.DUMMYFUNCTION("""COMPUTED_VALUE"""),39372.6666666666)</f>
        <v>39372.666666666599</v>
      </c>
      <c r="B704" s="1">
        <f ca="1">IFERROR(__xludf.DUMMYFUNCTION("""COMPUTED_VALUE"""),6.17)</f>
        <v>6.17</v>
      </c>
    </row>
    <row r="705" spans="1:2">
      <c r="A705" s="3">
        <f ca="1">IFERROR(__xludf.DUMMYFUNCTION("""COMPUTED_VALUE"""),39373.6666666666)</f>
        <v>39373.666666666599</v>
      </c>
      <c r="B705" s="1">
        <f ca="1">IFERROR(__xludf.DUMMYFUNCTION("""COMPUTED_VALUE"""),6.2)</f>
        <v>6.2</v>
      </c>
    </row>
    <row r="706" spans="1:2">
      <c r="A706" s="3">
        <f ca="1">IFERROR(__xludf.DUMMYFUNCTION("""COMPUTED_VALUE"""),39374.6666666666)</f>
        <v>39374.666666666599</v>
      </c>
      <c r="B706" s="1">
        <f ca="1">IFERROR(__xludf.DUMMYFUNCTION("""COMPUTED_VALUE"""),6.09)</f>
        <v>6.09</v>
      </c>
    </row>
    <row r="707" spans="1:2">
      <c r="A707" s="3">
        <f ca="1">IFERROR(__xludf.DUMMYFUNCTION("""COMPUTED_VALUE"""),39377.6666666666)</f>
        <v>39377.666666666599</v>
      </c>
      <c r="B707" s="1">
        <f ca="1">IFERROR(__xludf.DUMMYFUNCTION("""COMPUTED_VALUE"""),6.23)</f>
        <v>6.23</v>
      </c>
    </row>
    <row r="708" spans="1:2">
      <c r="A708" s="3">
        <f ca="1">IFERROR(__xludf.DUMMYFUNCTION("""COMPUTED_VALUE"""),39378.6666666666)</f>
        <v>39378.666666666599</v>
      </c>
      <c r="B708" s="1">
        <f ca="1">IFERROR(__xludf.DUMMYFUNCTION("""COMPUTED_VALUE"""),6.65)</f>
        <v>6.65</v>
      </c>
    </row>
    <row r="709" spans="1:2">
      <c r="A709" s="3">
        <f ca="1">IFERROR(__xludf.DUMMYFUNCTION("""COMPUTED_VALUE"""),39379.6666666666)</f>
        <v>39379.666666666599</v>
      </c>
      <c r="B709" s="1">
        <f ca="1">IFERROR(__xludf.DUMMYFUNCTION("""COMPUTED_VALUE"""),6.64)</f>
        <v>6.64</v>
      </c>
    </row>
    <row r="710" spans="1:2">
      <c r="A710" s="3">
        <f ca="1">IFERROR(__xludf.DUMMYFUNCTION("""COMPUTED_VALUE"""),39380.6666666666)</f>
        <v>39380.666666666599</v>
      </c>
      <c r="B710" s="1">
        <f ca="1">IFERROR(__xludf.DUMMYFUNCTION("""COMPUTED_VALUE"""),6.53)</f>
        <v>6.53</v>
      </c>
    </row>
    <row r="711" spans="1:2">
      <c r="A711" s="3">
        <f ca="1">IFERROR(__xludf.DUMMYFUNCTION("""COMPUTED_VALUE"""),39381.6666666666)</f>
        <v>39381.666666666599</v>
      </c>
      <c r="B711" s="1">
        <f ca="1">IFERROR(__xludf.DUMMYFUNCTION("""COMPUTED_VALUE"""),6.6)</f>
        <v>6.6</v>
      </c>
    </row>
    <row r="712" spans="1:2">
      <c r="A712" s="3">
        <f ca="1">IFERROR(__xludf.DUMMYFUNCTION("""COMPUTED_VALUE"""),39384.6666666666)</f>
        <v>39384.666666666599</v>
      </c>
      <c r="B712" s="1">
        <f ca="1">IFERROR(__xludf.DUMMYFUNCTION("""COMPUTED_VALUE"""),6.61)</f>
        <v>6.61</v>
      </c>
    </row>
    <row r="713" spans="1:2">
      <c r="A713" s="3">
        <f ca="1">IFERROR(__xludf.DUMMYFUNCTION("""COMPUTED_VALUE"""),39385.6666666666)</f>
        <v>39385.666666666599</v>
      </c>
      <c r="B713" s="1">
        <f ca="1">IFERROR(__xludf.DUMMYFUNCTION("""COMPUTED_VALUE"""),6.68)</f>
        <v>6.68</v>
      </c>
    </row>
    <row r="714" spans="1:2">
      <c r="A714" s="3">
        <f ca="1">IFERROR(__xludf.DUMMYFUNCTION("""COMPUTED_VALUE"""),39386.6666666666)</f>
        <v>39386.666666666599</v>
      </c>
      <c r="B714" s="1">
        <f ca="1">IFERROR(__xludf.DUMMYFUNCTION("""COMPUTED_VALUE"""),6.78)</f>
        <v>6.78</v>
      </c>
    </row>
    <row r="715" spans="1:2">
      <c r="A715" s="3">
        <f ca="1">IFERROR(__xludf.DUMMYFUNCTION("""COMPUTED_VALUE"""),39387.6666666666)</f>
        <v>39387.666666666599</v>
      </c>
      <c r="B715" s="1">
        <f ca="1">IFERROR(__xludf.DUMMYFUNCTION("""COMPUTED_VALUE"""),6.69)</f>
        <v>6.69</v>
      </c>
    </row>
    <row r="716" spans="1:2">
      <c r="A716" s="3">
        <f ca="1">IFERROR(__xludf.DUMMYFUNCTION("""COMPUTED_VALUE"""),39388.6666666666)</f>
        <v>39388.666666666599</v>
      </c>
      <c r="B716" s="1">
        <f ca="1">IFERROR(__xludf.DUMMYFUNCTION("""COMPUTED_VALUE"""),6.71)</f>
        <v>6.71</v>
      </c>
    </row>
    <row r="717" spans="1:2">
      <c r="A717" s="3">
        <f ca="1">IFERROR(__xludf.DUMMYFUNCTION("""COMPUTED_VALUE"""),39391.6666666666)</f>
        <v>39391.666666666599</v>
      </c>
      <c r="B717" s="1">
        <f ca="1">IFERROR(__xludf.DUMMYFUNCTION("""COMPUTED_VALUE"""),6.65)</f>
        <v>6.65</v>
      </c>
    </row>
    <row r="718" spans="1:2">
      <c r="A718" s="3">
        <f ca="1">IFERROR(__xludf.DUMMYFUNCTION("""COMPUTED_VALUE"""),39392.6666666666)</f>
        <v>39392.666666666599</v>
      </c>
      <c r="B718" s="1">
        <f ca="1">IFERROR(__xludf.DUMMYFUNCTION("""COMPUTED_VALUE"""),6.85)</f>
        <v>6.85</v>
      </c>
    </row>
    <row r="719" spans="1:2">
      <c r="A719" s="3">
        <f ca="1">IFERROR(__xludf.DUMMYFUNCTION("""COMPUTED_VALUE"""),39393.6666666666)</f>
        <v>39393.666666666599</v>
      </c>
      <c r="B719" s="1">
        <f ca="1">IFERROR(__xludf.DUMMYFUNCTION("""COMPUTED_VALUE"""),6.65)</f>
        <v>6.65</v>
      </c>
    </row>
    <row r="720" spans="1:2">
      <c r="A720" s="3">
        <f ca="1">IFERROR(__xludf.DUMMYFUNCTION("""COMPUTED_VALUE"""),39394.6666666666)</f>
        <v>39394.666666666599</v>
      </c>
      <c r="B720" s="1">
        <f ca="1">IFERROR(__xludf.DUMMYFUNCTION("""COMPUTED_VALUE"""),6.27)</f>
        <v>6.27</v>
      </c>
    </row>
    <row r="721" spans="1:2">
      <c r="A721" s="3">
        <f ca="1">IFERROR(__xludf.DUMMYFUNCTION("""COMPUTED_VALUE"""),39395.6666666666)</f>
        <v>39395.666666666599</v>
      </c>
      <c r="B721" s="1">
        <f ca="1">IFERROR(__xludf.DUMMYFUNCTION("""COMPUTED_VALUE"""),5.91)</f>
        <v>5.91</v>
      </c>
    </row>
    <row r="722" spans="1:2">
      <c r="A722" s="3">
        <f ca="1">IFERROR(__xludf.DUMMYFUNCTION("""COMPUTED_VALUE"""),39398.6666666666)</f>
        <v>39398.666666666599</v>
      </c>
      <c r="B722" s="1">
        <f ca="1">IFERROR(__xludf.DUMMYFUNCTION("""COMPUTED_VALUE"""),5.49)</f>
        <v>5.49</v>
      </c>
    </row>
    <row r="723" spans="1:2">
      <c r="A723" s="3">
        <f ca="1">IFERROR(__xludf.DUMMYFUNCTION("""COMPUTED_VALUE"""),39399.6666666666)</f>
        <v>39399.666666666599</v>
      </c>
      <c r="B723" s="1">
        <f ca="1">IFERROR(__xludf.DUMMYFUNCTION("""COMPUTED_VALUE"""),6.07)</f>
        <v>6.07</v>
      </c>
    </row>
    <row r="724" spans="1:2">
      <c r="A724" s="3">
        <f ca="1">IFERROR(__xludf.DUMMYFUNCTION("""COMPUTED_VALUE"""),39400.6666666666)</f>
        <v>39400.666666666599</v>
      </c>
      <c r="B724" s="1">
        <f ca="1">IFERROR(__xludf.DUMMYFUNCTION("""COMPUTED_VALUE"""),5.93)</f>
        <v>5.93</v>
      </c>
    </row>
    <row r="725" spans="1:2">
      <c r="A725" s="3">
        <f ca="1">IFERROR(__xludf.DUMMYFUNCTION("""COMPUTED_VALUE"""),39401.6666666666)</f>
        <v>39401.666666666599</v>
      </c>
      <c r="B725" s="1">
        <f ca="1">IFERROR(__xludf.DUMMYFUNCTION("""COMPUTED_VALUE"""),5.87)</f>
        <v>5.87</v>
      </c>
    </row>
    <row r="726" spans="1:2">
      <c r="A726" s="3">
        <f ca="1">IFERROR(__xludf.DUMMYFUNCTION("""COMPUTED_VALUE"""),39402.6666666666)</f>
        <v>39402.666666666599</v>
      </c>
      <c r="B726" s="1">
        <f ca="1">IFERROR(__xludf.DUMMYFUNCTION("""COMPUTED_VALUE"""),5.94)</f>
        <v>5.94</v>
      </c>
    </row>
    <row r="727" spans="1:2">
      <c r="A727" s="3">
        <f ca="1">IFERROR(__xludf.DUMMYFUNCTION("""COMPUTED_VALUE"""),39405.6666666666)</f>
        <v>39405.666666666599</v>
      </c>
      <c r="B727" s="1">
        <f ca="1">IFERROR(__xludf.DUMMYFUNCTION("""COMPUTED_VALUE"""),5.86)</f>
        <v>5.86</v>
      </c>
    </row>
    <row r="728" spans="1:2">
      <c r="A728" s="3">
        <f ca="1">IFERROR(__xludf.DUMMYFUNCTION("""COMPUTED_VALUE"""),39406.6666666666)</f>
        <v>39406.666666666599</v>
      </c>
      <c r="B728" s="1">
        <f ca="1">IFERROR(__xludf.DUMMYFUNCTION("""COMPUTED_VALUE"""),6.03)</f>
        <v>6.03</v>
      </c>
    </row>
    <row r="729" spans="1:2">
      <c r="A729" s="3">
        <f ca="1">IFERROR(__xludf.DUMMYFUNCTION("""COMPUTED_VALUE"""),39407.6666666666)</f>
        <v>39407.666666666599</v>
      </c>
      <c r="B729" s="1">
        <f ca="1">IFERROR(__xludf.DUMMYFUNCTION("""COMPUTED_VALUE"""),6.02)</f>
        <v>6.02</v>
      </c>
    </row>
    <row r="730" spans="1:2">
      <c r="A730" s="3">
        <f ca="1">IFERROR(__xludf.DUMMYFUNCTION("""COMPUTED_VALUE"""),39409.6666666666)</f>
        <v>39409.666666666599</v>
      </c>
      <c r="B730" s="1">
        <f ca="1">IFERROR(__xludf.DUMMYFUNCTION("""COMPUTED_VALUE"""),6.13)</f>
        <v>6.13</v>
      </c>
    </row>
    <row r="731" spans="1:2">
      <c r="A731" s="3">
        <f ca="1">IFERROR(__xludf.DUMMYFUNCTION("""COMPUTED_VALUE"""),39412.6666666666)</f>
        <v>39412.666666666599</v>
      </c>
      <c r="B731" s="1">
        <f ca="1">IFERROR(__xludf.DUMMYFUNCTION("""COMPUTED_VALUE"""),6.16)</f>
        <v>6.16</v>
      </c>
    </row>
    <row r="732" spans="1:2">
      <c r="A732" s="3">
        <f ca="1">IFERROR(__xludf.DUMMYFUNCTION("""COMPUTED_VALUE"""),39413.6666666666)</f>
        <v>39413.666666666599</v>
      </c>
      <c r="B732" s="1">
        <f ca="1">IFERROR(__xludf.DUMMYFUNCTION("""COMPUTED_VALUE"""),6.24)</f>
        <v>6.24</v>
      </c>
    </row>
    <row r="733" spans="1:2">
      <c r="A733" s="3">
        <f ca="1">IFERROR(__xludf.DUMMYFUNCTION("""COMPUTED_VALUE"""),39414.6666666666)</f>
        <v>39414.666666666599</v>
      </c>
      <c r="B733" s="1">
        <f ca="1">IFERROR(__xludf.DUMMYFUNCTION("""COMPUTED_VALUE"""),6.44)</f>
        <v>6.44</v>
      </c>
    </row>
    <row r="734" spans="1:2">
      <c r="A734" s="3">
        <f ca="1">IFERROR(__xludf.DUMMYFUNCTION("""COMPUTED_VALUE"""),39415.6666666666)</f>
        <v>39415.666666666599</v>
      </c>
      <c r="B734" s="1">
        <f ca="1">IFERROR(__xludf.DUMMYFUNCTION("""COMPUTED_VALUE"""),6.58)</f>
        <v>6.58</v>
      </c>
    </row>
    <row r="735" spans="1:2">
      <c r="A735" s="3">
        <f ca="1">IFERROR(__xludf.DUMMYFUNCTION("""COMPUTED_VALUE"""),39416.6666666666)</f>
        <v>39416.666666666599</v>
      </c>
      <c r="B735" s="1">
        <f ca="1">IFERROR(__xludf.DUMMYFUNCTION("""COMPUTED_VALUE"""),6.51)</f>
        <v>6.51</v>
      </c>
    </row>
    <row r="736" spans="1:2">
      <c r="A736" s="3">
        <f ca="1">IFERROR(__xludf.DUMMYFUNCTION("""COMPUTED_VALUE"""),39419.6666666666)</f>
        <v>39419.666666666599</v>
      </c>
      <c r="B736" s="1">
        <f ca="1">IFERROR(__xludf.DUMMYFUNCTION("""COMPUTED_VALUE"""),6.39)</f>
        <v>6.39</v>
      </c>
    </row>
    <row r="737" spans="1:2">
      <c r="A737" s="3">
        <f ca="1">IFERROR(__xludf.DUMMYFUNCTION("""COMPUTED_VALUE"""),39420.6666666666)</f>
        <v>39420.666666666599</v>
      </c>
      <c r="B737" s="1">
        <f ca="1">IFERROR(__xludf.DUMMYFUNCTION("""COMPUTED_VALUE"""),6.42)</f>
        <v>6.42</v>
      </c>
    </row>
    <row r="738" spans="1:2">
      <c r="A738" s="3">
        <f ca="1">IFERROR(__xludf.DUMMYFUNCTION("""COMPUTED_VALUE"""),39421.6666666666)</f>
        <v>39421.666666666599</v>
      </c>
      <c r="B738" s="1">
        <f ca="1">IFERROR(__xludf.DUMMYFUNCTION("""COMPUTED_VALUE"""),6.63)</f>
        <v>6.63</v>
      </c>
    </row>
    <row r="739" spans="1:2">
      <c r="A739" s="3">
        <f ca="1">IFERROR(__xludf.DUMMYFUNCTION("""COMPUTED_VALUE"""),39422.6666666666)</f>
        <v>39422.666666666599</v>
      </c>
      <c r="B739" s="1">
        <f ca="1">IFERROR(__xludf.DUMMYFUNCTION("""COMPUTED_VALUE"""),6.78)</f>
        <v>6.78</v>
      </c>
    </row>
    <row r="740" spans="1:2">
      <c r="A740" s="3">
        <f ca="1">IFERROR(__xludf.DUMMYFUNCTION("""COMPUTED_VALUE"""),39423.6666666666)</f>
        <v>39423.666666666599</v>
      </c>
      <c r="B740" s="1">
        <f ca="1">IFERROR(__xludf.DUMMYFUNCTION("""COMPUTED_VALUE"""),6.94)</f>
        <v>6.94</v>
      </c>
    </row>
    <row r="741" spans="1:2">
      <c r="A741" s="3">
        <f ca="1">IFERROR(__xludf.DUMMYFUNCTION("""COMPUTED_VALUE"""),39426.6666666666)</f>
        <v>39426.666666666599</v>
      </c>
      <c r="B741" s="1">
        <f ca="1">IFERROR(__xludf.DUMMYFUNCTION("""COMPUTED_VALUE"""),6.94)</f>
        <v>6.94</v>
      </c>
    </row>
    <row r="742" spans="1:2">
      <c r="A742" s="3">
        <f ca="1">IFERROR(__xludf.DUMMYFUNCTION("""COMPUTED_VALUE"""),39427.6666666666)</f>
        <v>39427.666666666599</v>
      </c>
      <c r="B742" s="1">
        <f ca="1">IFERROR(__xludf.DUMMYFUNCTION("""COMPUTED_VALUE"""),6.73)</f>
        <v>6.73</v>
      </c>
    </row>
    <row r="743" spans="1:2">
      <c r="A743" s="3">
        <f ca="1">IFERROR(__xludf.DUMMYFUNCTION("""COMPUTED_VALUE"""),39428.6666666666)</f>
        <v>39428.666666666599</v>
      </c>
      <c r="B743" s="1">
        <f ca="1">IFERROR(__xludf.DUMMYFUNCTION("""COMPUTED_VALUE"""),6.82)</f>
        <v>6.82</v>
      </c>
    </row>
    <row r="744" spans="1:2">
      <c r="A744" s="3">
        <f ca="1">IFERROR(__xludf.DUMMYFUNCTION("""COMPUTED_VALUE"""),39429.6666666666)</f>
        <v>39429.666666666599</v>
      </c>
      <c r="B744" s="1">
        <f ca="1">IFERROR(__xludf.DUMMYFUNCTION("""COMPUTED_VALUE"""),6.85)</f>
        <v>6.85</v>
      </c>
    </row>
    <row r="745" spans="1:2">
      <c r="A745" s="3">
        <f ca="1">IFERROR(__xludf.DUMMYFUNCTION("""COMPUTED_VALUE"""),39430.6666666666)</f>
        <v>39430.666666666599</v>
      </c>
      <c r="B745" s="1">
        <f ca="1">IFERROR(__xludf.DUMMYFUNCTION("""COMPUTED_VALUE"""),6.8)</f>
        <v>6.8</v>
      </c>
    </row>
    <row r="746" spans="1:2">
      <c r="A746" s="3">
        <f ca="1">IFERROR(__xludf.DUMMYFUNCTION("""COMPUTED_VALUE"""),39433.6666666666)</f>
        <v>39433.666666666599</v>
      </c>
      <c r="B746" s="1">
        <f ca="1">IFERROR(__xludf.DUMMYFUNCTION("""COMPUTED_VALUE"""),6.59)</f>
        <v>6.59</v>
      </c>
    </row>
    <row r="747" spans="1:2">
      <c r="A747" s="3">
        <f ca="1">IFERROR(__xludf.DUMMYFUNCTION("""COMPUTED_VALUE"""),39434.6666666666)</f>
        <v>39434.666666666599</v>
      </c>
      <c r="B747" s="1">
        <f ca="1">IFERROR(__xludf.DUMMYFUNCTION("""COMPUTED_VALUE"""),6.54)</f>
        <v>6.54</v>
      </c>
    </row>
    <row r="748" spans="1:2">
      <c r="A748" s="3">
        <f ca="1">IFERROR(__xludf.DUMMYFUNCTION("""COMPUTED_VALUE"""),39435.6666666666)</f>
        <v>39435.666666666599</v>
      </c>
      <c r="B748" s="1">
        <f ca="1">IFERROR(__xludf.DUMMYFUNCTION("""COMPUTED_VALUE"""),6.54)</f>
        <v>6.54</v>
      </c>
    </row>
    <row r="749" spans="1:2">
      <c r="A749" s="3">
        <f ca="1">IFERROR(__xludf.DUMMYFUNCTION("""COMPUTED_VALUE"""),39436.6666666666)</f>
        <v>39436.666666666599</v>
      </c>
      <c r="B749" s="1">
        <f ca="1">IFERROR(__xludf.DUMMYFUNCTION("""COMPUTED_VALUE"""),6.69)</f>
        <v>6.69</v>
      </c>
    </row>
    <row r="750" spans="1:2">
      <c r="A750" s="3">
        <f ca="1">IFERROR(__xludf.DUMMYFUNCTION("""COMPUTED_VALUE"""),39437.6666666666)</f>
        <v>39437.666666666599</v>
      </c>
      <c r="B750" s="1">
        <f ca="1">IFERROR(__xludf.DUMMYFUNCTION("""COMPUTED_VALUE"""),6.93)</f>
        <v>6.93</v>
      </c>
    </row>
    <row r="751" spans="1:2">
      <c r="A751" s="3">
        <f ca="1">IFERROR(__xludf.DUMMYFUNCTION("""COMPUTED_VALUE"""),39440.6666666666)</f>
        <v>39440.666666666599</v>
      </c>
      <c r="B751" s="1">
        <f ca="1">IFERROR(__xludf.DUMMYFUNCTION("""COMPUTED_VALUE"""),7.1)</f>
        <v>7.1</v>
      </c>
    </row>
    <row r="752" spans="1:2">
      <c r="A752" s="3">
        <f ca="1">IFERROR(__xludf.DUMMYFUNCTION("""COMPUTED_VALUE"""),39442.6666666666)</f>
        <v>39442.666666666599</v>
      </c>
      <c r="B752" s="1">
        <f ca="1">IFERROR(__xludf.DUMMYFUNCTION("""COMPUTED_VALUE"""),7.11)</f>
        <v>7.11</v>
      </c>
    </row>
    <row r="753" spans="1:2">
      <c r="A753" s="3">
        <f ca="1">IFERROR(__xludf.DUMMYFUNCTION("""COMPUTED_VALUE"""),39443.6666666666)</f>
        <v>39443.666666666599</v>
      </c>
      <c r="B753" s="1">
        <f ca="1">IFERROR(__xludf.DUMMYFUNCTION("""COMPUTED_VALUE"""),7.09)</f>
        <v>7.09</v>
      </c>
    </row>
    <row r="754" spans="1:2">
      <c r="A754" s="3">
        <f ca="1">IFERROR(__xludf.DUMMYFUNCTION("""COMPUTED_VALUE"""),39444.6666666666)</f>
        <v>39444.666666666599</v>
      </c>
      <c r="B754" s="1">
        <f ca="1">IFERROR(__xludf.DUMMYFUNCTION("""COMPUTED_VALUE"""),7.14)</f>
        <v>7.14</v>
      </c>
    </row>
    <row r="755" spans="1:2">
      <c r="A755" s="3">
        <f ca="1">IFERROR(__xludf.DUMMYFUNCTION("""COMPUTED_VALUE"""),39447.6666666666)</f>
        <v>39447.666666666599</v>
      </c>
      <c r="B755" s="1">
        <f ca="1">IFERROR(__xludf.DUMMYFUNCTION("""COMPUTED_VALUE"""),7.07)</f>
        <v>7.07</v>
      </c>
    </row>
    <row r="756" spans="1:2">
      <c r="A756" s="3">
        <f ca="1">IFERROR(__xludf.DUMMYFUNCTION("""COMPUTED_VALUE"""),39449.6666666666)</f>
        <v>39449.666666666599</v>
      </c>
      <c r="B756" s="1">
        <f ca="1">IFERROR(__xludf.DUMMYFUNCTION("""COMPUTED_VALUE"""),6.96)</f>
        <v>6.96</v>
      </c>
    </row>
    <row r="757" spans="1:2">
      <c r="A757" s="3">
        <f ca="1">IFERROR(__xludf.DUMMYFUNCTION("""COMPUTED_VALUE"""),39450.6666666666)</f>
        <v>39450.666666666599</v>
      </c>
      <c r="B757" s="1">
        <f ca="1">IFERROR(__xludf.DUMMYFUNCTION("""COMPUTED_VALUE"""),6.96)</f>
        <v>6.96</v>
      </c>
    </row>
    <row r="758" spans="1:2">
      <c r="A758" s="3">
        <f ca="1">IFERROR(__xludf.DUMMYFUNCTION("""COMPUTED_VALUE"""),39451.6666666666)</f>
        <v>39451.666666666599</v>
      </c>
      <c r="B758" s="1">
        <f ca="1">IFERROR(__xludf.DUMMYFUNCTION("""COMPUTED_VALUE"""),6.43)</f>
        <v>6.43</v>
      </c>
    </row>
    <row r="759" spans="1:2">
      <c r="A759" s="3">
        <f ca="1">IFERROR(__xludf.DUMMYFUNCTION("""COMPUTED_VALUE"""),39454.6666666666)</f>
        <v>39454.666666666599</v>
      </c>
      <c r="B759" s="1">
        <f ca="1">IFERROR(__xludf.DUMMYFUNCTION("""COMPUTED_VALUE"""),6.34)</f>
        <v>6.34</v>
      </c>
    </row>
    <row r="760" spans="1:2">
      <c r="A760" s="3">
        <f ca="1">IFERROR(__xludf.DUMMYFUNCTION("""COMPUTED_VALUE"""),39455.6666666666)</f>
        <v>39455.666666666599</v>
      </c>
      <c r="B760" s="1">
        <f ca="1">IFERROR(__xludf.DUMMYFUNCTION("""COMPUTED_VALUE"""),6.12)</f>
        <v>6.12</v>
      </c>
    </row>
    <row r="761" spans="1:2">
      <c r="A761" s="3">
        <f ca="1">IFERROR(__xludf.DUMMYFUNCTION("""COMPUTED_VALUE"""),39456.6666666666)</f>
        <v>39456.666666666599</v>
      </c>
      <c r="B761" s="1">
        <f ca="1">IFERROR(__xludf.DUMMYFUNCTION("""COMPUTED_VALUE"""),6.41)</f>
        <v>6.41</v>
      </c>
    </row>
    <row r="762" spans="1:2">
      <c r="A762" s="3">
        <f ca="1">IFERROR(__xludf.DUMMYFUNCTION("""COMPUTED_VALUE"""),39457.6666666666)</f>
        <v>39457.666666666599</v>
      </c>
      <c r="B762" s="1">
        <f ca="1">IFERROR(__xludf.DUMMYFUNCTION("""COMPUTED_VALUE"""),6.36)</f>
        <v>6.36</v>
      </c>
    </row>
    <row r="763" spans="1:2">
      <c r="A763" s="3">
        <f ca="1">IFERROR(__xludf.DUMMYFUNCTION("""COMPUTED_VALUE"""),39458.6666666666)</f>
        <v>39458.666666666599</v>
      </c>
      <c r="B763" s="1">
        <f ca="1">IFERROR(__xludf.DUMMYFUNCTION("""COMPUTED_VALUE"""),6.17)</f>
        <v>6.17</v>
      </c>
    </row>
    <row r="764" spans="1:2">
      <c r="A764" s="3">
        <f ca="1">IFERROR(__xludf.DUMMYFUNCTION("""COMPUTED_VALUE"""),39461.6666666666)</f>
        <v>39461.666666666599</v>
      </c>
      <c r="B764" s="1">
        <f ca="1">IFERROR(__xludf.DUMMYFUNCTION("""COMPUTED_VALUE"""),6.39)</f>
        <v>6.39</v>
      </c>
    </row>
    <row r="765" spans="1:2">
      <c r="A765" s="3">
        <f ca="1">IFERROR(__xludf.DUMMYFUNCTION("""COMPUTED_VALUE"""),39462.6666666666)</f>
        <v>39462.666666666599</v>
      </c>
      <c r="B765" s="1">
        <f ca="1">IFERROR(__xludf.DUMMYFUNCTION("""COMPUTED_VALUE"""),6.04)</f>
        <v>6.04</v>
      </c>
    </row>
    <row r="766" spans="1:2">
      <c r="A766" s="3">
        <f ca="1">IFERROR(__xludf.DUMMYFUNCTION("""COMPUTED_VALUE"""),39463.6666666666)</f>
        <v>39463.666666666599</v>
      </c>
      <c r="B766" s="1">
        <f ca="1">IFERROR(__xludf.DUMMYFUNCTION("""COMPUTED_VALUE"""),5.7)</f>
        <v>5.7</v>
      </c>
    </row>
    <row r="767" spans="1:2">
      <c r="A767" s="3">
        <f ca="1">IFERROR(__xludf.DUMMYFUNCTION("""COMPUTED_VALUE"""),39464.6666666666)</f>
        <v>39464.666666666599</v>
      </c>
      <c r="B767" s="1">
        <f ca="1">IFERROR(__xludf.DUMMYFUNCTION("""COMPUTED_VALUE"""),5.75)</f>
        <v>5.75</v>
      </c>
    </row>
    <row r="768" spans="1:2">
      <c r="A768" s="3">
        <f ca="1">IFERROR(__xludf.DUMMYFUNCTION("""COMPUTED_VALUE"""),39465.6666666666)</f>
        <v>39465.666666666599</v>
      </c>
      <c r="B768" s="1">
        <f ca="1">IFERROR(__xludf.DUMMYFUNCTION("""COMPUTED_VALUE"""),5.76)</f>
        <v>5.76</v>
      </c>
    </row>
    <row r="769" spans="1:2">
      <c r="A769" s="3">
        <f ca="1">IFERROR(__xludf.DUMMYFUNCTION("""COMPUTED_VALUE"""),39469.6666666666)</f>
        <v>39469.666666666599</v>
      </c>
      <c r="B769" s="1">
        <f ca="1">IFERROR(__xludf.DUMMYFUNCTION("""COMPUTED_VALUE"""),5.56)</f>
        <v>5.56</v>
      </c>
    </row>
    <row r="770" spans="1:2">
      <c r="A770" s="3">
        <f ca="1">IFERROR(__xludf.DUMMYFUNCTION("""COMPUTED_VALUE"""),39470.6666666666)</f>
        <v>39470.666666666599</v>
      </c>
      <c r="B770" s="1">
        <f ca="1">IFERROR(__xludf.DUMMYFUNCTION("""COMPUTED_VALUE"""),4.97)</f>
        <v>4.97</v>
      </c>
    </row>
    <row r="771" spans="1:2">
      <c r="A771" s="3">
        <f ca="1">IFERROR(__xludf.DUMMYFUNCTION("""COMPUTED_VALUE"""),39471.6666666666)</f>
        <v>39471.666666666599</v>
      </c>
      <c r="B771" s="1">
        <f ca="1">IFERROR(__xludf.DUMMYFUNCTION("""COMPUTED_VALUE"""),4.84)</f>
        <v>4.84</v>
      </c>
    </row>
    <row r="772" spans="1:2">
      <c r="A772" s="3">
        <f ca="1">IFERROR(__xludf.DUMMYFUNCTION("""COMPUTED_VALUE"""),39472.6666666666)</f>
        <v>39472.666666666599</v>
      </c>
      <c r="B772" s="1">
        <f ca="1">IFERROR(__xludf.DUMMYFUNCTION("""COMPUTED_VALUE"""),4.64)</f>
        <v>4.6399999999999997</v>
      </c>
    </row>
    <row r="773" spans="1:2">
      <c r="A773" s="3">
        <f ca="1">IFERROR(__xludf.DUMMYFUNCTION("""COMPUTED_VALUE"""),39475.6666666666)</f>
        <v>39475.666666666599</v>
      </c>
      <c r="B773" s="1">
        <f ca="1">IFERROR(__xludf.DUMMYFUNCTION("""COMPUTED_VALUE"""),4.64)</f>
        <v>4.6399999999999997</v>
      </c>
    </row>
    <row r="774" spans="1:2">
      <c r="A774" s="3">
        <f ca="1">IFERROR(__xludf.DUMMYFUNCTION("""COMPUTED_VALUE"""),39476.6666666666)</f>
        <v>39476.666666666599</v>
      </c>
      <c r="B774" s="1">
        <f ca="1">IFERROR(__xludf.DUMMYFUNCTION("""COMPUTED_VALUE"""),4.7)</f>
        <v>4.7</v>
      </c>
    </row>
    <row r="775" spans="1:2">
      <c r="A775" s="3">
        <f ca="1">IFERROR(__xludf.DUMMYFUNCTION("""COMPUTED_VALUE"""),39477.6666666666)</f>
        <v>39477.666666666599</v>
      </c>
      <c r="B775" s="1">
        <f ca="1">IFERROR(__xludf.DUMMYFUNCTION("""COMPUTED_VALUE"""),4.72)</f>
        <v>4.72</v>
      </c>
    </row>
    <row r="776" spans="1:2">
      <c r="A776" s="3">
        <f ca="1">IFERROR(__xludf.DUMMYFUNCTION("""COMPUTED_VALUE"""),39478.6666666666)</f>
        <v>39478.666666666599</v>
      </c>
      <c r="B776" s="1">
        <f ca="1">IFERROR(__xludf.DUMMYFUNCTION("""COMPUTED_VALUE"""),4.83)</f>
        <v>4.83</v>
      </c>
    </row>
    <row r="777" spans="1:2">
      <c r="A777" s="3">
        <f ca="1">IFERROR(__xludf.DUMMYFUNCTION("""COMPUTED_VALUE"""),39479.6666666666)</f>
        <v>39479.666666666599</v>
      </c>
      <c r="B777" s="1">
        <f ca="1">IFERROR(__xludf.DUMMYFUNCTION("""COMPUTED_VALUE"""),4.78)</f>
        <v>4.78</v>
      </c>
    </row>
    <row r="778" spans="1:2">
      <c r="A778" s="3">
        <f ca="1">IFERROR(__xludf.DUMMYFUNCTION("""COMPUTED_VALUE"""),39482.6666666666)</f>
        <v>39482.666666666599</v>
      </c>
      <c r="B778" s="1">
        <f ca="1">IFERROR(__xludf.DUMMYFUNCTION("""COMPUTED_VALUE"""),4.7)</f>
        <v>4.7</v>
      </c>
    </row>
    <row r="779" spans="1:2">
      <c r="A779" s="3">
        <f ca="1">IFERROR(__xludf.DUMMYFUNCTION("""COMPUTED_VALUE"""),39483.6666666666)</f>
        <v>39483.666666666599</v>
      </c>
      <c r="B779" s="1">
        <f ca="1">IFERROR(__xludf.DUMMYFUNCTION("""COMPUTED_VALUE"""),4.62)</f>
        <v>4.62</v>
      </c>
    </row>
    <row r="780" spans="1:2">
      <c r="A780" s="3">
        <f ca="1">IFERROR(__xludf.DUMMYFUNCTION("""COMPUTED_VALUE"""),39484.6666666666)</f>
        <v>39484.666666666599</v>
      </c>
      <c r="B780" s="1">
        <f ca="1">IFERROR(__xludf.DUMMYFUNCTION("""COMPUTED_VALUE"""),4.36)</f>
        <v>4.3600000000000003</v>
      </c>
    </row>
    <row r="781" spans="1:2">
      <c r="A781" s="3">
        <f ca="1">IFERROR(__xludf.DUMMYFUNCTION("""COMPUTED_VALUE"""),39485.6666666666)</f>
        <v>39485.666666666599</v>
      </c>
      <c r="B781" s="1">
        <f ca="1">IFERROR(__xludf.DUMMYFUNCTION("""COMPUTED_VALUE"""),4.33)</f>
        <v>4.33</v>
      </c>
    </row>
    <row r="782" spans="1:2">
      <c r="A782" s="3">
        <f ca="1">IFERROR(__xludf.DUMMYFUNCTION("""COMPUTED_VALUE"""),39486.6666666666)</f>
        <v>39486.666666666599</v>
      </c>
      <c r="B782" s="1">
        <f ca="1">IFERROR(__xludf.DUMMYFUNCTION("""COMPUTED_VALUE"""),4.48)</f>
        <v>4.4800000000000004</v>
      </c>
    </row>
    <row r="783" spans="1:2">
      <c r="A783" s="3">
        <f ca="1">IFERROR(__xludf.DUMMYFUNCTION("""COMPUTED_VALUE"""),39489.6666666666)</f>
        <v>39489.666666666599</v>
      </c>
      <c r="B783" s="1">
        <f ca="1">IFERROR(__xludf.DUMMYFUNCTION("""COMPUTED_VALUE"""),4.62)</f>
        <v>4.62</v>
      </c>
    </row>
    <row r="784" spans="1:2">
      <c r="A784" s="3">
        <f ca="1">IFERROR(__xludf.DUMMYFUNCTION("""COMPUTED_VALUE"""),39490.6666666666)</f>
        <v>39490.666666666599</v>
      </c>
      <c r="B784" s="1">
        <f ca="1">IFERROR(__xludf.DUMMYFUNCTION("""COMPUTED_VALUE"""),4.46)</f>
        <v>4.46</v>
      </c>
    </row>
    <row r="785" spans="1:2">
      <c r="A785" s="3">
        <f ca="1">IFERROR(__xludf.DUMMYFUNCTION("""COMPUTED_VALUE"""),39491.6666666666)</f>
        <v>39491.666666666599</v>
      </c>
      <c r="B785" s="1">
        <f ca="1">IFERROR(__xludf.DUMMYFUNCTION("""COMPUTED_VALUE"""),4.62)</f>
        <v>4.62</v>
      </c>
    </row>
    <row r="786" spans="1:2">
      <c r="A786" s="3">
        <f ca="1">IFERROR(__xludf.DUMMYFUNCTION("""COMPUTED_VALUE"""),39492.6666666666)</f>
        <v>39492.666666666599</v>
      </c>
      <c r="B786" s="1">
        <f ca="1">IFERROR(__xludf.DUMMYFUNCTION("""COMPUTED_VALUE"""),4.55)</f>
        <v>4.55</v>
      </c>
    </row>
    <row r="787" spans="1:2">
      <c r="A787" s="3">
        <f ca="1">IFERROR(__xludf.DUMMYFUNCTION("""COMPUTED_VALUE"""),39493.6666666666)</f>
        <v>39493.666666666599</v>
      </c>
      <c r="B787" s="1">
        <f ca="1">IFERROR(__xludf.DUMMYFUNCTION("""COMPUTED_VALUE"""),4.45)</f>
        <v>4.45</v>
      </c>
    </row>
    <row r="788" spans="1:2">
      <c r="A788" s="3">
        <f ca="1">IFERROR(__xludf.DUMMYFUNCTION("""COMPUTED_VALUE"""),39497.6666666666)</f>
        <v>39497.666666666599</v>
      </c>
      <c r="B788" s="1">
        <f ca="1">IFERROR(__xludf.DUMMYFUNCTION("""COMPUTED_VALUE"""),4.36)</f>
        <v>4.3600000000000003</v>
      </c>
    </row>
    <row r="789" spans="1:2">
      <c r="A789" s="3">
        <f ca="1">IFERROR(__xludf.DUMMYFUNCTION("""COMPUTED_VALUE"""),39498.6666666666)</f>
        <v>39498.666666666599</v>
      </c>
      <c r="B789" s="1">
        <f ca="1">IFERROR(__xludf.DUMMYFUNCTION("""COMPUTED_VALUE"""),4.42)</f>
        <v>4.42</v>
      </c>
    </row>
    <row r="790" spans="1:2">
      <c r="A790" s="3">
        <f ca="1">IFERROR(__xludf.DUMMYFUNCTION("""COMPUTED_VALUE"""),39499.6666666666)</f>
        <v>39499.666666666599</v>
      </c>
      <c r="B790" s="1">
        <f ca="1">IFERROR(__xludf.DUMMYFUNCTION("""COMPUTED_VALUE"""),4.34)</f>
        <v>4.34</v>
      </c>
    </row>
    <row r="791" spans="1:2">
      <c r="A791" s="3">
        <f ca="1">IFERROR(__xludf.DUMMYFUNCTION("""COMPUTED_VALUE"""),39500.6666666666)</f>
        <v>39500.666666666599</v>
      </c>
      <c r="B791" s="1">
        <f ca="1">IFERROR(__xludf.DUMMYFUNCTION("""COMPUTED_VALUE"""),4.27)</f>
        <v>4.2699999999999996</v>
      </c>
    </row>
    <row r="792" spans="1:2">
      <c r="A792" s="3">
        <f ca="1">IFERROR(__xludf.DUMMYFUNCTION("""COMPUTED_VALUE"""),39503.6666666666)</f>
        <v>39503.666666666599</v>
      </c>
      <c r="B792" s="1">
        <f ca="1">IFERROR(__xludf.DUMMYFUNCTION("""COMPUTED_VALUE"""),4.28)</f>
        <v>4.28</v>
      </c>
    </row>
    <row r="793" spans="1:2">
      <c r="A793" s="3">
        <f ca="1">IFERROR(__xludf.DUMMYFUNCTION("""COMPUTED_VALUE"""),39504.6666666666)</f>
        <v>39504.666666666599</v>
      </c>
      <c r="B793" s="1">
        <f ca="1">IFERROR(__xludf.DUMMYFUNCTION("""COMPUTED_VALUE"""),4.26)</f>
        <v>4.26</v>
      </c>
    </row>
    <row r="794" spans="1:2">
      <c r="A794" s="3">
        <f ca="1">IFERROR(__xludf.DUMMYFUNCTION("""COMPUTED_VALUE"""),39505.6666666666)</f>
        <v>39505.666666666599</v>
      </c>
      <c r="B794" s="1">
        <f ca="1">IFERROR(__xludf.DUMMYFUNCTION("""COMPUTED_VALUE"""),4.39)</f>
        <v>4.3899999999999997</v>
      </c>
    </row>
    <row r="795" spans="1:2">
      <c r="A795" s="3">
        <f ca="1">IFERROR(__xludf.DUMMYFUNCTION("""COMPUTED_VALUE"""),39506.6666666666)</f>
        <v>39506.666666666599</v>
      </c>
      <c r="B795" s="1">
        <f ca="1">IFERROR(__xludf.DUMMYFUNCTION("""COMPUTED_VALUE"""),4.64)</f>
        <v>4.6399999999999997</v>
      </c>
    </row>
    <row r="796" spans="1:2">
      <c r="A796" s="3">
        <f ca="1">IFERROR(__xludf.DUMMYFUNCTION("""COMPUTED_VALUE"""),39507.6666666666)</f>
        <v>39507.666666666599</v>
      </c>
      <c r="B796" s="1">
        <f ca="1">IFERROR(__xludf.DUMMYFUNCTION("""COMPUTED_VALUE"""),4.47)</f>
        <v>4.47</v>
      </c>
    </row>
    <row r="797" spans="1:2">
      <c r="A797" s="3">
        <f ca="1">IFERROR(__xludf.DUMMYFUNCTION("""COMPUTED_VALUE"""),39510.6666666666)</f>
        <v>39510.666666666599</v>
      </c>
      <c r="B797" s="1">
        <f ca="1">IFERROR(__xludf.DUMMYFUNCTION("""COMPUTED_VALUE"""),4.35)</f>
        <v>4.3499999999999996</v>
      </c>
    </row>
    <row r="798" spans="1:2">
      <c r="A798" s="3">
        <f ca="1">IFERROR(__xludf.DUMMYFUNCTION("""COMPUTED_VALUE"""),39511.6666666666)</f>
        <v>39511.666666666599</v>
      </c>
      <c r="B798" s="1">
        <f ca="1">IFERROR(__xludf.DUMMYFUNCTION("""COMPUTED_VALUE"""),4.45)</f>
        <v>4.45</v>
      </c>
    </row>
    <row r="799" spans="1:2">
      <c r="A799" s="3">
        <f ca="1">IFERROR(__xludf.DUMMYFUNCTION("""COMPUTED_VALUE"""),39512.6666666666)</f>
        <v>39512.666666666599</v>
      </c>
      <c r="B799" s="1">
        <f ca="1">IFERROR(__xludf.DUMMYFUNCTION("""COMPUTED_VALUE"""),4.45)</f>
        <v>4.45</v>
      </c>
    </row>
    <row r="800" spans="1:2">
      <c r="A800" s="3">
        <f ca="1">IFERROR(__xludf.DUMMYFUNCTION("""COMPUTED_VALUE"""),39513.6666666666)</f>
        <v>39513.666666666599</v>
      </c>
      <c r="B800" s="1">
        <f ca="1">IFERROR(__xludf.DUMMYFUNCTION("""COMPUTED_VALUE"""),4.32)</f>
        <v>4.32</v>
      </c>
    </row>
    <row r="801" spans="1:2">
      <c r="A801" s="3">
        <f ca="1">IFERROR(__xludf.DUMMYFUNCTION("""COMPUTED_VALUE"""),39514.6666666666)</f>
        <v>39514.666666666599</v>
      </c>
      <c r="B801" s="1">
        <f ca="1">IFERROR(__xludf.DUMMYFUNCTION("""COMPUTED_VALUE"""),4.37)</f>
        <v>4.37</v>
      </c>
    </row>
    <row r="802" spans="1:2">
      <c r="A802" s="3">
        <f ca="1">IFERROR(__xludf.DUMMYFUNCTION("""COMPUTED_VALUE"""),39517.6666666666)</f>
        <v>39517.666666666599</v>
      </c>
      <c r="B802" s="1">
        <f ca="1">IFERROR(__xludf.DUMMYFUNCTION("""COMPUTED_VALUE"""),4.27)</f>
        <v>4.2699999999999996</v>
      </c>
    </row>
    <row r="803" spans="1:2">
      <c r="A803" s="3">
        <f ca="1">IFERROR(__xludf.DUMMYFUNCTION("""COMPUTED_VALUE"""),39518.6666666666)</f>
        <v>39518.666666666599</v>
      </c>
      <c r="B803" s="1">
        <f ca="1">IFERROR(__xludf.DUMMYFUNCTION("""COMPUTED_VALUE"""),4.55)</f>
        <v>4.55</v>
      </c>
    </row>
    <row r="804" spans="1:2">
      <c r="A804" s="3">
        <f ca="1">IFERROR(__xludf.DUMMYFUNCTION("""COMPUTED_VALUE"""),39519.6666666666)</f>
        <v>39519.666666666599</v>
      </c>
      <c r="B804" s="1">
        <f ca="1">IFERROR(__xludf.DUMMYFUNCTION("""COMPUTED_VALUE"""),4.5)</f>
        <v>4.5</v>
      </c>
    </row>
    <row r="805" spans="1:2">
      <c r="A805" s="3">
        <f ca="1">IFERROR(__xludf.DUMMYFUNCTION("""COMPUTED_VALUE"""),39520.6666666666)</f>
        <v>39520.666666666599</v>
      </c>
      <c r="B805" s="1">
        <f ca="1">IFERROR(__xludf.DUMMYFUNCTION("""COMPUTED_VALUE"""),4.57)</f>
        <v>4.57</v>
      </c>
    </row>
    <row r="806" spans="1:2">
      <c r="A806" s="3">
        <f ca="1">IFERROR(__xludf.DUMMYFUNCTION("""COMPUTED_VALUE"""),39521.6666666666)</f>
        <v>39521.666666666599</v>
      </c>
      <c r="B806" s="1">
        <f ca="1">IFERROR(__xludf.DUMMYFUNCTION("""COMPUTED_VALUE"""),4.52)</f>
        <v>4.5199999999999996</v>
      </c>
    </row>
    <row r="807" spans="1:2">
      <c r="A807" s="3">
        <f ca="1">IFERROR(__xludf.DUMMYFUNCTION("""COMPUTED_VALUE"""),39524.6666666666)</f>
        <v>39524.666666666599</v>
      </c>
      <c r="B807" s="1">
        <f ca="1">IFERROR(__xludf.DUMMYFUNCTION("""COMPUTED_VALUE"""),4.53)</f>
        <v>4.53</v>
      </c>
    </row>
    <row r="808" spans="1:2">
      <c r="A808" s="3">
        <f ca="1">IFERROR(__xludf.DUMMYFUNCTION("""COMPUTED_VALUE"""),39525.6666666666)</f>
        <v>39525.666666666599</v>
      </c>
      <c r="B808" s="1">
        <f ca="1">IFERROR(__xludf.DUMMYFUNCTION("""COMPUTED_VALUE"""),4.74)</f>
        <v>4.74</v>
      </c>
    </row>
    <row r="809" spans="1:2">
      <c r="A809" s="3">
        <f ca="1">IFERROR(__xludf.DUMMYFUNCTION("""COMPUTED_VALUE"""),39526.6666666666)</f>
        <v>39526.666666666599</v>
      </c>
      <c r="B809" s="1">
        <f ca="1">IFERROR(__xludf.DUMMYFUNCTION("""COMPUTED_VALUE"""),4.63)</f>
        <v>4.63</v>
      </c>
    </row>
    <row r="810" spans="1:2">
      <c r="A810" s="3">
        <f ca="1">IFERROR(__xludf.DUMMYFUNCTION("""COMPUTED_VALUE"""),39527.6666666666)</f>
        <v>39527.666666666599</v>
      </c>
      <c r="B810" s="1">
        <f ca="1">IFERROR(__xludf.DUMMYFUNCTION("""COMPUTED_VALUE"""),4.76)</f>
        <v>4.76</v>
      </c>
    </row>
    <row r="811" spans="1:2">
      <c r="A811" s="3">
        <f ca="1">IFERROR(__xludf.DUMMYFUNCTION("""COMPUTED_VALUE"""),39531.6666666666)</f>
        <v>39531.666666666599</v>
      </c>
      <c r="B811" s="1">
        <f ca="1">IFERROR(__xludf.DUMMYFUNCTION("""COMPUTED_VALUE"""),4.98)</f>
        <v>4.9800000000000004</v>
      </c>
    </row>
    <row r="812" spans="1:2">
      <c r="A812" s="3">
        <f ca="1">IFERROR(__xludf.DUMMYFUNCTION("""COMPUTED_VALUE"""),39532.6666666666)</f>
        <v>39532.666666666599</v>
      </c>
      <c r="B812" s="1">
        <f ca="1">IFERROR(__xludf.DUMMYFUNCTION("""COMPUTED_VALUE"""),5.04)</f>
        <v>5.04</v>
      </c>
    </row>
    <row r="813" spans="1:2">
      <c r="A813" s="3">
        <f ca="1">IFERROR(__xludf.DUMMYFUNCTION("""COMPUTED_VALUE"""),39533.6666666666)</f>
        <v>39533.666666666599</v>
      </c>
      <c r="B813" s="1">
        <f ca="1">IFERROR(__xludf.DUMMYFUNCTION("""COMPUTED_VALUE"""),5.18)</f>
        <v>5.18</v>
      </c>
    </row>
    <row r="814" spans="1:2">
      <c r="A814" s="3">
        <f ca="1">IFERROR(__xludf.DUMMYFUNCTION("""COMPUTED_VALUE"""),39534.6666666666)</f>
        <v>39534.666666666599</v>
      </c>
      <c r="B814" s="1">
        <f ca="1">IFERROR(__xludf.DUMMYFUNCTION("""COMPUTED_VALUE"""),5.01)</f>
        <v>5.01</v>
      </c>
    </row>
    <row r="815" spans="1:2">
      <c r="A815" s="3">
        <f ca="1">IFERROR(__xludf.DUMMYFUNCTION("""COMPUTED_VALUE"""),39535.6666666666)</f>
        <v>39535.666666666599</v>
      </c>
      <c r="B815" s="1">
        <f ca="1">IFERROR(__xludf.DUMMYFUNCTION("""COMPUTED_VALUE"""),5.11)</f>
        <v>5.1100000000000003</v>
      </c>
    </row>
    <row r="816" spans="1:2">
      <c r="A816" s="3">
        <f ca="1">IFERROR(__xludf.DUMMYFUNCTION("""COMPUTED_VALUE"""),39538.6666666666)</f>
        <v>39538.666666666599</v>
      </c>
      <c r="B816" s="1">
        <f ca="1">IFERROR(__xludf.DUMMYFUNCTION("""COMPUTED_VALUE"""),5.13)</f>
        <v>5.13</v>
      </c>
    </row>
    <row r="817" spans="1:2">
      <c r="A817" s="3">
        <f ca="1">IFERROR(__xludf.DUMMYFUNCTION("""COMPUTED_VALUE"""),39539.6666666666)</f>
        <v>39539.666666666599</v>
      </c>
      <c r="B817" s="1">
        <f ca="1">IFERROR(__xludf.DUMMYFUNCTION("""COMPUTED_VALUE"""),5.34)</f>
        <v>5.34</v>
      </c>
    </row>
    <row r="818" spans="1:2">
      <c r="A818" s="3">
        <f ca="1">IFERROR(__xludf.DUMMYFUNCTION("""COMPUTED_VALUE"""),39540.6666666666)</f>
        <v>39540.666666666599</v>
      </c>
      <c r="B818" s="1">
        <f ca="1">IFERROR(__xludf.DUMMYFUNCTION("""COMPUTED_VALUE"""),5.27)</f>
        <v>5.27</v>
      </c>
    </row>
    <row r="819" spans="1:2">
      <c r="A819" s="3">
        <f ca="1">IFERROR(__xludf.DUMMYFUNCTION("""COMPUTED_VALUE"""),39541.6666666666)</f>
        <v>39541.666666666599</v>
      </c>
      <c r="B819" s="1">
        <f ca="1">IFERROR(__xludf.DUMMYFUNCTION("""COMPUTED_VALUE"""),5.41)</f>
        <v>5.41</v>
      </c>
    </row>
    <row r="820" spans="1:2">
      <c r="A820" s="3">
        <f ca="1">IFERROR(__xludf.DUMMYFUNCTION("""COMPUTED_VALUE"""),39542.6666666666)</f>
        <v>39542.666666666599</v>
      </c>
      <c r="B820" s="1">
        <f ca="1">IFERROR(__xludf.DUMMYFUNCTION("""COMPUTED_VALUE"""),5.47)</f>
        <v>5.47</v>
      </c>
    </row>
    <row r="821" spans="1:2">
      <c r="A821" s="3">
        <f ca="1">IFERROR(__xludf.DUMMYFUNCTION("""COMPUTED_VALUE"""),39545.6666666666)</f>
        <v>39545.666666666599</v>
      </c>
      <c r="B821" s="1">
        <f ca="1">IFERROR(__xludf.DUMMYFUNCTION("""COMPUTED_VALUE"""),5.57)</f>
        <v>5.57</v>
      </c>
    </row>
    <row r="822" spans="1:2">
      <c r="A822" s="3">
        <f ca="1">IFERROR(__xludf.DUMMYFUNCTION("""COMPUTED_VALUE"""),39546.6666666666)</f>
        <v>39546.666666666599</v>
      </c>
      <c r="B822" s="1">
        <f ca="1">IFERROR(__xludf.DUMMYFUNCTION("""COMPUTED_VALUE"""),5.46)</f>
        <v>5.46</v>
      </c>
    </row>
    <row r="823" spans="1:2">
      <c r="A823" s="3">
        <f ca="1">IFERROR(__xludf.DUMMYFUNCTION("""COMPUTED_VALUE"""),39547.6666666666)</f>
        <v>39547.666666666599</v>
      </c>
      <c r="B823" s="1">
        <f ca="1">IFERROR(__xludf.DUMMYFUNCTION("""COMPUTED_VALUE"""),5.41)</f>
        <v>5.41</v>
      </c>
    </row>
    <row r="824" spans="1:2">
      <c r="A824" s="3">
        <f ca="1">IFERROR(__xludf.DUMMYFUNCTION("""COMPUTED_VALUE"""),39548.6666666666)</f>
        <v>39548.666666666599</v>
      </c>
      <c r="B824" s="1">
        <f ca="1">IFERROR(__xludf.DUMMYFUNCTION("""COMPUTED_VALUE"""),5.52)</f>
        <v>5.52</v>
      </c>
    </row>
    <row r="825" spans="1:2">
      <c r="A825" s="3">
        <f ca="1">IFERROR(__xludf.DUMMYFUNCTION("""COMPUTED_VALUE"""),39549.6666666666)</f>
        <v>39549.666666666599</v>
      </c>
      <c r="B825" s="1">
        <f ca="1">IFERROR(__xludf.DUMMYFUNCTION("""COMPUTED_VALUE"""),5.26)</f>
        <v>5.26</v>
      </c>
    </row>
    <row r="826" spans="1:2">
      <c r="A826" s="3">
        <f ca="1">IFERROR(__xludf.DUMMYFUNCTION("""COMPUTED_VALUE"""),39552.6666666666)</f>
        <v>39552.666666666599</v>
      </c>
      <c r="B826" s="1">
        <f ca="1">IFERROR(__xludf.DUMMYFUNCTION("""COMPUTED_VALUE"""),5.28)</f>
        <v>5.28</v>
      </c>
    </row>
    <row r="827" spans="1:2">
      <c r="A827" s="3">
        <f ca="1">IFERROR(__xludf.DUMMYFUNCTION("""COMPUTED_VALUE"""),39553.6666666666)</f>
        <v>39553.666666666599</v>
      </c>
      <c r="B827" s="1">
        <f ca="1">IFERROR(__xludf.DUMMYFUNCTION("""COMPUTED_VALUE"""),5.3)</f>
        <v>5.3</v>
      </c>
    </row>
    <row r="828" spans="1:2">
      <c r="A828" s="3">
        <f ca="1">IFERROR(__xludf.DUMMYFUNCTION("""COMPUTED_VALUE"""),39554.6666666666)</f>
        <v>39554.666666666599</v>
      </c>
      <c r="B828" s="1">
        <f ca="1">IFERROR(__xludf.DUMMYFUNCTION("""COMPUTED_VALUE"""),5.49)</f>
        <v>5.49</v>
      </c>
    </row>
    <row r="829" spans="1:2">
      <c r="A829" s="3">
        <f ca="1">IFERROR(__xludf.DUMMYFUNCTION("""COMPUTED_VALUE"""),39555.6666666666)</f>
        <v>39555.666666666599</v>
      </c>
      <c r="B829" s="1">
        <f ca="1">IFERROR(__xludf.DUMMYFUNCTION("""COMPUTED_VALUE"""),5.52)</f>
        <v>5.52</v>
      </c>
    </row>
    <row r="830" spans="1:2">
      <c r="A830" s="3">
        <f ca="1">IFERROR(__xludf.DUMMYFUNCTION("""COMPUTED_VALUE"""),39556.6666666666)</f>
        <v>39556.666666666599</v>
      </c>
      <c r="B830" s="1">
        <f ca="1">IFERROR(__xludf.DUMMYFUNCTION("""COMPUTED_VALUE"""),5.75)</f>
        <v>5.75</v>
      </c>
    </row>
    <row r="831" spans="1:2">
      <c r="A831" s="3">
        <f ca="1">IFERROR(__xludf.DUMMYFUNCTION("""COMPUTED_VALUE"""),39559.6666666666)</f>
        <v>39559.666666666599</v>
      </c>
      <c r="B831" s="1">
        <f ca="1">IFERROR(__xludf.DUMMYFUNCTION("""COMPUTED_VALUE"""),6.01)</f>
        <v>6.01</v>
      </c>
    </row>
    <row r="832" spans="1:2">
      <c r="A832" s="3">
        <f ca="1">IFERROR(__xludf.DUMMYFUNCTION("""COMPUTED_VALUE"""),39560.6666666666)</f>
        <v>39560.666666666599</v>
      </c>
      <c r="B832" s="1">
        <f ca="1">IFERROR(__xludf.DUMMYFUNCTION("""COMPUTED_VALUE"""),5.72)</f>
        <v>5.72</v>
      </c>
    </row>
    <row r="833" spans="1:2">
      <c r="A833" s="3">
        <f ca="1">IFERROR(__xludf.DUMMYFUNCTION("""COMPUTED_VALUE"""),39561.6666666666)</f>
        <v>39561.666666666599</v>
      </c>
      <c r="B833" s="1">
        <f ca="1">IFERROR(__xludf.DUMMYFUNCTION("""COMPUTED_VALUE"""),5.82)</f>
        <v>5.82</v>
      </c>
    </row>
    <row r="834" spans="1:2">
      <c r="A834" s="3">
        <f ca="1">IFERROR(__xludf.DUMMYFUNCTION("""COMPUTED_VALUE"""),39562.6666666666)</f>
        <v>39562.666666666599</v>
      </c>
      <c r="B834" s="1">
        <f ca="1">IFERROR(__xludf.DUMMYFUNCTION("""COMPUTED_VALUE"""),6.03)</f>
        <v>6.03</v>
      </c>
    </row>
    <row r="835" spans="1:2">
      <c r="A835" s="3">
        <f ca="1">IFERROR(__xludf.DUMMYFUNCTION("""COMPUTED_VALUE"""),39563.6666666666)</f>
        <v>39563.666666666599</v>
      </c>
      <c r="B835" s="1">
        <f ca="1">IFERROR(__xludf.DUMMYFUNCTION("""COMPUTED_VALUE"""),6.06)</f>
        <v>6.06</v>
      </c>
    </row>
    <row r="836" spans="1:2">
      <c r="A836" s="3">
        <f ca="1">IFERROR(__xludf.DUMMYFUNCTION("""COMPUTED_VALUE"""),39566.6666666666)</f>
        <v>39566.666666666599</v>
      </c>
      <c r="B836" s="1">
        <f ca="1">IFERROR(__xludf.DUMMYFUNCTION("""COMPUTED_VALUE"""),6.15)</f>
        <v>6.15</v>
      </c>
    </row>
    <row r="837" spans="1:2">
      <c r="A837" s="3">
        <f ca="1">IFERROR(__xludf.DUMMYFUNCTION("""COMPUTED_VALUE"""),39567.6666666666)</f>
        <v>39567.666666666599</v>
      </c>
      <c r="B837" s="1">
        <f ca="1">IFERROR(__xludf.DUMMYFUNCTION("""COMPUTED_VALUE"""),6.25)</f>
        <v>6.25</v>
      </c>
    </row>
    <row r="838" spans="1:2">
      <c r="A838" s="3">
        <f ca="1">IFERROR(__xludf.DUMMYFUNCTION("""COMPUTED_VALUE"""),39568.6666666666)</f>
        <v>39568.666666666599</v>
      </c>
      <c r="B838" s="1">
        <f ca="1">IFERROR(__xludf.DUMMYFUNCTION("""COMPUTED_VALUE"""),6.21)</f>
        <v>6.21</v>
      </c>
    </row>
    <row r="839" spans="1:2">
      <c r="A839" s="3">
        <f ca="1">IFERROR(__xludf.DUMMYFUNCTION("""COMPUTED_VALUE"""),39569.6666666666)</f>
        <v>39569.666666666599</v>
      </c>
      <c r="B839" s="1">
        <f ca="1">IFERROR(__xludf.DUMMYFUNCTION("""COMPUTED_VALUE"""),6.43)</f>
        <v>6.43</v>
      </c>
    </row>
    <row r="840" spans="1:2">
      <c r="A840" s="3">
        <f ca="1">IFERROR(__xludf.DUMMYFUNCTION("""COMPUTED_VALUE"""),39570.6666666666)</f>
        <v>39570.666666666599</v>
      </c>
      <c r="B840" s="1">
        <f ca="1">IFERROR(__xludf.DUMMYFUNCTION("""COMPUTED_VALUE"""),6.46)</f>
        <v>6.46</v>
      </c>
    </row>
    <row r="841" spans="1:2">
      <c r="A841" s="3">
        <f ca="1">IFERROR(__xludf.DUMMYFUNCTION("""COMPUTED_VALUE"""),39573.6666666666)</f>
        <v>39573.666666666599</v>
      </c>
      <c r="B841" s="1">
        <f ca="1">IFERROR(__xludf.DUMMYFUNCTION("""COMPUTED_VALUE"""),6.6)</f>
        <v>6.6</v>
      </c>
    </row>
    <row r="842" spans="1:2">
      <c r="A842" s="3">
        <f ca="1">IFERROR(__xludf.DUMMYFUNCTION("""COMPUTED_VALUE"""),39574.6666666666)</f>
        <v>39574.666666666599</v>
      </c>
      <c r="B842" s="1">
        <f ca="1">IFERROR(__xludf.DUMMYFUNCTION("""COMPUTED_VALUE"""),6.67)</f>
        <v>6.67</v>
      </c>
    </row>
    <row r="843" spans="1:2">
      <c r="A843" s="3">
        <f ca="1">IFERROR(__xludf.DUMMYFUNCTION("""COMPUTED_VALUE"""),39575.6666666666)</f>
        <v>39575.666666666599</v>
      </c>
      <c r="B843" s="1">
        <f ca="1">IFERROR(__xludf.DUMMYFUNCTION("""COMPUTED_VALUE"""),6.52)</f>
        <v>6.52</v>
      </c>
    </row>
    <row r="844" spans="1:2">
      <c r="A844" s="3">
        <f ca="1">IFERROR(__xludf.DUMMYFUNCTION("""COMPUTED_VALUE"""),39576.6666666666)</f>
        <v>39576.666666666599</v>
      </c>
      <c r="B844" s="1">
        <f ca="1">IFERROR(__xludf.DUMMYFUNCTION("""COMPUTED_VALUE"""),6.61)</f>
        <v>6.61</v>
      </c>
    </row>
    <row r="845" spans="1:2">
      <c r="A845" s="3">
        <f ca="1">IFERROR(__xludf.DUMMYFUNCTION("""COMPUTED_VALUE"""),39577.6666666666)</f>
        <v>39577.666666666599</v>
      </c>
      <c r="B845" s="1">
        <f ca="1">IFERROR(__xludf.DUMMYFUNCTION("""COMPUTED_VALUE"""),6.55)</f>
        <v>6.55</v>
      </c>
    </row>
    <row r="846" spans="1:2">
      <c r="A846" s="3">
        <f ca="1">IFERROR(__xludf.DUMMYFUNCTION("""COMPUTED_VALUE"""),39580.6666666666)</f>
        <v>39580.666666666599</v>
      </c>
      <c r="B846" s="1">
        <f ca="1">IFERROR(__xludf.DUMMYFUNCTION("""COMPUTED_VALUE"""),6.72)</f>
        <v>6.72</v>
      </c>
    </row>
    <row r="847" spans="1:2">
      <c r="A847" s="3">
        <f ca="1">IFERROR(__xludf.DUMMYFUNCTION("""COMPUTED_VALUE"""),39581.6666666666)</f>
        <v>39581.666666666599</v>
      </c>
      <c r="B847" s="1">
        <f ca="1">IFERROR(__xludf.DUMMYFUNCTION("""COMPUTED_VALUE"""),6.78)</f>
        <v>6.78</v>
      </c>
    </row>
    <row r="848" spans="1:2">
      <c r="A848" s="3">
        <f ca="1">IFERROR(__xludf.DUMMYFUNCTION("""COMPUTED_VALUE"""),39582.6666666666)</f>
        <v>39582.666666666599</v>
      </c>
      <c r="B848" s="1">
        <f ca="1">IFERROR(__xludf.DUMMYFUNCTION("""COMPUTED_VALUE"""),6.65)</f>
        <v>6.65</v>
      </c>
    </row>
    <row r="849" spans="1:2">
      <c r="A849" s="3">
        <f ca="1">IFERROR(__xludf.DUMMYFUNCTION("""COMPUTED_VALUE"""),39583.6666666666)</f>
        <v>39583.666666666599</v>
      </c>
      <c r="B849" s="1">
        <f ca="1">IFERROR(__xludf.DUMMYFUNCTION("""COMPUTED_VALUE"""),6.78)</f>
        <v>6.78</v>
      </c>
    </row>
    <row r="850" spans="1:2">
      <c r="A850" s="3">
        <f ca="1">IFERROR(__xludf.DUMMYFUNCTION("""COMPUTED_VALUE"""),39584.6666666666)</f>
        <v>39584.666666666599</v>
      </c>
      <c r="B850" s="1">
        <f ca="1">IFERROR(__xludf.DUMMYFUNCTION("""COMPUTED_VALUE"""),6.7)</f>
        <v>6.7</v>
      </c>
    </row>
    <row r="851" spans="1:2">
      <c r="A851" s="3">
        <f ca="1">IFERROR(__xludf.DUMMYFUNCTION("""COMPUTED_VALUE"""),39587.6666666666)</f>
        <v>39587.666666666599</v>
      </c>
      <c r="B851" s="1">
        <f ca="1">IFERROR(__xludf.DUMMYFUNCTION("""COMPUTED_VALUE"""),6.56)</f>
        <v>6.56</v>
      </c>
    </row>
    <row r="852" spans="1:2">
      <c r="A852" s="3">
        <f ca="1">IFERROR(__xludf.DUMMYFUNCTION("""COMPUTED_VALUE"""),39588.6666666666)</f>
        <v>39588.666666666599</v>
      </c>
      <c r="B852" s="1">
        <f ca="1">IFERROR(__xludf.DUMMYFUNCTION("""COMPUTED_VALUE"""),6.64)</f>
        <v>6.64</v>
      </c>
    </row>
    <row r="853" spans="1:2">
      <c r="A853" s="3">
        <f ca="1">IFERROR(__xludf.DUMMYFUNCTION("""COMPUTED_VALUE"""),39589.6666666666)</f>
        <v>39589.666666666599</v>
      </c>
      <c r="B853" s="1">
        <f ca="1">IFERROR(__xludf.DUMMYFUNCTION("""COMPUTED_VALUE"""),6.36)</f>
        <v>6.36</v>
      </c>
    </row>
    <row r="854" spans="1:2">
      <c r="A854" s="3">
        <f ca="1">IFERROR(__xludf.DUMMYFUNCTION("""COMPUTED_VALUE"""),39590.6666666666)</f>
        <v>39590.666666666599</v>
      </c>
      <c r="B854" s="1">
        <f ca="1">IFERROR(__xludf.DUMMYFUNCTION("""COMPUTED_VALUE"""),6.32)</f>
        <v>6.32</v>
      </c>
    </row>
    <row r="855" spans="1:2">
      <c r="A855" s="3">
        <f ca="1">IFERROR(__xludf.DUMMYFUNCTION("""COMPUTED_VALUE"""),39591.6666666666)</f>
        <v>39591.666666666599</v>
      </c>
      <c r="B855" s="1">
        <f ca="1">IFERROR(__xludf.DUMMYFUNCTION("""COMPUTED_VALUE"""),6.47)</f>
        <v>6.47</v>
      </c>
    </row>
    <row r="856" spans="1:2">
      <c r="A856" s="3">
        <f ca="1">IFERROR(__xludf.DUMMYFUNCTION("""COMPUTED_VALUE"""),39595.6666666666)</f>
        <v>39595.666666666599</v>
      </c>
      <c r="B856" s="1">
        <f ca="1">IFERROR(__xludf.DUMMYFUNCTION("""COMPUTED_VALUE"""),6.66)</f>
        <v>6.66</v>
      </c>
    </row>
    <row r="857" spans="1:2">
      <c r="A857" s="3">
        <f ca="1">IFERROR(__xludf.DUMMYFUNCTION("""COMPUTED_VALUE"""),39596.6666666666)</f>
        <v>39596.666666666599</v>
      </c>
      <c r="B857" s="1">
        <f ca="1">IFERROR(__xludf.DUMMYFUNCTION("""COMPUTED_VALUE"""),6.68)</f>
        <v>6.68</v>
      </c>
    </row>
    <row r="858" spans="1:2">
      <c r="A858" s="3">
        <f ca="1">IFERROR(__xludf.DUMMYFUNCTION("""COMPUTED_VALUE"""),39597.6666666666)</f>
        <v>39597.666666666599</v>
      </c>
      <c r="B858" s="1">
        <f ca="1">IFERROR(__xludf.DUMMYFUNCTION("""COMPUTED_VALUE"""),6.67)</f>
        <v>6.67</v>
      </c>
    </row>
    <row r="859" spans="1:2">
      <c r="A859" s="3">
        <f ca="1">IFERROR(__xludf.DUMMYFUNCTION("""COMPUTED_VALUE"""),39598.6666666666)</f>
        <v>39598.666666666599</v>
      </c>
      <c r="B859" s="1">
        <f ca="1">IFERROR(__xludf.DUMMYFUNCTION("""COMPUTED_VALUE"""),6.74)</f>
        <v>6.74</v>
      </c>
    </row>
    <row r="860" spans="1:2">
      <c r="A860" s="3">
        <f ca="1">IFERROR(__xludf.DUMMYFUNCTION("""COMPUTED_VALUE"""),39601.6666666666)</f>
        <v>39601.666666666599</v>
      </c>
      <c r="B860" s="1">
        <f ca="1">IFERROR(__xludf.DUMMYFUNCTION("""COMPUTED_VALUE"""),6.65)</f>
        <v>6.65</v>
      </c>
    </row>
    <row r="861" spans="1:2">
      <c r="A861" s="3">
        <f ca="1">IFERROR(__xludf.DUMMYFUNCTION("""COMPUTED_VALUE"""),39602.6666666666)</f>
        <v>39602.666666666599</v>
      </c>
      <c r="B861" s="1">
        <f ca="1">IFERROR(__xludf.DUMMYFUNCTION("""COMPUTED_VALUE"""),6.62)</f>
        <v>6.62</v>
      </c>
    </row>
    <row r="862" spans="1:2">
      <c r="A862" s="3">
        <f ca="1">IFERROR(__xludf.DUMMYFUNCTION("""COMPUTED_VALUE"""),39603.6666666666)</f>
        <v>39603.666666666599</v>
      </c>
      <c r="B862" s="1">
        <f ca="1">IFERROR(__xludf.DUMMYFUNCTION("""COMPUTED_VALUE"""),6.61)</f>
        <v>6.61</v>
      </c>
    </row>
    <row r="863" spans="1:2">
      <c r="A863" s="3">
        <f ca="1">IFERROR(__xludf.DUMMYFUNCTION("""COMPUTED_VALUE"""),39604.6666666666)</f>
        <v>39604.666666666599</v>
      </c>
      <c r="B863" s="1">
        <f ca="1">IFERROR(__xludf.DUMMYFUNCTION("""COMPUTED_VALUE"""),6.77)</f>
        <v>6.77</v>
      </c>
    </row>
    <row r="864" spans="1:2">
      <c r="A864" s="3">
        <f ca="1">IFERROR(__xludf.DUMMYFUNCTION("""COMPUTED_VALUE"""),39605.6666666666)</f>
        <v>39605.666666666599</v>
      </c>
      <c r="B864" s="1">
        <f ca="1">IFERROR(__xludf.DUMMYFUNCTION("""COMPUTED_VALUE"""),6.63)</f>
        <v>6.63</v>
      </c>
    </row>
    <row r="865" spans="1:2">
      <c r="A865" s="3">
        <f ca="1">IFERROR(__xludf.DUMMYFUNCTION("""COMPUTED_VALUE"""),39608.6666666666)</f>
        <v>39608.666666666599</v>
      </c>
      <c r="B865" s="1">
        <f ca="1">IFERROR(__xludf.DUMMYFUNCTION("""COMPUTED_VALUE"""),6.49)</f>
        <v>6.49</v>
      </c>
    </row>
    <row r="866" spans="1:2">
      <c r="A866" s="3">
        <f ca="1">IFERROR(__xludf.DUMMYFUNCTION("""COMPUTED_VALUE"""),39609.6666666666)</f>
        <v>39609.666666666599</v>
      </c>
      <c r="B866" s="1">
        <f ca="1">IFERROR(__xludf.DUMMYFUNCTION("""COMPUTED_VALUE"""),6.63)</f>
        <v>6.63</v>
      </c>
    </row>
    <row r="867" spans="1:2">
      <c r="A867" s="3">
        <f ca="1">IFERROR(__xludf.DUMMYFUNCTION("""COMPUTED_VALUE"""),39610.6666666666)</f>
        <v>39610.666666666599</v>
      </c>
      <c r="B867" s="1">
        <f ca="1">IFERROR(__xludf.DUMMYFUNCTION("""COMPUTED_VALUE"""),6.46)</f>
        <v>6.46</v>
      </c>
    </row>
    <row r="868" spans="1:2">
      <c r="A868" s="3">
        <f ca="1">IFERROR(__xludf.DUMMYFUNCTION("""COMPUTED_VALUE"""),39611.6666666666)</f>
        <v>39611.666666666599</v>
      </c>
      <c r="B868" s="1">
        <f ca="1">IFERROR(__xludf.DUMMYFUNCTION("""COMPUTED_VALUE"""),6.19)</f>
        <v>6.19</v>
      </c>
    </row>
    <row r="869" spans="1:2">
      <c r="A869" s="3">
        <f ca="1">IFERROR(__xludf.DUMMYFUNCTION("""COMPUTED_VALUE"""),39612.6666666666)</f>
        <v>39612.666666666599</v>
      </c>
      <c r="B869" s="1">
        <f ca="1">IFERROR(__xludf.DUMMYFUNCTION("""COMPUTED_VALUE"""),6.16)</f>
        <v>6.16</v>
      </c>
    </row>
    <row r="870" spans="1:2">
      <c r="A870" s="3">
        <f ca="1">IFERROR(__xludf.DUMMYFUNCTION("""COMPUTED_VALUE"""),39615.6666666666)</f>
        <v>39615.666666666599</v>
      </c>
      <c r="B870" s="1">
        <f ca="1">IFERROR(__xludf.DUMMYFUNCTION("""COMPUTED_VALUE"""),6.32)</f>
        <v>6.32</v>
      </c>
    </row>
    <row r="871" spans="1:2">
      <c r="A871" s="3">
        <f ca="1">IFERROR(__xludf.DUMMYFUNCTION("""COMPUTED_VALUE"""),39616.6666666666)</f>
        <v>39616.666666666599</v>
      </c>
      <c r="B871" s="1">
        <f ca="1">IFERROR(__xludf.DUMMYFUNCTION("""COMPUTED_VALUE"""),6.48)</f>
        <v>6.48</v>
      </c>
    </row>
    <row r="872" spans="1:2">
      <c r="A872" s="3">
        <f ca="1">IFERROR(__xludf.DUMMYFUNCTION("""COMPUTED_VALUE"""),39617.6666666666)</f>
        <v>39617.666666666599</v>
      </c>
      <c r="B872" s="1">
        <f ca="1">IFERROR(__xludf.DUMMYFUNCTION("""COMPUTED_VALUE"""),6.38)</f>
        <v>6.38</v>
      </c>
    </row>
    <row r="873" spans="1:2">
      <c r="A873" s="3">
        <f ca="1">IFERROR(__xludf.DUMMYFUNCTION("""COMPUTED_VALUE"""),39618.6666666666)</f>
        <v>39618.666666666599</v>
      </c>
      <c r="B873" s="1">
        <f ca="1">IFERROR(__xludf.DUMMYFUNCTION("""COMPUTED_VALUE"""),6.46)</f>
        <v>6.46</v>
      </c>
    </row>
    <row r="874" spans="1:2">
      <c r="A874" s="3">
        <f ca="1">IFERROR(__xludf.DUMMYFUNCTION("""COMPUTED_VALUE"""),39619.6666666666)</f>
        <v>39619.666666666599</v>
      </c>
      <c r="B874" s="1">
        <f ca="1">IFERROR(__xludf.DUMMYFUNCTION("""COMPUTED_VALUE"""),6.26)</f>
        <v>6.26</v>
      </c>
    </row>
    <row r="875" spans="1:2">
      <c r="A875" s="3">
        <f ca="1">IFERROR(__xludf.DUMMYFUNCTION("""COMPUTED_VALUE"""),39622.6666666666)</f>
        <v>39622.666666666599</v>
      </c>
      <c r="B875" s="1">
        <f ca="1">IFERROR(__xludf.DUMMYFUNCTION("""COMPUTED_VALUE"""),6.18)</f>
        <v>6.18</v>
      </c>
    </row>
    <row r="876" spans="1:2">
      <c r="A876" s="3">
        <f ca="1">IFERROR(__xludf.DUMMYFUNCTION("""COMPUTED_VALUE"""),39623.6666666666)</f>
        <v>39623.666666666599</v>
      </c>
      <c r="B876" s="1">
        <f ca="1">IFERROR(__xludf.DUMMYFUNCTION("""COMPUTED_VALUE"""),6.19)</f>
        <v>6.19</v>
      </c>
    </row>
    <row r="877" spans="1:2">
      <c r="A877" s="3">
        <f ca="1">IFERROR(__xludf.DUMMYFUNCTION("""COMPUTED_VALUE"""),39624.6666666666)</f>
        <v>39624.666666666599</v>
      </c>
      <c r="B877" s="1">
        <f ca="1">IFERROR(__xludf.DUMMYFUNCTION("""COMPUTED_VALUE"""),6.34)</f>
        <v>6.34</v>
      </c>
    </row>
    <row r="878" spans="1:2">
      <c r="A878" s="3">
        <f ca="1">IFERROR(__xludf.DUMMYFUNCTION("""COMPUTED_VALUE"""),39625.6666666666)</f>
        <v>39625.666666666599</v>
      </c>
      <c r="B878" s="1">
        <f ca="1">IFERROR(__xludf.DUMMYFUNCTION("""COMPUTED_VALUE"""),6.01)</f>
        <v>6.01</v>
      </c>
    </row>
    <row r="879" spans="1:2">
      <c r="A879" s="3">
        <f ca="1">IFERROR(__xludf.DUMMYFUNCTION("""COMPUTED_VALUE"""),39626.6666666666)</f>
        <v>39626.666666666599</v>
      </c>
      <c r="B879" s="1">
        <f ca="1">IFERROR(__xludf.DUMMYFUNCTION("""COMPUTED_VALUE"""),6.07)</f>
        <v>6.07</v>
      </c>
    </row>
    <row r="880" spans="1:2">
      <c r="A880" s="3">
        <f ca="1">IFERROR(__xludf.DUMMYFUNCTION("""COMPUTED_VALUE"""),39629.6666666666)</f>
        <v>39629.666666666599</v>
      </c>
      <c r="B880" s="1">
        <f ca="1">IFERROR(__xludf.DUMMYFUNCTION("""COMPUTED_VALUE"""),5.98)</f>
        <v>5.98</v>
      </c>
    </row>
    <row r="881" spans="1:2">
      <c r="A881" s="3">
        <f ca="1">IFERROR(__xludf.DUMMYFUNCTION("""COMPUTED_VALUE"""),39630.6666666666)</f>
        <v>39630.666666666599</v>
      </c>
      <c r="B881" s="1">
        <f ca="1">IFERROR(__xludf.DUMMYFUNCTION("""COMPUTED_VALUE"""),6.24)</f>
        <v>6.24</v>
      </c>
    </row>
    <row r="882" spans="1:2">
      <c r="A882" s="3">
        <f ca="1">IFERROR(__xludf.DUMMYFUNCTION("""COMPUTED_VALUE"""),39631.6666666666)</f>
        <v>39631.666666666599</v>
      </c>
      <c r="B882" s="1">
        <f ca="1">IFERROR(__xludf.DUMMYFUNCTION("""COMPUTED_VALUE"""),6.01)</f>
        <v>6.01</v>
      </c>
    </row>
    <row r="883" spans="1:2">
      <c r="A883" s="3">
        <f ca="1">IFERROR(__xludf.DUMMYFUNCTION("""COMPUTED_VALUE"""),39632.6666666666)</f>
        <v>39632.666666666599</v>
      </c>
      <c r="B883" s="1">
        <f ca="1">IFERROR(__xludf.DUMMYFUNCTION("""COMPUTED_VALUE"""),6.08)</f>
        <v>6.08</v>
      </c>
    </row>
    <row r="884" spans="1:2">
      <c r="A884" s="3">
        <f ca="1">IFERROR(__xludf.DUMMYFUNCTION("""COMPUTED_VALUE"""),39636.6666666666)</f>
        <v>39636.666666666599</v>
      </c>
      <c r="B884" s="1">
        <f ca="1">IFERROR(__xludf.DUMMYFUNCTION("""COMPUTED_VALUE"""),6.26)</f>
        <v>6.26</v>
      </c>
    </row>
    <row r="885" spans="1:2">
      <c r="A885" s="3">
        <f ca="1">IFERROR(__xludf.DUMMYFUNCTION("""COMPUTED_VALUE"""),39637.6666666666)</f>
        <v>39637.666666666599</v>
      </c>
      <c r="B885" s="1">
        <f ca="1">IFERROR(__xludf.DUMMYFUNCTION("""COMPUTED_VALUE"""),6.41)</f>
        <v>6.41</v>
      </c>
    </row>
    <row r="886" spans="1:2">
      <c r="A886" s="3">
        <f ca="1">IFERROR(__xludf.DUMMYFUNCTION("""COMPUTED_VALUE"""),39638.6666666666)</f>
        <v>39638.666666666599</v>
      </c>
      <c r="B886" s="1">
        <f ca="1">IFERROR(__xludf.DUMMYFUNCTION("""COMPUTED_VALUE"""),6.22)</f>
        <v>6.22</v>
      </c>
    </row>
    <row r="887" spans="1:2">
      <c r="A887" s="3">
        <f ca="1">IFERROR(__xludf.DUMMYFUNCTION("""COMPUTED_VALUE"""),39639.6666666666)</f>
        <v>39639.666666666599</v>
      </c>
      <c r="B887" s="1">
        <f ca="1">IFERROR(__xludf.DUMMYFUNCTION("""COMPUTED_VALUE"""),6.31)</f>
        <v>6.31</v>
      </c>
    </row>
    <row r="888" spans="1:2">
      <c r="A888" s="3">
        <f ca="1">IFERROR(__xludf.DUMMYFUNCTION("""COMPUTED_VALUE"""),39640.6666666666)</f>
        <v>39640.666666666599</v>
      </c>
      <c r="B888" s="1">
        <f ca="1">IFERROR(__xludf.DUMMYFUNCTION("""COMPUTED_VALUE"""),6.16)</f>
        <v>6.16</v>
      </c>
    </row>
    <row r="889" spans="1:2">
      <c r="A889" s="3">
        <f ca="1">IFERROR(__xludf.DUMMYFUNCTION("""COMPUTED_VALUE"""),39643.6666666666)</f>
        <v>39643.666666666599</v>
      </c>
      <c r="B889" s="1">
        <f ca="1">IFERROR(__xludf.DUMMYFUNCTION("""COMPUTED_VALUE"""),6.21)</f>
        <v>6.21</v>
      </c>
    </row>
    <row r="890" spans="1:2">
      <c r="A890" s="3">
        <f ca="1">IFERROR(__xludf.DUMMYFUNCTION("""COMPUTED_VALUE"""),39644.6666666666)</f>
        <v>39644.666666666599</v>
      </c>
      <c r="B890" s="1">
        <f ca="1">IFERROR(__xludf.DUMMYFUNCTION("""COMPUTED_VALUE"""),6.06)</f>
        <v>6.06</v>
      </c>
    </row>
    <row r="891" spans="1:2">
      <c r="A891" s="3">
        <f ca="1">IFERROR(__xludf.DUMMYFUNCTION("""COMPUTED_VALUE"""),39645.6666666666)</f>
        <v>39645.666666666599</v>
      </c>
      <c r="B891" s="1">
        <f ca="1">IFERROR(__xludf.DUMMYFUNCTION("""COMPUTED_VALUE"""),6.17)</f>
        <v>6.17</v>
      </c>
    </row>
    <row r="892" spans="1:2">
      <c r="A892" s="3">
        <f ca="1">IFERROR(__xludf.DUMMYFUNCTION("""COMPUTED_VALUE"""),39646.6666666666)</f>
        <v>39646.666666666599</v>
      </c>
      <c r="B892" s="1">
        <f ca="1">IFERROR(__xludf.DUMMYFUNCTION("""COMPUTED_VALUE"""),6.14)</f>
        <v>6.14</v>
      </c>
    </row>
    <row r="893" spans="1:2">
      <c r="A893" s="3">
        <f ca="1">IFERROR(__xludf.DUMMYFUNCTION("""COMPUTED_VALUE"""),39647.6666666666)</f>
        <v>39647.666666666599</v>
      </c>
      <c r="B893" s="1">
        <f ca="1">IFERROR(__xludf.DUMMYFUNCTION("""COMPUTED_VALUE"""),5.9)</f>
        <v>5.9</v>
      </c>
    </row>
    <row r="894" spans="1:2">
      <c r="A894" s="3">
        <f ca="1">IFERROR(__xludf.DUMMYFUNCTION("""COMPUTED_VALUE"""),39650.6666666666)</f>
        <v>39650.666666666599</v>
      </c>
      <c r="B894" s="1">
        <f ca="1">IFERROR(__xludf.DUMMYFUNCTION("""COMPUTED_VALUE"""),5.94)</f>
        <v>5.94</v>
      </c>
    </row>
    <row r="895" spans="1:2">
      <c r="A895" s="3">
        <f ca="1">IFERROR(__xludf.DUMMYFUNCTION("""COMPUTED_VALUE"""),39651.6666666666)</f>
        <v>39651.666666666599</v>
      </c>
      <c r="B895" s="1">
        <f ca="1">IFERROR(__xludf.DUMMYFUNCTION("""COMPUTED_VALUE"""),5.79)</f>
        <v>5.79</v>
      </c>
    </row>
    <row r="896" spans="1:2">
      <c r="A896" s="3">
        <f ca="1">IFERROR(__xludf.DUMMYFUNCTION("""COMPUTED_VALUE"""),39652.6666666666)</f>
        <v>39652.666666666599</v>
      </c>
      <c r="B896" s="1">
        <f ca="1">IFERROR(__xludf.DUMMYFUNCTION("""COMPUTED_VALUE"""),5.94)</f>
        <v>5.94</v>
      </c>
    </row>
    <row r="897" spans="1:2">
      <c r="A897" s="3">
        <f ca="1">IFERROR(__xludf.DUMMYFUNCTION("""COMPUTED_VALUE"""),39653.6666666666)</f>
        <v>39653.666666666599</v>
      </c>
      <c r="B897" s="1">
        <f ca="1">IFERROR(__xludf.DUMMYFUNCTION("""COMPUTED_VALUE"""),5.68)</f>
        <v>5.68</v>
      </c>
    </row>
    <row r="898" spans="1:2">
      <c r="A898" s="3">
        <f ca="1">IFERROR(__xludf.DUMMYFUNCTION("""COMPUTED_VALUE"""),39654.6666666666)</f>
        <v>39654.666666666599</v>
      </c>
      <c r="B898" s="1">
        <f ca="1">IFERROR(__xludf.DUMMYFUNCTION("""COMPUTED_VALUE"""),5.79)</f>
        <v>5.79</v>
      </c>
    </row>
    <row r="899" spans="1:2">
      <c r="A899" s="3">
        <f ca="1">IFERROR(__xludf.DUMMYFUNCTION("""COMPUTED_VALUE"""),39657.6666666666)</f>
        <v>39657.666666666599</v>
      </c>
      <c r="B899" s="1">
        <f ca="1">IFERROR(__xludf.DUMMYFUNCTION("""COMPUTED_VALUE"""),5.51)</f>
        <v>5.51</v>
      </c>
    </row>
    <row r="900" spans="1:2">
      <c r="A900" s="3">
        <f ca="1">IFERROR(__xludf.DUMMYFUNCTION("""COMPUTED_VALUE"""),39658.6666666666)</f>
        <v>39658.666666666599</v>
      </c>
      <c r="B900" s="1">
        <f ca="1">IFERROR(__xludf.DUMMYFUNCTION("""COMPUTED_VALUE"""),5.61)</f>
        <v>5.61</v>
      </c>
    </row>
    <row r="901" spans="1:2">
      <c r="A901" s="3">
        <f ca="1">IFERROR(__xludf.DUMMYFUNCTION("""COMPUTED_VALUE"""),39659.6666666666)</f>
        <v>39659.666666666599</v>
      </c>
      <c r="B901" s="1">
        <f ca="1">IFERROR(__xludf.DUMMYFUNCTION("""COMPUTED_VALUE"""),5.71)</f>
        <v>5.71</v>
      </c>
    </row>
    <row r="902" spans="1:2">
      <c r="A902" s="3">
        <f ca="1">IFERROR(__xludf.DUMMYFUNCTION("""COMPUTED_VALUE"""),39660.6666666666)</f>
        <v>39660.666666666599</v>
      </c>
      <c r="B902" s="1">
        <f ca="1">IFERROR(__xludf.DUMMYFUNCTION("""COMPUTED_VALUE"""),5.68)</f>
        <v>5.68</v>
      </c>
    </row>
    <row r="903" spans="1:2">
      <c r="A903" s="3">
        <f ca="1">IFERROR(__xludf.DUMMYFUNCTION("""COMPUTED_VALUE"""),39661.6666666666)</f>
        <v>39661.666666666599</v>
      </c>
      <c r="B903" s="1">
        <f ca="1">IFERROR(__xludf.DUMMYFUNCTION("""COMPUTED_VALUE"""),5.6)</f>
        <v>5.6</v>
      </c>
    </row>
    <row r="904" spans="1:2">
      <c r="A904" s="3">
        <f ca="1">IFERROR(__xludf.DUMMYFUNCTION("""COMPUTED_VALUE"""),39664.6666666666)</f>
        <v>39664.666666666599</v>
      </c>
      <c r="B904" s="1">
        <f ca="1">IFERROR(__xludf.DUMMYFUNCTION("""COMPUTED_VALUE"""),5.47)</f>
        <v>5.47</v>
      </c>
    </row>
    <row r="905" spans="1:2">
      <c r="A905" s="3">
        <f ca="1">IFERROR(__xludf.DUMMYFUNCTION("""COMPUTED_VALUE"""),39665.6666666666)</f>
        <v>39665.666666666599</v>
      </c>
      <c r="B905" s="1">
        <f ca="1">IFERROR(__xludf.DUMMYFUNCTION("""COMPUTED_VALUE"""),5.74)</f>
        <v>5.74</v>
      </c>
    </row>
    <row r="906" spans="1:2">
      <c r="A906" s="3">
        <f ca="1">IFERROR(__xludf.DUMMYFUNCTION("""COMPUTED_VALUE"""),39666.6666666666)</f>
        <v>39666.666666666599</v>
      </c>
      <c r="B906" s="1">
        <f ca="1">IFERROR(__xludf.DUMMYFUNCTION("""COMPUTED_VALUE"""),5.86)</f>
        <v>5.86</v>
      </c>
    </row>
    <row r="907" spans="1:2">
      <c r="A907" s="3">
        <f ca="1">IFERROR(__xludf.DUMMYFUNCTION("""COMPUTED_VALUE"""),39667.6666666666)</f>
        <v>39667.666666666599</v>
      </c>
      <c r="B907" s="1">
        <f ca="1">IFERROR(__xludf.DUMMYFUNCTION("""COMPUTED_VALUE"""),5.84)</f>
        <v>5.84</v>
      </c>
    </row>
    <row r="908" spans="1:2">
      <c r="A908" s="3">
        <f ca="1">IFERROR(__xludf.DUMMYFUNCTION("""COMPUTED_VALUE"""),39668.6666666666)</f>
        <v>39668.666666666599</v>
      </c>
      <c r="B908" s="1">
        <f ca="1">IFERROR(__xludf.DUMMYFUNCTION("""COMPUTED_VALUE"""),6.06)</f>
        <v>6.06</v>
      </c>
    </row>
    <row r="909" spans="1:2">
      <c r="A909" s="3">
        <f ca="1">IFERROR(__xludf.DUMMYFUNCTION("""COMPUTED_VALUE"""),39671.6666666666)</f>
        <v>39671.666666666599</v>
      </c>
      <c r="B909" s="1">
        <f ca="1">IFERROR(__xludf.DUMMYFUNCTION("""COMPUTED_VALUE"""),6.2)</f>
        <v>6.2</v>
      </c>
    </row>
    <row r="910" spans="1:2">
      <c r="A910" s="3">
        <f ca="1">IFERROR(__xludf.DUMMYFUNCTION("""COMPUTED_VALUE"""),39672.6666666666)</f>
        <v>39672.666666666599</v>
      </c>
      <c r="B910" s="1">
        <f ca="1">IFERROR(__xludf.DUMMYFUNCTION("""COMPUTED_VALUE"""),6.31)</f>
        <v>6.31</v>
      </c>
    </row>
    <row r="911" spans="1:2">
      <c r="A911" s="3">
        <f ca="1">IFERROR(__xludf.DUMMYFUNCTION("""COMPUTED_VALUE"""),39673.6666666666)</f>
        <v>39673.666666666599</v>
      </c>
      <c r="B911" s="1">
        <f ca="1">IFERROR(__xludf.DUMMYFUNCTION("""COMPUTED_VALUE"""),6.4)</f>
        <v>6.4</v>
      </c>
    </row>
    <row r="912" spans="1:2">
      <c r="A912" s="3">
        <f ca="1">IFERROR(__xludf.DUMMYFUNCTION("""COMPUTED_VALUE"""),39674.6666666666)</f>
        <v>39674.666666666599</v>
      </c>
      <c r="B912" s="1">
        <f ca="1">IFERROR(__xludf.DUMMYFUNCTION("""COMPUTED_VALUE"""),6.4)</f>
        <v>6.4</v>
      </c>
    </row>
    <row r="913" spans="1:2">
      <c r="A913" s="3">
        <f ca="1">IFERROR(__xludf.DUMMYFUNCTION("""COMPUTED_VALUE"""),39675.6666666666)</f>
        <v>39675.666666666599</v>
      </c>
      <c r="B913" s="1">
        <f ca="1">IFERROR(__xludf.DUMMYFUNCTION("""COMPUTED_VALUE"""),6.28)</f>
        <v>6.28</v>
      </c>
    </row>
    <row r="914" spans="1:2">
      <c r="A914" s="3">
        <f ca="1">IFERROR(__xludf.DUMMYFUNCTION("""COMPUTED_VALUE"""),39678.6666666666)</f>
        <v>39678.666666666599</v>
      </c>
      <c r="B914" s="1">
        <f ca="1">IFERROR(__xludf.DUMMYFUNCTION("""COMPUTED_VALUE"""),6.26)</f>
        <v>6.26</v>
      </c>
    </row>
    <row r="915" spans="1:2">
      <c r="A915" s="3">
        <f ca="1">IFERROR(__xludf.DUMMYFUNCTION("""COMPUTED_VALUE"""),39679.6666666666)</f>
        <v>39679.666666666599</v>
      </c>
      <c r="B915" s="1">
        <f ca="1">IFERROR(__xludf.DUMMYFUNCTION("""COMPUTED_VALUE"""),6.2)</f>
        <v>6.2</v>
      </c>
    </row>
    <row r="916" spans="1:2">
      <c r="A916" s="3">
        <f ca="1">IFERROR(__xludf.DUMMYFUNCTION("""COMPUTED_VALUE"""),39680.6666666666)</f>
        <v>39680.666666666599</v>
      </c>
      <c r="B916" s="1">
        <f ca="1">IFERROR(__xludf.DUMMYFUNCTION("""COMPUTED_VALUE"""),6.28)</f>
        <v>6.28</v>
      </c>
    </row>
    <row r="917" spans="1:2">
      <c r="A917" s="3">
        <f ca="1">IFERROR(__xludf.DUMMYFUNCTION("""COMPUTED_VALUE"""),39681.6666666666)</f>
        <v>39681.666666666599</v>
      </c>
      <c r="B917" s="1">
        <f ca="1">IFERROR(__xludf.DUMMYFUNCTION("""COMPUTED_VALUE"""),6.22)</f>
        <v>6.22</v>
      </c>
    </row>
    <row r="918" spans="1:2">
      <c r="A918" s="3">
        <f ca="1">IFERROR(__xludf.DUMMYFUNCTION("""COMPUTED_VALUE"""),39682.6666666666)</f>
        <v>39682.666666666599</v>
      </c>
      <c r="B918" s="1">
        <f ca="1">IFERROR(__xludf.DUMMYFUNCTION("""COMPUTED_VALUE"""),6.31)</f>
        <v>6.31</v>
      </c>
    </row>
    <row r="919" spans="1:2">
      <c r="A919" s="3">
        <f ca="1">IFERROR(__xludf.DUMMYFUNCTION("""COMPUTED_VALUE"""),39685.6666666666)</f>
        <v>39685.666666666599</v>
      </c>
      <c r="B919" s="1">
        <f ca="1">IFERROR(__xludf.DUMMYFUNCTION("""COMPUTED_VALUE"""),6.16)</f>
        <v>6.16</v>
      </c>
    </row>
    <row r="920" spans="1:2">
      <c r="A920" s="3">
        <f ca="1">IFERROR(__xludf.DUMMYFUNCTION("""COMPUTED_VALUE"""),39686.6666666666)</f>
        <v>39686.666666666599</v>
      </c>
      <c r="B920" s="1">
        <f ca="1">IFERROR(__xludf.DUMMYFUNCTION("""COMPUTED_VALUE"""),6.2)</f>
        <v>6.2</v>
      </c>
    </row>
    <row r="921" spans="1:2">
      <c r="A921" s="3">
        <f ca="1">IFERROR(__xludf.DUMMYFUNCTION("""COMPUTED_VALUE"""),39687.6666666666)</f>
        <v>39687.666666666599</v>
      </c>
      <c r="B921" s="1">
        <f ca="1">IFERROR(__xludf.DUMMYFUNCTION("""COMPUTED_VALUE"""),6.24)</f>
        <v>6.24</v>
      </c>
    </row>
    <row r="922" spans="1:2">
      <c r="A922" s="3">
        <f ca="1">IFERROR(__xludf.DUMMYFUNCTION("""COMPUTED_VALUE"""),39688.6666666666)</f>
        <v>39688.666666666599</v>
      </c>
      <c r="B922" s="1">
        <f ca="1">IFERROR(__xludf.DUMMYFUNCTION("""COMPUTED_VALUE"""),6.21)</f>
        <v>6.21</v>
      </c>
    </row>
    <row r="923" spans="1:2">
      <c r="A923" s="3">
        <f ca="1">IFERROR(__xludf.DUMMYFUNCTION("""COMPUTED_VALUE"""),39689.6666666666)</f>
        <v>39689.666666666599</v>
      </c>
      <c r="B923" s="1">
        <f ca="1">IFERROR(__xludf.DUMMYFUNCTION("""COMPUTED_VALUE"""),6.05)</f>
        <v>6.05</v>
      </c>
    </row>
    <row r="924" spans="1:2">
      <c r="A924" s="3">
        <f ca="1">IFERROR(__xludf.DUMMYFUNCTION("""COMPUTED_VALUE"""),39693.6666666666)</f>
        <v>39693.666666666599</v>
      </c>
      <c r="B924" s="1">
        <f ca="1">IFERROR(__xludf.DUMMYFUNCTION("""COMPUTED_VALUE"""),5.94)</f>
        <v>5.94</v>
      </c>
    </row>
    <row r="925" spans="1:2">
      <c r="A925" s="3">
        <f ca="1">IFERROR(__xludf.DUMMYFUNCTION("""COMPUTED_VALUE"""),39694.6666666666)</f>
        <v>39694.666666666599</v>
      </c>
      <c r="B925" s="1">
        <f ca="1">IFERROR(__xludf.DUMMYFUNCTION("""COMPUTED_VALUE"""),5.96)</f>
        <v>5.96</v>
      </c>
    </row>
    <row r="926" spans="1:2">
      <c r="A926" s="3">
        <f ca="1">IFERROR(__xludf.DUMMYFUNCTION("""COMPUTED_VALUE"""),39695.6666666666)</f>
        <v>39695.666666666599</v>
      </c>
      <c r="B926" s="1">
        <f ca="1">IFERROR(__xludf.DUMMYFUNCTION("""COMPUTED_VALUE"""),5.76)</f>
        <v>5.76</v>
      </c>
    </row>
    <row r="927" spans="1:2">
      <c r="A927" s="3">
        <f ca="1">IFERROR(__xludf.DUMMYFUNCTION("""COMPUTED_VALUE"""),39696.6666666666)</f>
        <v>39696.666666666599</v>
      </c>
      <c r="B927" s="1">
        <f ca="1">IFERROR(__xludf.DUMMYFUNCTION("""COMPUTED_VALUE"""),5.72)</f>
        <v>5.72</v>
      </c>
    </row>
    <row r="928" spans="1:2">
      <c r="A928" s="3">
        <f ca="1">IFERROR(__xludf.DUMMYFUNCTION("""COMPUTED_VALUE"""),39699.6666666666)</f>
        <v>39699.666666666599</v>
      </c>
      <c r="B928" s="1">
        <f ca="1">IFERROR(__xludf.DUMMYFUNCTION("""COMPUTED_VALUE"""),5.64)</f>
        <v>5.64</v>
      </c>
    </row>
    <row r="929" spans="1:2">
      <c r="A929" s="3">
        <f ca="1">IFERROR(__xludf.DUMMYFUNCTION("""COMPUTED_VALUE"""),39700.6666666666)</f>
        <v>39700.666666666599</v>
      </c>
      <c r="B929" s="1">
        <f ca="1">IFERROR(__xludf.DUMMYFUNCTION("""COMPUTED_VALUE"""),5.42)</f>
        <v>5.42</v>
      </c>
    </row>
    <row r="930" spans="1:2">
      <c r="A930" s="3">
        <f ca="1">IFERROR(__xludf.DUMMYFUNCTION("""COMPUTED_VALUE"""),39701.6666666666)</f>
        <v>39701.666666666599</v>
      </c>
      <c r="B930" s="1">
        <f ca="1">IFERROR(__xludf.DUMMYFUNCTION("""COMPUTED_VALUE"""),5.41)</f>
        <v>5.41</v>
      </c>
    </row>
    <row r="931" spans="1:2">
      <c r="A931" s="3">
        <f ca="1">IFERROR(__xludf.DUMMYFUNCTION("""COMPUTED_VALUE"""),39702.6666666666)</f>
        <v>39702.666666666599</v>
      </c>
      <c r="B931" s="1">
        <f ca="1">IFERROR(__xludf.DUMMYFUNCTION("""COMPUTED_VALUE"""),5.45)</f>
        <v>5.45</v>
      </c>
    </row>
    <row r="932" spans="1:2">
      <c r="A932" s="3">
        <f ca="1">IFERROR(__xludf.DUMMYFUNCTION("""COMPUTED_VALUE"""),39703.6666666666)</f>
        <v>39703.666666666599</v>
      </c>
      <c r="B932" s="1">
        <f ca="1">IFERROR(__xludf.DUMMYFUNCTION("""COMPUTED_VALUE"""),5.32)</f>
        <v>5.32</v>
      </c>
    </row>
    <row r="933" spans="1:2">
      <c r="A933" s="3">
        <f ca="1">IFERROR(__xludf.DUMMYFUNCTION("""COMPUTED_VALUE"""),39706.6666666666)</f>
        <v>39706.666666666599</v>
      </c>
      <c r="B933" s="1">
        <f ca="1">IFERROR(__xludf.DUMMYFUNCTION("""COMPUTED_VALUE"""),5.01)</f>
        <v>5.01</v>
      </c>
    </row>
    <row r="934" spans="1:2">
      <c r="A934" s="3">
        <f ca="1">IFERROR(__xludf.DUMMYFUNCTION("""COMPUTED_VALUE"""),39707.6666666666)</f>
        <v>39707.666666666599</v>
      </c>
      <c r="B934" s="1">
        <f ca="1">IFERROR(__xludf.DUMMYFUNCTION("""COMPUTED_VALUE"""),5)</f>
        <v>5</v>
      </c>
    </row>
    <row r="935" spans="1:2">
      <c r="A935" s="3">
        <f ca="1">IFERROR(__xludf.DUMMYFUNCTION("""COMPUTED_VALUE"""),39708.6666666666)</f>
        <v>39708.666666666599</v>
      </c>
      <c r="B935" s="1">
        <f ca="1">IFERROR(__xludf.DUMMYFUNCTION("""COMPUTED_VALUE"""),4.57)</f>
        <v>4.57</v>
      </c>
    </row>
    <row r="936" spans="1:2">
      <c r="A936" s="3">
        <f ca="1">IFERROR(__xludf.DUMMYFUNCTION("""COMPUTED_VALUE"""),39709.6666666666)</f>
        <v>39709.666666666599</v>
      </c>
      <c r="B936" s="1">
        <f ca="1">IFERROR(__xludf.DUMMYFUNCTION("""COMPUTED_VALUE"""),4.79)</f>
        <v>4.79</v>
      </c>
    </row>
    <row r="937" spans="1:2">
      <c r="A937" s="3">
        <f ca="1">IFERROR(__xludf.DUMMYFUNCTION("""COMPUTED_VALUE"""),39710.6666666666)</f>
        <v>39710.666666666599</v>
      </c>
      <c r="B937" s="1">
        <f ca="1">IFERROR(__xludf.DUMMYFUNCTION("""COMPUTED_VALUE"""),5.03)</f>
        <v>5.03</v>
      </c>
    </row>
    <row r="938" spans="1:2">
      <c r="A938" s="3">
        <f ca="1">IFERROR(__xludf.DUMMYFUNCTION("""COMPUTED_VALUE"""),39713.6666666666)</f>
        <v>39713.666666666599</v>
      </c>
      <c r="B938" s="1">
        <f ca="1">IFERROR(__xludf.DUMMYFUNCTION("""COMPUTED_VALUE"""),4.68)</f>
        <v>4.68</v>
      </c>
    </row>
    <row r="939" spans="1:2">
      <c r="A939" s="3">
        <f ca="1">IFERROR(__xludf.DUMMYFUNCTION("""COMPUTED_VALUE"""),39714.6666666666)</f>
        <v>39714.666666666599</v>
      </c>
      <c r="B939" s="1">
        <f ca="1">IFERROR(__xludf.DUMMYFUNCTION("""COMPUTED_VALUE"""),4.53)</f>
        <v>4.53</v>
      </c>
    </row>
    <row r="940" spans="1:2">
      <c r="A940" s="3">
        <f ca="1">IFERROR(__xludf.DUMMYFUNCTION("""COMPUTED_VALUE"""),39715.6666666666)</f>
        <v>39715.666666666599</v>
      </c>
      <c r="B940" s="1">
        <f ca="1">IFERROR(__xludf.DUMMYFUNCTION("""COMPUTED_VALUE"""),4.6)</f>
        <v>4.5999999999999996</v>
      </c>
    </row>
    <row r="941" spans="1:2">
      <c r="A941" s="3">
        <f ca="1">IFERROR(__xludf.DUMMYFUNCTION("""COMPUTED_VALUE"""),39716.6666666666)</f>
        <v>39716.666666666599</v>
      </c>
      <c r="B941" s="1">
        <f ca="1">IFERROR(__xludf.DUMMYFUNCTION("""COMPUTED_VALUE"""),4.71)</f>
        <v>4.71</v>
      </c>
    </row>
    <row r="942" spans="1:2">
      <c r="A942" s="3">
        <f ca="1">IFERROR(__xludf.DUMMYFUNCTION("""COMPUTED_VALUE"""),39717.6666666666)</f>
        <v>39717.666666666599</v>
      </c>
      <c r="B942" s="1">
        <f ca="1">IFERROR(__xludf.DUMMYFUNCTION("""COMPUTED_VALUE"""),4.58)</f>
        <v>4.58</v>
      </c>
    </row>
    <row r="943" spans="1:2">
      <c r="A943" s="3">
        <f ca="1">IFERROR(__xludf.DUMMYFUNCTION("""COMPUTED_VALUE"""),39720.6666666666)</f>
        <v>39720.666666666599</v>
      </c>
      <c r="B943" s="1">
        <f ca="1">IFERROR(__xludf.DUMMYFUNCTION("""COMPUTED_VALUE"""),3.76)</f>
        <v>3.76</v>
      </c>
    </row>
    <row r="944" spans="1:2">
      <c r="A944" s="3">
        <f ca="1">IFERROR(__xludf.DUMMYFUNCTION("""COMPUTED_VALUE"""),39721.6666666666)</f>
        <v>39721.666666666599</v>
      </c>
      <c r="B944" s="1">
        <f ca="1">IFERROR(__xludf.DUMMYFUNCTION("""COMPUTED_VALUE"""),4.06)</f>
        <v>4.0599999999999996</v>
      </c>
    </row>
    <row r="945" spans="1:2">
      <c r="A945" s="3">
        <f ca="1">IFERROR(__xludf.DUMMYFUNCTION("""COMPUTED_VALUE"""),39722.6666666666)</f>
        <v>39722.666666666599</v>
      </c>
      <c r="B945" s="1">
        <f ca="1">IFERROR(__xludf.DUMMYFUNCTION("""COMPUTED_VALUE"""),3.9)</f>
        <v>3.9</v>
      </c>
    </row>
    <row r="946" spans="1:2">
      <c r="A946" s="3">
        <f ca="1">IFERROR(__xludf.DUMMYFUNCTION("""COMPUTED_VALUE"""),39723.6666666666)</f>
        <v>39723.666666666599</v>
      </c>
      <c r="B946" s="1">
        <f ca="1">IFERROR(__xludf.DUMMYFUNCTION("""COMPUTED_VALUE"""),3.58)</f>
        <v>3.58</v>
      </c>
    </row>
    <row r="947" spans="1:2">
      <c r="A947" s="3">
        <f ca="1">IFERROR(__xludf.DUMMYFUNCTION("""COMPUTED_VALUE"""),39724.6666666666)</f>
        <v>39724.666666666599</v>
      </c>
      <c r="B947" s="1">
        <f ca="1">IFERROR(__xludf.DUMMYFUNCTION("""COMPUTED_VALUE"""),3.47)</f>
        <v>3.47</v>
      </c>
    </row>
    <row r="948" spans="1:2">
      <c r="A948" s="3">
        <f ca="1">IFERROR(__xludf.DUMMYFUNCTION("""COMPUTED_VALUE"""),39727.6666666666)</f>
        <v>39727.666666666599</v>
      </c>
      <c r="B948" s="1">
        <f ca="1">IFERROR(__xludf.DUMMYFUNCTION("""COMPUTED_VALUE"""),3.51)</f>
        <v>3.51</v>
      </c>
    </row>
    <row r="949" spans="1:2">
      <c r="A949" s="3">
        <f ca="1">IFERROR(__xludf.DUMMYFUNCTION("""COMPUTED_VALUE"""),39728.6666666666)</f>
        <v>39728.666666666599</v>
      </c>
      <c r="B949" s="1">
        <f ca="1">IFERROR(__xludf.DUMMYFUNCTION("""COMPUTED_VALUE"""),3.18)</f>
        <v>3.18</v>
      </c>
    </row>
    <row r="950" spans="1:2">
      <c r="A950" s="3">
        <f ca="1">IFERROR(__xludf.DUMMYFUNCTION("""COMPUTED_VALUE"""),39729.6666666666)</f>
        <v>39729.666666666599</v>
      </c>
      <c r="B950" s="1">
        <f ca="1">IFERROR(__xludf.DUMMYFUNCTION("""COMPUTED_VALUE"""),3.21)</f>
        <v>3.21</v>
      </c>
    </row>
    <row r="951" spans="1:2">
      <c r="A951" s="3">
        <f ca="1">IFERROR(__xludf.DUMMYFUNCTION("""COMPUTED_VALUE"""),39730.6666666666)</f>
        <v>39730.666666666599</v>
      </c>
      <c r="B951" s="1">
        <f ca="1">IFERROR(__xludf.DUMMYFUNCTION("""COMPUTED_VALUE"""),3.17)</f>
        <v>3.17</v>
      </c>
    </row>
    <row r="952" spans="1:2">
      <c r="A952" s="3">
        <f ca="1">IFERROR(__xludf.DUMMYFUNCTION("""COMPUTED_VALUE"""),39731.6666666666)</f>
        <v>39731.666666666599</v>
      </c>
      <c r="B952" s="1">
        <f ca="1">IFERROR(__xludf.DUMMYFUNCTION("""COMPUTED_VALUE"""),3.46)</f>
        <v>3.46</v>
      </c>
    </row>
    <row r="953" spans="1:2">
      <c r="A953" s="3">
        <f ca="1">IFERROR(__xludf.DUMMYFUNCTION("""COMPUTED_VALUE"""),39734.6666666666)</f>
        <v>39734.666666666599</v>
      </c>
      <c r="B953" s="1">
        <f ca="1">IFERROR(__xludf.DUMMYFUNCTION("""COMPUTED_VALUE"""),3.94)</f>
        <v>3.94</v>
      </c>
    </row>
    <row r="954" spans="1:2">
      <c r="A954" s="3">
        <f ca="1">IFERROR(__xludf.DUMMYFUNCTION("""COMPUTED_VALUE"""),39735.6666666666)</f>
        <v>39735.666666666599</v>
      </c>
      <c r="B954" s="1">
        <f ca="1">IFERROR(__xludf.DUMMYFUNCTION("""COMPUTED_VALUE"""),3.72)</f>
        <v>3.72</v>
      </c>
    </row>
    <row r="955" spans="1:2">
      <c r="A955" s="3">
        <f ca="1">IFERROR(__xludf.DUMMYFUNCTION("""COMPUTED_VALUE"""),39736.6666666666)</f>
        <v>39736.666666666599</v>
      </c>
      <c r="B955" s="1">
        <f ca="1">IFERROR(__xludf.DUMMYFUNCTION("""COMPUTED_VALUE"""),3.5)</f>
        <v>3.5</v>
      </c>
    </row>
    <row r="956" spans="1:2">
      <c r="A956" s="3">
        <f ca="1">IFERROR(__xludf.DUMMYFUNCTION("""COMPUTED_VALUE"""),39737.6666666666)</f>
        <v>39737.666666666599</v>
      </c>
      <c r="B956" s="1">
        <f ca="1">IFERROR(__xludf.DUMMYFUNCTION("""COMPUTED_VALUE"""),3.64)</f>
        <v>3.64</v>
      </c>
    </row>
    <row r="957" spans="1:2">
      <c r="A957" s="3">
        <f ca="1">IFERROR(__xludf.DUMMYFUNCTION("""COMPUTED_VALUE"""),39738.6666666666)</f>
        <v>39738.666666666599</v>
      </c>
      <c r="B957" s="1">
        <f ca="1">IFERROR(__xludf.DUMMYFUNCTION("""COMPUTED_VALUE"""),3.48)</f>
        <v>3.48</v>
      </c>
    </row>
    <row r="958" spans="1:2">
      <c r="A958" s="3">
        <f ca="1">IFERROR(__xludf.DUMMYFUNCTION("""COMPUTED_VALUE"""),39741.6666666666)</f>
        <v>39741.666666666599</v>
      </c>
      <c r="B958" s="1">
        <f ca="1">IFERROR(__xludf.DUMMYFUNCTION("""COMPUTED_VALUE"""),3.52)</f>
        <v>3.52</v>
      </c>
    </row>
    <row r="959" spans="1:2">
      <c r="A959" s="3">
        <f ca="1">IFERROR(__xludf.DUMMYFUNCTION("""COMPUTED_VALUE"""),39742.6666666666)</f>
        <v>39742.666666666599</v>
      </c>
      <c r="B959" s="1">
        <f ca="1">IFERROR(__xludf.DUMMYFUNCTION("""COMPUTED_VALUE"""),3.27)</f>
        <v>3.27</v>
      </c>
    </row>
    <row r="960" spans="1:2">
      <c r="A960" s="3">
        <f ca="1">IFERROR(__xludf.DUMMYFUNCTION("""COMPUTED_VALUE"""),39743.6666666666)</f>
        <v>39743.666666666599</v>
      </c>
      <c r="B960" s="1">
        <f ca="1">IFERROR(__xludf.DUMMYFUNCTION("""COMPUTED_VALUE"""),3.46)</f>
        <v>3.46</v>
      </c>
    </row>
    <row r="961" spans="1:2">
      <c r="A961" s="3">
        <f ca="1">IFERROR(__xludf.DUMMYFUNCTION("""COMPUTED_VALUE"""),39744.6666666666)</f>
        <v>39744.666666666599</v>
      </c>
      <c r="B961" s="1">
        <f ca="1">IFERROR(__xludf.DUMMYFUNCTION("""COMPUTED_VALUE"""),3.51)</f>
        <v>3.51</v>
      </c>
    </row>
    <row r="962" spans="1:2">
      <c r="A962" s="3">
        <f ca="1">IFERROR(__xludf.DUMMYFUNCTION("""COMPUTED_VALUE"""),39745.6666666666)</f>
        <v>39745.666666666599</v>
      </c>
      <c r="B962" s="1">
        <f ca="1">IFERROR(__xludf.DUMMYFUNCTION("""COMPUTED_VALUE"""),3.44)</f>
        <v>3.44</v>
      </c>
    </row>
    <row r="963" spans="1:2">
      <c r="A963" s="3">
        <f ca="1">IFERROR(__xludf.DUMMYFUNCTION("""COMPUTED_VALUE"""),39748.6666666666)</f>
        <v>39748.666666666599</v>
      </c>
      <c r="B963" s="1">
        <f ca="1">IFERROR(__xludf.DUMMYFUNCTION("""COMPUTED_VALUE"""),3.29)</f>
        <v>3.29</v>
      </c>
    </row>
    <row r="964" spans="1:2">
      <c r="A964" s="3">
        <f ca="1">IFERROR(__xludf.DUMMYFUNCTION("""COMPUTED_VALUE"""),39749.6666666666)</f>
        <v>39749.666666666599</v>
      </c>
      <c r="B964" s="1">
        <f ca="1">IFERROR(__xludf.DUMMYFUNCTION("""COMPUTED_VALUE"""),3.57)</f>
        <v>3.57</v>
      </c>
    </row>
    <row r="965" spans="1:2">
      <c r="A965" s="3">
        <f ca="1">IFERROR(__xludf.DUMMYFUNCTION("""COMPUTED_VALUE"""),39750.6666666666)</f>
        <v>39750.666666666599</v>
      </c>
      <c r="B965" s="1">
        <f ca="1">IFERROR(__xludf.DUMMYFUNCTION("""COMPUTED_VALUE"""),3.73)</f>
        <v>3.73</v>
      </c>
    </row>
    <row r="966" spans="1:2">
      <c r="A966" s="3">
        <f ca="1">IFERROR(__xludf.DUMMYFUNCTION("""COMPUTED_VALUE"""),39751.6666666666)</f>
        <v>39751.666666666599</v>
      </c>
      <c r="B966" s="1">
        <f ca="1">IFERROR(__xludf.DUMMYFUNCTION("""COMPUTED_VALUE"""),3.97)</f>
        <v>3.97</v>
      </c>
    </row>
    <row r="967" spans="1:2">
      <c r="A967" s="3">
        <f ca="1">IFERROR(__xludf.DUMMYFUNCTION("""COMPUTED_VALUE"""),39752.6666666666)</f>
        <v>39752.666666666599</v>
      </c>
      <c r="B967" s="1">
        <f ca="1">IFERROR(__xludf.DUMMYFUNCTION("""COMPUTED_VALUE"""),3.84)</f>
        <v>3.84</v>
      </c>
    </row>
    <row r="968" spans="1:2">
      <c r="A968" s="3">
        <f ca="1">IFERROR(__xludf.DUMMYFUNCTION("""COMPUTED_VALUE"""),39755.6666666666)</f>
        <v>39755.666666666599</v>
      </c>
      <c r="B968" s="1">
        <f ca="1">IFERROR(__xludf.DUMMYFUNCTION("""COMPUTED_VALUE"""),3.82)</f>
        <v>3.82</v>
      </c>
    </row>
    <row r="969" spans="1:2">
      <c r="A969" s="3">
        <f ca="1">IFERROR(__xludf.DUMMYFUNCTION("""COMPUTED_VALUE"""),39756.6666666666)</f>
        <v>39756.666666666599</v>
      </c>
      <c r="B969" s="1">
        <f ca="1">IFERROR(__xludf.DUMMYFUNCTION("""COMPUTED_VALUE"""),3.96)</f>
        <v>3.96</v>
      </c>
    </row>
    <row r="970" spans="1:2">
      <c r="A970" s="3">
        <f ca="1">IFERROR(__xludf.DUMMYFUNCTION("""COMPUTED_VALUE"""),39757.6666666666)</f>
        <v>39757.666666666599</v>
      </c>
      <c r="B970" s="1">
        <f ca="1">IFERROR(__xludf.DUMMYFUNCTION("""COMPUTED_VALUE"""),3.69)</f>
        <v>3.69</v>
      </c>
    </row>
    <row r="971" spans="1:2">
      <c r="A971" s="3">
        <f ca="1">IFERROR(__xludf.DUMMYFUNCTION("""COMPUTED_VALUE"""),39758.6666666666)</f>
        <v>39758.666666666599</v>
      </c>
      <c r="B971" s="1">
        <f ca="1">IFERROR(__xludf.DUMMYFUNCTION("""COMPUTED_VALUE"""),3.54)</f>
        <v>3.54</v>
      </c>
    </row>
    <row r="972" spans="1:2">
      <c r="A972" s="3">
        <f ca="1">IFERROR(__xludf.DUMMYFUNCTION("""COMPUTED_VALUE"""),39759.6666666666)</f>
        <v>39759.666666666599</v>
      </c>
      <c r="B972" s="1">
        <f ca="1">IFERROR(__xludf.DUMMYFUNCTION("""COMPUTED_VALUE"""),3.51)</f>
        <v>3.51</v>
      </c>
    </row>
    <row r="973" spans="1:2">
      <c r="A973" s="3">
        <f ca="1">IFERROR(__xludf.DUMMYFUNCTION("""COMPUTED_VALUE"""),39762.6666666666)</f>
        <v>39762.666666666599</v>
      </c>
      <c r="B973" s="1">
        <f ca="1">IFERROR(__xludf.DUMMYFUNCTION("""COMPUTED_VALUE"""),3.42)</f>
        <v>3.42</v>
      </c>
    </row>
    <row r="974" spans="1:2">
      <c r="A974" s="3">
        <f ca="1">IFERROR(__xludf.DUMMYFUNCTION("""COMPUTED_VALUE"""),39763.6666666666)</f>
        <v>39763.666666666599</v>
      </c>
      <c r="B974" s="1">
        <f ca="1">IFERROR(__xludf.DUMMYFUNCTION("""COMPUTED_VALUE"""),3.38)</f>
        <v>3.38</v>
      </c>
    </row>
    <row r="975" spans="1:2">
      <c r="A975" s="3">
        <f ca="1">IFERROR(__xludf.DUMMYFUNCTION("""COMPUTED_VALUE"""),39764.6666666666)</f>
        <v>39764.666666666599</v>
      </c>
      <c r="B975" s="1">
        <f ca="1">IFERROR(__xludf.DUMMYFUNCTION("""COMPUTED_VALUE"""),3.22)</f>
        <v>3.22</v>
      </c>
    </row>
    <row r="976" spans="1:2">
      <c r="A976" s="3">
        <f ca="1">IFERROR(__xludf.DUMMYFUNCTION("""COMPUTED_VALUE"""),39765.6666666666)</f>
        <v>39765.666666666599</v>
      </c>
      <c r="B976" s="1">
        <f ca="1">IFERROR(__xludf.DUMMYFUNCTION("""COMPUTED_VALUE"""),3.44)</f>
        <v>3.44</v>
      </c>
    </row>
    <row r="977" spans="1:2">
      <c r="A977" s="3">
        <f ca="1">IFERROR(__xludf.DUMMYFUNCTION("""COMPUTED_VALUE"""),39766.6666666666)</f>
        <v>39766.666666666599</v>
      </c>
      <c r="B977" s="1">
        <f ca="1">IFERROR(__xludf.DUMMYFUNCTION("""COMPUTED_VALUE"""),3.22)</f>
        <v>3.22</v>
      </c>
    </row>
    <row r="978" spans="1:2">
      <c r="A978" s="3">
        <f ca="1">IFERROR(__xludf.DUMMYFUNCTION("""COMPUTED_VALUE"""),39769.6666666666)</f>
        <v>39769.666666666599</v>
      </c>
      <c r="B978" s="1">
        <f ca="1">IFERROR(__xludf.DUMMYFUNCTION("""COMPUTED_VALUE"""),3.15)</f>
        <v>3.15</v>
      </c>
    </row>
    <row r="979" spans="1:2">
      <c r="A979" s="3">
        <f ca="1">IFERROR(__xludf.DUMMYFUNCTION("""COMPUTED_VALUE"""),39770.6666666666)</f>
        <v>39770.666666666599</v>
      </c>
      <c r="B979" s="1">
        <f ca="1">IFERROR(__xludf.DUMMYFUNCTION("""COMPUTED_VALUE"""),3.21)</f>
        <v>3.21</v>
      </c>
    </row>
    <row r="980" spans="1:2">
      <c r="A980" s="3">
        <f ca="1">IFERROR(__xludf.DUMMYFUNCTION("""COMPUTED_VALUE"""),39771.6666666666)</f>
        <v>39771.666666666599</v>
      </c>
      <c r="B980" s="1">
        <f ca="1">IFERROR(__xludf.DUMMYFUNCTION("""COMPUTED_VALUE"""),3.08)</f>
        <v>3.08</v>
      </c>
    </row>
    <row r="981" spans="1:2">
      <c r="A981" s="3">
        <f ca="1">IFERROR(__xludf.DUMMYFUNCTION("""COMPUTED_VALUE"""),39772.6666666666)</f>
        <v>39772.666666666599</v>
      </c>
      <c r="B981" s="1">
        <f ca="1">IFERROR(__xludf.DUMMYFUNCTION("""COMPUTED_VALUE"""),2.87)</f>
        <v>2.87</v>
      </c>
    </row>
    <row r="982" spans="1:2">
      <c r="A982" s="3">
        <f ca="1">IFERROR(__xludf.DUMMYFUNCTION("""COMPUTED_VALUE"""),39773.6666666666)</f>
        <v>39773.666666666599</v>
      </c>
      <c r="B982" s="1">
        <f ca="1">IFERROR(__xludf.DUMMYFUNCTION("""COMPUTED_VALUE"""),2.95)</f>
        <v>2.95</v>
      </c>
    </row>
    <row r="983" spans="1:2">
      <c r="A983" s="3">
        <f ca="1">IFERROR(__xludf.DUMMYFUNCTION("""COMPUTED_VALUE"""),39776.6666666666)</f>
        <v>39776.666666666599</v>
      </c>
      <c r="B983" s="1">
        <f ca="1">IFERROR(__xludf.DUMMYFUNCTION("""COMPUTED_VALUE"""),3.32)</f>
        <v>3.32</v>
      </c>
    </row>
    <row r="984" spans="1:2">
      <c r="A984" s="3">
        <f ca="1">IFERROR(__xludf.DUMMYFUNCTION("""COMPUTED_VALUE"""),39777.6666666666)</f>
        <v>39777.666666666599</v>
      </c>
      <c r="B984" s="1">
        <f ca="1">IFERROR(__xludf.DUMMYFUNCTION("""COMPUTED_VALUE"""),3.24)</f>
        <v>3.24</v>
      </c>
    </row>
    <row r="985" spans="1:2">
      <c r="A985" s="3">
        <f ca="1">IFERROR(__xludf.DUMMYFUNCTION("""COMPUTED_VALUE"""),39778.6666666666)</f>
        <v>39778.666666666599</v>
      </c>
      <c r="B985" s="1">
        <f ca="1">IFERROR(__xludf.DUMMYFUNCTION("""COMPUTED_VALUE"""),3.39)</f>
        <v>3.39</v>
      </c>
    </row>
    <row r="986" spans="1:2">
      <c r="A986" s="3">
        <f ca="1">IFERROR(__xludf.DUMMYFUNCTION("""COMPUTED_VALUE"""),39780.6666666666)</f>
        <v>39780.666666666599</v>
      </c>
      <c r="B986" s="1">
        <f ca="1">IFERROR(__xludf.DUMMYFUNCTION("""COMPUTED_VALUE"""),3.31)</f>
        <v>3.31</v>
      </c>
    </row>
    <row r="987" spans="1:2">
      <c r="A987" s="3">
        <f ca="1">IFERROR(__xludf.DUMMYFUNCTION("""COMPUTED_VALUE"""),39783.6666666666)</f>
        <v>39783.666666666599</v>
      </c>
      <c r="B987" s="1">
        <f ca="1">IFERROR(__xludf.DUMMYFUNCTION("""COMPUTED_VALUE"""),3.18)</f>
        <v>3.18</v>
      </c>
    </row>
    <row r="988" spans="1:2">
      <c r="A988" s="3">
        <f ca="1">IFERROR(__xludf.DUMMYFUNCTION("""COMPUTED_VALUE"""),39784.6666666666)</f>
        <v>39784.666666666599</v>
      </c>
      <c r="B988" s="1">
        <f ca="1">IFERROR(__xludf.DUMMYFUNCTION("""COMPUTED_VALUE"""),3.3)</f>
        <v>3.3</v>
      </c>
    </row>
    <row r="989" spans="1:2">
      <c r="A989" s="3">
        <f ca="1">IFERROR(__xludf.DUMMYFUNCTION("""COMPUTED_VALUE"""),39785.6666666666)</f>
        <v>39785.666666666599</v>
      </c>
      <c r="B989" s="1">
        <f ca="1">IFERROR(__xludf.DUMMYFUNCTION("""COMPUTED_VALUE"""),3.43)</f>
        <v>3.43</v>
      </c>
    </row>
    <row r="990" spans="1:2">
      <c r="A990" s="3">
        <f ca="1">IFERROR(__xludf.DUMMYFUNCTION("""COMPUTED_VALUE"""),39786.6666666666)</f>
        <v>39786.666666666599</v>
      </c>
      <c r="B990" s="1">
        <f ca="1">IFERROR(__xludf.DUMMYFUNCTION("""COMPUTED_VALUE"""),3.26)</f>
        <v>3.26</v>
      </c>
    </row>
    <row r="991" spans="1:2">
      <c r="A991" s="3">
        <f ca="1">IFERROR(__xludf.DUMMYFUNCTION("""COMPUTED_VALUE"""),39787.6666666666)</f>
        <v>39787.666666666599</v>
      </c>
      <c r="B991" s="1">
        <f ca="1">IFERROR(__xludf.DUMMYFUNCTION("""COMPUTED_VALUE"""),3.36)</f>
        <v>3.36</v>
      </c>
    </row>
    <row r="992" spans="1:2">
      <c r="A992" s="3">
        <f ca="1">IFERROR(__xludf.DUMMYFUNCTION("""COMPUTED_VALUE"""),39790.6666666666)</f>
        <v>39790.666666666599</v>
      </c>
      <c r="B992" s="1">
        <f ca="1">IFERROR(__xludf.DUMMYFUNCTION("""COMPUTED_VALUE"""),3.56)</f>
        <v>3.56</v>
      </c>
    </row>
    <row r="993" spans="1:2">
      <c r="A993" s="3">
        <f ca="1">IFERROR(__xludf.DUMMYFUNCTION("""COMPUTED_VALUE"""),39791.6666666666)</f>
        <v>39791.666666666599</v>
      </c>
      <c r="B993" s="1">
        <f ca="1">IFERROR(__xludf.DUMMYFUNCTION("""COMPUTED_VALUE"""),3.57)</f>
        <v>3.57</v>
      </c>
    </row>
    <row r="994" spans="1:2">
      <c r="A994" s="3">
        <f ca="1">IFERROR(__xludf.DUMMYFUNCTION("""COMPUTED_VALUE"""),39792.6666666666)</f>
        <v>39792.666666666599</v>
      </c>
      <c r="B994" s="1">
        <f ca="1">IFERROR(__xludf.DUMMYFUNCTION("""COMPUTED_VALUE"""),3.51)</f>
        <v>3.51</v>
      </c>
    </row>
    <row r="995" spans="1:2">
      <c r="A995" s="3">
        <f ca="1">IFERROR(__xludf.DUMMYFUNCTION("""COMPUTED_VALUE"""),39793.6666666666)</f>
        <v>39793.666666666599</v>
      </c>
      <c r="B995" s="1">
        <f ca="1">IFERROR(__xludf.DUMMYFUNCTION("""COMPUTED_VALUE"""),3.39)</f>
        <v>3.39</v>
      </c>
    </row>
    <row r="996" spans="1:2">
      <c r="A996" s="3">
        <f ca="1">IFERROR(__xludf.DUMMYFUNCTION("""COMPUTED_VALUE"""),39794.6666666666)</f>
        <v>39794.666666666599</v>
      </c>
      <c r="B996" s="1">
        <f ca="1">IFERROR(__xludf.DUMMYFUNCTION("""COMPUTED_VALUE"""),3.51)</f>
        <v>3.51</v>
      </c>
    </row>
    <row r="997" spans="1:2">
      <c r="A997" s="3">
        <f ca="1">IFERROR(__xludf.DUMMYFUNCTION("""COMPUTED_VALUE"""),39797.6666666666)</f>
        <v>39797.666666666599</v>
      </c>
      <c r="B997" s="1">
        <f ca="1">IFERROR(__xludf.DUMMYFUNCTION("""COMPUTED_VALUE"""),3.38)</f>
        <v>3.38</v>
      </c>
    </row>
    <row r="998" spans="1:2">
      <c r="A998" s="3">
        <f ca="1">IFERROR(__xludf.DUMMYFUNCTION("""COMPUTED_VALUE"""),39798.6666666666)</f>
        <v>39798.666666666599</v>
      </c>
      <c r="B998" s="1">
        <f ca="1">IFERROR(__xludf.DUMMYFUNCTION("""COMPUTED_VALUE"""),3.41)</f>
        <v>3.41</v>
      </c>
    </row>
    <row r="999" spans="1:2">
      <c r="A999" s="3">
        <f ca="1">IFERROR(__xludf.DUMMYFUNCTION("""COMPUTED_VALUE"""),39799.6666666666)</f>
        <v>39799.666666666599</v>
      </c>
      <c r="B999" s="1">
        <f ca="1">IFERROR(__xludf.DUMMYFUNCTION("""COMPUTED_VALUE"""),3.18)</f>
        <v>3.18</v>
      </c>
    </row>
    <row r="1000" spans="1:2">
      <c r="A1000" s="3">
        <f ca="1">IFERROR(__xludf.DUMMYFUNCTION("""COMPUTED_VALUE"""),39800.6666666666)</f>
        <v>39800.666666666599</v>
      </c>
      <c r="B1000" s="1">
        <f ca="1">IFERROR(__xludf.DUMMYFUNCTION("""COMPUTED_VALUE"""),3.19)</f>
        <v>3.19</v>
      </c>
    </row>
    <row r="1001" spans="1:2">
      <c r="A1001" s="3">
        <f ca="1">IFERROR(__xludf.DUMMYFUNCTION("""COMPUTED_VALUE"""),39801.6666666666)</f>
        <v>39801.666666666599</v>
      </c>
      <c r="B1001" s="1">
        <f ca="1">IFERROR(__xludf.DUMMYFUNCTION("""COMPUTED_VALUE"""),3.21)</f>
        <v>3.21</v>
      </c>
    </row>
    <row r="1002" spans="1:2">
      <c r="A1002" s="3">
        <f ca="1">IFERROR(__xludf.DUMMYFUNCTION("""COMPUTED_VALUE"""),39804.6666666666)</f>
        <v>39804.666666666599</v>
      </c>
      <c r="B1002" s="1">
        <f ca="1">IFERROR(__xludf.DUMMYFUNCTION("""COMPUTED_VALUE"""),3.06)</f>
        <v>3.06</v>
      </c>
    </row>
    <row r="1003" spans="1:2">
      <c r="A1003" s="3">
        <f ca="1">IFERROR(__xludf.DUMMYFUNCTION("""COMPUTED_VALUE"""),39805.6666666666)</f>
        <v>39805.666666666599</v>
      </c>
      <c r="B1003" s="1">
        <f ca="1">IFERROR(__xludf.DUMMYFUNCTION("""COMPUTED_VALUE"""),3.09)</f>
        <v>3.09</v>
      </c>
    </row>
    <row r="1004" spans="1:2">
      <c r="A1004" s="3">
        <f ca="1">IFERROR(__xludf.DUMMYFUNCTION("""COMPUTED_VALUE"""),39806.6666666666)</f>
        <v>39806.666666666599</v>
      </c>
      <c r="B1004" s="1">
        <f ca="1">IFERROR(__xludf.DUMMYFUNCTION("""COMPUTED_VALUE"""),3.04)</f>
        <v>3.04</v>
      </c>
    </row>
    <row r="1005" spans="1:2">
      <c r="A1005" s="3">
        <f ca="1">IFERROR(__xludf.DUMMYFUNCTION("""COMPUTED_VALUE"""),39808.6666666666)</f>
        <v>39808.666666666599</v>
      </c>
      <c r="B1005" s="1">
        <f ca="1">IFERROR(__xludf.DUMMYFUNCTION("""COMPUTED_VALUE"""),3.06)</f>
        <v>3.06</v>
      </c>
    </row>
    <row r="1006" spans="1:2">
      <c r="A1006" s="3">
        <f ca="1">IFERROR(__xludf.DUMMYFUNCTION("""COMPUTED_VALUE"""),39811.6666666666)</f>
        <v>39811.666666666599</v>
      </c>
      <c r="B1006" s="1">
        <f ca="1">IFERROR(__xludf.DUMMYFUNCTION("""COMPUTED_VALUE"""),3.09)</f>
        <v>3.09</v>
      </c>
    </row>
    <row r="1007" spans="1:2">
      <c r="A1007" s="3">
        <f ca="1">IFERROR(__xludf.DUMMYFUNCTION("""COMPUTED_VALUE"""),39812.6666666666)</f>
        <v>39812.666666666599</v>
      </c>
      <c r="B1007" s="1">
        <f ca="1">IFERROR(__xludf.DUMMYFUNCTION("""COMPUTED_VALUE"""),3.08)</f>
        <v>3.08</v>
      </c>
    </row>
    <row r="1008" spans="1:2">
      <c r="A1008" s="3">
        <f ca="1">IFERROR(__xludf.DUMMYFUNCTION("""COMPUTED_VALUE"""),39813.6666666666)</f>
        <v>39813.666666666599</v>
      </c>
      <c r="B1008" s="1">
        <f ca="1">IFERROR(__xludf.DUMMYFUNCTION("""COMPUTED_VALUE"""),3.05)</f>
        <v>3.05</v>
      </c>
    </row>
    <row r="1009" spans="1:2">
      <c r="A1009" s="3">
        <f ca="1">IFERROR(__xludf.DUMMYFUNCTION("""COMPUTED_VALUE"""),39815.6666666666)</f>
        <v>39815.666666666599</v>
      </c>
      <c r="B1009" s="1">
        <f ca="1">IFERROR(__xludf.DUMMYFUNCTION("""COMPUTED_VALUE"""),3.24)</f>
        <v>3.24</v>
      </c>
    </row>
    <row r="1010" spans="1:2">
      <c r="A1010" s="3">
        <f ca="1">IFERROR(__xludf.DUMMYFUNCTION("""COMPUTED_VALUE"""),39818.6666666666)</f>
        <v>39818.666666666599</v>
      </c>
      <c r="B1010" s="1">
        <f ca="1">IFERROR(__xludf.DUMMYFUNCTION("""COMPUTED_VALUE"""),3.38)</f>
        <v>3.38</v>
      </c>
    </row>
    <row r="1011" spans="1:2">
      <c r="A1011" s="3">
        <f ca="1">IFERROR(__xludf.DUMMYFUNCTION("""COMPUTED_VALUE"""),39819.6666666666)</f>
        <v>39819.666666666599</v>
      </c>
      <c r="B1011" s="1">
        <f ca="1">IFERROR(__xludf.DUMMYFUNCTION("""COMPUTED_VALUE"""),3.32)</f>
        <v>3.32</v>
      </c>
    </row>
    <row r="1012" spans="1:2">
      <c r="A1012" s="3">
        <f ca="1">IFERROR(__xludf.DUMMYFUNCTION("""COMPUTED_VALUE"""),39820.6666666666)</f>
        <v>39820.666666666599</v>
      </c>
      <c r="B1012" s="1">
        <f ca="1">IFERROR(__xludf.DUMMYFUNCTION("""COMPUTED_VALUE"""),3.25)</f>
        <v>3.25</v>
      </c>
    </row>
    <row r="1013" spans="1:2">
      <c r="A1013" s="3">
        <f ca="1">IFERROR(__xludf.DUMMYFUNCTION("""COMPUTED_VALUE"""),39821.6666666666)</f>
        <v>39821.666666666599</v>
      </c>
      <c r="B1013" s="1">
        <f ca="1">IFERROR(__xludf.DUMMYFUNCTION("""COMPUTED_VALUE"""),3.31)</f>
        <v>3.31</v>
      </c>
    </row>
    <row r="1014" spans="1:2">
      <c r="A1014" s="3">
        <f ca="1">IFERROR(__xludf.DUMMYFUNCTION("""COMPUTED_VALUE"""),39822.6666666666)</f>
        <v>39822.666666666599</v>
      </c>
      <c r="B1014" s="1">
        <f ca="1">IFERROR(__xludf.DUMMYFUNCTION("""COMPUTED_VALUE"""),3.24)</f>
        <v>3.24</v>
      </c>
    </row>
    <row r="1015" spans="1:2">
      <c r="A1015" s="3">
        <f ca="1">IFERROR(__xludf.DUMMYFUNCTION("""COMPUTED_VALUE"""),39825.6666666666)</f>
        <v>39825.666666666599</v>
      </c>
      <c r="B1015" s="1">
        <f ca="1">IFERROR(__xludf.DUMMYFUNCTION("""COMPUTED_VALUE"""),3.17)</f>
        <v>3.17</v>
      </c>
    </row>
    <row r="1016" spans="1:2">
      <c r="A1016" s="3">
        <f ca="1">IFERROR(__xludf.DUMMYFUNCTION("""COMPUTED_VALUE"""),39826.6666666666)</f>
        <v>39826.666666666599</v>
      </c>
      <c r="B1016" s="1">
        <f ca="1">IFERROR(__xludf.DUMMYFUNCTION("""COMPUTED_VALUE"""),3.13)</f>
        <v>3.13</v>
      </c>
    </row>
    <row r="1017" spans="1:2">
      <c r="A1017" s="3">
        <f ca="1">IFERROR(__xludf.DUMMYFUNCTION("""COMPUTED_VALUE"""),39827.6666666666)</f>
        <v>39827.666666666599</v>
      </c>
      <c r="B1017" s="1">
        <f ca="1">IFERROR(__xludf.DUMMYFUNCTION("""COMPUTED_VALUE"""),3.05)</f>
        <v>3.05</v>
      </c>
    </row>
    <row r="1018" spans="1:2">
      <c r="A1018" s="3">
        <f ca="1">IFERROR(__xludf.DUMMYFUNCTION("""COMPUTED_VALUE"""),39828.6666666666)</f>
        <v>39828.666666666599</v>
      </c>
      <c r="B1018" s="1">
        <f ca="1">IFERROR(__xludf.DUMMYFUNCTION("""COMPUTED_VALUE"""),2.98)</f>
        <v>2.98</v>
      </c>
    </row>
    <row r="1019" spans="1:2">
      <c r="A1019" s="3">
        <f ca="1">IFERROR(__xludf.DUMMYFUNCTION("""COMPUTED_VALUE"""),39829.6666666666)</f>
        <v>39829.666666666599</v>
      </c>
      <c r="B1019" s="1">
        <f ca="1">IFERROR(__xludf.DUMMYFUNCTION("""COMPUTED_VALUE"""),2.94)</f>
        <v>2.94</v>
      </c>
    </row>
    <row r="1020" spans="1:2">
      <c r="A1020" s="3">
        <f ca="1">IFERROR(__xludf.DUMMYFUNCTION("""COMPUTED_VALUE"""),39833.6666666666)</f>
        <v>39833.666666666599</v>
      </c>
      <c r="B1020" s="1">
        <f ca="1">IFERROR(__xludf.DUMMYFUNCTION("""COMPUTED_VALUE"""),2.79)</f>
        <v>2.79</v>
      </c>
    </row>
    <row r="1021" spans="1:2">
      <c r="A1021" s="3">
        <f ca="1">IFERROR(__xludf.DUMMYFUNCTION("""COMPUTED_VALUE"""),39834.6666666666)</f>
        <v>39834.666666666599</v>
      </c>
      <c r="B1021" s="1">
        <f ca="1">IFERROR(__xludf.DUMMYFUNCTION("""COMPUTED_VALUE"""),2.96)</f>
        <v>2.96</v>
      </c>
    </row>
    <row r="1022" spans="1:2">
      <c r="A1022" s="3">
        <f ca="1">IFERROR(__xludf.DUMMYFUNCTION("""COMPUTED_VALUE"""),39835.6666666666)</f>
        <v>39835.666666666599</v>
      </c>
      <c r="B1022" s="1">
        <f ca="1">IFERROR(__xludf.DUMMYFUNCTION("""COMPUTED_VALUE"""),3.16)</f>
        <v>3.16</v>
      </c>
    </row>
    <row r="1023" spans="1:2">
      <c r="A1023" s="3">
        <f ca="1">IFERROR(__xludf.DUMMYFUNCTION("""COMPUTED_VALUE"""),39836.6666666666)</f>
        <v>39836.666666666599</v>
      </c>
      <c r="B1023" s="1">
        <f ca="1">IFERROR(__xludf.DUMMYFUNCTION("""COMPUTED_VALUE"""),3.16)</f>
        <v>3.16</v>
      </c>
    </row>
    <row r="1024" spans="1:2">
      <c r="A1024" s="3">
        <f ca="1">IFERROR(__xludf.DUMMYFUNCTION("""COMPUTED_VALUE"""),39839.6666666666)</f>
        <v>39839.666666666599</v>
      </c>
      <c r="B1024" s="1">
        <f ca="1">IFERROR(__xludf.DUMMYFUNCTION("""COMPUTED_VALUE"""),3.2)</f>
        <v>3.2</v>
      </c>
    </row>
    <row r="1025" spans="1:2">
      <c r="A1025" s="3">
        <f ca="1">IFERROR(__xludf.DUMMYFUNCTION("""COMPUTED_VALUE"""),39840.6666666666)</f>
        <v>39840.666666666599</v>
      </c>
      <c r="B1025" s="1">
        <f ca="1">IFERROR(__xludf.DUMMYFUNCTION("""COMPUTED_VALUE"""),3.24)</f>
        <v>3.24</v>
      </c>
    </row>
    <row r="1026" spans="1:2">
      <c r="A1026" s="3">
        <f ca="1">IFERROR(__xludf.DUMMYFUNCTION("""COMPUTED_VALUE"""),39841.6666666666)</f>
        <v>39841.666666666599</v>
      </c>
      <c r="B1026" s="1">
        <f ca="1">IFERROR(__xludf.DUMMYFUNCTION("""COMPUTED_VALUE"""),3.36)</f>
        <v>3.36</v>
      </c>
    </row>
    <row r="1027" spans="1:2">
      <c r="A1027" s="3">
        <f ca="1">IFERROR(__xludf.DUMMYFUNCTION("""COMPUTED_VALUE"""),39842.6666666666)</f>
        <v>39842.666666666599</v>
      </c>
      <c r="B1027" s="1">
        <f ca="1">IFERROR(__xludf.DUMMYFUNCTION("""COMPUTED_VALUE"""),3.32)</f>
        <v>3.32</v>
      </c>
    </row>
    <row r="1028" spans="1:2">
      <c r="A1028" s="3">
        <f ca="1">IFERROR(__xludf.DUMMYFUNCTION("""COMPUTED_VALUE"""),39843.6666666666)</f>
        <v>39843.666666666599</v>
      </c>
      <c r="B1028" s="1">
        <f ca="1">IFERROR(__xludf.DUMMYFUNCTION("""COMPUTED_VALUE"""),3.22)</f>
        <v>3.22</v>
      </c>
    </row>
    <row r="1029" spans="1:2">
      <c r="A1029" s="3">
        <f ca="1">IFERROR(__xludf.DUMMYFUNCTION("""COMPUTED_VALUE"""),39846.6666666666)</f>
        <v>39846.666666666599</v>
      </c>
      <c r="B1029" s="1">
        <f ca="1">IFERROR(__xludf.DUMMYFUNCTION("""COMPUTED_VALUE"""),3.27)</f>
        <v>3.27</v>
      </c>
    </row>
    <row r="1030" spans="1:2">
      <c r="A1030" s="3">
        <f ca="1">IFERROR(__xludf.DUMMYFUNCTION("""COMPUTED_VALUE"""),39847.6666666666)</f>
        <v>39847.666666666599</v>
      </c>
      <c r="B1030" s="1">
        <f ca="1">IFERROR(__xludf.DUMMYFUNCTION("""COMPUTED_VALUE"""),3.32)</f>
        <v>3.32</v>
      </c>
    </row>
    <row r="1031" spans="1:2">
      <c r="A1031" s="3">
        <f ca="1">IFERROR(__xludf.DUMMYFUNCTION("""COMPUTED_VALUE"""),39848.6666666666)</f>
        <v>39848.666666666599</v>
      </c>
      <c r="B1031" s="1">
        <f ca="1">IFERROR(__xludf.DUMMYFUNCTION("""COMPUTED_VALUE"""),3.34)</f>
        <v>3.34</v>
      </c>
    </row>
    <row r="1032" spans="1:2">
      <c r="A1032" s="3">
        <f ca="1">IFERROR(__xludf.DUMMYFUNCTION("""COMPUTED_VALUE"""),39849.6666666666)</f>
        <v>39849.666666666599</v>
      </c>
      <c r="B1032" s="1">
        <f ca="1">IFERROR(__xludf.DUMMYFUNCTION("""COMPUTED_VALUE"""),3.45)</f>
        <v>3.45</v>
      </c>
    </row>
    <row r="1033" spans="1:2">
      <c r="A1033" s="3">
        <f ca="1">IFERROR(__xludf.DUMMYFUNCTION("""COMPUTED_VALUE"""),39850.6666666666)</f>
        <v>39850.666666666599</v>
      </c>
      <c r="B1033" s="1">
        <f ca="1">IFERROR(__xludf.DUMMYFUNCTION("""COMPUTED_VALUE"""),3.56)</f>
        <v>3.56</v>
      </c>
    </row>
    <row r="1034" spans="1:2">
      <c r="A1034" s="3">
        <f ca="1">IFERROR(__xludf.DUMMYFUNCTION("""COMPUTED_VALUE"""),39853.6666666666)</f>
        <v>39853.666666666599</v>
      </c>
      <c r="B1034" s="1">
        <f ca="1">IFERROR(__xludf.DUMMYFUNCTION("""COMPUTED_VALUE"""),3.66)</f>
        <v>3.66</v>
      </c>
    </row>
    <row r="1035" spans="1:2">
      <c r="A1035" s="3">
        <f ca="1">IFERROR(__xludf.DUMMYFUNCTION("""COMPUTED_VALUE"""),39854.6666666666)</f>
        <v>39854.666666666599</v>
      </c>
      <c r="B1035" s="1">
        <f ca="1">IFERROR(__xludf.DUMMYFUNCTION("""COMPUTED_VALUE"""),3.49)</f>
        <v>3.49</v>
      </c>
    </row>
    <row r="1036" spans="1:2">
      <c r="A1036" s="3">
        <f ca="1">IFERROR(__xludf.DUMMYFUNCTION("""COMPUTED_VALUE"""),39855.6666666666)</f>
        <v>39855.666666666599</v>
      </c>
      <c r="B1036" s="1">
        <f ca="1">IFERROR(__xludf.DUMMYFUNCTION("""COMPUTED_VALUE"""),3.46)</f>
        <v>3.46</v>
      </c>
    </row>
    <row r="1037" spans="1:2">
      <c r="A1037" s="3">
        <f ca="1">IFERROR(__xludf.DUMMYFUNCTION("""COMPUTED_VALUE"""),39856.6666666666)</f>
        <v>39856.666666666599</v>
      </c>
      <c r="B1037" s="1">
        <f ca="1">IFERROR(__xludf.DUMMYFUNCTION("""COMPUTED_VALUE"""),3.55)</f>
        <v>3.55</v>
      </c>
    </row>
    <row r="1038" spans="1:2">
      <c r="A1038" s="3">
        <f ca="1">IFERROR(__xludf.DUMMYFUNCTION("""COMPUTED_VALUE"""),39857.6666666666)</f>
        <v>39857.666666666599</v>
      </c>
      <c r="B1038" s="1">
        <f ca="1">IFERROR(__xludf.DUMMYFUNCTION("""COMPUTED_VALUE"""),3.54)</f>
        <v>3.54</v>
      </c>
    </row>
    <row r="1039" spans="1:2">
      <c r="A1039" s="3">
        <f ca="1">IFERROR(__xludf.DUMMYFUNCTION("""COMPUTED_VALUE"""),39861.6666666666)</f>
        <v>39861.666666666599</v>
      </c>
      <c r="B1039" s="1">
        <f ca="1">IFERROR(__xludf.DUMMYFUNCTION("""COMPUTED_VALUE"""),3.38)</f>
        <v>3.38</v>
      </c>
    </row>
    <row r="1040" spans="1:2">
      <c r="A1040" s="3">
        <f ca="1">IFERROR(__xludf.DUMMYFUNCTION("""COMPUTED_VALUE"""),39862.6666666666)</f>
        <v>39862.666666666599</v>
      </c>
      <c r="B1040" s="1">
        <f ca="1">IFERROR(__xludf.DUMMYFUNCTION("""COMPUTED_VALUE"""),3.37)</f>
        <v>3.37</v>
      </c>
    </row>
    <row r="1041" spans="1:2">
      <c r="A1041" s="3">
        <f ca="1">IFERROR(__xludf.DUMMYFUNCTION("""COMPUTED_VALUE"""),39863.6666666666)</f>
        <v>39863.666666666599</v>
      </c>
      <c r="B1041" s="1">
        <f ca="1">IFERROR(__xludf.DUMMYFUNCTION("""COMPUTED_VALUE"""),3.24)</f>
        <v>3.24</v>
      </c>
    </row>
    <row r="1042" spans="1:2">
      <c r="A1042" s="3">
        <f ca="1">IFERROR(__xludf.DUMMYFUNCTION("""COMPUTED_VALUE"""),39864.6666666666)</f>
        <v>39864.666666666599</v>
      </c>
      <c r="B1042" s="1">
        <f ca="1">IFERROR(__xludf.DUMMYFUNCTION("""COMPUTED_VALUE"""),3.26)</f>
        <v>3.26</v>
      </c>
    </row>
    <row r="1043" spans="1:2">
      <c r="A1043" s="3">
        <f ca="1">IFERROR(__xludf.DUMMYFUNCTION("""COMPUTED_VALUE"""),39867.6666666666)</f>
        <v>39867.666666666599</v>
      </c>
      <c r="B1043" s="1">
        <f ca="1">IFERROR(__xludf.DUMMYFUNCTION("""COMPUTED_VALUE"""),3.11)</f>
        <v>3.11</v>
      </c>
    </row>
    <row r="1044" spans="1:2">
      <c r="A1044" s="3">
        <f ca="1">IFERROR(__xludf.DUMMYFUNCTION("""COMPUTED_VALUE"""),39868.6666666666)</f>
        <v>39868.666666666599</v>
      </c>
      <c r="B1044" s="1">
        <f ca="1">IFERROR(__xludf.DUMMYFUNCTION("""COMPUTED_VALUE"""),3.22)</f>
        <v>3.22</v>
      </c>
    </row>
    <row r="1045" spans="1:2">
      <c r="A1045" s="3">
        <f ca="1">IFERROR(__xludf.DUMMYFUNCTION("""COMPUTED_VALUE"""),39869.6666666666)</f>
        <v>39869.666666666599</v>
      </c>
      <c r="B1045" s="1">
        <f ca="1">IFERROR(__xludf.DUMMYFUNCTION("""COMPUTED_VALUE"""),3.26)</f>
        <v>3.26</v>
      </c>
    </row>
    <row r="1046" spans="1:2">
      <c r="A1046" s="3">
        <f ca="1">IFERROR(__xludf.DUMMYFUNCTION("""COMPUTED_VALUE"""),39870.6666666666)</f>
        <v>39870.666666666599</v>
      </c>
      <c r="B1046" s="1">
        <f ca="1">IFERROR(__xludf.DUMMYFUNCTION("""COMPUTED_VALUE"""),3.19)</f>
        <v>3.19</v>
      </c>
    </row>
    <row r="1047" spans="1:2">
      <c r="A1047" s="3">
        <f ca="1">IFERROR(__xludf.DUMMYFUNCTION("""COMPUTED_VALUE"""),39871.6666666666)</f>
        <v>39871.666666666599</v>
      </c>
      <c r="B1047" s="1">
        <f ca="1">IFERROR(__xludf.DUMMYFUNCTION("""COMPUTED_VALUE"""),3.19)</f>
        <v>3.19</v>
      </c>
    </row>
    <row r="1048" spans="1:2">
      <c r="A1048" s="3">
        <f ca="1">IFERROR(__xludf.DUMMYFUNCTION("""COMPUTED_VALUE"""),39874.6666666666)</f>
        <v>39874.666666666599</v>
      </c>
      <c r="B1048" s="1">
        <f ca="1">IFERROR(__xludf.DUMMYFUNCTION("""COMPUTED_VALUE"""),3.14)</f>
        <v>3.14</v>
      </c>
    </row>
    <row r="1049" spans="1:2">
      <c r="A1049" s="3">
        <f ca="1">IFERROR(__xludf.DUMMYFUNCTION("""COMPUTED_VALUE"""),39875.6666666666)</f>
        <v>39875.666666666599</v>
      </c>
      <c r="B1049" s="1">
        <f ca="1">IFERROR(__xludf.DUMMYFUNCTION("""COMPUTED_VALUE"""),3.16)</f>
        <v>3.16</v>
      </c>
    </row>
    <row r="1050" spans="1:2">
      <c r="A1050" s="3">
        <f ca="1">IFERROR(__xludf.DUMMYFUNCTION("""COMPUTED_VALUE"""),39876.6666666666)</f>
        <v>39876.666666666599</v>
      </c>
      <c r="B1050" s="1">
        <f ca="1">IFERROR(__xludf.DUMMYFUNCTION("""COMPUTED_VALUE"""),3.26)</f>
        <v>3.26</v>
      </c>
    </row>
    <row r="1051" spans="1:2">
      <c r="A1051" s="3">
        <f ca="1">IFERROR(__xludf.DUMMYFUNCTION("""COMPUTED_VALUE"""),39877.6666666666)</f>
        <v>39877.666666666599</v>
      </c>
      <c r="B1051" s="1">
        <f ca="1">IFERROR(__xludf.DUMMYFUNCTION("""COMPUTED_VALUE"""),3.17)</f>
        <v>3.17</v>
      </c>
    </row>
    <row r="1052" spans="1:2">
      <c r="A1052" s="3">
        <f ca="1">IFERROR(__xludf.DUMMYFUNCTION("""COMPUTED_VALUE"""),39878.6666666666)</f>
        <v>39878.666666666599</v>
      </c>
      <c r="B1052" s="1">
        <f ca="1">IFERROR(__xludf.DUMMYFUNCTION("""COMPUTED_VALUE"""),3.05)</f>
        <v>3.05</v>
      </c>
    </row>
    <row r="1053" spans="1:2">
      <c r="A1053" s="3">
        <f ca="1">IFERROR(__xludf.DUMMYFUNCTION("""COMPUTED_VALUE"""),39881.6666666666)</f>
        <v>39881.666666666599</v>
      </c>
      <c r="B1053" s="1">
        <f ca="1">IFERROR(__xludf.DUMMYFUNCTION("""COMPUTED_VALUE"""),2.97)</f>
        <v>2.97</v>
      </c>
    </row>
    <row r="1054" spans="1:2">
      <c r="A1054" s="3">
        <f ca="1">IFERROR(__xludf.DUMMYFUNCTION("""COMPUTED_VALUE"""),39882.6666666666)</f>
        <v>39882.666666666599</v>
      </c>
      <c r="B1054" s="1">
        <f ca="1">IFERROR(__xludf.DUMMYFUNCTION("""COMPUTED_VALUE"""),3.17)</f>
        <v>3.17</v>
      </c>
    </row>
    <row r="1055" spans="1:2">
      <c r="A1055" s="3">
        <f ca="1">IFERROR(__xludf.DUMMYFUNCTION("""COMPUTED_VALUE"""),39883.6666666666)</f>
        <v>39883.666666666599</v>
      </c>
      <c r="B1055" s="1">
        <f ca="1">IFERROR(__xludf.DUMMYFUNCTION("""COMPUTED_VALUE"""),3.31)</f>
        <v>3.31</v>
      </c>
    </row>
    <row r="1056" spans="1:2">
      <c r="A1056" s="3">
        <f ca="1">IFERROR(__xludf.DUMMYFUNCTION("""COMPUTED_VALUE"""),39884.6666666666)</f>
        <v>39884.666666666599</v>
      </c>
      <c r="B1056" s="1">
        <f ca="1">IFERROR(__xludf.DUMMYFUNCTION("""COMPUTED_VALUE"""),3.44)</f>
        <v>3.44</v>
      </c>
    </row>
    <row r="1057" spans="1:2">
      <c r="A1057" s="3">
        <f ca="1">IFERROR(__xludf.DUMMYFUNCTION("""COMPUTED_VALUE"""),39885.6666666666)</f>
        <v>39885.666666666599</v>
      </c>
      <c r="B1057" s="1">
        <f ca="1">IFERROR(__xludf.DUMMYFUNCTION("""COMPUTED_VALUE"""),3.43)</f>
        <v>3.43</v>
      </c>
    </row>
    <row r="1058" spans="1:2">
      <c r="A1058" s="3">
        <f ca="1">IFERROR(__xludf.DUMMYFUNCTION("""COMPUTED_VALUE"""),39888.6666666666)</f>
        <v>39888.666666666599</v>
      </c>
      <c r="B1058" s="1">
        <f ca="1">IFERROR(__xludf.DUMMYFUNCTION("""COMPUTED_VALUE"""),3.41)</f>
        <v>3.41</v>
      </c>
    </row>
    <row r="1059" spans="1:2">
      <c r="A1059" s="3">
        <f ca="1">IFERROR(__xludf.DUMMYFUNCTION("""COMPUTED_VALUE"""),39889.6666666666)</f>
        <v>39889.666666666599</v>
      </c>
      <c r="B1059" s="1">
        <f ca="1">IFERROR(__xludf.DUMMYFUNCTION("""COMPUTED_VALUE"""),3.56)</f>
        <v>3.56</v>
      </c>
    </row>
    <row r="1060" spans="1:2">
      <c r="A1060" s="3">
        <f ca="1">IFERROR(__xludf.DUMMYFUNCTION("""COMPUTED_VALUE"""),39890.6666666666)</f>
        <v>39890.666666666599</v>
      </c>
      <c r="B1060" s="1">
        <f ca="1">IFERROR(__xludf.DUMMYFUNCTION("""COMPUTED_VALUE"""),3.63)</f>
        <v>3.63</v>
      </c>
    </row>
    <row r="1061" spans="1:2">
      <c r="A1061" s="3">
        <f ca="1">IFERROR(__xludf.DUMMYFUNCTION("""COMPUTED_VALUE"""),39891.6666666666)</f>
        <v>39891.666666666599</v>
      </c>
      <c r="B1061" s="1">
        <f ca="1">IFERROR(__xludf.DUMMYFUNCTION("""COMPUTED_VALUE"""),3.63)</f>
        <v>3.63</v>
      </c>
    </row>
    <row r="1062" spans="1:2">
      <c r="A1062" s="3">
        <f ca="1">IFERROR(__xludf.DUMMYFUNCTION("""COMPUTED_VALUE"""),39892.6666666666)</f>
        <v>39892.666666666599</v>
      </c>
      <c r="B1062" s="1">
        <f ca="1">IFERROR(__xludf.DUMMYFUNCTION("""COMPUTED_VALUE"""),3.63)</f>
        <v>3.63</v>
      </c>
    </row>
    <row r="1063" spans="1:2">
      <c r="A1063" s="3">
        <f ca="1">IFERROR(__xludf.DUMMYFUNCTION("""COMPUTED_VALUE"""),39895.6666666666)</f>
        <v>39895.666666666599</v>
      </c>
      <c r="B1063" s="1">
        <f ca="1">IFERROR(__xludf.DUMMYFUNCTION("""COMPUTED_VALUE"""),3.85)</f>
        <v>3.85</v>
      </c>
    </row>
    <row r="1064" spans="1:2">
      <c r="A1064" s="3">
        <f ca="1">IFERROR(__xludf.DUMMYFUNCTION("""COMPUTED_VALUE"""),39896.6666666666)</f>
        <v>39896.666666666599</v>
      </c>
      <c r="B1064" s="1">
        <f ca="1">IFERROR(__xludf.DUMMYFUNCTION("""COMPUTED_VALUE"""),3.8)</f>
        <v>3.8</v>
      </c>
    </row>
    <row r="1065" spans="1:2">
      <c r="A1065" s="3">
        <f ca="1">IFERROR(__xludf.DUMMYFUNCTION("""COMPUTED_VALUE"""),39897.6666666666)</f>
        <v>39897.666666666599</v>
      </c>
      <c r="B1065" s="1">
        <f ca="1">IFERROR(__xludf.DUMMYFUNCTION("""COMPUTED_VALUE"""),3.8)</f>
        <v>3.8</v>
      </c>
    </row>
    <row r="1066" spans="1:2">
      <c r="A1066" s="3">
        <f ca="1">IFERROR(__xludf.DUMMYFUNCTION("""COMPUTED_VALUE"""),39898.6666666666)</f>
        <v>39898.666666666599</v>
      </c>
      <c r="B1066" s="1">
        <f ca="1">IFERROR(__xludf.DUMMYFUNCTION("""COMPUTED_VALUE"""),3.92)</f>
        <v>3.92</v>
      </c>
    </row>
    <row r="1067" spans="1:2">
      <c r="A1067" s="3">
        <f ca="1">IFERROR(__xludf.DUMMYFUNCTION("""COMPUTED_VALUE"""),39899.6666666666)</f>
        <v>39899.666666666599</v>
      </c>
      <c r="B1067" s="1">
        <f ca="1">IFERROR(__xludf.DUMMYFUNCTION("""COMPUTED_VALUE"""),3.82)</f>
        <v>3.82</v>
      </c>
    </row>
    <row r="1068" spans="1:2">
      <c r="A1068" s="3">
        <f ca="1">IFERROR(__xludf.DUMMYFUNCTION("""COMPUTED_VALUE"""),39902.6666666666)</f>
        <v>39902.666666666599</v>
      </c>
      <c r="B1068" s="1">
        <f ca="1">IFERROR(__xludf.DUMMYFUNCTION("""COMPUTED_VALUE"""),3.73)</f>
        <v>3.73</v>
      </c>
    </row>
    <row r="1069" spans="1:2">
      <c r="A1069" s="3">
        <f ca="1">IFERROR(__xludf.DUMMYFUNCTION("""COMPUTED_VALUE"""),39903.6666666666)</f>
        <v>39903.666666666599</v>
      </c>
      <c r="B1069" s="1">
        <f ca="1">IFERROR(__xludf.DUMMYFUNCTION("""COMPUTED_VALUE"""),3.75)</f>
        <v>3.75</v>
      </c>
    </row>
    <row r="1070" spans="1:2">
      <c r="A1070" s="3">
        <f ca="1">IFERROR(__xludf.DUMMYFUNCTION("""COMPUTED_VALUE"""),39904.6666666666)</f>
        <v>39904.666666666599</v>
      </c>
      <c r="B1070" s="1">
        <f ca="1">IFERROR(__xludf.DUMMYFUNCTION("""COMPUTED_VALUE"""),3.88)</f>
        <v>3.88</v>
      </c>
    </row>
    <row r="1071" spans="1:2">
      <c r="A1071" s="3">
        <f ca="1">IFERROR(__xludf.DUMMYFUNCTION("""COMPUTED_VALUE"""),39905.6666666666)</f>
        <v>39905.666666666599</v>
      </c>
      <c r="B1071" s="1">
        <f ca="1">IFERROR(__xludf.DUMMYFUNCTION("""COMPUTED_VALUE"""),4.03)</f>
        <v>4.03</v>
      </c>
    </row>
    <row r="1072" spans="1:2">
      <c r="A1072" s="3">
        <f ca="1">IFERROR(__xludf.DUMMYFUNCTION("""COMPUTED_VALUE"""),39906.6666666666)</f>
        <v>39906.666666666599</v>
      </c>
      <c r="B1072" s="1">
        <f ca="1">IFERROR(__xludf.DUMMYFUNCTION("""COMPUTED_VALUE"""),4.14)</f>
        <v>4.1399999999999997</v>
      </c>
    </row>
    <row r="1073" spans="1:2">
      <c r="A1073" s="3">
        <f ca="1">IFERROR(__xludf.DUMMYFUNCTION("""COMPUTED_VALUE"""),39909.6666666666)</f>
        <v>39909.666666666599</v>
      </c>
      <c r="B1073" s="1">
        <f ca="1">IFERROR(__xludf.DUMMYFUNCTION("""COMPUTED_VALUE"""),4.23)</f>
        <v>4.2300000000000004</v>
      </c>
    </row>
    <row r="1074" spans="1:2">
      <c r="A1074" s="3">
        <f ca="1">IFERROR(__xludf.DUMMYFUNCTION("""COMPUTED_VALUE"""),39910.6666666666)</f>
        <v>39910.666666666599</v>
      </c>
      <c r="B1074" s="1">
        <f ca="1">IFERROR(__xludf.DUMMYFUNCTION("""COMPUTED_VALUE"""),4.11)</f>
        <v>4.1100000000000003</v>
      </c>
    </row>
    <row r="1075" spans="1:2">
      <c r="A1075" s="3">
        <f ca="1">IFERROR(__xludf.DUMMYFUNCTION("""COMPUTED_VALUE"""),39911.6666666666)</f>
        <v>39911.666666666599</v>
      </c>
      <c r="B1075" s="1">
        <f ca="1">IFERROR(__xludf.DUMMYFUNCTION("""COMPUTED_VALUE"""),4.15)</f>
        <v>4.1500000000000004</v>
      </c>
    </row>
    <row r="1076" spans="1:2">
      <c r="A1076" s="3">
        <f ca="1">IFERROR(__xludf.DUMMYFUNCTION("""COMPUTED_VALUE"""),39912.6666666666)</f>
        <v>39912.666666666599</v>
      </c>
      <c r="B1076" s="1">
        <f ca="1">IFERROR(__xludf.DUMMYFUNCTION("""COMPUTED_VALUE"""),4.27)</f>
        <v>4.2699999999999996</v>
      </c>
    </row>
    <row r="1077" spans="1:2">
      <c r="A1077" s="3">
        <f ca="1">IFERROR(__xludf.DUMMYFUNCTION("""COMPUTED_VALUE"""),39916.6666666666)</f>
        <v>39916.666666666599</v>
      </c>
      <c r="B1077" s="1">
        <f ca="1">IFERROR(__xludf.DUMMYFUNCTION("""COMPUTED_VALUE"""),4.29)</f>
        <v>4.29</v>
      </c>
    </row>
    <row r="1078" spans="1:2">
      <c r="A1078" s="3">
        <f ca="1">IFERROR(__xludf.DUMMYFUNCTION("""COMPUTED_VALUE"""),39917.6666666666)</f>
        <v>39917.666666666599</v>
      </c>
      <c r="B1078" s="1">
        <f ca="1">IFERROR(__xludf.DUMMYFUNCTION("""COMPUTED_VALUE"""),4.23)</f>
        <v>4.2300000000000004</v>
      </c>
    </row>
    <row r="1079" spans="1:2">
      <c r="A1079" s="3">
        <f ca="1">IFERROR(__xludf.DUMMYFUNCTION("""COMPUTED_VALUE"""),39918.6666666666)</f>
        <v>39918.666666666599</v>
      </c>
      <c r="B1079" s="1">
        <f ca="1">IFERROR(__xludf.DUMMYFUNCTION("""COMPUTED_VALUE"""),4.2)</f>
        <v>4.2</v>
      </c>
    </row>
    <row r="1080" spans="1:2">
      <c r="A1080" s="3">
        <f ca="1">IFERROR(__xludf.DUMMYFUNCTION("""COMPUTED_VALUE"""),39919.6666666666)</f>
        <v>39919.666666666599</v>
      </c>
      <c r="B1080" s="1">
        <f ca="1">IFERROR(__xludf.DUMMYFUNCTION("""COMPUTED_VALUE"""),4.34)</f>
        <v>4.34</v>
      </c>
    </row>
    <row r="1081" spans="1:2">
      <c r="A1081" s="3">
        <f ca="1">IFERROR(__xludf.DUMMYFUNCTION("""COMPUTED_VALUE"""),39920.6666666666)</f>
        <v>39920.666666666599</v>
      </c>
      <c r="B1081" s="1">
        <f ca="1">IFERROR(__xludf.DUMMYFUNCTION("""COMPUTED_VALUE"""),4.41)</f>
        <v>4.41</v>
      </c>
    </row>
    <row r="1082" spans="1:2">
      <c r="A1082" s="3">
        <f ca="1">IFERROR(__xludf.DUMMYFUNCTION("""COMPUTED_VALUE"""),39923.6666666666)</f>
        <v>39923.666666666599</v>
      </c>
      <c r="B1082" s="1">
        <f ca="1">IFERROR(__xludf.DUMMYFUNCTION("""COMPUTED_VALUE"""),4.3)</f>
        <v>4.3</v>
      </c>
    </row>
    <row r="1083" spans="1:2">
      <c r="A1083" s="3">
        <f ca="1">IFERROR(__xludf.DUMMYFUNCTION("""COMPUTED_VALUE"""),39924.6666666666)</f>
        <v>39924.666666666599</v>
      </c>
      <c r="B1083" s="1">
        <f ca="1">IFERROR(__xludf.DUMMYFUNCTION("""COMPUTED_VALUE"""),4.35)</f>
        <v>4.3499999999999996</v>
      </c>
    </row>
    <row r="1084" spans="1:2">
      <c r="A1084" s="3">
        <f ca="1">IFERROR(__xludf.DUMMYFUNCTION("""COMPUTED_VALUE"""),39925.6666666666)</f>
        <v>39925.666666666599</v>
      </c>
      <c r="B1084" s="1">
        <f ca="1">IFERROR(__xludf.DUMMYFUNCTION("""COMPUTED_VALUE"""),4.34)</f>
        <v>4.34</v>
      </c>
    </row>
    <row r="1085" spans="1:2">
      <c r="A1085" s="3">
        <f ca="1">IFERROR(__xludf.DUMMYFUNCTION("""COMPUTED_VALUE"""),39926.6666666666)</f>
        <v>39926.666666666599</v>
      </c>
      <c r="B1085" s="1">
        <f ca="1">IFERROR(__xludf.DUMMYFUNCTION("""COMPUTED_VALUE"""),4.48)</f>
        <v>4.4800000000000004</v>
      </c>
    </row>
    <row r="1086" spans="1:2">
      <c r="A1086" s="3">
        <f ca="1">IFERROR(__xludf.DUMMYFUNCTION("""COMPUTED_VALUE"""),39927.6666666666)</f>
        <v>39927.666666666599</v>
      </c>
      <c r="B1086" s="1">
        <f ca="1">IFERROR(__xludf.DUMMYFUNCTION("""COMPUTED_VALUE"""),4.43)</f>
        <v>4.43</v>
      </c>
    </row>
    <row r="1087" spans="1:2">
      <c r="A1087" s="3">
        <f ca="1">IFERROR(__xludf.DUMMYFUNCTION("""COMPUTED_VALUE"""),39930.6666666666)</f>
        <v>39930.666666666599</v>
      </c>
      <c r="B1087" s="1">
        <f ca="1">IFERROR(__xludf.DUMMYFUNCTION("""COMPUTED_VALUE"""),4.45)</f>
        <v>4.45</v>
      </c>
    </row>
    <row r="1088" spans="1:2">
      <c r="A1088" s="3">
        <f ca="1">IFERROR(__xludf.DUMMYFUNCTION("""COMPUTED_VALUE"""),39931.6666666666)</f>
        <v>39931.666666666599</v>
      </c>
      <c r="B1088" s="1">
        <f ca="1">IFERROR(__xludf.DUMMYFUNCTION("""COMPUTED_VALUE"""),4.43)</f>
        <v>4.43</v>
      </c>
    </row>
    <row r="1089" spans="1:2">
      <c r="A1089" s="3">
        <f ca="1">IFERROR(__xludf.DUMMYFUNCTION("""COMPUTED_VALUE"""),39932.6666666666)</f>
        <v>39932.666666666599</v>
      </c>
      <c r="B1089" s="1">
        <f ca="1">IFERROR(__xludf.DUMMYFUNCTION("""COMPUTED_VALUE"""),4.47)</f>
        <v>4.47</v>
      </c>
    </row>
    <row r="1090" spans="1:2">
      <c r="A1090" s="3">
        <f ca="1">IFERROR(__xludf.DUMMYFUNCTION("""COMPUTED_VALUE"""),39933.6666666666)</f>
        <v>39933.666666666599</v>
      </c>
      <c r="B1090" s="1">
        <f ca="1">IFERROR(__xludf.DUMMYFUNCTION("""COMPUTED_VALUE"""),4.49)</f>
        <v>4.49</v>
      </c>
    </row>
    <row r="1091" spans="1:2">
      <c r="A1091" s="3">
        <f ca="1">IFERROR(__xludf.DUMMYFUNCTION("""COMPUTED_VALUE"""),39934.6666666666)</f>
        <v>39934.666666666599</v>
      </c>
      <c r="B1091" s="1">
        <f ca="1">IFERROR(__xludf.DUMMYFUNCTION("""COMPUTED_VALUE"""),4.54)</f>
        <v>4.54</v>
      </c>
    </row>
    <row r="1092" spans="1:2">
      <c r="A1092" s="3">
        <f ca="1">IFERROR(__xludf.DUMMYFUNCTION("""COMPUTED_VALUE"""),39937.6666666666)</f>
        <v>39937.666666666599</v>
      </c>
      <c r="B1092" s="1">
        <f ca="1">IFERROR(__xludf.DUMMYFUNCTION("""COMPUTED_VALUE"""),4.72)</f>
        <v>4.72</v>
      </c>
    </row>
    <row r="1093" spans="1:2">
      <c r="A1093" s="3">
        <f ca="1">IFERROR(__xludf.DUMMYFUNCTION("""COMPUTED_VALUE"""),39938.6666666666)</f>
        <v>39938.666666666599</v>
      </c>
      <c r="B1093" s="1">
        <f ca="1">IFERROR(__xludf.DUMMYFUNCTION("""COMPUTED_VALUE"""),4.74)</f>
        <v>4.74</v>
      </c>
    </row>
    <row r="1094" spans="1:2">
      <c r="A1094" s="3">
        <f ca="1">IFERROR(__xludf.DUMMYFUNCTION("""COMPUTED_VALUE"""),39939.6666666666)</f>
        <v>39939.666666666599</v>
      </c>
      <c r="B1094" s="1">
        <f ca="1">IFERROR(__xludf.DUMMYFUNCTION("""COMPUTED_VALUE"""),4.73)</f>
        <v>4.7300000000000004</v>
      </c>
    </row>
    <row r="1095" spans="1:2">
      <c r="A1095" s="3">
        <f ca="1">IFERROR(__xludf.DUMMYFUNCTION("""COMPUTED_VALUE"""),39940.6666666666)</f>
        <v>39940.666666666599</v>
      </c>
      <c r="B1095" s="1">
        <f ca="1">IFERROR(__xludf.DUMMYFUNCTION("""COMPUTED_VALUE"""),4.61)</f>
        <v>4.6100000000000003</v>
      </c>
    </row>
    <row r="1096" spans="1:2">
      <c r="A1096" s="3">
        <f ca="1">IFERROR(__xludf.DUMMYFUNCTION("""COMPUTED_VALUE"""),39941.6666666666)</f>
        <v>39941.666666666599</v>
      </c>
      <c r="B1096" s="1">
        <f ca="1">IFERROR(__xludf.DUMMYFUNCTION("""COMPUTED_VALUE"""),4.61)</f>
        <v>4.6100000000000003</v>
      </c>
    </row>
    <row r="1097" spans="1:2">
      <c r="A1097" s="3">
        <f ca="1">IFERROR(__xludf.DUMMYFUNCTION("""COMPUTED_VALUE"""),39944.6666666666)</f>
        <v>39944.666666666599</v>
      </c>
      <c r="B1097" s="1">
        <f ca="1">IFERROR(__xludf.DUMMYFUNCTION("""COMPUTED_VALUE"""),4.63)</f>
        <v>4.63</v>
      </c>
    </row>
    <row r="1098" spans="1:2">
      <c r="A1098" s="3">
        <f ca="1">IFERROR(__xludf.DUMMYFUNCTION("""COMPUTED_VALUE"""),39945.6666666666)</f>
        <v>39945.666666666599</v>
      </c>
      <c r="B1098" s="1">
        <f ca="1">IFERROR(__xludf.DUMMYFUNCTION("""COMPUTED_VALUE"""),4.44)</f>
        <v>4.4400000000000004</v>
      </c>
    </row>
    <row r="1099" spans="1:2">
      <c r="A1099" s="3">
        <f ca="1">IFERROR(__xludf.DUMMYFUNCTION("""COMPUTED_VALUE"""),39946.6666666666)</f>
        <v>39946.666666666599</v>
      </c>
      <c r="B1099" s="1">
        <f ca="1">IFERROR(__xludf.DUMMYFUNCTION("""COMPUTED_VALUE"""),4.27)</f>
        <v>4.2699999999999996</v>
      </c>
    </row>
    <row r="1100" spans="1:2">
      <c r="A1100" s="3">
        <f ca="1">IFERROR(__xludf.DUMMYFUNCTION("""COMPUTED_VALUE"""),39947.6666666666)</f>
        <v>39947.666666666599</v>
      </c>
      <c r="B1100" s="1">
        <f ca="1">IFERROR(__xludf.DUMMYFUNCTION("""COMPUTED_VALUE"""),4.39)</f>
        <v>4.3899999999999997</v>
      </c>
    </row>
    <row r="1101" spans="1:2">
      <c r="A1101" s="3">
        <f ca="1">IFERROR(__xludf.DUMMYFUNCTION("""COMPUTED_VALUE"""),39948.6666666666)</f>
        <v>39948.666666666599</v>
      </c>
      <c r="B1101" s="1">
        <f ca="1">IFERROR(__xludf.DUMMYFUNCTION("""COMPUTED_VALUE"""),4.37)</f>
        <v>4.37</v>
      </c>
    </row>
    <row r="1102" spans="1:2">
      <c r="A1102" s="3">
        <f ca="1">IFERROR(__xludf.DUMMYFUNCTION("""COMPUTED_VALUE"""),39951.6666666666)</f>
        <v>39951.666666666599</v>
      </c>
      <c r="B1102" s="1">
        <f ca="1">IFERROR(__xludf.DUMMYFUNCTION("""COMPUTED_VALUE"""),4.52)</f>
        <v>4.5199999999999996</v>
      </c>
    </row>
    <row r="1103" spans="1:2">
      <c r="A1103" s="3">
        <f ca="1">IFERROR(__xludf.DUMMYFUNCTION("""COMPUTED_VALUE"""),39952.6666666666)</f>
        <v>39952.666666666599</v>
      </c>
      <c r="B1103" s="1">
        <f ca="1">IFERROR(__xludf.DUMMYFUNCTION("""COMPUTED_VALUE"""),4.55)</f>
        <v>4.55</v>
      </c>
    </row>
    <row r="1104" spans="1:2">
      <c r="A1104" s="3">
        <f ca="1">IFERROR(__xludf.DUMMYFUNCTION("""COMPUTED_VALUE"""),39953.6666666666)</f>
        <v>39953.666666666599</v>
      </c>
      <c r="B1104" s="1">
        <f ca="1">IFERROR(__xludf.DUMMYFUNCTION("""COMPUTED_VALUE"""),4.5)</f>
        <v>4.5</v>
      </c>
    </row>
    <row r="1105" spans="1:2">
      <c r="A1105" s="3">
        <f ca="1">IFERROR(__xludf.DUMMYFUNCTION("""COMPUTED_VALUE"""),39954.6666666666)</f>
        <v>39954.666666666599</v>
      </c>
      <c r="B1105" s="1">
        <f ca="1">IFERROR(__xludf.DUMMYFUNCTION("""COMPUTED_VALUE"""),4.43)</f>
        <v>4.43</v>
      </c>
    </row>
    <row r="1106" spans="1:2">
      <c r="A1106" s="3">
        <f ca="1">IFERROR(__xludf.DUMMYFUNCTION("""COMPUTED_VALUE"""),39955.6666666666)</f>
        <v>39955.666666666599</v>
      </c>
      <c r="B1106" s="1">
        <f ca="1">IFERROR(__xludf.DUMMYFUNCTION("""COMPUTED_VALUE"""),4.38)</f>
        <v>4.38</v>
      </c>
    </row>
    <row r="1107" spans="1:2">
      <c r="A1107" s="3">
        <f ca="1">IFERROR(__xludf.DUMMYFUNCTION("""COMPUTED_VALUE"""),39959.6666666666)</f>
        <v>39959.666666666599</v>
      </c>
      <c r="B1107" s="1">
        <f ca="1">IFERROR(__xludf.DUMMYFUNCTION("""COMPUTED_VALUE"""),4.67)</f>
        <v>4.67</v>
      </c>
    </row>
    <row r="1108" spans="1:2">
      <c r="A1108" s="3">
        <f ca="1">IFERROR(__xludf.DUMMYFUNCTION("""COMPUTED_VALUE"""),39960.6666666666)</f>
        <v>39960.666666666599</v>
      </c>
      <c r="B1108" s="1">
        <f ca="1">IFERROR(__xludf.DUMMYFUNCTION("""COMPUTED_VALUE"""),4.75)</f>
        <v>4.75</v>
      </c>
    </row>
    <row r="1109" spans="1:2">
      <c r="A1109" s="3">
        <f ca="1">IFERROR(__xludf.DUMMYFUNCTION("""COMPUTED_VALUE"""),39961.6666666666)</f>
        <v>39961.666666666599</v>
      </c>
      <c r="B1109" s="1">
        <f ca="1">IFERROR(__xludf.DUMMYFUNCTION("""COMPUTED_VALUE"""),4.82)</f>
        <v>4.82</v>
      </c>
    </row>
    <row r="1110" spans="1:2">
      <c r="A1110" s="3">
        <f ca="1">IFERROR(__xludf.DUMMYFUNCTION("""COMPUTED_VALUE"""),39962.6666666666)</f>
        <v>39962.666666666599</v>
      </c>
      <c r="B1110" s="1">
        <f ca="1">IFERROR(__xludf.DUMMYFUNCTION("""COMPUTED_VALUE"""),4.85)</f>
        <v>4.8499999999999996</v>
      </c>
    </row>
    <row r="1111" spans="1:2">
      <c r="A1111" s="3">
        <f ca="1">IFERROR(__xludf.DUMMYFUNCTION("""COMPUTED_VALUE"""),39965.6666666666)</f>
        <v>39965.666666666599</v>
      </c>
      <c r="B1111" s="1">
        <f ca="1">IFERROR(__xludf.DUMMYFUNCTION("""COMPUTED_VALUE"""),4.98)</f>
        <v>4.9800000000000004</v>
      </c>
    </row>
    <row r="1112" spans="1:2">
      <c r="A1112" s="3">
        <f ca="1">IFERROR(__xludf.DUMMYFUNCTION("""COMPUTED_VALUE"""),39966.6666666666)</f>
        <v>39966.666666666599</v>
      </c>
      <c r="B1112" s="1">
        <f ca="1">IFERROR(__xludf.DUMMYFUNCTION("""COMPUTED_VALUE"""),4.98)</f>
        <v>4.9800000000000004</v>
      </c>
    </row>
    <row r="1113" spans="1:2">
      <c r="A1113" s="3">
        <f ca="1">IFERROR(__xludf.DUMMYFUNCTION("""COMPUTED_VALUE"""),39967.6666666666)</f>
        <v>39967.666666666599</v>
      </c>
      <c r="B1113" s="1">
        <f ca="1">IFERROR(__xludf.DUMMYFUNCTION("""COMPUTED_VALUE"""),5.03)</f>
        <v>5.03</v>
      </c>
    </row>
    <row r="1114" spans="1:2">
      <c r="A1114" s="3">
        <f ca="1">IFERROR(__xludf.DUMMYFUNCTION("""COMPUTED_VALUE"""),39968.6666666666)</f>
        <v>39968.666666666599</v>
      </c>
      <c r="B1114" s="1">
        <f ca="1">IFERROR(__xludf.DUMMYFUNCTION("""COMPUTED_VALUE"""),5.13)</f>
        <v>5.13</v>
      </c>
    </row>
    <row r="1115" spans="1:2">
      <c r="A1115" s="3">
        <f ca="1">IFERROR(__xludf.DUMMYFUNCTION("""COMPUTED_VALUE"""),39969.6666666666)</f>
        <v>39969.666666666599</v>
      </c>
      <c r="B1115" s="1">
        <f ca="1">IFERROR(__xludf.DUMMYFUNCTION("""COMPUTED_VALUE"""),5.17)</f>
        <v>5.17</v>
      </c>
    </row>
    <row r="1116" spans="1:2">
      <c r="A1116" s="3">
        <f ca="1">IFERROR(__xludf.DUMMYFUNCTION("""COMPUTED_VALUE"""),39972.6666666666)</f>
        <v>39972.666666666599</v>
      </c>
      <c r="B1116" s="1">
        <f ca="1">IFERROR(__xludf.DUMMYFUNCTION("""COMPUTED_VALUE"""),5.14)</f>
        <v>5.14</v>
      </c>
    </row>
    <row r="1117" spans="1:2">
      <c r="A1117" s="3">
        <f ca="1">IFERROR(__xludf.DUMMYFUNCTION("""COMPUTED_VALUE"""),39973.6666666666)</f>
        <v>39973.666666666599</v>
      </c>
      <c r="B1117" s="1">
        <f ca="1">IFERROR(__xludf.DUMMYFUNCTION("""COMPUTED_VALUE"""),5.1)</f>
        <v>5.0999999999999996</v>
      </c>
    </row>
    <row r="1118" spans="1:2">
      <c r="A1118" s="3">
        <f ca="1">IFERROR(__xludf.DUMMYFUNCTION("""COMPUTED_VALUE"""),39974.6666666666)</f>
        <v>39974.666666666599</v>
      </c>
      <c r="B1118" s="1">
        <f ca="1">IFERROR(__xludf.DUMMYFUNCTION("""COMPUTED_VALUE"""),5.01)</f>
        <v>5.01</v>
      </c>
    </row>
    <row r="1119" spans="1:2">
      <c r="A1119" s="3">
        <f ca="1">IFERROR(__xludf.DUMMYFUNCTION("""COMPUTED_VALUE"""),39975.6666666666)</f>
        <v>39975.666666666599</v>
      </c>
      <c r="B1119" s="1">
        <f ca="1">IFERROR(__xludf.DUMMYFUNCTION("""COMPUTED_VALUE"""),5)</f>
        <v>5</v>
      </c>
    </row>
    <row r="1120" spans="1:2">
      <c r="A1120" s="3">
        <f ca="1">IFERROR(__xludf.DUMMYFUNCTION("""COMPUTED_VALUE"""),39976.6666666666)</f>
        <v>39976.666666666599</v>
      </c>
      <c r="B1120" s="1">
        <f ca="1">IFERROR(__xludf.DUMMYFUNCTION("""COMPUTED_VALUE"""),4.89)</f>
        <v>4.8899999999999997</v>
      </c>
    </row>
    <row r="1121" spans="1:2">
      <c r="A1121" s="3">
        <f ca="1">IFERROR(__xludf.DUMMYFUNCTION("""COMPUTED_VALUE"""),39979.6666666666)</f>
        <v>39979.666666666599</v>
      </c>
      <c r="B1121" s="1">
        <f ca="1">IFERROR(__xludf.DUMMYFUNCTION("""COMPUTED_VALUE"""),4.86)</f>
        <v>4.8600000000000003</v>
      </c>
    </row>
    <row r="1122" spans="1:2">
      <c r="A1122" s="3">
        <f ca="1">IFERROR(__xludf.DUMMYFUNCTION("""COMPUTED_VALUE"""),39980.6666666666)</f>
        <v>39980.666666666599</v>
      </c>
      <c r="B1122" s="1">
        <f ca="1">IFERROR(__xludf.DUMMYFUNCTION("""COMPUTED_VALUE"""),4.87)</f>
        <v>4.87</v>
      </c>
    </row>
    <row r="1123" spans="1:2">
      <c r="A1123" s="3">
        <f ca="1">IFERROR(__xludf.DUMMYFUNCTION("""COMPUTED_VALUE"""),39981.6666666666)</f>
        <v>39981.666666666599</v>
      </c>
      <c r="B1123" s="1">
        <f ca="1">IFERROR(__xludf.DUMMYFUNCTION("""COMPUTED_VALUE"""),4.84)</f>
        <v>4.84</v>
      </c>
    </row>
    <row r="1124" spans="1:2">
      <c r="A1124" s="3">
        <f ca="1">IFERROR(__xludf.DUMMYFUNCTION("""COMPUTED_VALUE"""),39982.6666666666)</f>
        <v>39982.666666666599</v>
      </c>
      <c r="B1124" s="1">
        <f ca="1">IFERROR(__xludf.DUMMYFUNCTION("""COMPUTED_VALUE"""),4.85)</f>
        <v>4.8499999999999996</v>
      </c>
    </row>
    <row r="1125" spans="1:2">
      <c r="A1125" s="3">
        <f ca="1">IFERROR(__xludf.DUMMYFUNCTION("""COMPUTED_VALUE"""),39983.6666666666)</f>
        <v>39983.666666666599</v>
      </c>
      <c r="B1125" s="1">
        <f ca="1">IFERROR(__xludf.DUMMYFUNCTION("""COMPUTED_VALUE"""),4.98)</f>
        <v>4.9800000000000004</v>
      </c>
    </row>
    <row r="1126" spans="1:2">
      <c r="A1126" s="3">
        <f ca="1">IFERROR(__xludf.DUMMYFUNCTION("""COMPUTED_VALUE"""),39986.6666666666)</f>
        <v>39986.666666666599</v>
      </c>
      <c r="B1126" s="1">
        <f ca="1">IFERROR(__xludf.DUMMYFUNCTION("""COMPUTED_VALUE"""),4.91)</f>
        <v>4.91</v>
      </c>
    </row>
    <row r="1127" spans="1:2">
      <c r="A1127" s="3">
        <f ca="1">IFERROR(__xludf.DUMMYFUNCTION("""COMPUTED_VALUE"""),39987.6666666666)</f>
        <v>39987.666666666599</v>
      </c>
      <c r="B1127" s="1">
        <f ca="1">IFERROR(__xludf.DUMMYFUNCTION("""COMPUTED_VALUE"""),4.79)</f>
        <v>4.79</v>
      </c>
    </row>
    <row r="1128" spans="1:2">
      <c r="A1128" s="3">
        <f ca="1">IFERROR(__xludf.DUMMYFUNCTION("""COMPUTED_VALUE"""),39988.6666666666)</f>
        <v>39988.666666666599</v>
      </c>
      <c r="B1128" s="1">
        <f ca="1">IFERROR(__xludf.DUMMYFUNCTION("""COMPUTED_VALUE"""),4.87)</f>
        <v>4.87</v>
      </c>
    </row>
    <row r="1129" spans="1:2">
      <c r="A1129" s="3">
        <f ca="1">IFERROR(__xludf.DUMMYFUNCTION("""COMPUTED_VALUE"""),39989.6666666666)</f>
        <v>39989.666666666599</v>
      </c>
      <c r="B1129" s="1">
        <f ca="1">IFERROR(__xludf.DUMMYFUNCTION("""COMPUTED_VALUE"""),5)</f>
        <v>5</v>
      </c>
    </row>
    <row r="1130" spans="1:2">
      <c r="A1130" s="3">
        <f ca="1">IFERROR(__xludf.DUMMYFUNCTION("""COMPUTED_VALUE"""),39990.6666666666)</f>
        <v>39990.666666666599</v>
      </c>
      <c r="B1130" s="1">
        <f ca="1">IFERROR(__xludf.DUMMYFUNCTION("""COMPUTED_VALUE"""),5.09)</f>
        <v>5.09</v>
      </c>
    </row>
    <row r="1131" spans="1:2">
      <c r="A1131" s="3">
        <f ca="1">IFERROR(__xludf.DUMMYFUNCTION("""COMPUTED_VALUE"""),39993.6666666666)</f>
        <v>39993.666666666599</v>
      </c>
      <c r="B1131" s="1">
        <f ca="1">IFERROR(__xludf.DUMMYFUNCTION("""COMPUTED_VALUE"""),5.07)</f>
        <v>5.07</v>
      </c>
    </row>
    <row r="1132" spans="1:2">
      <c r="A1132" s="3">
        <f ca="1">IFERROR(__xludf.DUMMYFUNCTION("""COMPUTED_VALUE"""),39994.6666666666)</f>
        <v>39994.666666666599</v>
      </c>
      <c r="B1132" s="1">
        <f ca="1">IFERROR(__xludf.DUMMYFUNCTION("""COMPUTED_VALUE"""),5.09)</f>
        <v>5.09</v>
      </c>
    </row>
    <row r="1133" spans="1:2">
      <c r="A1133" s="3">
        <f ca="1">IFERROR(__xludf.DUMMYFUNCTION("""COMPUTED_VALUE"""),39995.6666666666)</f>
        <v>39995.666666666599</v>
      </c>
      <c r="B1133" s="1">
        <f ca="1">IFERROR(__xludf.DUMMYFUNCTION("""COMPUTED_VALUE"""),5.1)</f>
        <v>5.0999999999999996</v>
      </c>
    </row>
    <row r="1134" spans="1:2">
      <c r="A1134" s="3">
        <f ca="1">IFERROR(__xludf.DUMMYFUNCTION("""COMPUTED_VALUE"""),39996.6666666666)</f>
        <v>39996.666666666599</v>
      </c>
      <c r="B1134" s="1">
        <f ca="1">IFERROR(__xludf.DUMMYFUNCTION("""COMPUTED_VALUE"""),5)</f>
        <v>5</v>
      </c>
    </row>
    <row r="1135" spans="1:2">
      <c r="A1135" s="3">
        <f ca="1">IFERROR(__xludf.DUMMYFUNCTION("""COMPUTED_VALUE"""),40000.6666666666)</f>
        <v>40000.666666666599</v>
      </c>
      <c r="B1135" s="1">
        <f ca="1">IFERROR(__xludf.DUMMYFUNCTION("""COMPUTED_VALUE"""),4.95)</f>
        <v>4.95</v>
      </c>
    </row>
    <row r="1136" spans="1:2">
      <c r="A1136" s="3">
        <f ca="1">IFERROR(__xludf.DUMMYFUNCTION("""COMPUTED_VALUE"""),40001.6666666666)</f>
        <v>40001.666666666599</v>
      </c>
      <c r="B1136" s="1">
        <f ca="1">IFERROR(__xludf.DUMMYFUNCTION("""COMPUTED_VALUE"""),4.84)</f>
        <v>4.84</v>
      </c>
    </row>
    <row r="1137" spans="1:2">
      <c r="A1137" s="3">
        <f ca="1">IFERROR(__xludf.DUMMYFUNCTION("""COMPUTED_VALUE"""),40002.6666666666)</f>
        <v>40002.666666666599</v>
      </c>
      <c r="B1137" s="1">
        <f ca="1">IFERROR(__xludf.DUMMYFUNCTION("""COMPUTED_VALUE"""),4.9)</f>
        <v>4.9000000000000004</v>
      </c>
    </row>
    <row r="1138" spans="1:2">
      <c r="A1138" s="3">
        <f ca="1">IFERROR(__xludf.DUMMYFUNCTION("""COMPUTED_VALUE"""),40003.6666666666)</f>
        <v>40003.666666666599</v>
      </c>
      <c r="B1138" s="1">
        <f ca="1">IFERROR(__xludf.DUMMYFUNCTION("""COMPUTED_VALUE"""),4.87)</f>
        <v>4.87</v>
      </c>
    </row>
    <row r="1139" spans="1:2">
      <c r="A1139" s="3">
        <f ca="1">IFERROR(__xludf.DUMMYFUNCTION("""COMPUTED_VALUE"""),40004.6666666666)</f>
        <v>40004.666666666599</v>
      </c>
      <c r="B1139" s="1">
        <f ca="1">IFERROR(__xludf.DUMMYFUNCTION("""COMPUTED_VALUE"""),4.95)</f>
        <v>4.95</v>
      </c>
    </row>
    <row r="1140" spans="1:2">
      <c r="A1140" s="3">
        <f ca="1">IFERROR(__xludf.DUMMYFUNCTION("""COMPUTED_VALUE"""),40007.6666666666)</f>
        <v>40007.666666666599</v>
      </c>
      <c r="B1140" s="1">
        <f ca="1">IFERROR(__xludf.DUMMYFUNCTION("""COMPUTED_VALUE"""),5.08)</f>
        <v>5.08</v>
      </c>
    </row>
    <row r="1141" spans="1:2">
      <c r="A1141" s="3">
        <f ca="1">IFERROR(__xludf.DUMMYFUNCTION("""COMPUTED_VALUE"""),40008.6666666666)</f>
        <v>40008.666666666599</v>
      </c>
      <c r="B1141" s="1">
        <f ca="1">IFERROR(__xludf.DUMMYFUNCTION("""COMPUTED_VALUE"""),5.08)</f>
        <v>5.08</v>
      </c>
    </row>
    <row r="1142" spans="1:2">
      <c r="A1142" s="3">
        <f ca="1">IFERROR(__xludf.DUMMYFUNCTION("""COMPUTED_VALUE"""),40009.6666666666)</f>
        <v>40009.666666666599</v>
      </c>
      <c r="B1142" s="1">
        <f ca="1">IFERROR(__xludf.DUMMYFUNCTION("""COMPUTED_VALUE"""),5.25)</f>
        <v>5.25</v>
      </c>
    </row>
    <row r="1143" spans="1:2">
      <c r="A1143" s="3">
        <f ca="1">IFERROR(__xludf.DUMMYFUNCTION("""COMPUTED_VALUE"""),40010.6666666666)</f>
        <v>40010.666666666599</v>
      </c>
      <c r="B1143" s="1">
        <f ca="1">IFERROR(__xludf.DUMMYFUNCTION("""COMPUTED_VALUE"""),5.27)</f>
        <v>5.27</v>
      </c>
    </row>
    <row r="1144" spans="1:2">
      <c r="A1144" s="3">
        <f ca="1">IFERROR(__xludf.DUMMYFUNCTION("""COMPUTED_VALUE"""),40011.6666666666)</f>
        <v>40011.666666666599</v>
      </c>
      <c r="B1144" s="1">
        <f ca="1">IFERROR(__xludf.DUMMYFUNCTION("""COMPUTED_VALUE"""),5.42)</f>
        <v>5.42</v>
      </c>
    </row>
    <row r="1145" spans="1:2">
      <c r="A1145" s="3">
        <f ca="1">IFERROR(__xludf.DUMMYFUNCTION("""COMPUTED_VALUE"""),40014.6666666666)</f>
        <v>40014.666666666599</v>
      </c>
      <c r="B1145" s="1">
        <f ca="1">IFERROR(__xludf.DUMMYFUNCTION("""COMPUTED_VALUE"""),5.46)</f>
        <v>5.46</v>
      </c>
    </row>
    <row r="1146" spans="1:2">
      <c r="A1146" s="3">
        <f ca="1">IFERROR(__xludf.DUMMYFUNCTION("""COMPUTED_VALUE"""),40015.6666666666)</f>
        <v>40015.666666666599</v>
      </c>
      <c r="B1146" s="1">
        <f ca="1">IFERROR(__xludf.DUMMYFUNCTION("""COMPUTED_VALUE"""),5.41)</f>
        <v>5.41</v>
      </c>
    </row>
    <row r="1147" spans="1:2">
      <c r="A1147" s="3">
        <f ca="1">IFERROR(__xludf.DUMMYFUNCTION("""COMPUTED_VALUE"""),40016.6666666666)</f>
        <v>40016.666666666599</v>
      </c>
      <c r="B1147" s="1">
        <f ca="1">IFERROR(__xludf.DUMMYFUNCTION("""COMPUTED_VALUE"""),5.6)</f>
        <v>5.6</v>
      </c>
    </row>
    <row r="1148" spans="1:2">
      <c r="A1148" s="3">
        <f ca="1">IFERROR(__xludf.DUMMYFUNCTION("""COMPUTED_VALUE"""),40017.6666666666)</f>
        <v>40017.666666666599</v>
      </c>
      <c r="B1148" s="1">
        <f ca="1">IFERROR(__xludf.DUMMYFUNCTION("""COMPUTED_VALUE"""),5.64)</f>
        <v>5.64</v>
      </c>
    </row>
    <row r="1149" spans="1:2">
      <c r="A1149" s="3">
        <f ca="1">IFERROR(__xludf.DUMMYFUNCTION("""COMPUTED_VALUE"""),40018.6666666666)</f>
        <v>40018.666666666599</v>
      </c>
      <c r="B1149" s="1">
        <f ca="1">IFERROR(__xludf.DUMMYFUNCTION("""COMPUTED_VALUE"""),5.71)</f>
        <v>5.71</v>
      </c>
    </row>
    <row r="1150" spans="1:2">
      <c r="A1150" s="3">
        <f ca="1">IFERROR(__xludf.DUMMYFUNCTION("""COMPUTED_VALUE"""),40021.6666666666)</f>
        <v>40021.666666666599</v>
      </c>
      <c r="B1150" s="1">
        <f ca="1">IFERROR(__xludf.DUMMYFUNCTION("""COMPUTED_VALUE"""),5.72)</f>
        <v>5.72</v>
      </c>
    </row>
    <row r="1151" spans="1:2">
      <c r="A1151" s="3">
        <f ca="1">IFERROR(__xludf.DUMMYFUNCTION("""COMPUTED_VALUE"""),40022.6666666666)</f>
        <v>40022.666666666599</v>
      </c>
      <c r="B1151" s="1">
        <f ca="1">IFERROR(__xludf.DUMMYFUNCTION("""COMPUTED_VALUE"""),5.71)</f>
        <v>5.71</v>
      </c>
    </row>
    <row r="1152" spans="1:2">
      <c r="A1152" s="3">
        <f ca="1">IFERROR(__xludf.DUMMYFUNCTION("""COMPUTED_VALUE"""),40023.6666666666)</f>
        <v>40023.666666666599</v>
      </c>
      <c r="B1152" s="1">
        <f ca="1">IFERROR(__xludf.DUMMYFUNCTION("""COMPUTED_VALUE"""),5.72)</f>
        <v>5.72</v>
      </c>
    </row>
    <row r="1153" spans="1:2">
      <c r="A1153" s="3">
        <f ca="1">IFERROR(__xludf.DUMMYFUNCTION("""COMPUTED_VALUE"""),40024.6666666666)</f>
        <v>40024.666666666599</v>
      </c>
      <c r="B1153" s="1">
        <f ca="1">IFERROR(__xludf.DUMMYFUNCTION("""COMPUTED_VALUE"""),5.81)</f>
        <v>5.81</v>
      </c>
    </row>
    <row r="1154" spans="1:2">
      <c r="A1154" s="3">
        <f ca="1">IFERROR(__xludf.DUMMYFUNCTION("""COMPUTED_VALUE"""),40025.6666666666)</f>
        <v>40025.666666666599</v>
      </c>
      <c r="B1154" s="1">
        <f ca="1">IFERROR(__xludf.DUMMYFUNCTION("""COMPUTED_VALUE"""),5.84)</f>
        <v>5.84</v>
      </c>
    </row>
    <row r="1155" spans="1:2">
      <c r="A1155" s="3">
        <f ca="1">IFERROR(__xludf.DUMMYFUNCTION("""COMPUTED_VALUE"""),40028.6666666666)</f>
        <v>40028.666666666599</v>
      </c>
      <c r="B1155" s="1">
        <f ca="1">IFERROR(__xludf.DUMMYFUNCTION("""COMPUTED_VALUE"""),5.94)</f>
        <v>5.94</v>
      </c>
    </row>
    <row r="1156" spans="1:2">
      <c r="A1156" s="3">
        <f ca="1">IFERROR(__xludf.DUMMYFUNCTION("""COMPUTED_VALUE"""),40029.6666666666)</f>
        <v>40029.666666666599</v>
      </c>
      <c r="B1156" s="1">
        <f ca="1">IFERROR(__xludf.DUMMYFUNCTION("""COMPUTED_VALUE"""),5.91)</f>
        <v>5.91</v>
      </c>
    </row>
    <row r="1157" spans="1:2">
      <c r="A1157" s="3">
        <f ca="1">IFERROR(__xludf.DUMMYFUNCTION("""COMPUTED_VALUE"""),40030.6666666666)</f>
        <v>40030.666666666599</v>
      </c>
      <c r="B1157" s="1">
        <f ca="1">IFERROR(__xludf.DUMMYFUNCTION("""COMPUTED_VALUE"""),5.9)</f>
        <v>5.9</v>
      </c>
    </row>
    <row r="1158" spans="1:2">
      <c r="A1158" s="3">
        <f ca="1">IFERROR(__xludf.DUMMYFUNCTION("""COMPUTED_VALUE"""),40031.6666666666)</f>
        <v>40031.666666666599</v>
      </c>
      <c r="B1158" s="1">
        <f ca="1">IFERROR(__xludf.DUMMYFUNCTION("""COMPUTED_VALUE"""),5.85)</f>
        <v>5.85</v>
      </c>
    </row>
    <row r="1159" spans="1:2">
      <c r="A1159" s="3">
        <f ca="1">IFERROR(__xludf.DUMMYFUNCTION("""COMPUTED_VALUE"""),40032.6666666666)</f>
        <v>40032.666666666599</v>
      </c>
      <c r="B1159" s="1">
        <f ca="1">IFERROR(__xludf.DUMMYFUNCTION("""COMPUTED_VALUE"""),5.91)</f>
        <v>5.91</v>
      </c>
    </row>
    <row r="1160" spans="1:2">
      <c r="A1160" s="3">
        <f ca="1">IFERROR(__xludf.DUMMYFUNCTION("""COMPUTED_VALUE"""),40035.6666666666)</f>
        <v>40035.666666666599</v>
      </c>
      <c r="B1160" s="1">
        <f ca="1">IFERROR(__xludf.DUMMYFUNCTION("""COMPUTED_VALUE"""),5.88)</f>
        <v>5.88</v>
      </c>
    </row>
    <row r="1161" spans="1:2">
      <c r="A1161" s="3">
        <f ca="1">IFERROR(__xludf.DUMMYFUNCTION("""COMPUTED_VALUE"""),40036.6666666666)</f>
        <v>40036.666666666599</v>
      </c>
      <c r="B1161" s="1">
        <f ca="1">IFERROR(__xludf.DUMMYFUNCTION("""COMPUTED_VALUE"""),5.82)</f>
        <v>5.82</v>
      </c>
    </row>
    <row r="1162" spans="1:2">
      <c r="A1162" s="3">
        <f ca="1">IFERROR(__xludf.DUMMYFUNCTION("""COMPUTED_VALUE"""),40037.6666666666)</f>
        <v>40037.666666666599</v>
      </c>
      <c r="B1162" s="1">
        <f ca="1">IFERROR(__xludf.DUMMYFUNCTION("""COMPUTED_VALUE"""),5.9)</f>
        <v>5.9</v>
      </c>
    </row>
    <row r="1163" spans="1:2">
      <c r="A1163" s="3">
        <f ca="1">IFERROR(__xludf.DUMMYFUNCTION("""COMPUTED_VALUE"""),40038.6666666666)</f>
        <v>40038.666666666599</v>
      </c>
      <c r="B1163" s="1">
        <f ca="1">IFERROR(__xludf.DUMMYFUNCTION("""COMPUTED_VALUE"""),6.02)</f>
        <v>6.02</v>
      </c>
    </row>
    <row r="1164" spans="1:2">
      <c r="A1164" s="3">
        <f ca="1">IFERROR(__xludf.DUMMYFUNCTION("""COMPUTED_VALUE"""),40039.6666666666)</f>
        <v>40039.666666666599</v>
      </c>
      <c r="B1164" s="1">
        <f ca="1">IFERROR(__xludf.DUMMYFUNCTION("""COMPUTED_VALUE"""),5.96)</f>
        <v>5.96</v>
      </c>
    </row>
    <row r="1165" spans="1:2">
      <c r="A1165" s="3">
        <f ca="1">IFERROR(__xludf.DUMMYFUNCTION("""COMPUTED_VALUE"""),40042.6666666666)</f>
        <v>40042.666666666599</v>
      </c>
      <c r="B1165" s="1">
        <f ca="1">IFERROR(__xludf.DUMMYFUNCTION("""COMPUTED_VALUE"""),5.7)</f>
        <v>5.7</v>
      </c>
    </row>
    <row r="1166" spans="1:2">
      <c r="A1166" s="3">
        <f ca="1">IFERROR(__xludf.DUMMYFUNCTION("""COMPUTED_VALUE"""),40043.6666666666)</f>
        <v>40043.666666666599</v>
      </c>
      <c r="B1166" s="1">
        <f ca="1">IFERROR(__xludf.DUMMYFUNCTION("""COMPUTED_VALUE"""),5.86)</f>
        <v>5.86</v>
      </c>
    </row>
    <row r="1167" spans="1:2">
      <c r="A1167" s="3">
        <f ca="1">IFERROR(__xludf.DUMMYFUNCTION("""COMPUTED_VALUE"""),40044.6666666666)</f>
        <v>40044.666666666599</v>
      </c>
      <c r="B1167" s="1">
        <f ca="1">IFERROR(__xludf.DUMMYFUNCTION("""COMPUTED_VALUE"""),5.88)</f>
        <v>5.88</v>
      </c>
    </row>
    <row r="1168" spans="1:2">
      <c r="A1168" s="3">
        <f ca="1">IFERROR(__xludf.DUMMYFUNCTION("""COMPUTED_VALUE"""),40045.6666666666)</f>
        <v>40045.666666666599</v>
      </c>
      <c r="B1168" s="1">
        <f ca="1">IFERROR(__xludf.DUMMYFUNCTION("""COMPUTED_VALUE"""),5.94)</f>
        <v>5.94</v>
      </c>
    </row>
    <row r="1169" spans="1:2">
      <c r="A1169" s="3">
        <f ca="1">IFERROR(__xludf.DUMMYFUNCTION("""COMPUTED_VALUE"""),40046.6666666666)</f>
        <v>40046.666666666599</v>
      </c>
      <c r="B1169" s="1">
        <f ca="1">IFERROR(__xludf.DUMMYFUNCTION("""COMPUTED_VALUE"""),6.04)</f>
        <v>6.04</v>
      </c>
    </row>
    <row r="1170" spans="1:2">
      <c r="A1170" s="3">
        <f ca="1">IFERROR(__xludf.DUMMYFUNCTION("""COMPUTED_VALUE"""),40049.6666666666)</f>
        <v>40049.666666666599</v>
      </c>
      <c r="B1170" s="1">
        <f ca="1">IFERROR(__xludf.DUMMYFUNCTION("""COMPUTED_VALUE"""),6.04)</f>
        <v>6.04</v>
      </c>
    </row>
    <row r="1171" spans="1:2">
      <c r="A1171" s="3">
        <f ca="1">IFERROR(__xludf.DUMMYFUNCTION("""COMPUTED_VALUE"""),40050.6666666666)</f>
        <v>40050.666666666599</v>
      </c>
      <c r="B1171" s="1">
        <f ca="1">IFERROR(__xludf.DUMMYFUNCTION("""COMPUTED_VALUE"""),6.05)</f>
        <v>6.05</v>
      </c>
    </row>
    <row r="1172" spans="1:2">
      <c r="A1172" s="3">
        <f ca="1">IFERROR(__xludf.DUMMYFUNCTION("""COMPUTED_VALUE"""),40051.6666666666)</f>
        <v>40051.666666666599</v>
      </c>
      <c r="B1172" s="1">
        <f ca="1">IFERROR(__xludf.DUMMYFUNCTION("""COMPUTED_VALUE"""),5.98)</f>
        <v>5.98</v>
      </c>
    </row>
    <row r="1173" spans="1:2">
      <c r="A1173" s="3">
        <f ca="1">IFERROR(__xludf.DUMMYFUNCTION("""COMPUTED_VALUE"""),40052.6666666666)</f>
        <v>40052.666666666599</v>
      </c>
      <c r="B1173" s="1">
        <f ca="1">IFERROR(__xludf.DUMMYFUNCTION("""COMPUTED_VALUE"""),6.05)</f>
        <v>6.05</v>
      </c>
    </row>
    <row r="1174" spans="1:2">
      <c r="A1174" s="3">
        <f ca="1">IFERROR(__xludf.DUMMYFUNCTION("""COMPUTED_VALUE"""),40053.6666666666)</f>
        <v>40053.666666666599</v>
      </c>
      <c r="B1174" s="1">
        <f ca="1">IFERROR(__xludf.DUMMYFUNCTION("""COMPUTED_VALUE"""),6.07)</f>
        <v>6.07</v>
      </c>
    </row>
    <row r="1175" spans="1:2">
      <c r="A1175" s="3">
        <f ca="1">IFERROR(__xludf.DUMMYFUNCTION("""COMPUTED_VALUE"""),40056.6666666666)</f>
        <v>40056.666666666599</v>
      </c>
      <c r="B1175" s="1">
        <f ca="1">IFERROR(__xludf.DUMMYFUNCTION("""COMPUTED_VALUE"""),6.01)</f>
        <v>6.01</v>
      </c>
    </row>
    <row r="1176" spans="1:2">
      <c r="A1176" s="3">
        <f ca="1">IFERROR(__xludf.DUMMYFUNCTION("""COMPUTED_VALUE"""),40057.6666666666)</f>
        <v>40057.666666666599</v>
      </c>
      <c r="B1176" s="1">
        <f ca="1">IFERROR(__xludf.DUMMYFUNCTION("""COMPUTED_VALUE"""),5.9)</f>
        <v>5.9</v>
      </c>
    </row>
    <row r="1177" spans="1:2">
      <c r="A1177" s="3">
        <f ca="1">IFERROR(__xludf.DUMMYFUNCTION("""COMPUTED_VALUE"""),40058.6666666666)</f>
        <v>40058.666666666599</v>
      </c>
      <c r="B1177" s="1">
        <f ca="1">IFERROR(__xludf.DUMMYFUNCTION("""COMPUTED_VALUE"""),5.9)</f>
        <v>5.9</v>
      </c>
    </row>
    <row r="1178" spans="1:2">
      <c r="A1178" s="3">
        <f ca="1">IFERROR(__xludf.DUMMYFUNCTION("""COMPUTED_VALUE"""),40059.6666666666)</f>
        <v>40059.666666666599</v>
      </c>
      <c r="B1178" s="1">
        <f ca="1">IFERROR(__xludf.DUMMYFUNCTION("""COMPUTED_VALUE"""),5.95)</f>
        <v>5.95</v>
      </c>
    </row>
    <row r="1179" spans="1:2">
      <c r="A1179" s="3">
        <f ca="1">IFERROR(__xludf.DUMMYFUNCTION("""COMPUTED_VALUE"""),40060.6666666666)</f>
        <v>40060.666666666599</v>
      </c>
      <c r="B1179" s="1">
        <f ca="1">IFERROR(__xludf.DUMMYFUNCTION("""COMPUTED_VALUE"""),6.08)</f>
        <v>6.08</v>
      </c>
    </row>
    <row r="1180" spans="1:2">
      <c r="A1180" s="3">
        <f ca="1">IFERROR(__xludf.DUMMYFUNCTION("""COMPUTED_VALUE"""),40064.6666666666)</f>
        <v>40064.666666666599</v>
      </c>
      <c r="B1180" s="1">
        <f ca="1">IFERROR(__xludf.DUMMYFUNCTION("""COMPUTED_VALUE"""),6.18)</f>
        <v>6.18</v>
      </c>
    </row>
    <row r="1181" spans="1:2">
      <c r="A1181" s="3">
        <f ca="1">IFERROR(__xludf.DUMMYFUNCTION("""COMPUTED_VALUE"""),40065.6666666666)</f>
        <v>40065.666666666599</v>
      </c>
      <c r="B1181" s="1">
        <f ca="1">IFERROR(__xludf.DUMMYFUNCTION("""COMPUTED_VALUE"""),6.11)</f>
        <v>6.11</v>
      </c>
    </row>
    <row r="1182" spans="1:2">
      <c r="A1182" s="3">
        <f ca="1">IFERROR(__xludf.DUMMYFUNCTION("""COMPUTED_VALUE"""),40066.6666666666)</f>
        <v>40066.666666666599</v>
      </c>
      <c r="B1182" s="1">
        <f ca="1">IFERROR(__xludf.DUMMYFUNCTION("""COMPUTED_VALUE"""),6.16)</f>
        <v>6.16</v>
      </c>
    </row>
    <row r="1183" spans="1:2">
      <c r="A1183" s="3">
        <f ca="1">IFERROR(__xludf.DUMMYFUNCTION("""COMPUTED_VALUE"""),40067.6666666666)</f>
        <v>40067.666666666599</v>
      </c>
      <c r="B1183" s="1">
        <f ca="1">IFERROR(__xludf.DUMMYFUNCTION("""COMPUTED_VALUE"""),6.15)</f>
        <v>6.15</v>
      </c>
    </row>
    <row r="1184" spans="1:2">
      <c r="A1184" s="3">
        <f ca="1">IFERROR(__xludf.DUMMYFUNCTION("""COMPUTED_VALUE"""),40070.6666666666)</f>
        <v>40070.666666666599</v>
      </c>
      <c r="B1184" s="1">
        <f ca="1">IFERROR(__xludf.DUMMYFUNCTION("""COMPUTED_VALUE"""),6.2)</f>
        <v>6.2</v>
      </c>
    </row>
    <row r="1185" spans="1:2">
      <c r="A1185" s="3">
        <f ca="1">IFERROR(__xludf.DUMMYFUNCTION("""COMPUTED_VALUE"""),40071.6666666666)</f>
        <v>40071.666666666599</v>
      </c>
      <c r="B1185" s="1">
        <f ca="1">IFERROR(__xludf.DUMMYFUNCTION("""COMPUTED_VALUE"""),6.26)</f>
        <v>6.26</v>
      </c>
    </row>
    <row r="1186" spans="1:2">
      <c r="A1186" s="3">
        <f ca="1">IFERROR(__xludf.DUMMYFUNCTION("""COMPUTED_VALUE"""),40072.6666666666)</f>
        <v>40072.666666666599</v>
      </c>
      <c r="B1186" s="1">
        <f ca="1">IFERROR(__xludf.DUMMYFUNCTION("""COMPUTED_VALUE"""),6.5)</f>
        <v>6.5</v>
      </c>
    </row>
    <row r="1187" spans="1:2">
      <c r="A1187" s="3">
        <f ca="1">IFERROR(__xludf.DUMMYFUNCTION("""COMPUTED_VALUE"""),40073.6666666666)</f>
        <v>40073.666666666599</v>
      </c>
      <c r="B1187" s="1">
        <f ca="1">IFERROR(__xludf.DUMMYFUNCTION("""COMPUTED_VALUE"""),6.59)</f>
        <v>6.59</v>
      </c>
    </row>
    <row r="1188" spans="1:2">
      <c r="A1188" s="3">
        <f ca="1">IFERROR(__xludf.DUMMYFUNCTION("""COMPUTED_VALUE"""),40074.6666666666)</f>
        <v>40074.666666666599</v>
      </c>
      <c r="B1188" s="1">
        <f ca="1">IFERROR(__xludf.DUMMYFUNCTION("""COMPUTED_VALUE"""),6.61)</f>
        <v>6.61</v>
      </c>
    </row>
    <row r="1189" spans="1:2">
      <c r="A1189" s="3">
        <f ca="1">IFERROR(__xludf.DUMMYFUNCTION("""COMPUTED_VALUE"""),40077.6666666666)</f>
        <v>40077.666666666599</v>
      </c>
      <c r="B1189" s="1">
        <f ca="1">IFERROR(__xludf.DUMMYFUNCTION("""COMPUTED_VALUE"""),6.57)</f>
        <v>6.57</v>
      </c>
    </row>
    <row r="1190" spans="1:2">
      <c r="A1190" s="3">
        <f ca="1">IFERROR(__xludf.DUMMYFUNCTION("""COMPUTED_VALUE"""),40078.6666666666)</f>
        <v>40078.666666666599</v>
      </c>
      <c r="B1190" s="1">
        <f ca="1">IFERROR(__xludf.DUMMYFUNCTION("""COMPUTED_VALUE"""),6.59)</f>
        <v>6.59</v>
      </c>
    </row>
    <row r="1191" spans="1:2">
      <c r="A1191" s="3">
        <f ca="1">IFERROR(__xludf.DUMMYFUNCTION("""COMPUTED_VALUE"""),40079.6666666666)</f>
        <v>40079.666666666599</v>
      </c>
      <c r="B1191" s="1">
        <f ca="1">IFERROR(__xludf.DUMMYFUNCTION("""COMPUTED_VALUE"""),6.63)</f>
        <v>6.63</v>
      </c>
    </row>
    <row r="1192" spans="1:2">
      <c r="A1192" s="3">
        <f ca="1">IFERROR(__xludf.DUMMYFUNCTION("""COMPUTED_VALUE"""),40080.6666666666)</f>
        <v>40080.666666666599</v>
      </c>
      <c r="B1192" s="1">
        <f ca="1">IFERROR(__xludf.DUMMYFUNCTION("""COMPUTED_VALUE"""),6.57)</f>
        <v>6.57</v>
      </c>
    </row>
    <row r="1193" spans="1:2">
      <c r="A1193" s="3">
        <f ca="1">IFERROR(__xludf.DUMMYFUNCTION("""COMPUTED_VALUE"""),40081.6666666666)</f>
        <v>40081.666666666599</v>
      </c>
      <c r="B1193" s="1">
        <f ca="1">IFERROR(__xludf.DUMMYFUNCTION("""COMPUTED_VALUE"""),6.51)</f>
        <v>6.51</v>
      </c>
    </row>
    <row r="1194" spans="1:2">
      <c r="A1194" s="3">
        <f ca="1">IFERROR(__xludf.DUMMYFUNCTION("""COMPUTED_VALUE"""),40084.6666666666)</f>
        <v>40084.666666666599</v>
      </c>
      <c r="B1194" s="1">
        <f ca="1">IFERROR(__xludf.DUMMYFUNCTION("""COMPUTED_VALUE"""),6.65)</f>
        <v>6.65</v>
      </c>
    </row>
    <row r="1195" spans="1:2">
      <c r="A1195" s="3">
        <f ca="1">IFERROR(__xludf.DUMMYFUNCTION("""COMPUTED_VALUE"""),40085.6666666666)</f>
        <v>40085.666666666599</v>
      </c>
      <c r="B1195" s="1">
        <f ca="1">IFERROR(__xludf.DUMMYFUNCTION("""COMPUTED_VALUE"""),6.62)</f>
        <v>6.62</v>
      </c>
    </row>
    <row r="1196" spans="1:2">
      <c r="A1196" s="3">
        <f ca="1">IFERROR(__xludf.DUMMYFUNCTION("""COMPUTED_VALUE"""),40086.6666666666)</f>
        <v>40086.666666666599</v>
      </c>
      <c r="B1196" s="1">
        <f ca="1">IFERROR(__xludf.DUMMYFUNCTION("""COMPUTED_VALUE"""),6.62)</f>
        <v>6.62</v>
      </c>
    </row>
    <row r="1197" spans="1:2">
      <c r="A1197" s="3">
        <f ca="1">IFERROR(__xludf.DUMMYFUNCTION("""COMPUTED_VALUE"""),40087.6666666666)</f>
        <v>40087.666666666599</v>
      </c>
      <c r="B1197" s="1">
        <f ca="1">IFERROR(__xludf.DUMMYFUNCTION("""COMPUTED_VALUE"""),6.46)</f>
        <v>6.46</v>
      </c>
    </row>
    <row r="1198" spans="1:2">
      <c r="A1198" s="3">
        <f ca="1">IFERROR(__xludf.DUMMYFUNCTION("""COMPUTED_VALUE"""),40088.6666666666)</f>
        <v>40088.666666666599</v>
      </c>
      <c r="B1198" s="1">
        <f ca="1">IFERROR(__xludf.DUMMYFUNCTION("""COMPUTED_VALUE"""),6.6)</f>
        <v>6.6</v>
      </c>
    </row>
    <row r="1199" spans="1:2">
      <c r="A1199" s="3">
        <f ca="1">IFERROR(__xludf.DUMMYFUNCTION("""COMPUTED_VALUE"""),40091.6666666666)</f>
        <v>40091.666666666599</v>
      </c>
      <c r="B1199" s="1">
        <f ca="1">IFERROR(__xludf.DUMMYFUNCTION("""COMPUTED_VALUE"""),6.64)</f>
        <v>6.64</v>
      </c>
    </row>
    <row r="1200" spans="1:2">
      <c r="A1200" s="3">
        <f ca="1">IFERROR(__xludf.DUMMYFUNCTION("""COMPUTED_VALUE"""),40092.6666666666)</f>
        <v>40092.666666666599</v>
      </c>
      <c r="B1200" s="1">
        <f ca="1">IFERROR(__xludf.DUMMYFUNCTION("""COMPUTED_VALUE"""),6.79)</f>
        <v>6.79</v>
      </c>
    </row>
    <row r="1201" spans="1:2">
      <c r="A1201" s="3">
        <f ca="1">IFERROR(__xludf.DUMMYFUNCTION("""COMPUTED_VALUE"""),40093.6666666666)</f>
        <v>40093.666666666599</v>
      </c>
      <c r="B1201" s="1">
        <f ca="1">IFERROR(__xludf.DUMMYFUNCTION("""COMPUTED_VALUE"""),6.79)</f>
        <v>6.79</v>
      </c>
    </row>
    <row r="1202" spans="1:2">
      <c r="A1202" s="3">
        <f ca="1">IFERROR(__xludf.DUMMYFUNCTION("""COMPUTED_VALUE"""),40094.6666666666)</f>
        <v>40094.666666666599</v>
      </c>
      <c r="B1202" s="1">
        <f ca="1">IFERROR(__xludf.DUMMYFUNCTION("""COMPUTED_VALUE"""),6.76)</f>
        <v>6.76</v>
      </c>
    </row>
    <row r="1203" spans="1:2">
      <c r="A1203" s="3">
        <f ca="1">IFERROR(__xludf.DUMMYFUNCTION("""COMPUTED_VALUE"""),40095.6666666666)</f>
        <v>40095.666666666599</v>
      </c>
      <c r="B1203" s="1">
        <f ca="1">IFERROR(__xludf.DUMMYFUNCTION("""COMPUTED_VALUE"""),6.8)</f>
        <v>6.8</v>
      </c>
    </row>
    <row r="1204" spans="1:2">
      <c r="A1204" s="3">
        <f ca="1">IFERROR(__xludf.DUMMYFUNCTION("""COMPUTED_VALUE"""),40098.6666666666)</f>
        <v>40098.666666666599</v>
      </c>
      <c r="B1204" s="1">
        <f ca="1">IFERROR(__xludf.DUMMYFUNCTION("""COMPUTED_VALUE"""),6.81)</f>
        <v>6.81</v>
      </c>
    </row>
    <row r="1205" spans="1:2">
      <c r="A1205" s="3">
        <f ca="1">IFERROR(__xludf.DUMMYFUNCTION("""COMPUTED_VALUE"""),40099.6666666666)</f>
        <v>40099.666666666599</v>
      </c>
      <c r="B1205" s="1">
        <f ca="1">IFERROR(__xludf.DUMMYFUNCTION("""COMPUTED_VALUE"""),6.79)</f>
        <v>6.79</v>
      </c>
    </row>
    <row r="1206" spans="1:2">
      <c r="A1206" s="3">
        <f ca="1">IFERROR(__xludf.DUMMYFUNCTION("""COMPUTED_VALUE"""),40100.6666666666)</f>
        <v>40100.666666666599</v>
      </c>
      <c r="B1206" s="1">
        <f ca="1">IFERROR(__xludf.DUMMYFUNCTION("""COMPUTED_VALUE"""),6.83)</f>
        <v>6.83</v>
      </c>
    </row>
    <row r="1207" spans="1:2">
      <c r="A1207" s="3">
        <f ca="1">IFERROR(__xludf.DUMMYFUNCTION("""COMPUTED_VALUE"""),40101.6666666666)</f>
        <v>40101.666666666599</v>
      </c>
      <c r="B1207" s="1">
        <f ca="1">IFERROR(__xludf.DUMMYFUNCTION("""COMPUTED_VALUE"""),6.81)</f>
        <v>6.81</v>
      </c>
    </row>
    <row r="1208" spans="1:2">
      <c r="A1208" s="3">
        <f ca="1">IFERROR(__xludf.DUMMYFUNCTION("""COMPUTED_VALUE"""),40102.6666666666)</f>
        <v>40102.666666666599</v>
      </c>
      <c r="B1208" s="1">
        <f ca="1">IFERROR(__xludf.DUMMYFUNCTION("""COMPUTED_VALUE"""),6.72)</f>
        <v>6.72</v>
      </c>
    </row>
    <row r="1209" spans="1:2">
      <c r="A1209" s="3">
        <f ca="1">IFERROR(__xludf.DUMMYFUNCTION("""COMPUTED_VALUE"""),40105.6666666666)</f>
        <v>40105.666666666599</v>
      </c>
      <c r="B1209" s="1">
        <f ca="1">IFERROR(__xludf.DUMMYFUNCTION("""COMPUTED_VALUE"""),6.78)</f>
        <v>6.78</v>
      </c>
    </row>
    <row r="1210" spans="1:2">
      <c r="A1210" s="3">
        <f ca="1">IFERROR(__xludf.DUMMYFUNCTION("""COMPUTED_VALUE"""),40106.6666666666)</f>
        <v>40106.666666666599</v>
      </c>
      <c r="B1210" s="1">
        <f ca="1">IFERROR(__xludf.DUMMYFUNCTION("""COMPUTED_VALUE"""),7.1)</f>
        <v>7.1</v>
      </c>
    </row>
    <row r="1211" spans="1:2">
      <c r="A1211" s="3">
        <f ca="1">IFERROR(__xludf.DUMMYFUNCTION("""COMPUTED_VALUE"""),40107.6666666666)</f>
        <v>40107.666666666599</v>
      </c>
      <c r="B1211" s="1">
        <f ca="1">IFERROR(__xludf.DUMMYFUNCTION("""COMPUTED_VALUE"""),7.32)</f>
        <v>7.32</v>
      </c>
    </row>
    <row r="1212" spans="1:2">
      <c r="A1212" s="3">
        <f ca="1">IFERROR(__xludf.DUMMYFUNCTION("""COMPUTED_VALUE"""),40108.6666666666)</f>
        <v>40108.666666666599</v>
      </c>
      <c r="B1212" s="1">
        <f ca="1">IFERROR(__xludf.DUMMYFUNCTION("""COMPUTED_VALUE"""),7.33)</f>
        <v>7.33</v>
      </c>
    </row>
    <row r="1213" spans="1:2">
      <c r="A1213" s="3">
        <f ca="1">IFERROR(__xludf.DUMMYFUNCTION("""COMPUTED_VALUE"""),40109.6666666666)</f>
        <v>40109.666666666599</v>
      </c>
      <c r="B1213" s="1">
        <f ca="1">IFERROR(__xludf.DUMMYFUNCTION("""COMPUTED_VALUE"""),7.28)</f>
        <v>7.28</v>
      </c>
    </row>
    <row r="1214" spans="1:2">
      <c r="A1214" s="3">
        <f ca="1">IFERROR(__xludf.DUMMYFUNCTION("""COMPUTED_VALUE"""),40112.6666666666)</f>
        <v>40112.666666666599</v>
      </c>
      <c r="B1214" s="1">
        <f ca="1">IFERROR(__xludf.DUMMYFUNCTION("""COMPUTED_VALUE"""),7.23)</f>
        <v>7.23</v>
      </c>
    </row>
    <row r="1215" spans="1:2">
      <c r="A1215" s="3">
        <f ca="1">IFERROR(__xludf.DUMMYFUNCTION("""COMPUTED_VALUE"""),40113.6666666666)</f>
        <v>40113.666666666599</v>
      </c>
      <c r="B1215" s="1">
        <f ca="1">IFERROR(__xludf.DUMMYFUNCTION("""COMPUTED_VALUE"""),7.05)</f>
        <v>7.05</v>
      </c>
    </row>
    <row r="1216" spans="1:2">
      <c r="A1216" s="3">
        <f ca="1">IFERROR(__xludf.DUMMYFUNCTION("""COMPUTED_VALUE"""),40114.6666666666)</f>
        <v>40114.666666666599</v>
      </c>
      <c r="B1216" s="1">
        <f ca="1">IFERROR(__xludf.DUMMYFUNCTION("""COMPUTED_VALUE"""),6.87)</f>
        <v>6.87</v>
      </c>
    </row>
    <row r="1217" spans="1:2">
      <c r="A1217" s="3">
        <f ca="1">IFERROR(__xludf.DUMMYFUNCTION("""COMPUTED_VALUE"""),40115.6666666666)</f>
        <v>40115.666666666599</v>
      </c>
      <c r="B1217" s="1">
        <f ca="1">IFERROR(__xludf.DUMMYFUNCTION("""COMPUTED_VALUE"""),7.01)</f>
        <v>7.01</v>
      </c>
    </row>
    <row r="1218" spans="1:2">
      <c r="A1218" s="3">
        <f ca="1">IFERROR(__xludf.DUMMYFUNCTION("""COMPUTED_VALUE"""),40116.6666666666)</f>
        <v>40116.666666666599</v>
      </c>
      <c r="B1218" s="1">
        <f ca="1">IFERROR(__xludf.DUMMYFUNCTION("""COMPUTED_VALUE"""),6.73)</f>
        <v>6.73</v>
      </c>
    </row>
    <row r="1219" spans="1:2">
      <c r="A1219" s="3">
        <f ca="1">IFERROR(__xludf.DUMMYFUNCTION("""COMPUTED_VALUE"""),40119.6666666666)</f>
        <v>40119.666666666599</v>
      </c>
      <c r="B1219" s="1">
        <f ca="1">IFERROR(__xludf.DUMMYFUNCTION("""COMPUTED_VALUE"""),6.76)</f>
        <v>6.76</v>
      </c>
    </row>
    <row r="1220" spans="1:2">
      <c r="A1220" s="3">
        <f ca="1">IFERROR(__xludf.DUMMYFUNCTION("""COMPUTED_VALUE"""),40120.6666666666)</f>
        <v>40120.666666666599</v>
      </c>
      <c r="B1220" s="1">
        <f ca="1">IFERROR(__xludf.DUMMYFUNCTION("""COMPUTED_VALUE"""),6.74)</f>
        <v>6.74</v>
      </c>
    </row>
    <row r="1221" spans="1:2">
      <c r="A1221" s="3">
        <f ca="1">IFERROR(__xludf.DUMMYFUNCTION("""COMPUTED_VALUE"""),40121.6666666666)</f>
        <v>40121.666666666599</v>
      </c>
      <c r="B1221" s="1">
        <f ca="1">IFERROR(__xludf.DUMMYFUNCTION("""COMPUTED_VALUE"""),6.81)</f>
        <v>6.81</v>
      </c>
    </row>
    <row r="1222" spans="1:2">
      <c r="A1222" s="3">
        <f ca="1">IFERROR(__xludf.DUMMYFUNCTION("""COMPUTED_VALUE"""),40122.6666666666)</f>
        <v>40122.666666666599</v>
      </c>
      <c r="B1222" s="1">
        <f ca="1">IFERROR(__xludf.DUMMYFUNCTION("""COMPUTED_VALUE"""),6.93)</f>
        <v>6.93</v>
      </c>
    </row>
    <row r="1223" spans="1:2">
      <c r="A1223" s="3">
        <f ca="1">IFERROR(__xludf.DUMMYFUNCTION("""COMPUTED_VALUE"""),40123.6666666666)</f>
        <v>40123.666666666599</v>
      </c>
      <c r="B1223" s="1">
        <f ca="1">IFERROR(__xludf.DUMMYFUNCTION("""COMPUTED_VALUE"""),6.94)</f>
        <v>6.94</v>
      </c>
    </row>
    <row r="1224" spans="1:2">
      <c r="A1224" s="3">
        <f ca="1">IFERROR(__xludf.DUMMYFUNCTION("""COMPUTED_VALUE"""),40126.6666666666)</f>
        <v>40126.666666666599</v>
      </c>
      <c r="B1224" s="1">
        <f ca="1">IFERROR(__xludf.DUMMYFUNCTION("""COMPUTED_VALUE"""),7.2)</f>
        <v>7.2</v>
      </c>
    </row>
    <row r="1225" spans="1:2">
      <c r="A1225" s="3">
        <f ca="1">IFERROR(__xludf.DUMMYFUNCTION("""COMPUTED_VALUE"""),40127.6666666666)</f>
        <v>40127.666666666599</v>
      </c>
      <c r="B1225" s="1">
        <f ca="1">IFERROR(__xludf.DUMMYFUNCTION("""COMPUTED_VALUE"""),7.25)</f>
        <v>7.25</v>
      </c>
    </row>
    <row r="1226" spans="1:2">
      <c r="A1226" s="3">
        <f ca="1">IFERROR(__xludf.DUMMYFUNCTION("""COMPUTED_VALUE"""),40128.6666666666)</f>
        <v>40128.666666666599</v>
      </c>
      <c r="B1226" s="1">
        <f ca="1">IFERROR(__xludf.DUMMYFUNCTION("""COMPUTED_VALUE"""),7.26)</f>
        <v>7.26</v>
      </c>
    </row>
    <row r="1227" spans="1:2">
      <c r="A1227" s="3">
        <f ca="1">IFERROR(__xludf.DUMMYFUNCTION("""COMPUTED_VALUE"""),40129.6666666666)</f>
        <v>40129.666666666599</v>
      </c>
      <c r="B1227" s="1">
        <f ca="1">IFERROR(__xludf.DUMMYFUNCTION("""COMPUTED_VALUE"""),7.21)</f>
        <v>7.21</v>
      </c>
    </row>
    <row r="1228" spans="1:2">
      <c r="A1228" s="3">
        <f ca="1">IFERROR(__xludf.DUMMYFUNCTION("""COMPUTED_VALUE"""),40130.6666666666)</f>
        <v>40130.666666666599</v>
      </c>
      <c r="B1228" s="1">
        <f ca="1">IFERROR(__xludf.DUMMYFUNCTION("""COMPUTED_VALUE"""),7.3)</f>
        <v>7.3</v>
      </c>
    </row>
    <row r="1229" spans="1:2">
      <c r="A1229" s="3">
        <f ca="1">IFERROR(__xludf.DUMMYFUNCTION("""COMPUTED_VALUE"""),40133.6666666666)</f>
        <v>40133.666666666599</v>
      </c>
      <c r="B1229" s="1">
        <f ca="1">IFERROR(__xludf.DUMMYFUNCTION("""COMPUTED_VALUE"""),7.38)</f>
        <v>7.38</v>
      </c>
    </row>
    <row r="1230" spans="1:2">
      <c r="A1230" s="3">
        <f ca="1">IFERROR(__xludf.DUMMYFUNCTION("""COMPUTED_VALUE"""),40134.6666666666)</f>
        <v>40134.666666666599</v>
      </c>
      <c r="B1230" s="1">
        <f ca="1">IFERROR(__xludf.DUMMYFUNCTION("""COMPUTED_VALUE"""),7.39)</f>
        <v>7.39</v>
      </c>
    </row>
    <row r="1231" spans="1:2">
      <c r="A1231" s="3">
        <f ca="1">IFERROR(__xludf.DUMMYFUNCTION("""COMPUTED_VALUE"""),40135.6666666666)</f>
        <v>40135.666666666599</v>
      </c>
      <c r="B1231" s="1">
        <f ca="1">IFERROR(__xludf.DUMMYFUNCTION("""COMPUTED_VALUE"""),7.36)</f>
        <v>7.36</v>
      </c>
    </row>
    <row r="1232" spans="1:2">
      <c r="A1232" s="3">
        <f ca="1">IFERROR(__xludf.DUMMYFUNCTION("""COMPUTED_VALUE"""),40136.6666666666)</f>
        <v>40136.666666666599</v>
      </c>
      <c r="B1232" s="1">
        <f ca="1">IFERROR(__xludf.DUMMYFUNCTION("""COMPUTED_VALUE"""),7.16)</f>
        <v>7.16</v>
      </c>
    </row>
    <row r="1233" spans="1:2">
      <c r="A1233" s="3">
        <f ca="1">IFERROR(__xludf.DUMMYFUNCTION("""COMPUTED_VALUE"""),40137.6666666666)</f>
        <v>40137.666666666599</v>
      </c>
      <c r="B1233" s="1">
        <f ca="1">IFERROR(__xludf.DUMMYFUNCTION("""COMPUTED_VALUE"""),7.14)</f>
        <v>7.14</v>
      </c>
    </row>
    <row r="1234" spans="1:2">
      <c r="A1234" s="3">
        <f ca="1">IFERROR(__xludf.DUMMYFUNCTION("""COMPUTED_VALUE"""),40140.6666666666)</f>
        <v>40140.666666666599</v>
      </c>
      <c r="B1234" s="1">
        <f ca="1">IFERROR(__xludf.DUMMYFUNCTION("""COMPUTED_VALUE"""),7.35)</f>
        <v>7.35</v>
      </c>
    </row>
    <row r="1235" spans="1:2">
      <c r="A1235" s="3">
        <f ca="1">IFERROR(__xludf.DUMMYFUNCTION("""COMPUTED_VALUE"""),40141.6666666666)</f>
        <v>40141.666666666599</v>
      </c>
      <c r="B1235" s="1">
        <f ca="1">IFERROR(__xludf.DUMMYFUNCTION("""COMPUTED_VALUE"""),7.3)</f>
        <v>7.3</v>
      </c>
    </row>
    <row r="1236" spans="1:2">
      <c r="A1236" s="3">
        <f ca="1">IFERROR(__xludf.DUMMYFUNCTION("""COMPUTED_VALUE"""),40142.6666666666)</f>
        <v>40142.666666666599</v>
      </c>
      <c r="B1236" s="1">
        <f ca="1">IFERROR(__xludf.DUMMYFUNCTION("""COMPUTED_VALUE"""),7.29)</f>
        <v>7.29</v>
      </c>
    </row>
    <row r="1237" spans="1:2">
      <c r="A1237" s="3">
        <f ca="1">IFERROR(__xludf.DUMMYFUNCTION("""COMPUTED_VALUE"""),40144.6666666666)</f>
        <v>40144.666666666599</v>
      </c>
      <c r="B1237" s="1">
        <f ca="1">IFERROR(__xludf.DUMMYFUNCTION("""COMPUTED_VALUE"""),7.16)</f>
        <v>7.16</v>
      </c>
    </row>
    <row r="1238" spans="1:2">
      <c r="A1238" s="3">
        <f ca="1">IFERROR(__xludf.DUMMYFUNCTION("""COMPUTED_VALUE"""),40147.6666666666)</f>
        <v>40147.666666666599</v>
      </c>
      <c r="B1238" s="1">
        <f ca="1">IFERROR(__xludf.DUMMYFUNCTION("""COMPUTED_VALUE"""),7.14)</f>
        <v>7.14</v>
      </c>
    </row>
    <row r="1239" spans="1:2">
      <c r="A1239" s="3">
        <f ca="1">IFERROR(__xludf.DUMMYFUNCTION("""COMPUTED_VALUE"""),40148.6666666666)</f>
        <v>40148.666666666599</v>
      </c>
      <c r="B1239" s="1">
        <f ca="1">IFERROR(__xludf.DUMMYFUNCTION("""COMPUTED_VALUE"""),7.03)</f>
        <v>7.03</v>
      </c>
    </row>
    <row r="1240" spans="1:2">
      <c r="A1240" s="3">
        <f ca="1">IFERROR(__xludf.DUMMYFUNCTION("""COMPUTED_VALUE"""),40149.6666666666)</f>
        <v>40149.666666666599</v>
      </c>
      <c r="B1240" s="1">
        <f ca="1">IFERROR(__xludf.DUMMYFUNCTION("""COMPUTED_VALUE"""),7.01)</f>
        <v>7.01</v>
      </c>
    </row>
    <row r="1241" spans="1:2">
      <c r="A1241" s="3">
        <f ca="1">IFERROR(__xludf.DUMMYFUNCTION("""COMPUTED_VALUE"""),40150.6666666666)</f>
        <v>40150.666666666599</v>
      </c>
      <c r="B1241" s="1">
        <f ca="1">IFERROR(__xludf.DUMMYFUNCTION("""COMPUTED_VALUE"""),7.02)</f>
        <v>7.02</v>
      </c>
    </row>
    <row r="1242" spans="1:2">
      <c r="A1242" s="3">
        <f ca="1">IFERROR(__xludf.DUMMYFUNCTION("""COMPUTED_VALUE"""),40151.6666666666)</f>
        <v>40151.666666666599</v>
      </c>
      <c r="B1242" s="1">
        <f ca="1">IFERROR(__xludf.DUMMYFUNCTION("""COMPUTED_VALUE"""),6.9)</f>
        <v>6.9</v>
      </c>
    </row>
    <row r="1243" spans="1:2">
      <c r="A1243" s="3">
        <f ca="1">IFERROR(__xludf.DUMMYFUNCTION("""COMPUTED_VALUE"""),40154.6666666666)</f>
        <v>40154.666666666599</v>
      </c>
      <c r="B1243" s="1">
        <f ca="1">IFERROR(__xludf.DUMMYFUNCTION("""COMPUTED_VALUE"""),6.75)</f>
        <v>6.75</v>
      </c>
    </row>
    <row r="1244" spans="1:2">
      <c r="A1244" s="3">
        <f ca="1">IFERROR(__xludf.DUMMYFUNCTION("""COMPUTED_VALUE"""),40155.6666666666)</f>
        <v>40155.666666666599</v>
      </c>
      <c r="B1244" s="1">
        <f ca="1">IFERROR(__xludf.DUMMYFUNCTION("""COMPUTED_VALUE"""),6.78)</f>
        <v>6.78</v>
      </c>
    </row>
    <row r="1245" spans="1:2">
      <c r="A1245" s="3">
        <f ca="1">IFERROR(__xludf.DUMMYFUNCTION("""COMPUTED_VALUE"""),40156.6666666666)</f>
        <v>40156.666666666599</v>
      </c>
      <c r="B1245" s="1">
        <f ca="1">IFERROR(__xludf.DUMMYFUNCTION("""COMPUTED_VALUE"""),7.06)</f>
        <v>7.06</v>
      </c>
    </row>
    <row r="1246" spans="1:2">
      <c r="A1246" s="3">
        <f ca="1">IFERROR(__xludf.DUMMYFUNCTION("""COMPUTED_VALUE"""),40157.6666666666)</f>
        <v>40157.666666666599</v>
      </c>
      <c r="B1246" s="1">
        <f ca="1">IFERROR(__xludf.DUMMYFUNCTION("""COMPUTED_VALUE"""),7.02)</f>
        <v>7.02</v>
      </c>
    </row>
    <row r="1247" spans="1:2">
      <c r="A1247" s="3">
        <f ca="1">IFERROR(__xludf.DUMMYFUNCTION("""COMPUTED_VALUE"""),40158.6666666666)</f>
        <v>40158.666666666599</v>
      </c>
      <c r="B1247" s="1">
        <f ca="1">IFERROR(__xludf.DUMMYFUNCTION("""COMPUTED_VALUE"""),6.95)</f>
        <v>6.95</v>
      </c>
    </row>
    <row r="1248" spans="1:2">
      <c r="A1248" s="3">
        <f ca="1">IFERROR(__xludf.DUMMYFUNCTION("""COMPUTED_VALUE"""),40161.6666666666)</f>
        <v>40161.666666666599</v>
      </c>
      <c r="B1248" s="1">
        <f ca="1">IFERROR(__xludf.DUMMYFUNCTION("""COMPUTED_VALUE"""),7.04)</f>
        <v>7.04</v>
      </c>
    </row>
    <row r="1249" spans="1:2">
      <c r="A1249" s="3">
        <f ca="1">IFERROR(__xludf.DUMMYFUNCTION("""COMPUTED_VALUE"""),40162.6666666666)</f>
        <v>40162.666666666599</v>
      </c>
      <c r="B1249" s="1">
        <f ca="1">IFERROR(__xludf.DUMMYFUNCTION("""COMPUTED_VALUE"""),6.93)</f>
        <v>6.93</v>
      </c>
    </row>
    <row r="1250" spans="1:2">
      <c r="A1250" s="3">
        <f ca="1">IFERROR(__xludf.DUMMYFUNCTION("""COMPUTED_VALUE"""),40163.6666666666)</f>
        <v>40163.666666666599</v>
      </c>
      <c r="B1250" s="1">
        <f ca="1">IFERROR(__xludf.DUMMYFUNCTION("""COMPUTED_VALUE"""),6.97)</f>
        <v>6.97</v>
      </c>
    </row>
    <row r="1251" spans="1:2">
      <c r="A1251" s="3">
        <f ca="1">IFERROR(__xludf.DUMMYFUNCTION("""COMPUTED_VALUE"""),40164.6666666666)</f>
        <v>40164.666666666599</v>
      </c>
      <c r="B1251" s="1">
        <f ca="1">IFERROR(__xludf.DUMMYFUNCTION("""COMPUTED_VALUE"""),6.85)</f>
        <v>6.85</v>
      </c>
    </row>
    <row r="1252" spans="1:2">
      <c r="A1252" s="3">
        <f ca="1">IFERROR(__xludf.DUMMYFUNCTION("""COMPUTED_VALUE"""),40165.6666666666)</f>
        <v>40165.666666666599</v>
      </c>
      <c r="B1252" s="1">
        <f ca="1">IFERROR(__xludf.DUMMYFUNCTION("""COMPUTED_VALUE"""),6.98)</f>
        <v>6.98</v>
      </c>
    </row>
    <row r="1253" spans="1:2">
      <c r="A1253" s="3">
        <f ca="1">IFERROR(__xludf.DUMMYFUNCTION("""COMPUTED_VALUE"""),40168.6666666666)</f>
        <v>40168.666666666599</v>
      </c>
      <c r="B1253" s="1">
        <f ca="1">IFERROR(__xludf.DUMMYFUNCTION("""COMPUTED_VALUE"""),7.08)</f>
        <v>7.08</v>
      </c>
    </row>
    <row r="1254" spans="1:2">
      <c r="A1254" s="3">
        <f ca="1">IFERROR(__xludf.DUMMYFUNCTION("""COMPUTED_VALUE"""),40169.6666666666)</f>
        <v>40169.666666666599</v>
      </c>
      <c r="B1254" s="1">
        <f ca="1">IFERROR(__xludf.DUMMYFUNCTION("""COMPUTED_VALUE"""),7.16)</f>
        <v>7.16</v>
      </c>
    </row>
    <row r="1255" spans="1:2">
      <c r="A1255" s="3">
        <f ca="1">IFERROR(__xludf.DUMMYFUNCTION("""COMPUTED_VALUE"""),40170.6666666666)</f>
        <v>40170.666666666599</v>
      </c>
      <c r="B1255" s="1">
        <f ca="1">IFERROR(__xludf.DUMMYFUNCTION("""COMPUTED_VALUE"""),7.22)</f>
        <v>7.22</v>
      </c>
    </row>
    <row r="1256" spans="1:2">
      <c r="A1256" s="3">
        <f ca="1">IFERROR(__xludf.DUMMYFUNCTION("""COMPUTED_VALUE"""),40171.6666666666)</f>
        <v>40171.666666666599</v>
      </c>
      <c r="B1256" s="1">
        <f ca="1">IFERROR(__xludf.DUMMYFUNCTION("""COMPUTED_VALUE"""),7.47)</f>
        <v>7.47</v>
      </c>
    </row>
    <row r="1257" spans="1:2">
      <c r="A1257" s="3">
        <f ca="1">IFERROR(__xludf.DUMMYFUNCTION("""COMPUTED_VALUE"""),40175.6666666666)</f>
        <v>40175.666666666599</v>
      </c>
      <c r="B1257" s="1">
        <f ca="1">IFERROR(__xludf.DUMMYFUNCTION("""COMPUTED_VALUE"""),7.56)</f>
        <v>7.56</v>
      </c>
    </row>
    <row r="1258" spans="1:2">
      <c r="A1258" s="3">
        <f ca="1">IFERROR(__xludf.DUMMYFUNCTION("""COMPUTED_VALUE"""),40176.6666666666)</f>
        <v>40176.666666666599</v>
      </c>
      <c r="B1258" s="1">
        <f ca="1">IFERROR(__xludf.DUMMYFUNCTION("""COMPUTED_VALUE"""),7.47)</f>
        <v>7.47</v>
      </c>
    </row>
    <row r="1259" spans="1:2">
      <c r="A1259" s="3">
        <f ca="1">IFERROR(__xludf.DUMMYFUNCTION("""COMPUTED_VALUE"""),40177.6666666666)</f>
        <v>40177.666666666599</v>
      </c>
      <c r="B1259" s="1">
        <f ca="1">IFERROR(__xludf.DUMMYFUNCTION("""COMPUTED_VALUE"""),7.56)</f>
        <v>7.56</v>
      </c>
    </row>
    <row r="1260" spans="1:2">
      <c r="A1260" s="3">
        <f ca="1">IFERROR(__xludf.DUMMYFUNCTION("""COMPUTED_VALUE"""),40178.6666666666)</f>
        <v>40178.666666666599</v>
      </c>
      <c r="B1260" s="1">
        <f ca="1">IFERROR(__xludf.DUMMYFUNCTION("""COMPUTED_VALUE"""),7.53)</f>
        <v>7.53</v>
      </c>
    </row>
    <row r="1261" spans="1:2">
      <c r="A1261" s="3">
        <f ca="1">IFERROR(__xludf.DUMMYFUNCTION("""COMPUTED_VALUE"""),40182.6666666666)</f>
        <v>40182.666666666599</v>
      </c>
      <c r="B1261" s="1">
        <f ca="1">IFERROR(__xludf.DUMMYFUNCTION("""COMPUTED_VALUE"""),7.64)</f>
        <v>7.64</v>
      </c>
    </row>
    <row r="1262" spans="1:2">
      <c r="A1262" s="3">
        <f ca="1">IFERROR(__xludf.DUMMYFUNCTION("""COMPUTED_VALUE"""),40183.6666666666)</f>
        <v>40183.666666666599</v>
      </c>
      <c r="B1262" s="1">
        <f ca="1">IFERROR(__xludf.DUMMYFUNCTION("""COMPUTED_VALUE"""),7.66)</f>
        <v>7.66</v>
      </c>
    </row>
    <row r="1263" spans="1:2">
      <c r="A1263" s="3">
        <f ca="1">IFERROR(__xludf.DUMMYFUNCTION("""COMPUTED_VALUE"""),40184.6666666666)</f>
        <v>40184.666666666599</v>
      </c>
      <c r="B1263" s="1">
        <f ca="1">IFERROR(__xludf.DUMMYFUNCTION("""COMPUTED_VALUE"""),7.53)</f>
        <v>7.53</v>
      </c>
    </row>
    <row r="1264" spans="1:2">
      <c r="A1264" s="3">
        <f ca="1">IFERROR(__xludf.DUMMYFUNCTION("""COMPUTED_VALUE"""),40185.6666666666)</f>
        <v>40185.666666666599</v>
      </c>
      <c r="B1264" s="1">
        <f ca="1">IFERROR(__xludf.DUMMYFUNCTION("""COMPUTED_VALUE"""),7.52)</f>
        <v>7.52</v>
      </c>
    </row>
    <row r="1265" spans="1:2">
      <c r="A1265" s="3">
        <f ca="1">IFERROR(__xludf.DUMMYFUNCTION("""COMPUTED_VALUE"""),40186.6666666666)</f>
        <v>40186.666666666599</v>
      </c>
      <c r="B1265" s="1">
        <f ca="1">IFERROR(__xludf.DUMMYFUNCTION("""COMPUTED_VALUE"""),7.57)</f>
        <v>7.57</v>
      </c>
    </row>
    <row r="1266" spans="1:2">
      <c r="A1266" s="3">
        <f ca="1">IFERROR(__xludf.DUMMYFUNCTION("""COMPUTED_VALUE"""),40189.6666666666)</f>
        <v>40189.666666666599</v>
      </c>
      <c r="B1266" s="1">
        <f ca="1">IFERROR(__xludf.DUMMYFUNCTION("""COMPUTED_VALUE"""),7.5)</f>
        <v>7.5</v>
      </c>
    </row>
    <row r="1267" spans="1:2">
      <c r="A1267" s="3">
        <f ca="1">IFERROR(__xludf.DUMMYFUNCTION("""COMPUTED_VALUE"""),40190.6666666666)</f>
        <v>40190.666666666599</v>
      </c>
      <c r="B1267" s="1">
        <f ca="1">IFERROR(__xludf.DUMMYFUNCTION("""COMPUTED_VALUE"""),7.42)</f>
        <v>7.42</v>
      </c>
    </row>
    <row r="1268" spans="1:2">
      <c r="A1268" s="3">
        <f ca="1">IFERROR(__xludf.DUMMYFUNCTION("""COMPUTED_VALUE"""),40191.6666666666)</f>
        <v>40191.666666666599</v>
      </c>
      <c r="B1268" s="1">
        <f ca="1">IFERROR(__xludf.DUMMYFUNCTION("""COMPUTED_VALUE"""),7.52)</f>
        <v>7.52</v>
      </c>
    </row>
    <row r="1269" spans="1:2">
      <c r="A1269" s="3">
        <f ca="1">IFERROR(__xludf.DUMMYFUNCTION("""COMPUTED_VALUE"""),40192.6666666666)</f>
        <v>40192.666666666599</v>
      </c>
      <c r="B1269" s="1">
        <f ca="1">IFERROR(__xludf.DUMMYFUNCTION("""COMPUTED_VALUE"""),7.48)</f>
        <v>7.48</v>
      </c>
    </row>
    <row r="1270" spans="1:2">
      <c r="A1270" s="3">
        <f ca="1">IFERROR(__xludf.DUMMYFUNCTION("""COMPUTED_VALUE"""),40193.6666666666)</f>
        <v>40193.666666666599</v>
      </c>
      <c r="B1270" s="1">
        <f ca="1">IFERROR(__xludf.DUMMYFUNCTION("""COMPUTED_VALUE"""),7.35)</f>
        <v>7.35</v>
      </c>
    </row>
    <row r="1271" spans="1:2">
      <c r="A1271" s="3">
        <f ca="1">IFERROR(__xludf.DUMMYFUNCTION("""COMPUTED_VALUE"""),40197.6666666666)</f>
        <v>40197.666666666599</v>
      </c>
      <c r="B1271" s="1">
        <f ca="1">IFERROR(__xludf.DUMMYFUNCTION("""COMPUTED_VALUE"""),7.68)</f>
        <v>7.68</v>
      </c>
    </row>
    <row r="1272" spans="1:2">
      <c r="A1272" s="3">
        <f ca="1">IFERROR(__xludf.DUMMYFUNCTION("""COMPUTED_VALUE"""),40198.6666666666)</f>
        <v>40198.666666666599</v>
      </c>
      <c r="B1272" s="1">
        <f ca="1">IFERROR(__xludf.DUMMYFUNCTION("""COMPUTED_VALUE"""),7.56)</f>
        <v>7.56</v>
      </c>
    </row>
    <row r="1273" spans="1:2">
      <c r="A1273" s="3">
        <f ca="1">IFERROR(__xludf.DUMMYFUNCTION("""COMPUTED_VALUE"""),40199.6666666666)</f>
        <v>40199.666666666599</v>
      </c>
      <c r="B1273" s="1">
        <f ca="1">IFERROR(__xludf.DUMMYFUNCTION("""COMPUTED_VALUE"""),7.43)</f>
        <v>7.43</v>
      </c>
    </row>
    <row r="1274" spans="1:2">
      <c r="A1274" s="3">
        <f ca="1">IFERROR(__xludf.DUMMYFUNCTION("""COMPUTED_VALUE"""),40200.6666666666)</f>
        <v>40200.666666666599</v>
      </c>
      <c r="B1274" s="1">
        <f ca="1">IFERROR(__xludf.DUMMYFUNCTION("""COMPUTED_VALUE"""),7.06)</f>
        <v>7.06</v>
      </c>
    </row>
    <row r="1275" spans="1:2">
      <c r="A1275" s="3">
        <f ca="1">IFERROR(__xludf.DUMMYFUNCTION("""COMPUTED_VALUE"""),40203.6666666666)</f>
        <v>40203.666666666599</v>
      </c>
      <c r="B1275" s="1">
        <f ca="1">IFERROR(__xludf.DUMMYFUNCTION("""COMPUTED_VALUE"""),7.25)</f>
        <v>7.25</v>
      </c>
    </row>
    <row r="1276" spans="1:2">
      <c r="A1276" s="3">
        <f ca="1">IFERROR(__xludf.DUMMYFUNCTION("""COMPUTED_VALUE"""),40204.6666666666)</f>
        <v>40204.666666666599</v>
      </c>
      <c r="B1276" s="1">
        <f ca="1">IFERROR(__xludf.DUMMYFUNCTION("""COMPUTED_VALUE"""),7.36)</f>
        <v>7.36</v>
      </c>
    </row>
    <row r="1277" spans="1:2">
      <c r="A1277" s="3">
        <f ca="1">IFERROR(__xludf.DUMMYFUNCTION("""COMPUTED_VALUE"""),40205.6666666666)</f>
        <v>40205.666666666599</v>
      </c>
      <c r="B1277" s="1">
        <f ca="1">IFERROR(__xludf.DUMMYFUNCTION("""COMPUTED_VALUE"""),7.42)</f>
        <v>7.42</v>
      </c>
    </row>
    <row r="1278" spans="1:2">
      <c r="A1278" s="3">
        <f ca="1">IFERROR(__xludf.DUMMYFUNCTION("""COMPUTED_VALUE"""),40206.6666666666)</f>
        <v>40206.666666666599</v>
      </c>
      <c r="B1278" s="1">
        <f ca="1">IFERROR(__xludf.DUMMYFUNCTION("""COMPUTED_VALUE"""),7.12)</f>
        <v>7.12</v>
      </c>
    </row>
    <row r="1279" spans="1:2">
      <c r="A1279" s="3">
        <f ca="1">IFERROR(__xludf.DUMMYFUNCTION("""COMPUTED_VALUE"""),40207.6666666666)</f>
        <v>40207.666666666599</v>
      </c>
      <c r="B1279" s="1">
        <f ca="1">IFERROR(__xludf.DUMMYFUNCTION("""COMPUTED_VALUE"""),6.86)</f>
        <v>6.86</v>
      </c>
    </row>
    <row r="1280" spans="1:2">
      <c r="A1280" s="3">
        <f ca="1">IFERROR(__xludf.DUMMYFUNCTION("""COMPUTED_VALUE"""),40210.6666666666)</f>
        <v>40210.666666666599</v>
      </c>
      <c r="B1280" s="1">
        <f ca="1">IFERROR(__xludf.DUMMYFUNCTION("""COMPUTED_VALUE"""),6.95)</f>
        <v>6.95</v>
      </c>
    </row>
    <row r="1281" spans="1:2">
      <c r="A1281" s="3">
        <f ca="1">IFERROR(__xludf.DUMMYFUNCTION("""COMPUTED_VALUE"""),40211.6666666666)</f>
        <v>40211.666666666599</v>
      </c>
      <c r="B1281" s="1">
        <f ca="1">IFERROR(__xludf.DUMMYFUNCTION("""COMPUTED_VALUE"""),7)</f>
        <v>7</v>
      </c>
    </row>
    <row r="1282" spans="1:2">
      <c r="A1282" s="3">
        <f ca="1">IFERROR(__xludf.DUMMYFUNCTION("""COMPUTED_VALUE"""),40212.6666666666)</f>
        <v>40212.666666666599</v>
      </c>
      <c r="B1282" s="1">
        <f ca="1">IFERROR(__xludf.DUMMYFUNCTION("""COMPUTED_VALUE"""),7.12)</f>
        <v>7.12</v>
      </c>
    </row>
    <row r="1283" spans="1:2">
      <c r="A1283" s="3">
        <f ca="1">IFERROR(__xludf.DUMMYFUNCTION("""COMPUTED_VALUE"""),40213.6666666666)</f>
        <v>40213.666666666599</v>
      </c>
      <c r="B1283" s="1">
        <f ca="1">IFERROR(__xludf.DUMMYFUNCTION("""COMPUTED_VALUE"""),6.86)</f>
        <v>6.86</v>
      </c>
    </row>
    <row r="1284" spans="1:2">
      <c r="A1284" s="3">
        <f ca="1">IFERROR(__xludf.DUMMYFUNCTION("""COMPUTED_VALUE"""),40214.6666666666)</f>
        <v>40214.666666666599</v>
      </c>
      <c r="B1284" s="1">
        <f ca="1">IFERROR(__xludf.DUMMYFUNCTION("""COMPUTED_VALUE"""),6.98)</f>
        <v>6.98</v>
      </c>
    </row>
    <row r="1285" spans="1:2">
      <c r="A1285" s="3">
        <f ca="1">IFERROR(__xludf.DUMMYFUNCTION("""COMPUTED_VALUE"""),40217.6666666666)</f>
        <v>40217.666666666599</v>
      </c>
      <c r="B1285" s="1">
        <f ca="1">IFERROR(__xludf.DUMMYFUNCTION("""COMPUTED_VALUE"""),6.93)</f>
        <v>6.93</v>
      </c>
    </row>
    <row r="1286" spans="1:2">
      <c r="A1286" s="3">
        <f ca="1">IFERROR(__xludf.DUMMYFUNCTION("""COMPUTED_VALUE"""),40218.6666666666)</f>
        <v>40218.666666666599</v>
      </c>
      <c r="B1286" s="1">
        <f ca="1">IFERROR(__xludf.DUMMYFUNCTION("""COMPUTED_VALUE"""),7.01)</f>
        <v>7.01</v>
      </c>
    </row>
    <row r="1287" spans="1:2">
      <c r="A1287" s="3">
        <f ca="1">IFERROR(__xludf.DUMMYFUNCTION("""COMPUTED_VALUE"""),40219.6666666666)</f>
        <v>40219.666666666599</v>
      </c>
      <c r="B1287" s="1">
        <f ca="1">IFERROR(__xludf.DUMMYFUNCTION("""COMPUTED_VALUE"""),6.97)</f>
        <v>6.97</v>
      </c>
    </row>
    <row r="1288" spans="1:2">
      <c r="A1288" s="3">
        <f ca="1">IFERROR(__xludf.DUMMYFUNCTION("""COMPUTED_VALUE"""),40220.6666666666)</f>
        <v>40220.666666666599</v>
      </c>
      <c r="B1288" s="1">
        <f ca="1">IFERROR(__xludf.DUMMYFUNCTION("""COMPUTED_VALUE"""),7.1)</f>
        <v>7.1</v>
      </c>
    </row>
    <row r="1289" spans="1:2">
      <c r="A1289" s="3">
        <f ca="1">IFERROR(__xludf.DUMMYFUNCTION("""COMPUTED_VALUE"""),40221.6666666666)</f>
        <v>40221.666666666599</v>
      </c>
      <c r="B1289" s="1">
        <f ca="1">IFERROR(__xludf.DUMMYFUNCTION("""COMPUTED_VALUE"""),7.16)</f>
        <v>7.16</v>
      </c>
    </row>
    <row r="1290" spans="1:2">
      <c r="A1290" s="3">
        <f ca="1">IFERROR(__xludf.DUMMYFUNCTION("""COMPUTED_VALUE"""),40225.6666666666)</f>
        <v>40225.666666666599</v>
      </c>
      <c r="B1290" s="1">
        <f ca="1">IFERROR(__xludf.DUMMYFUNCTION("""COMPUTED_VALUE"""),7.26)</f>
        <v>7.26</v>
      </c>
    </row>
    <row r="1291" spans="1:2">
      <c r="A1291" s="3">
        <f ca="1">IFERROR(__xludf.DUMMYFUNCTION("""COMPUTED_VALUE"""),40226.6666666666)</f>
        <v>40226.666666666599</v>
      </c>
      <c r="B1291" s="1">
        <f ca="1">IFERROR(__xludf.DUMMYFUNCTION("""COMPUTED_VALUE"""),7.23)</f>
        <v>7.23</v>
      </c>
    </row>
    <row r="1292" spans="1:2">
      <c r="A1292" s="3">
        <f ca="1">IFERROR(__xludf.DUMMYFUNCTION("""COMPUTED_VALUE"""),40227.6666666666)</f>
        <v>40227.666666666599</v>
      </c>
      <c r="B1292" s="1">
        <f ca="1">IFERROR(__xludf.DUMMYFUNCTION("""COMPUTED_VALUE"""),7.25)</f>
        <v>7.25</v>
      </c>
    </row>
    <row r="1293" spans="1:2">
      <c r="A1293" s="3">
        <f ca="1">IFERROR(__xludf.DUMMYFUNCTION("""COMPUTED_VALUE"""),40228.6666666666)</f>
        <v>40228.666666666599</v>
      </c>
      <c r="B1293" s="1">
        <f ca="1">IFERROR(__xludf.DUMMYFUNCTION("""COMPUTED_VALUE"""),7.2)</f>
        <v>7.2</v>
      </c>
    </row>
    <row r="1294" spans="1:2">
      <c r="A1294" s="3">
        <f ca="1">IFERROR(__xludf.DUMMYFUNCTION("""COMPUTED_VALUE"""),40231.6666666666)</f>
        <v>40231.666666666599</v>
      </c>
      <c r="B1294" s="1">
        <f ca="1">IFERROR(__xludf.DUMMYFUNCTION("""COMPUTED_VALUE"""),7.16)</f>
        <v>7.16</v>
      </c>
    </row>
    <row r="1295" spans="1:2">
      <c r="A1295" s="3">
        <f ca="1">IFERROR(__xludf.DUMMYFUNCTION("""COMPUTED_VALUE"""),40232.6666666666)</f>
        <v>40232.666666666599</v>
      </c>
      <c r="B1295" s="1">
        <f ca="1">IFERROR(__xludf.DUMMYFUNCTION("""COMPUTED_VALUE"""),7.04)</f>
        <v>7.04</v>
      </c>
    </row>
    <row r="1296" spans="1:2">
      <c r="A1296" s="3">
        <f ca="1">IFERROR(__xludf.DUMMYFUNCTION("""COMPUTED_VALUE"""),40233.6666666666)</f>
        <v>40233.666666666599</v>
      </c>
      <c r="B1296" s="1">
        <f ca="1">IFERROR(__xludf.DUMMYFUNCTION("""COMPUTED_VALUE"""),7.17)</f>
        <v>7.17</v>
      </c>
    </row>
    <row r="1297" spans="1:2">
      <c r="A1297" s="3">
        <f ca="1">IFERROR(__xludf.DUMMYFUNCTION("""COMPUTED_VALUE"""),40234.6666666666)</f>
        <v>40234.666666666599</v>
      </c>
      <c r="B1297" s="1">
        <f ca="1">IFERROR(__xludf.DUMMYFUNCTION("""COMPUTED_VALUE"""),7.21)</f>
        <v>7.21</v>
      </c>
    </row>
    <row r="1298" spans="1:2">
      <c r="A1298" s="3">
        <f ca="1">IFERROR(__xludf.DUMMYFUNCTION("""COMPUTED_VALUE"""),40235.6666666666)</f>
        <v>40235.666666666599</v>
      </c>
      <c r="B1298" s="1">
        <f ca="1">IFERROR(__xludf.DUMMYFUNCTION("""COMPUTED_VALUE"""),7.31)</f>
        <v>7.31</v>
      </c>
    </row>
    <row r="1299" spans="1:2">
      <c r="A1299" s="3">
        <f ca="1">IFERROR(__xludf.DUMMYFUNCTION("""COMPUTED_VALUE"""),40238.6666666666)</f>
        <v>40238.666666666599</v>
      </c>
      <c r="B1299" s="1">
        <f ca="1">IFERROR(__xludf.DUMMYFUNCTION("""COMPUTED_VALUE"""),7.46)</f>
        <v>7.46</v>
      </c>
    </row>
    <row r="1300" spans="1:2">
      <c r="A1300" s="3">
        <f ca="1">IFERROR(__xludf.DUMMYFUNCTION("""COMPUTED_VALUE"""),40239.6666666666)</f>
        <v>40239.666666666599</v>
      </c>
      <c r="B1300" s="1">
        <f ca="1">IFERROR(__xludf.DUMMYFUNCTION("""COMPUTED_VALUE"""),7.46)</f>
        <v>7.46</v>
      </c>
    </row>
    <row r="1301" spans="1:2">
      <c r="A1301" s="3">
        <f ca="1">IFERROR(__xludf.DUMMYFUNCTION("""COMPUTED_VALUE"""),40240.6666666666)</f>
        <v>40240.666666666599</v>
      </c>
      <c r="B1301" s="1">
        <f ca="1">IFERROR(__xludf.DUMMYFUNCTION("""COMPUTED_VALUE"""),7.48)</f>
        <v>7.48</v>
      </c>
    </row>
    <row r="1302" spans="1:2">
      <c r="A1302" s="3">
        <f ca="1">IFERROR(__xludf.DUMMYFUNCTION("""COMPUTED_VALUE"""),40241.6666666666)</f>
        <v>40241.666666666599</v>
      </c>
      <c r="B1302" s="1">
        <f ca="1">IFERROR(__xludf.DUMMYFUNCTION("""COMPUTED_VALUE"""),7.53)</f>
        <v>7.53</v>
      </c>
    </row>
    <row r="1303" spans="1:2">
      <c r="A1303" s="3">
        <f ca="1">IFERROR(__xludf.DUMMYFUNCTION("""COMPUTED_VALUE"""),40242.6666666666)</f>
        <v>40242.666666666599</v>
      </c>
      <c r="B1303" s="1">
        <f ca="1">IFERROR(__xludf.DUMMYFUNCTION("""COMPUTED_VALUE"""),7.82)</f>
        <v>7.82</v>
      </c>
    </row>
    <row r="1304" spans="1:2">
      <c r="A1304" s="3">
        <f ca="1">IFERROR(__xludf.DUMMYFUNCTION("""COMPUTED_VALUE"""),40245.6666666666)</f>
        <v>40245.666666666599</v>
      </c>
      <c r="B1304" s="1">
        <f ca="1">IFERROR(__xludf.DUMMYFUNCTION("""COMPUTED_VALUE"""),7.82)</f>
        <v>7.82</v>
      </c>
    </row>
    <row r="1305" spans="1:2">
      <c r="A1305" s="3">
        <f ca="1">IFERROR(__xludf.DUMMYFUNCTION("""COMPUTED_VALUE"""),40246.6666666666)</f>
        <v>40246.666666666599</v>
      </c>
      <c r="B1305" s="1">
        <f ca="1">IFERROR(__xludf.DUMMYFUNCTION("""COMPUTED_VALUE"""),7.97)</f>
        <v>7.97</v>
      </c>
    </row>
    <row r="1306" spans="1:2">
      <c r="A1306" s="3">
        <f ca="1">IFERROR(__xludf.DUMMYFUNCTION("""COMPUTED_VALUE"""),40247.6666666666)</f>
        <v>40247.666666666599</v>
      </c>
      <c r="B1306" s="1">
        <f ca="1">IFERROR(__xludf.DUMMYFUNCTION("""COMPUTED_VALUE"""),8.03)</f>
        <v>8.0299999999999994</v>
      </c>
    </row>
    <row r="1307" spans="1:2">
      <c r="A1307" s="3">
        <f ca="1">IFERROR(__xludf.DUMMYFUNCTION("""COMPUTED_VALUE"""),40248.6666666666)</f>
        <v>40248.666666666599</v>
      </c>
      <c r="B1307" s="1">
        <f ca="1">IFERROR(__xludf.DUMMYFUNCTION("""COMPUTED_VALUE"""),8.05)</f>
        <v>8.0500000000000007</v>
      </c>
    </row>
    <row r="1308" spans="1:2">
      <c r="A1308" s="3">
        <f ca="1">IFERROR(__xludf.DUMMYFUNCTION("""COMPUTED_VALUE"""),40249.6666666666)</f>
        <v>40249.666666666599</v>
      </c>
      <c r="B1308" s="1">
        <f ca="1">IFERROR(__xludf.DUMMYFUNCTION("""COMPUTED_VALUE"""),8.09)</f>
        <v>8.09</v>
      </c>
    </row>
    <row r="1309" spans="1:2">
      <c r="A1309" s="3">
        <f ca="1">IFERROR(__xludf.DUMMYFUNCTION("""COMPUTED_VALUE"""),40252.6666666666)</f>
        <v>40252.666666666599</v>
      </c>
      <c r="B1309" s="1">
        <f ca="1">IFERROR(__xludf.DUMMYFUNCTION("""COMPUTED_VALUE"""),7.99)</f>
        <v>7.99</v>
      </c>
    </row>
    <row r="1310" spans="1:2">
      <c r="A1310" s="3">
        <f ca="1">IFERROR(__xludf.DUMMYFUNCTION("""COMPUTED_VALUE"""),40253.6666666666)</f>
        <v>40253.666666666599</v>
      </c>
      <c r="B1310" s="1">
        <f ca="1">IFERROR(__xludf.DUMMYFUNCTION("""COMPUTED_VALUE"""),8.02)</f>
        <v>8.02</v>
      </c>
    </row>
    <row r="1311" spans="1:2">
      <c r="A1311" s="3">
        <f ca="1">IFERROR(__xludf.DUMMYFUNCTION("""COMPUTED_VALUE"""),40254.6666666666)</f>
        <v>40254.666666666599</v>
      </c>
      <c r="B1311" s="1">
        <f ca="1">IFERROR(__xludf.DUMMYFUNCTION("""COMPUTED_VALUE"""),8)</f>
        <v>8</v>
      </c>
    </row>
    <row r="1312" spans="1:2">
      <c r="A1312" s="3">
        <f ca="1">IFERROR(__xludf.DUMMYFUNCTION("""COMPUTED_VALUE"""),40255.6666666666)</f>
        <v>40255.666666666599</v>
      </c>
      <c r="B1312" s="1">
        <f ca="1">IFERROR(__xludf.DUMMYFUNCTION("""COMPUTED_VALUE"""),8.02)</f>
        <v>8.02</v>
      </c>
    </row>
    <row r="1313" spans="1:2">
      <c r="A1313" s="3">
        <f ca="1">IFERROR(__xludf.DUMMYFUNCTION("""COMPUTED_VALUE"""),40256.6666666666)</f>
        <v>40256.666666666599</v>
      </c>
      <c r="B1313" s="1">
        <f ca="1">IFERROR(__xludf.DUMMYFUNCTION("""COMPUTED_VALUE"""),7.94)</f>
        <v>7.94</v>
      </c>
    </row>
    <row r="1314" spans="1:2">
      <c r="A1314" s="3">
        <f ca="1">IFERROR(__xludf.DUMMYFUNCTION("""COMPUTED_VALUE"""),40259.6666666666)</f>
        <v>40259.666666666599</v>
      </c>
      <c r="B1314" s="1">
        <f ca="1">IFERROR(__xludf.DUMMYFUNCTION("""COMPUTED_VALUE"""),8.03)</f>
        <v>8.0299999999999994</v>
      </c>
    </row>
    <row r="1315" spans="1:2">
      <c r="A1315" s="3">
        <f ca="1">IFERROR(__xludf.DUMMYFUNCTION("""COMPUTED_VALUE"""),40260.6666666666)</f>
        <v>40260.666666666599</v>
      </c>
      <c r="B1315" s="1">
        <f ca="1">IFERROR(__xludf.DUMMYFUNCTION("""COMPUTED_VALUE"""),8.16)</f>
        <v>8.16</v>
      </c>
    </row>
    <row r="1316" spans="1:2">
      <c r="A1316" s="3">
        <f ca="1">IFERROR(__xludf.DUMMYFUNCTION("""COMPUTED_VALUE"""),40261.6666666666)</f>
        <v>40261.666666666599</v>
      </c>
      <c r="B1316" s="1">
        <f ca="1">IFERROR(__xludf.DUMMYFUNCTION("""COMPUTED_VALUE"""),8.19)</f>
        <v>8.19</v>
      </c>
    </row>
    <row r="1317" spans="1:2">
      <c r="A1317" s="3">
        <f ca="1">IFERROR(__xludf.DUMMYFUNCTION("""COMPUTED_VALUE"""),40262.6666666666)</f>
        <v>40262.666666666599</v>
      </c>
      <c r="B1317" s="1">
        <f ca="1">IFERROR(__xludf.DUMMYFUNCTION("""COMPUTED_VALUE"""),8.09)</f>
        <v>8.09</v>
      </c>
    </row>
    <row r="1318" spans="1:2">
      <c r="A1318" s="3">
        <f ca="1">IFERROR(__xludf.DUMMYFUNCTION("""COMPUTED_VALUE"""),40263.6666666666)</f>
        <v>40263.666666666599</v>
      </c>
      <c r="B1318" s="1">
        <f ca="1">IFERROR(__xludf.DUMMYFUNCTION("""COMPUTED_VALUE"""),8.25)</f>
        <v>8.25</v>
      </c>
    </row>
    <row r="1319" spans="1:2">
      <c r="A1319" s="3">
        <f ca="1">IFERROR(__xludf.DUMMYFUNCTION("""COMPUTED_VALUE"""),40266.6666666666)</f>
        <v>40266.666666666599</v>
      </c>
      <c r="B1319" s="1">
        <f ca="1">IFERROR(__xludf.DUMMYFUNCTION("""COMPUTED_VALUE"""),8.3)</f>
        <v>8.3000000000000007</v>
      </c>
    </row>
    <row r="1320" spans="1:2">
      <c r="A1320" s="3">
        <f ca="1">IFERROR(__xludf.DUMMYFUNCTION("""COMPUTED_VALUE"""),40267.6666666666)</f>
        <v>40267.666666666599</v>
      </c>
      <c r="B1320" s="1">
        <f ca="1">IFERROR(__xludf.DUMMYFUNCTION("""COMPUTED_VALUE"""),8.42)</f>
        <v>8.42</v>
      </c>
    </row>
    <row r="1321" spans="1:2">
      <c r="A1321" s="3">
        <f ca="1">IFERROR(__xludf.DUMMYFUNCTION("""COMPUTED_VALUE"""),40268.6666666666)</f>
        <v>40268.666666666599</v>
      </c>
      <c r="B1321" s="1">
        <f ca="1">IFERROR(__xludf.DUMMYFUNCTION("""COMPUTED_VALUE"""),8.39)</f>
        <v>8.39</v>
      </c>
    </row>
    <row r="1322" spans="1:2">
      <c r="A1322" s="3">
        <f ca="1">IFERROR(__xludf.DUMMYFUNCTION("""COMPUTED_VALUE"""),40269.6666666666)</f>
        <v>40269.666666666599</v>
      </c>
      <c r="B1322" s="1">
        <f ca="1">IFERROR(__xludf.DUMMYFUNCTION("""COMPUTED_VALUE"""),8.43)</f>
        <v>8.43</v>
      </c>
    </row>
    <row r="1323" spans="1:2">
      <c r="A1323" s="3">
        <f ca="1">IFERROR(__xludf.DUMMYFUNCTION("""COMPUTED_VALUE"""),40273.6666666666)</f>
        <v>40273.666666666599</v>
      </c>
      <c r="B1323" s="1">
        <f ca="1">IFERROR(__xludf.DUMMYFUNCTION("""COMPUTED_VALUE"""),8.52)</f>
        <v>8.52</v>
      </c>
    </row>
    <row r="1324" spans="1:2">
      <c r="A1324" s="3">
        <f ca="1">IFERROR(__xludf.DUMMYFUNCTION("""COMPUTED_VALUE"""),40274.6666666666)</f>
        <v>40274.666666666599</v>
      </c>
      <c r="B1324" s="1">
        <f ca="1">IFERROR(__xludf.DUMMYFUNCTION("""COMPUTED_VALUE"""),8.56)</f>
        <v>8.56</v>
      </c>
    </row>
    <row r="1325" spans="1:2">
      <c r="A1325" s="3">
        <f ca="1">IFERROR(__xludf.DUMMYFUNCTION("""COMPUTED_VALUE"""),40275.6666666666)</f>
        <v>40275.666666666599</v>
      </c>
      <c r="B1325" s="1">
        <f ca="1">IFERROR(__xludf.DUMMYFUNCTION("""COMPUTED_VALUE"""),8.59)</f>
        <v>8.59</v>
      </c>
    </row>
    <row r="1326" spans="1:2">
      <c r="A1326" s="3">
        <f ca="1">IFERROR(__xludf.DUMMYFUNCTION("""COMPUTED_VALUE"""),40276.6666666666)</f>
        <v>40276.666666666599</v>
      </c>
      <c r="B1326" s="1">
        <f ca="1">IFERROR(__xludf.DUMMYFUNCTION("""COMPUTED_VALUE"""),8.57)</f>
        <v>8.57</v>
      </c>
    </row>
    <row r="1327" spans="1:2">
      <c r="A1327" s="3">
        <f ca="1">IFERROR(__xludf.DUMMYFUNCTION("""COMPUTED_VALUE"""),40277.6666666666)</f>
        <v>40277.666666666599</v>
      </c>
      <c r="B1327" s="1">
        <f ca="1">IFERROR(__xludf.DUMMYFUNCTION("""COMPUTED_VALUE"""),8.64)</f>
        <v>8.64</v>
      </c>
    </row>
    <row r="1328" spans="1:2">
      <c r="A1328" s="3">
        <f ca="1">IFERROR(__xludf.DUMMYFUNCTION("""COMPUTED_VALUE"""),40280.6666666666)</f>
        <v>40280.666666666599</v>
      </c>
      <c r="B1328" s="1">
        <f ca="1">IFERROR(__xludf.DUMMYFUNCTION("""COMPUTED_VALUE"""),8.65)</f>
        <v>8.65</v>
      </c>
    </row>
    <row r="1329" spans="1:2">
      <c r="A1329" s="3">
        <f ca="1">IFERROR(__xludf.DUMMYFUNCTION("""COMPUTED_VALUE"""),40281.6666666666)</f>
        <v>40281.666666666599</v>
      </c>
      <c r="B1329" s="1">
        <f ca="1">IFERROR(__xludf.DUMMYFUNCTION("""COMPUTED_VALUE"""),8.66)</f>
        <v>8.66</v>
      </c>
    </row>
    <row r="1330" spans="1:2">
      <c r="A1330" s="3">
        <f ca="1">IFERROR(__xludf.DUMMYFUNCTION("""COMPUTED_VALUE"""),40282.6666666666)</f>
        <v>40282.666666666599</v>
      </c>
      <c r="B1330" s="1">
        <f ca="1">IFERROR(__xludf.DUMMYFUNCTION("""COMPUTED_VALUE"""),8.77)</f>
        <v>8.77</v>
      </c>
    </row>
    <row r="1331" spans="1:2">
      <c r="A1331" s="3">
        <f ca="1">IFERROR(__xludf.DUMMYFUNCTION("""COMPUTED_VALUE"""),40283.6666666666)</f>
        <v>40283.666666666599</v>
      </c>
      <c r="B1331" s="1">
        <f ca="1">IFERROR(__xludf.DUMMYFUNCTION("""COMPUTED_VALUE"""),8.89)</f>
        <v>8.89</v>
      </c>
    </row>
    <row r="1332" spans="1:2">
      <c r="A1332" s="3">
        <f ca="1">IFERROR(__xludf.DUMMYFUNCTION("""COMPUTED_VALUE"""),40284.6666666666)</f>
        <v>40284.666666666599</v>
      </c>
      <c r="B1332" s="1">
        <f ca="1">IFERROR(__xludf.DUMMYFUNCTION("""COMPUTED_VALUE"""),8.84)</f>
        <v>8.84</v>
      </c>
    </row>
    <row r="1333" spans="1:2">
      <c r="A1333" s="3">
        <f ca="1">IFERROR(__xludf.DUMMYFUNCTION("""COMPUTED_VALUE"""),40287.6666666666)</f>
        <v>40287.666666666599</v>
      </c>
      <c r="B1333" s="1">
        <f ca="1">IFERROR(__xludf.DUMMYFUNCTION("""COMPUTED_VALUE"""),8.82)</f>
        <v>8.82</v>
      </c>
    </row>
    <row r="1334" spans="1:2">
      <c r="A1334" s="3">
        <f ca="1">IFERROR(__xludf.DUMMYFUNCTION("""COMPUTED_VALUE"""),40288.6666666666)</f>
        <v>40288.666666666599</v>
      </c>
      <c r="B1334" s="1">
        <f ca="1">IFERROR(__xludf.DUMMYFUNCTION("""COMPUTED_VALUE"""),8.74)</f>
        <v>8.74</v>
      </c>
    </row>
    <row r="1335" spans="1:2">
      <c r="A1335" s="3">
        <f ca="1">IFERROR(__xludf.DUMMYFUNCTION("""COMPUTED_VALUE"""),40289.6666666666)</f>
        <v>40289.666666666599</v>
      </c>
      <c r="B1335" s="1">
        <f ca="1">IFERROR(__xludf.DUMMYFUNCTION("""COMPUTED_VALUE"""),9.26)</f>
        <v>9.26</v>
      </c>
    </row>
    <row r="1336" spans="1:2">
      <c r="A1336" s="3">
        <f ca="1">IFERROR(__xludf.DUMMYFUNCTION("""COMPUTED_VALUE"""),40290.6666666666)</f>
        <v>40290.666666666599</v>
      </c>
      <c r="B1336" s="1">
        <f ca="1">IFERROR(__xludf.DUMMYFUNCTION("""COMPUTED_VALUE"""),9.52)</f>
        <v>9.52</v>
      </c>
    </row>
    <row r="1337" spans="1:2">
      <c r="A1337" s="3">
        <f ca="1">IFERROR(__xludf.DUMMYFUNCTION("""COMPUTED_VALUE"""),40291.6666666666)</f>
        <v>40291.666666666599</v>
      </c>
      <c r="B1337" s="1">
        <f ca="1">IFERROR(__xludf.DUMMYFUNCTION("""COMPUTED_VALUE"""),9.67)</f>
        <v>9.67</v>
      </c>
    </row>
    <row r="1338" spans="1:2">
      <c r="A1338" s="3">
        <f ca="1">IFERROR(__xludf.DUMMYFUNCTION("""COMPUTED_VALUE"""),40294.6666666666)</f>
        <v>40294.666666666599</v>
      </c>
      <c r="B1338" s="1">
        <f ca="1">IFERROR(__xludf.DUMMYFUNCTION("""COMPUTED_VALUE"""),9.63)</f>
        <v>9.6300000000000008</v>
      </c>
    </row>
    <row r="1339" spans="1:2">
      <c r="A1339" s="3">
        <f ca="1">IFERROR(__xludf.DUMMYFUNCTION("""COMPUTED_VALUE"""),40295.6666666666)</f>
        <v>40295.666666666599</v>
      </c>
      <c r="B1339" s="1">
        <f ca="1">IFERROR(__xludf.DUMMYFUNCTION("""COMPUTED_VALUE"""),9.36)</f>
        <v>9.36</v>
      </c>
    </row>
    <row r="1340" spans="1:2">
      <c r="A1340" s="3">
        <f ca="1">IFERROR(__xludf.DUMMYFUNCTION("""COMPUTED_VALUE"""),40296.6666666666)</f>
        <v>40296.666666666599</v>
      </c>
      <c r="B1340" s="1">
        <f ca="1">IFERROR(__xludf.DUMMYFUNCTION("""COMPUTED_VALUE"""),9.34)</f>
        <v>9.34</v>
      </c>
    </row>
    <row r="1341" spans="1:2">
      <c r="A1341" s="3">
        <f ca="1">IFERROR(__xludf.DUMMYFUNCTION("""COMPUTED_VALUE"""),40297.6666666666)</f>
        <v>40297.666666666599</v>
      </c>
      <c r="B1341" s="1">
        <f ca="1">IFERROR(__xludf.DUMMYFUNCTION("""COMPUTED_VALUE"""),9.59)</f>
        <v>9.59</v>
      </c>
    </row>
    <row r="1342" spans="1:2">
      <c r="A1342" s="3">
        <f ca="1">IFERROR(__xludf.DUMMYFUNCTION("""COMPUTED_VALUE"""),40298.6666666666)</f>
        <v>40298.666666666599</v>
      </c>
      <c r="B1342" s="1">
        <f ca="1">IFERROR(__xludf.DUMMYFUNCTION("""COMPUTED_VALUE"""),9.32)</f>
        <v>9.32</v>
      </c>
    </row>
    <row r="1343" spans="1:2">
      <c r="A1343" s="3">
        <f ca="1">IFERROR(__xludf.DUMMYFUNCTION("""COMPUTED_VALUE"""),40301.6666666666)</f>
        <v>40301.666666666599</v>
      </c>
      <c r="B1343" s="1">
        <f ca="1">IFERROR(__xludf.DUMMYFUNCTION("""COMPUTED_VALUE"""),9.51)</f>
        <v>9.51</v>
      </c>
    </row>
    <row r="1344" spans="1:2">
      <c r="A1344" s="3">
        <f ca="1">IFERROR(__xludf.DUMMYFUNCTION("""COMPUTED_VALUE"""),40302.6666666666)</f>
        <v>40302.666666666599</v>
      </c>
      <c r="B1344" s="1">
        <f ca="1">IFERROR(__xludf.DUMMYFUNCTION("""COMPUTED_VALUE"""),9.24)</f>
        <v>9.24</v>
      </c>
    </row>
    <row r="1345" spans="1:2">
      <c r="A1345" s="3">
        <f ca="1">IFERROR(__xludf.DUMMYFUNCTION("""COMPUTED_VALUE"""),40303.6666666666)</f>
        <v>40303.666666666599</v>
      </c>
      <c r="B1345" s="1">
        <f ca="1">IFERROR(__xludf.DUMMYFUNCTION("""COMPUTED_VALUE"""),9.14)</f>
        <v>9.14</v>
      </c>
    </row>
    <row r="1346" spans="1:2">
      <c r="A1346" s="3">
        <f ca="1">IFERROR(__xludf.DUMMYFUNCTION("""COMPUTED_VALUE"""),40304.6666666666)</f>
        <v>40304.666666666599</v>
      </c>
      <c r="B1346" s="1">
        <f ca="1">IFERROR(__xludf.DUMMYFUNCTION("""COMPUTED_VALUE"""),8.79)</f>
        <v>8.7899999999999991</v>
      </c>
    </row>
    <row r="1347" spans="1:2">
      <c r="A1347" s="3">
        <f ca="1">IFERROR(__xludf.DUMMYFUNCTION("""COMPUTED_VALUE"""),40305.6666666666)</f>
        <v>40305.666666666599</v>
      </c>
      <c r="B1347" s="1">
        <f ca="1">IFERROR(__xludf.DUMMYFUNCTION("""COMPUTED_VALUE"""),8.42)</f>
        <v>8.42</v>
      </c>
    </row>
    <row r="1348" spans="1:2">
      <c r="A1348" s="3">
        <f ca="1">IFERROR(__xludf.DUMMYFUNCTION("""COMPUTED_VALUE"""),40308.6666666666)</f>
        <v>40308.666666666599</v>
      </c>
      <c r="B1348" s="1">
        <f ca="1">IFERROR(__xludf.DUMMYFUNCTION("""COMPUTED_VALUE"""),9.07)</f>
        <v>9.07</v>
      </c>
    </row>
    <row r="1349" spans="1:2">
      <c r="A1349" s="3">
        <f ca="1">IFERROR(__xludf.DUMMYFUNCTION("""COMPUTED_VALUE"""),40309.6666666666)</f>
        <v>40309.666666666599</v>
      </c>
      <c r="B1349" s="1">
        <f ca="1">IFERROR(__xludf.DUMMYFUNCTION("""COMPUTED_VALUE"""),9.16)</f>
        <v>9.16</v>
      </c>
    </row>
    <row r="1350" spans="1:2">
      <c r="A1350" s="3">
        <f ca="1">IFERROR(__xludf.DUMMYFUNCTION("""COMPUTED_VALUE"""),40310.6666666666)</f>
        <v>40310.666666666599</v>
      </c>
      <c r="B1350" s="1">
        <f ca="1">IFERROR(__xludf.DUMMYFUNCTION("""COMPUTED_VALUE"""),9.36)</f>
        <v>9.36</v>
      </c>
    </row>
    <row r="1351" spans="1:2">
      <c r="A1351" s="3">
        <f ca="1">IFERROR(__xludf.DUMMYFUNCTION("""COMPUTED_VALUE"""),40311.6666666666)</f>
        <v>40311.666666666599</v>
      </c>
      <c r="B1351" s="1">
        <f ca="1">IFERROR(__xludf.DUMMYFUNCTION("""COMPUTED_VALUE"""),9.23)</f>
        <v>9.23</v>
      </c>
    </row>
    <row r="1352" spans="1:2">
      <c r="A1352" s="3">
        <f ca="1">IFERROR(__xludf.DUMMYFUNCTION("""COMPUTED_VALUE"""),40312.6666666666)</f>
        <v>40312.666666666599</v>
      </c>
      <c r="B1352" s="1">
        <f ca="1">IFERROR(__xludf.DUMMYFUNCTION("""COMPUTED_VALUE"""),9.07)</f>
        <v>9.07</v>
      </c>
    </row>
    <row r="1353" spans="1:2">
      <c r="A1353" s="3">
        <f ca="1">IFERROR(__xludf.DUMMYFUNCTION("""COMPUTED_VALUE"""),40315.6666666666)</f>
        <v>40315.666666666599</v>
      </c>
      <c r="B1353" s="1">
        <f ca="1">IFERROR(__xludf.DUMMYFUNCTION("""COMPUTED_VALUE"""),9.08)</f>
        <v>9.08</v>
      </c>
    </row>
    <row r="1354" spans="1:2">
      <c r="A1354" s="3">
        <f ca="1">IFERROR(__xludf.DUMMYFUNCTION("""COMPUTED_VALUE"""),40316.6666666666)</f>
        <v>40316.666666666599</v>
      </c>
      <c r="B1354" s="1">
        <f ca="1">IFERROR(__xludf.DUMMYFUNCTION("""COMPUTED_VALUE"""),9.01)</f>
        <v>9.01</v>
      </c>
    </row>
    <row r="1355" spans="1:2">
      <c r="A1355" s="3">
        <f ca="1">IFERROR(__xludf.DUMMYFUNCTION("""COMPUTED_VALUE"""),40317.6666666666)</f>
        <v>40317.666666666599</v>
      </c>
      <c r="B1355" s="1">
        <f ca="1">IFERROR(__xludf.DUMMYFUNCTION("""COMPUTED_VALUE"""),8.87)</f>
        <v>8.8699999999999992</v>
      </c>
    </row>
    <row r="1356" spans="1:2">
      <c r="A1356" s="3">
        <f ca="1">IFERROR(__xludf.DUMMYFUNCTION("""COMPUTED_VALUE"""),40318.6666666666)</f>
        <v>40318.666666666599</v>
      </c>
      <c r="B1356" s="1">
        <f ca="1">IFERROR(__xludf.DUMMYFUNCTION("""COMPUTED_VALUE"""),8.49)</f>
        <v>8.49</v>
      </c>
    </row>
    <row r="1357" spans="1:2">
      <c r="A1357" s="3">
        <f ca="1">IFERROR(__xludf.DUMMYFUNCTION("""COMPUTED_VALUE"""),40319.6666666666)</f>
        <v>40319.666666666599</v>
      </c>
      <c r="B1357" s="1">
        <f ca="1">IFERROR(__xludf.DUMMYFUNCTION("""COMPUTED_VALUE"""),8.65)</f>
        <v>8.65</v>
      </c>
    </row>
    <row r="1358" spans="1:2">
      <c r="A1358" s="3">
        <f ca="1">IFERROR(__xludf.DUMMYFUNCTION("""COMPUTED_VALUE"""),40322.6666666666)</f>
        <v>40322.666666666599</v>
      </c>
      <c r="B1358" s="1">
        <f ca="1">IFERROR(__xludf.DUMMYFUNCTION("""COMPUTED_VALUE"""),8.81)</f>
        <v>8.81</v>
      </c>
    </row>
    <row r="1359" spans="1:2">
      <c r="A1359" s="3">
        <f ca="1">IFERROR(__xludf.DUMMYFUNCTION("""COMPUTED_VALUE"""),40323.6666666666)</f>
        <v>40323.666666666599</v>
      </c>
      <c r="B1359" s="1">
        <f ca="1">IFERROR(__xludf.DUMMYFUNCTION("""COMPUTED_VALUE"""),8.76)</f>
        <v>8.76</v>
      </c>
    </row>
    <row r="1360" spans="1:2">
      <c r="A1360" s="3">
        <f ca="1">IFERROR(__xludf.DUMMYFUNCTION("""COMPUTED_VALUE"""),40324.6666666666)</f>
        <v>40324.666666666599</v>
      </c>
      <c r="B1360" s="1">
        <f ca="1">IFERROR(__xludf.DUMMYFUNCTION("""COMPUTED_VALUE"""),8.72)</f>
        <v>8.7200000000000006</v>
      </c>
    </row>
    <row r="1361" spans="1:2">
      <c r="A1361" s="3">
        <f ca="1">IFERROR(__xludf.DUMMYFUNCTION("""COMPUTED_VALUE"""),40325.6666666666)</f>
        <v>40325.666666666599</v>
      </c>
      <c r="B1361" s="1">
        <f ca="1">IFERROR(__xludf.DUMMYFUNCTION("""COMPUTED_VALUE"""),9.05)</f>
        <v>9.0500000000000007</v>
      </c>
    </row>
    <row r="1362" spans="1:2">
      <c r="A1362" s="3">
        <f ca="1">IFERROR(__xludf.DUMMYFUNCTION("""COMPUTED_VALUE"""),40326.6666666666)</f>
        <v>40326.666666666599</v>
      </c>
      <c r="B1362" s="1">
        <f ca="1">IFERROR(__xludf.DUMMYFUNCTION("""COMPUTED_VALUE"""),9.17)</f>
        <v>9.17</v>
      </c>
    </row>
    <row r="1363" spans="1:2">
      <c r="A1363" s="3">
        <f ca="1">IFERROR(__xludf.DUMMYFUNCTION("""COMPUTED_VALUE"""),40330.6666666666)</f>
        <v>40330.666666666599</v>
      </c>
      <c r="B1363" s="1">
        <f ca="1">IFERROR(__xludf.DUMMYFUNCTION("""COMPUTED_VALUE"""),9.32)</f>
        <v>9.32</v>
      </c>
    </row>
    <row r="1364" spans="1:2">
      <c r="A1364" s="3">
        <f ca="1">IFERROR(__xludf.DUMMYFUNCTION("""COMPUTED_VALUE"""),40331.6666666666)</f>
        <v>40331.666666666599</v>
      </c>
      <c r="B1364" s="1">
        <f ca="1">IFERROR(__xludf.DUMMYFUNCTION("""COMPUTED_VALUE"""),9.43)</f>
        <v>9.43</v>
      </c>
    </row>
    <row r="1365" spans="1:2">
      <c r="A1365" s="3">
        <f ca="1">IFERROR(__xludf.DUMMYFUNCTION("""COMPUTED_VALUE"""),40332.6666666666)</f>
        <v>40332.666666666599</v>
      </c>
      <c r="B1365" s="1">
        <f ca="1">IFERROR(__xludf.DUMMYFUNCTION("""COMPUTED_VALUE"""),9.4)</f>
        <v>9.4</v>
      </c>
    </row>
    <row r="1366" spans="1:2">
      <c r="A1366" s="3">
        <f ca="1">IFERROR(__xludf.DUMMYFUNCTION("""COMPUTED_VALUE"""),40333.6666666666)</f>
        <v>40333.666666666599</v>
      </c>
      <c r="B1366" s="1">
        <f ca="1">IFERROR(__xludf.DUMMYFUNCTION("""COMPUTED_VALUE"""),9.14)</f>
        <v>9.14</v>
      </c>
    </row>
    <row r="1367" spans="1:2">
      <c r="A1367" s="3">
        <f ca="1">IFERROR(__xludf.DUMMYFUNCTION("""COMPUTED_VALUE"""),40336.6666666666)</f>
        <v>40336.666666666599</v>
      </c>
      <c r="B1367" s="1">
        <f ca="1">IFERROR(__xludf.DUMMYFUNCTION("""COMPUTED_VALUE"""),8.96)</f>
        <v>8.9600000000000009</v>
      </c>
    </row>
    <row r="1368" spans="1:2">
      <c r="A1368" s="3">
        <f ca="1">IFERROR(__xludf.DUMMYFUNCTION("""COMPUTED_VALUE"""),40337.6666666666)</f>
        <v>40337.666666666599</v>
      </c>
      <c r="B1368" s="1">
        <f ca="1">IFERROR(__xludf.DUMMYFUNCTION("""COMPUTED_VALUE"""),8.9)</f>
        <v>8.9</v>
      </c>
    </row>
    <row r="1369" spans="1:2">
      <c r="A1369" s="3">
        <f ca="1">IFERROR(__xludf.DUMMYFUNCTION("""COMPUTED_VALUE"""),40338.6666666666)</f>
        <v>40338.666666666599</v>
      </c>
      <c r="B1369" s="1">
        <f ca="1">IFERROR(__xludf.DUMMYFUNCTION("""COMPUTED_VALUE"""),8.69)</f>
        <v>8.69</v>
      </c>
    </row>
    <row r="1370" spans="1:2">
      <c r="A1370" s="3">
        <f ca="1">IFERROR(__xludf.DUMMYFUNCTION("""COMPUTED_VALUE"""),40339.6666666666)</f>
        <v>40339.666666666599</v>
      </c>
      <c r="B1370" s="1">
        <f ca="1">IFERROR(__xludf.DUMMYFUNCTION("""COMPUTED_VALUE"""),8.95)</f>
        <v>8.9499999999999993</v>
      </c>
    </row>
    <row r="1371" spans="1:2">
      <c r="A1371" s="3">
        <f ca="1">IFERROR(__xludf.DUMMYFUNCTION("""COMPUTED_VALUE"""),40340.6666666666)</f>
        <v>40340.666666666599</v>
      </c>
      <c r="B1371" s="1">
        <f ca="1">IFERROR(__xludf.DUMMYFUNCTION("""COMPUTED_VALUE"""),9.05)</f>
        <v>9.0500000000000007</v>
      </c>
    </row>
    <row r="1372" spans="1:2">
      <c r="A1372" s="3">
        <f ca="1">IFERROR(__xludf.DUMMYFUNCTION("""COMPUTED_VALUE"""),40343.6666666666)</f>
        <v>40343.666666666599</v>
      </c>
      <c r="B1372" s="1">
        <f ca="1">IFERROR(__xludf.DUMMYFUNCTION("""COMPUTED_VALUE"""),9.08)</f>
        <v>9.08</v>
      </c>
    </row>
    <row r="1373" spans="1:2">
      <c r="A1373" s="3">
        <f ca="1">IFERROR(__xludf.DUMMYFUNCTION("""COMPUTED_VALUE"""),40344.6666666666)</f>
        <v>40344.666666666599</v>
      </c>
      <c r="B1373" s="1">
        <f ca="1">IFERROR(__xludf.DUMMYFUNCTION("""COMPUTED_VALUE"""),9.27)</f>
        <v>9.27</v>
      </c>
    </row>
    <row r="1374" spans="1:2">
      <c r="A1374" s="3">
        <f ca="1">IFERROR(__xludf.DUMMYFUNCTION("""COMPUTED_VALUE"""),40345.6666666666)</f>
        <v>40345.666666666599</v>
      </c>
      <c r="B1374" s="1">
        <f ca="1">IFERROR(__xludf.DUMMYFUNCTION("""COMPUTED_VALUE"""),9.54)</f>
        <v>9.5399999999999991</v>
      </c>
    </row>
    <row r="1375" spans="1:2">
      <c r="A1375" s="3">
        <f ca="1">IFERROR(__xludf.DUMMYFUNCTION("""COMPUTED_VALUE"""),40346.6666666666)</f>
        <v>40346.666666666599</v>
      </c>
      <c r="B1375" s="1">
        <f ca="1">IFERROR(__xludf.DUMMYFUNCTION("""COMPUTED_VALUE"""),9.71)</f>
        <v>9.7100000000000009</v>
      </c>
    </row>
    <row r="1376" spans="1:2">
      <c r="A1376" s="3">
        <f ca="1">IFERROR(__xludf.DUMMYFUNCTION("""COMPUTED_VALUE"""),40347.6666666666)</f>
        <v>40347.666666666599</v>
      </c>
      <c r="B1376" s="1">
        <f ca="1">IFERROR(__xludf.DUMMYFUNCTION("""COMPUTED_VALUE"""),9.79)</f>
        <v>9.7899999999999991</v>
      </c>
    </row>
    <row r="1377" spans="1:2">
      <c r="A1377" s="3">
        <f ca="1">IFERROR(__xludf.DUMMYFUNCTION("""COMPUTED_VALUE"""),40350.6666666666)</f>
        <v>40350.666666666599</v>
      </c>
      <c r="B1377" s="1">
        <f ca="1">IFERROR(__xludf.DUMMYFUNCTION("""COMPUTED_VALUE"""),9.65)</f>
        <v>9.65</v>
      </c>
    </row>
    <row r="1378" spans="1:2">
      <c r="A1378" s="3">
        <f ca="1">IFERROR(__xludf.DUMMYFUNCTION("""COMPUTED_VALUE"""),40351.6666666666)</f>
        <v>40351.666666666599</v>
      </c>
      <c r="B1378" s="1">
        <f ca="1">IFERROR(__xludf.DUMMYFUNCTION("""COMPUTED_VALUE"""),9.78)</f>
        <v>9.7799999999999994</v>
      </c>
    </row>
    <row r="1379" spans="1:2">
      <c r="A1379" s="3">
        <f ca="1">IFERROR(__xludf.DUMMYFUNCTION("""COMPUTED_VALUE"""),40352.6666666666)</f>
        <v>40352.666666666599</v>
      </c>
      <c r="B1379" s="1">
        <f ca="1">IFERROR(__xludf.DUMMYFUNCTION("""COMPUTED_VALUE"""),9.68)</f>
        <v>9.68</v>
      </c>
    </row>
    <row r="1380" spans="1:2">
      <c r="A1380" s="3">
        <f ca="1">IFERROR(__xludf.DUMMYFUNCTION("""COMPUTED_VALUE"""),40353.6666666666)</f>
        <v>40353.666666666599</v>
      </c>
      <c r="B1380" s="1">
        <f ca="1">IFERROR(__xludf.DUMMYFUNCTION("""COMPUTED_VALUE"""),9.61)</f>
        <v>9.61</v>
      </c>
    </row>
    <row r="1381" spans="1:2">
      <c r="A1381" s="3">
        <f ca="1">IFERROR(__xludf.DUMMYFUNCTION("""COMPUTED_VALUE"""),40354.6666666666)</f>
        <v>40354.666666666599</v>
      </c>
      <c r="B1381" s="1">
        <f ca="1">IFERROR(__xludf.DUMMYFUNCTION("""COMPUTED_VALUE"""),9.53)</f>
        <v>9.5299999999999994</v>
      </c>
    </row>
    <row r="1382" spans="1:2">
      <c r="A1382" s="3">
        <f ca="1">IFERROR(__xludf.DUMMYFUNCTION("""COMPUTED_VALUE"""),40357.6666666666)</f>
        <v>40357.666666666599</v>
      </c>
      <c r="B1382" s="1">
        <f ca="1">IFERROR(__xludf.DUMMYFUNCTION("""COMPUTED_VALUE"""),9.58)</f>
        <v>9.58</v>
      </c>
    </row>
    <row r="1383" spans="1:2">
      <c r="A1383" s="3">
        <f ca="1">IFERROR(__xludf.DUMMYFUNCTION("""COMPUTED_VALUE"""),40358.6666666666)</f>
        <v>40358.666666666599</v>
      </c>
      <c r="B1383" s="1">
        <f ca="1">IFERROR(__xludf.DUMMYFUNCTION("""COMPUTED_VALUE"""),9.15)</f>
        <v>9.15</v>
      </c>
    </row>
    <row r="1384" spans="1:2">
      <c r="A1384" s="3">
        <f ca="1">IFERROR(__xludf.DUMMYFUNCTION("""COMPUTED_VALUE"""),40359.6666666666)</f>
        <v>40359.666666666599</v>
      </c>
      <c r="B1384" s="1">
        <f ca="1">IFERROR(__xludf.DUMMYFUNCTION("""COMPUTED_VALUE"""),8.98)</f>
        <v>8.98</v>
      </c>
    </row>
    <row r="1385" spans="1:2">
      <c r="A1385" s="3">
        <f ca="1">IFERROR(__xludf.DUMMYFUNCTION("""COMPUTED_VALUE"""),40360.6666666666)</f>
        <v>40360.666666666599</v>
      </c>
      <c r="B1385" s="1">
        <f ca="1">IFERROR(__xludf.DUMMYFUNCTION("""COMPUTED_VALUE"""),8.87)</f>
        <v>8.8699999999999992</v>
      </c>
    </row>
    <row r="1386" spans="1:2">
      <c r="A1386" s="3">
        <f ca="1">IFERROR(__xludf.DUMMYFUNCTION("""COMPUTED_VALUE"""),40361.6666666666)</f>
        <v>40361.666666666599</v>
      </c>
      <c r="B1386" s="1">
        <f ca="1">IFERROR(__xludf.DUMMYFUNCTION("""COMPUTED_VALUE"""),8.82)</f>
        <v>8.82</v>
      </c>
    </row>
    <row r="1387" spans="1:2">
      <c r="A1387" s="3">
        <f ca="1">IFERROR(__xludf.DUMMYFUNCTION("""COMPUTED_VALUE"""),40365.6666666666)</f>
        <v>40365.666666666599</v>
      </c>
      <c r="B1387" s="1">
        <f ca="1">IFERROR(__xludf.DUMMYFUNCTION("""COMPUTED_VALUE"""),8.88)</f>
        <v>8.8800000000000008</v>
      </c>
    </row>
    <row r="1388" spans="1:2">
      <c r="A1388" s="3">
        <f ca="1">IFERROR(__xludf.DUMMYFUNCTION("""COMPUTED_VALUE"""),40366.6666666666)</f>
        <v>40366.666666666599</v>
      </c>
      <c r="B1388" s="1">
        <f ca="1">IFERROR(__xludf.DUMMYFUNCTION("""COMPUTED_VALUE"""),9.24)</f>
        <v>9.24</v>
      </c>
    </row>
    <row r="1389" spans="1:2">
      <c r="A1389" s="3">
        <f ca="1">IFERROR(__xludf.DUMMYFUNCTION("""COMPUTED_VALUE"""),40367.6666666666)</f>
        <v>40367.666666666599</v>
      </c>
      <c r="B1389" s="1">
        <f ca="1">IFERROR(__xludf.DUMMYFUNCTION("""COMPUTED_VALUE"""),9.22)</f>
        <v>9.2200000000000006</v>
      </c>
    </row>
    <row r="1390" spans="1:2">
      <c r="A1390" s="3">
        <f ca="1">IFERROR(__xludf.DUMMYFUNCTION("""COMPUTED_VALUE"""),40368.6666666666)</f>
        <v>40368.666666666599</v>
      </c>
      <c r="B1390" s="1">
        <f ca="1">IFERROR(__xludf.DUMMYFUNCTION("""COMPUTED_VALUE"""),9.27)</f>
        <v>9.27</v>
      </c>
    </row>
    <row r="1391" spans="1:2">
      <c r="A1391" s="3">
        <f ca="1">IFERROR(__xludf.DUMMYFUNCTION("""COMPUTED_VALUE"""),40371.6666666666)</f>
        <v>40371.666666666599</v>
      </c>
      <c r="B1391" s="1">
        <f ca="1">IFERROR(__xludf.DUMMYFUNCTION("""COMPUTED_VALUE"""),9.19)</f>
        <v>9.19</v>
      </c>
    </row>
    <row r="1392" spans="1:2">
      <c r="A1392" s="3">
        <f ca="1">IFERROR(__xludf.DUMMYFUNCTION("""COMPUTED_VALUE"""),40372.6666666666)</f>
        <v>40372.666666666599</v>
      </c>
      <c r="B1392" s="1">
        <f ca="1">IFERROR(__xludf.DUMMYFUNCTION("""COMPUTED_VALUE"""),8.99)</f>
        <v>8.99</v>
      </c>
    </row>
    <row r="1393" spans="1:2">
      <c r="A1393" s="3">
        <f ca="1">IFERROR(__xludf.DUMMYFUNCTION("""COMPUTED_VALUE"""),40373.6666666666)</f>
        <v>40373.666666666599</v>
      </c>
      <c r="B1393" s="1">
        <f ca="1">IFERROR(__xludf.DUMMYFUNCTION("""COMPUTED_VALUE"""),9.03)</f>
        <v>9.0299999999999994</v>
      </c>
    </row>
    <row r="1394" spans="1:2">
      <c r="A1394" s="3">
        <f ca="1">IFERROR(__xludf.DUMMYFUNCTION("""COMPUTED_VALUE"""),40374.6666666666)</f>
        <v>40374.666666666599</v>
      </c>
      <c r="B1394" s="1">
        <f ca="1">IFERROR(__xludf.DUMMYFUNCTION("""COMPUTED_VALUE"""),8.98)</f>
        <v>8.98</v>
      </c>
    </row>
    <row r="1395" spans="1:2">
      <c r="A1395" s="3">
        <f ca="1">IFERROR(__xludf.DUMMYFUNCTION("""COMPUTED_VALUE"""),40375.6666666666)</f>
        <v>40375.666666666599</v>
      </c>
      <c r="B1395" s="1">
        <f ca="1">IFERROR(__xludf.DUMMYFUNCTION("""COMPUTED_VALUE"""),8.93)</f>
        <v>8.93</v>
      </c>
    </row>
    <row r="1396" spans="1:2">
      <c r="A1396" s="3">
        <f ca="1">IFERROR(__xludf.DUMMYFUNCTION("""COMPUTED_VALUE"""),40378.6666666666)</f>
        <v>40378.666666666599</v>
      </c>
      <c r="B1396" s="1">
        <f ca="1">IFERROR(__xludf.DUMMYFUNCTION("""COMPUTED_VALUE"""),8.77)</f>
        <v>8.77</v>
      </c>
    </row>
    <row r="1397" spans="1:2">
      <c r="A1397" s="3">
        <f ca="1">IFERROR(__xludf.DUMMYFUNCTION("""COMPUTED_VALUE"""),40379.6666666666)</f>
        <v>40379.666666666599</v>
      </c>
      <c r="B1397" s="1">
        <f ca="1">IFERROR(__xludf.DUMMYFUNCTION("""COMPUTED_VALUE"""),9)</f>
        <v>9</v>
      </c>
    </row>
    <row r="1398" spans="1:2">
      <c r="A1398" s="3">
        <f ca="1">IFERROR(__xludf.DUMMYFUNCTION("""COMPUTED_VALUE"""),40380.6666666666)</f>
        <v>40380.666666666599</v>
      </c>
      <c r="B1398" s="1">
        <f ca="1">IFERROR(__xludf.DUMMYFUNCTION("""COMPUTED_VALUE"""),9.08)</f>
        <v>9.08</v>
      </c>
    </row>
    <row r="1399" spans="1:2">
      <c r="A1399" s="3">
        <f ca="1">IFERROR(__xludf.DUMMYFUNCTION("""COMPUTED_VALUE"""),40381.6666666666)</f>
        <v>40381.666666666599</v>
      </c>
      <c r="B1399" s="1">
        <f ca="1">IFERROR(__xludf.DUMMYFUNCTION("""COMPUTED_VALUE"""),9.25)</f>
        <v>9.25</v>
      </c>
    </row>
    <row r="1400" spans="1:2">
      <c r="A1400" s="3">
        <f ca="1">IFERROR(__xludf.DUMMYFUNCTION("""COMPUTED_VALUE"""),40382.6666666666)</f>
        <v>40382.666666666599</v>
      </c>
      <c r="B1400" s="1">
        <f ca="1">IFERROR(__xludf.DUMMYFUNCTION("""COMPUTED_VALUE"""),9.28)</f>
        <v>9.2799999999999994</v>
      </c>
    </row>
    <row r="1401" spans="1:2">
      <c r="A1401" s="3">
        <f ca="1">IFERROR(__xludf.DUMMYFUNCTION("""COMPUTED_VALUE"""),40385.6666666666)</f>
        <v>40385.666666666599</v>
      </c>
      <c r="B1401" s="1">
        <f ca="1">IFERROR(__xludf.DUMMYFUNCTION("""COMPUTED_VALUE"""),9.26)</f>
        <v>9.26</v>
      </c>
    </row>
    <row r="1402" spans="1:2">
      <c r="A1402" s="3">
        <f ca="1">IFERROR(__xludf.DUMMYFUNCTION("""COMPUTED_VALUE"""),40386.6666666666)</f>
        <v>40386.666666666599</v>
      </c>
      <c r="B1402" s="1">
        <f ca="1">IFERROR(__xludf.DUMMYFUNCTION("""COMPUTED_VALUE"""),9.43)</f>
        <v>9.43</v>
      </c>
    </row>
    <row r="1403" spans="1:2">
      <c r="A1403" s="3">
        <f ca="1">IFERROR(__xludf.DUMMYFUNCTION("""COMPUTED_VALUE"""),40387.6666666666)</f>
        <v>40387.666666666599</v>
      </c>
      <c r="B1403" s="1">
        <f ca="1">IFERROR(__xludf.DUMMYFUNCTION("""COMPUTED_VALUE"""),9.32)</f>
        <v>9.32</v>
      </c>
    </row>
    <row r="1404" spans="1:2">
      <c r="A1404" s="3">
        <f ca="1">IFERROR(__xludf.DUMMYFUNCTION("""COMPUTED_VALUE"""),40388.6666666666)</f>
        <v>40388.666666666599</v>
      </c>
      <c r="B1404" s="1">
        <f ca="1">IFERROR(__xludf.DUMMYFUNCTION("""COMPUTED_VALUE"""),9.22)</f>
        <v>9.2200000000000006</v>
      </c>
    </row>
    <row r="1405" spans="1:2">
      <c r="A1405" s="3">
        <f ca="1">IFERROR(__xludf.DUMMYFUNCTION("""COMPUTED_VALUE"""),40389.6666666666)</f>
        <v>40389.666666666599</v>
      </c>
      <c r="B1405" s="1">
        <f ca="1">IFERROR(__xludf.DUMMYFUNCTION("""COMPUTED_VALUE"""),9.19)</f>
        <v>9.19</v>
      </c>
    </row>
    <row r="1406" spans="1:2">
      <c r="A1406" s="3">
        <f ca="1">IFERROR(__xludf.DUMMYFUNCTION("""COMPUTED_VALUE"""),40392.6666666666)</f>
        <v>40392.666666666599</v>
      </c>
      <c r="B1406" s="1">
        <f ca="1">IFERROR(__xludf.DUMMYFUNCTION("""COMPUTED_VALUE"""),9.35)</f>
        <v>9.35</v>
      </c>
    </row>
    <row r="1407" spans="1:2">
      <c r="A1407" s="3">
        <f ca="1">IFERROR(__xludf.DUMMYFUNCTION("""COMPUTED_VALUE"""),40393.6666666666)</f>
        <v>40393.666666666599</v>
      </c>
      <c r="B1407" s="1">
        <f ca="1">IFERROR(__xludf.DUMMYFUNCTION("""COMPUTED_VALUE"""),9.35)</f>
        <v>9.35</v>
      </c>
    </row>
    <row r="1408" spans="1:2">
      <c r="A1408" s="3">
        <f ca="1">IFERROR(__xludf.DUMMYFUNCTION("""COMPUTED_VALUE"""),40394.6666666666)</f>
        <v>40394.666666666599</v>
      </c>
      <c r="B1408" s="1">
        <f ca="1">IFERROR(__xludf.DUMMYFUNCTION("""COMPUTED_VALUE"""),9.39)</f>
        <v>9.39</v>
      </c>
    </row>
    <row r="1409" spans="1:2">
      <c r="A1409" s="3">
        <f ca="1">IFERROR(__xludf.DUMMYFUNCTION("""COMPUTED_VALUE"""),40395.6666666666)</f>
        <v>40395.666666666599</v>
      </c>
      <c r="B1409" s="1">
        <f ca="1">IFERROR(__xludf.DUMMYFUNCTION("""COMPUTED_VALUE"""),9.35)</f>
        <v>9.35</v>
      </c>
    </row>
    <row r="1410" spans="1:2">
      <c r="A1410" s="3">
        <f ca="1">IFERROR(__xludf.DUMMYFUNCTION("""COMPUTED_VALUE"""),40396.6666666666)</f>
        <v>40396.666666666599</v>
      </c>
      <c r="B1410" s="1">
        <f ca="1">IFERROR(__xludf.DUMMYFUNCTION("""COMPUTED_VALUE"""),9.29)</f>
        <v>9.2899999999999991</v>
      </c>
    </row>
    <row r="1411" spans="1:2">
      <c r="A1411" s="3">
        <f ca="1">IFERROR(__xludf.DUMMYFUNCTION("""COMPUTED_VALUE"""),40399.6666666666)</f>
        <v>40399.666666666599</v>
      </c>
      <c r="B1411" s="1">
        <f ca="1">IFERROR(__xludf.DUMMYFUNCTION("""COMPUTED_VALUE"""),9.35)</f>
        <v>9.35</v>
      </c>
    </row>
    <row r="1412" spans="1:2">
      <c r="A1412" s="3">
        <f ca="1">IFERROR(__xludf.DUMMYFUNCTION("""COMPUTED_VALUE"""),40400.6666666666)</f>
        <v>40400.666666666599</v>
      </c>
      <c r="B1412" s="1">
        <f ca="1">IFERROR(__xludf.DUMMYFUNCTION("""COMPUTED_VALUE"""),9.26)</f>
        <v>9.26</v>
      </c>
    </row>
    <row r="1413" spans="1:2">
      <c r="A1413" s="3">
        <f ca="1">IFERROR(__xludf.DUMMYFUNCTION("""COMPUTED_VALUE"""),40401.6666666666)</f>
        <v>40401.666666666599</v>
      </c>
      <c r="B1413" s="1">
        <f ca="1">IFERROR(__xludf.DUMMYFUNCTION("""COMPUTED_VALUE"""),8.94)</f>
        <v>8.94</v>
      </c>
    </row>
    <row r="1414" spans="1:2">
      <c r="A1414" s="3">
        <f ca="1">IFERROR(__xludf.DUMMYFUNCTION("""COMPUTED_VALUE"""),40402.6666666666)</f>
        <v>40402.666666666599</v>
      </c>
      <c r="B1414" s="1">
        <f ca="1">IFERROR(__xludf.DUMMYFUNCTION("""COMPUTED_VALUE"""),8.99)</f>
        <v>8.99</v>
      </c>
    </row>
    <row r="1415" spans="1:2">
      <c r="A1415" s="3">
        <f ca="1">IFERROR(__xludf.DUMMYFUNCTION("""COMPUTED_VALUE"""),40403.6666666666)</f>
        <v>40403.666666666599</v>
      </c>
      <c r="B1415" s="1">
        <f ca="1">IFERROR(__xludf.DUMMYFUNCTION("""COMPUTED_VALUE"""),8.9)</f>
        <v>8.9</v>
      </c>
    </row>
    <row r="1416" spans="1:2">
      <c r="A1416" s="3">
        <f ca="1">IFERROR(__xludf.DUMMYFUNCTION("""COMPUTED_VALUE"""),40406.6666666666)</f>
        <v>40406.666666666599</v>
      </c>
      <c r="B1416" s="1">
        <f ca="1">IFERROR(__xludf.DUMMYFUNCTION("""COMPUTED_VALUE"""),8.84)</f>
        <v>8.84</v>
      </c>
    </row>
    <row r="1417" spans="1:2">
      <c r="A1417" s="3">
        <f ca="1">IFERROR(__xludf.DUMMYFUNCTION("""COMPUTED_VALUE"""),40407.6666666666)</f>
        <v>40407.666666666599</v>
      </c>
      <c r="B1417" s="1">
        <f ca="1">IFERROR(__xludf.DUMMYFUNCTION("""COMPUTED_VALUE"""),9)</f>
        <v>9</v>
      </c>
    </row>
    <row r="1418" spans="1:2">
      <c r="A1418" s="3">
        <f ca="1">IFERROR(__xludf.DUMMYFUNCTION("""COMPUTED_VALUE"""),40408.6666666666)</f>
        <v>40408.666666666599</v>
      </c>
      <c r="B1418" s="1">
        <f ca="1">IFERROR(__xludf.DUMMYFUNCTION("""COMPUTED_VALUE"""),9.04)</f>
        <v>9.0399999999999991</v>
      </c>
    </row>
    <row r="1419" spans="1:2">
      <c r="A1419" s="3">
        <f ca="1">IFERROR(__xludf.DUMMYFUNCTION("""COMPUTED_VALUE"""),40409.6666666666)</f>
        <v>40409.666666666599</v>
      </c>
      <c r="B1419" s="1">
        <f ca="1">IFERROR(__xludf.DUMMYFUNCTION("""COMPUTED_VALUE"""),8.92)</f>
        <v>8.92</v>
      </c>
    </row>
    <row r="1420" spans="1:2">
      <c r="A1420" s="3">
        <f ca="1">IFERROR(__xludf.DUMMYFUNCTION("""COMPUTED_VALUE"""),40410.6666666666)</f>
        <v>40410.666666666599</v>
      </c>
      <c r="B1420" s="1">
        <f ca="1">IFERROR(__xludf.DUMMYFUNCTION("""COMPUTED_VALUE"""),8.92)</f>
        <v>8.92</v>
      </c>
    </row>
    <row r="1421" spans="1:2">
      <c r="A1421" s="3">
        <f ca="1">IFERROR(__xludf.DUMMYFUNCTION("""COMPUTED_VALUE"""),40413.6666666666)</f>
        <v>40413.666666666599</v>
      </c>
      <c r="B1421" s="1">
        <f ca="1">IFERROR(__xludf.DUMMYFUNCTION("""COMPUTED_VALUE"""),8.78)</f>
        <v>8.7799999999999994</v>
      </c>
    </row>
    <row r="1422" spans="1:2">
      <c r="A1422" s="3">
        <f ca="1">IFERROR(__xludf.DUMMYFUNCTION("""COMPUTED_VALUE"""),40414.6666666666)</f>
        <v>40414.666666666599</v>
      </c>
      <c r="B1422" s="1">
        <f ca="1">IFERROR(__xludf.DUMMYFUNCTION("""COMPUTED_VALUE"""),8.57)</f>
        <v>8.57</v>
      </c>
    </row>
    <row r="1423" spans="1:2">
      <c r="A1423" s="3">
        <f ca="1">IFERROR(__xludf.DUMMYFUNCTION("""COMPUTED_VALUE"""),40415.6666666666)</f>
        <v>40415.666666666599</v>
      </c>
      <c r="B1423" s="1">
        <f ca="1">IFERROR(__xludf.DUMMYFUNCTION("""COMPUTED_VALUE"""),8.67)</f>
        <v>8.67</v>
      </c>
    </row>
    <row r="1424" spans="1:2">
      <c r="A1424" s="3">
        <f ca="1">IFERROR(__xludf.DUMMYFUNCTION("""COMPUTED_VALUE"""),40416.6666666666)</f>
        <v>40416.666666666599</v>
      </c>
      <c r="B1424" s="1">
        <f ca="1">IFERROR(__xludf.DUMMYFUNCTION("""COMPUTED_VALUE"""),8.58)</f>
        <v>8.58</v>
      </c>
    </row>
    <row r="1425" spans="1:2">
      <c r="A1425" s="3">
        <f ca="1">IFERROR(__xludf.DUMMYFUNCTION("""COMPUTED_VALUE"""),40417.6666666666)</f>
        <v>40417.666666666599</v>
      </c>
      <c r="B1425" s="1">
        <f ca="1">IFERROR(__xludf.DUMMYFUNCTION("""COMPUTED_VALUE"""),8.63)</f>
        <v>8.6300000000000008</v>
      </c>
    </row>
    <row r="1426" spans="1:2">
      <c r="A1426" s="3">
        <f ca="1">IFERROR(__xludf.DUMMYFUNCTION("""COMPUTED_VALUE"""),40420.6666666666)</f>
        <v>40420.666666666599</v>
      </c>
      <c r="B1426" s="1">
        <f ca="1">IFERROR(__xludf.DUMMYFUNCTION("""COMPUTED_VALUE"""),8.66)</f>
        <v>8.66</v>
      </c>
    </row>
    <row r="1427" spans="1:2">
      <c r="A1427" s="3">
        <f ca="1">IFERROR(__xludf.DUMMYFUNCTION("""COMPUTED_VALUE"""),40421.6666666666)</f>
        <v>40421.666666666599</v>
      </c>
      <c r="B1427" s="1">
        <f ca="1">IFERROR(__xludf.DUMMYFUNCTION("""COMPUTED_VALUE"""),8.68)</f>
        <v>8.68</v>
      </c>
    </row>
    <row r="1428" spans="1:2">
      <c r="A1428" s="3">
        <f ca="1">IFERROR(__xludf.DUMMYFUNCTION("""COMPUTED_VALUE"""),40422.6666666666)</f>
        <v>40422.666666666599</v>
      </c>
      <c r="B1428" s="1">
        <f ca="1">IFERROR(__xludf.DUMMYFUNCTION("""COMPUTED_VALUE"""),8.94)</f>
        <v>8.94</v>
      </c>
    </row>
    <row r="1429" spans="1:2">
      <c r="A1429" s="3">
        <f ca="1">IFERROR(__xludf.DUMMYFUNCTION("""COMPUTED_VALUE"""),40423.6666666666)</f>
        <v>40423.666666666599</v>
      </c>
      <c r="B1429" s="1">
        <f ca="1">IFERROR(__xludf.DUMMYFUNCTION("""COMPUTED_VALUE"""),9.01)</f>
        <v>9.01</v>
      </c>
    </row>
    <row r="1430" spans="1:2">
      <c r="A1430" s="3">
        <f ca="1">IFERROR(__xludf.DUMMYFUNCTION("""COMPUTED_VALUE"""),40424.6666666666)</f>
        <v>40424.666666666599</v>
      </c>
      <c r="B1430" s="1">
        <f ca="1">IFERROR(__xludf.DUMMYFUNCTION("""COMPUTED_VALUE"""),9.24)</f>
        <v>9.24</v>
      </c>
    </row>
    <row r="1431" spans="1:2">
      <c r="A1431" s="3">
        <f ca="1">IFERROR(__xludf.DUMMYFUNCTION("""COMPUTED_VALUE"""),40428.6666666666)</f>
        <v>40428.666666666599</v>
      </c>
      <c r="B1431" s="1">
        <f ca="1">IFERROR(__xludf.DUMMYFUNCTION("""COMPUTED_VALUE"""),9.21)</f>
        <v>9.2100000000000009</v>
      </c>
    </row>
    <row r="1432" spans="1:2">
      <c r="A1432" s="3">
        <f ca="1">IFERROR(__xludf.DUMMYFUNCTION("""COMPUTED_VALUE"""),40429.6666666666)</f>
        <v>40429.666666666599</v>
      </c>
      <c r="B1432" s="1">
        <f ca="1">IFERROR(__xludf.DUMMYFUNCTION("""COMPUTED_VALUE"""),9.39)</f>
        <v>9.39</v>
      </c>
    </row>
    <row r="1433" spans="1:2">
      <c r="A1433" s="3">
        <f ca="1">IFERROR(__xludf.DUMMYFUNCTION("""COMPUTED_VALUE"""),40430.6666666666)</f>
        <v>40430.666666666599</v>
      </c>
      <c r="B1433" s="1">
        <f ca="1">IFERROR(__xludf.DUMMYFUNCTION("""COMPUTED_VALUE"""),9.4)</f>
        <v>9.4</v>
      </c>
    </row>
    <row r="1434" spans="1:2">
      <c r="A1434" s="3">
        <f ca="1">IFERROR(__xludf.DUMMYFUNCTION("""COMPUTED_VALUE"""),40431.6666666666)</f>
        <v>40431.666666666599</v>
      </c>
      <c r="B1434" s="1">
        <f ca="1">IFERROR(__xludf.DUMMYFUNCTION("""COMPUTED_VALUE"""),9.41)</f>
        <v>9.41</v>
      </c>
    </row>
    <row r="1435" spans="1:2">
      <c r="A1435" s="3">
        <f ca="1">IFERROR(__xludf.DUMMYFUNCTION("""COMPUTED_VALUE"""),40434.6666666666)</f>
        <v>40434.666666666599</v>
      </c>
      <c r="B1435" s="1">
        <f ca="1">IFERROR(__xludf.DUMMYFUNCTION("""COMPUTED_VALUE"""),9.54)</f>
        <v>9.5399999999999991</v>
      </c>
    </row>
    <row r="1436" spans="1:2">
      <c r="A1436" s="3">
        <f ca="1">IFERROR(__xludf.DUMMYFUNCTION("""COMPUTED_VALUE"""),40435.6666666666)</f>
        <v>40435.666666666599</v>
      </c>
      <c r="B1436" s="1">
        <f ca="1">IFERROR(__xludf.DUMMYFUNCTION("""COMPUTED_VALUE"""),9.57)</f>
        <v>9.57</v>
      </c>
    </row>
    <row r="1437" spans="1:2">
      <c r="A1437" s="3">
        <f ca="1">IFERROR(__xludf.DUMMYFUNCTION("""COMPUTED_VALUE"""),40436.6666666666)</f>
        <v>40436.666666666599</v>
      </c>
      <c r="B1437" s="1">
        <f ca="1">IFERROR(__xludf.DUMMYFUNCTION("""COMPUTED_VALUE"""),9.65)</f>
        <v>9.65</v>
      </c>
    </row>
    <row r="1438" spans="1:2">
      <c r="A1438" s="3">
        <f ca="1">IFERROR(__xludf.DUMMYFUNCTION("""COMPUTED_VALUE"""),40437.6666666666)</f>
        <v>40437.666666666599</v>
      </c>
      <c r="B1438" s="1">
        <f ca="1">IFERROR(__xludf.DUMMYFUNCTION("""COMPUTED_VALUE"""),9.88)</f>
        <v>9.8800000000000008</v>
      </c>
    </row>
    <row r="1439" spans="1:2">
      <c r="A1439" s="3">
        <f ca="1">IFERROR(__xludf.DUMMYFUNCTION("""COMPUTED_VALUE"""),40438.6666666666)</f>
        <v>40438.666666666599</v>
      </c>
      <c r="B1439" s="1">
        <f ca="1">IFERROR(__xludf.DUMMYFUNCTION("""COMPUTED_VALUE"""),9.83)</f>
        <v>9.83</v>
      </c>
    </row>
    <row r="1440" spans="1:2">
      <c r="A1440" s="3">
        <f ca="1">IFERROR(__xludf.DUMMYFUNCTION("""COMPUTED_VALUE"""),40441.6666666666)</f>
        <v>40441.666666666599</v>
      </c>
      <c r="B1440" s="1">
        <f ca="1">IFERROR(__xludf.DUMMYFUNCTION("""COMPUTED_VALUE"""),10.12)</f>
        <v>10.119999999999999</v>
      </c>
    </row>
    <row r="1441" spans="1:2">
      <c r="A1441" s="3">
        <f ca="1">IFERROR(__xludf.DUMMYFUNCTION("""COMPUTED_VALUE"""),40442.6666666666)</f>
        <v>40442.666666666599</v>
      </c>
      <c r="B1441" s="1">
        <f ca="1">IFERROR(__xludf.DUMMYFUNCTION("""COMPUTED_VALUE"""),10.13)</f>
        <v>10.130000000000001</v>
      </c>
    </row>
    <row r="1442" spans="1:2">
      <c r="A1442" s="3">
        <f ca="1">IFERROR(__xludf.DUMMYFUNCTION("""COMPUTED_VALUE"""),40443.6666666666)</f>
        <v>40443.666666666599</v>
      </c>
      <c r="B1442" s="1">
        <f ca="1">IFERROR(__xludf.DUMMYFUNCTION("""COMPUTED_VALUE"""),10.28)</f>
        <v>10.28</v>
      </c>
    </row>
    <row r="1443" spans="1:2">
      <c r="A1443" s="3">
        <f ca="1">IFERROR(__xludf.DUMMYFUNCTION("""COMPUTED_VALUE"""),40444.6666666666)</f>
        <v>40444.666666666599</v>
      </c>
      <c r="B1443" s="1">
        <f ca="1">IFERROR(__xludf.DUMMYFUNCTION("""COMPUTED_VALUE"""),10.32)</f>
        <v>10.32</v>
      </c>
    </row>
    <row r="1444" spans="1:2">
      <c r="A1444" s="3">
        <f ca="1">IFERROR(__xludf.DUMMYFUNCTION("""COMPUTED_VALUE"""),40445.6666666666)</f>
        <v>40445.666666666599</v>
      </c>
      <c r="B1444" s="1">
        <f ca="1">IFERROR(__xludf.DUMMYFUNCTION("""COMPUTED_VALUE"""),10.44)</f>
        <v>10.44</v>
      </c>
    </row>
    <row r="1445" spans="1:2">
      <c r="A1445" s="3">
        <f ca="1">IFERROR(__xludf.DUMMYFUNCTION("""COMPUTED_VALUE"""),40448.6666666666)</f>
        <v>40448.666666666599</v>
      </c>
      <c r="B1445" s="1">
        <f ca="1">IFERROR(__xludf.DUMMYFUNCTION("""COMPUTED_VALUE"""),10.4)</f>
        <v>10.4</v>
      </c>
    </row>
    <row r="1446" spans="1:2">
      <c r="A1446" s="3">
        <f ca="1">IFERROR(__xludf.DUMMYFUNCTION("""COMPUTED_VALUE"""),40449.6666666666)</f>
        <v>40449.666666666599</v>
      </c>
      <c r="B1446" s="1">
        <f ca="1">IFERROR(__xludf.DUMMYFUNCTION("""COMPUTED_VALUE"""),10.25)</f>
        <v>10.25</v>
      </c>
    </row>
    <row r="1447" spans="1:2">
      <c r="A1447" s="3">
        <f ca="1">IFERROR(__xludf.DUMMYFUNCTION("""COMPUTED_VALUE"""),40450.6666666666)</f>
        <v>40450.666666666599</v>
      </c>
      <c r="B1447" s="1">
        <f ca="1">IFERROR(__xludf.DUMMYFUNCTION("""COMPUTED_VALUE"""),10.26)</f>
        <v>10.26</v>
      </c>
    </row>
    <row r="1448" spans="1:2">
      <c r="A1448" s="3">
        <f ca="1">IFERROR(__xludf.DUMMYFUNCTION("""COMPUTED_VALUE"""),40451.6666666666)</f>
        <v>40451.666666666599</v>
      </c>
      <c r="B1448" s="1">
        <f ca="1">IFERROR(__xludf.DUMMYFUNCTION("""COMPUTED_VALUE"""),10.13)</f>
        <v>10.130000000000001</v>
      </c>
    </row>
    <row r="1449" spans="1:2">
      <c r="A1449" s="3">
        <f ca="1">IFERROR(__xludf.DUMMYFUNCTION("""COMPUTED_VALUE"""),40452.6666666666)</f>
        <v>40452.666666666599</v>
      </c>
      <c r="B1449" s="1">
        <f ca="1">IFERROR(__xludf.DUMMYFUNCTION("""COMPUTED_VALUE"""),10.09)</f>
        <v>10.09</v>
      </c>
    </row>
    <row r="1450" spans="1:2">
      <c r="A1450" s="3">
        <f ca="1">IFERROR(__xludf.DUMMYFUNCTION("""COMPUTED_VALUE"""),40455.6666666666)</f>
        <v>40455.666666666599</v>
      </c>
      <c r="B1450" s="1">
        <f ca="1">IFERROR(__xludf.DUMMYFUNCTION("""COMPUTED_VALUE"""),9.95)</f>
        <v>9.9499999999999993</v>
      </c>
    </row>
    <row r="1451" spans="1:2">
      <c r="A1451" s="3">
        <f ca="1">IFERROR(__xludf.DUMMYFUNCTION("""COMPUTED_VALUE"""),40456.6666666666)</f>
        <v>40456.666666666599</v>
      </c>
      <c r="B1451" s="1">
        <f ca="1">IFERROR(__xludf.DUMMYFUNCTION("""COMPUTED_VALUE"""),10.32)</f>
        <v>10.32</v>
      </c>
    </row>
    <row r="1452" spans="1:2">
      <c r="A1452" s="3">
        <f ca="1">IFERROR(__xludf.DUMMYFUNCTION("""COMPUTED_VALUE"""),40457.6666666666)</f>
        <v>40457.666666666599</v>
      </c>
      <c r="B1452" s="1">
        <f ca="1">IFERROR(__xludf.DUMMYFUNCTION("""COMPUTED_VALUE"""),10.29)</f>
        <v>10.29</v>
      </c>
    </row>
    <row r="1453" spans="1:2">
      <c r="A1453" s="3">
        <f ca="1">IFERROR(__xludf.DUMMYFUNCTION("""COMPUTED_VALUE"""),40458.6666666666)</f>
        <v>40458.666666666599</v>
      </c>
      <c r="B1453" s="1">
        <f ca="1">IFERROR(__xludf.DUMMYFUNCTION("""COMPUTED_VALUE"""),10.33)</f>
        <v>10.33</v>
      </c>
    </row>
    <row r="1454" spans="1:2">
      <c r="A1454" s="3">
        <f ca="1">IFERROR(__xludf.DUMMYFUNCTION("""COMPUTED_VALUE"""),40459.6666666666)</f>
        <v>40459.666666666599</v>
      </c>
      <c r="B1454" s="1">
        <f ca="1">IFERROR(__xludf.DUMMYFUNCTION("""COMPUTED_VALUE"""),10.5)</f>
        <v>10.5</v>
      </c>
    </row>
    <row r="1455" spans="1:2">
      <c r="A1455" s="3">
        <f ca="1">IFERROR(__xludf.DUMMYFUNCTION("""COMPUTED_VALUE"""),40462.6666666666)</f>
        <v>40462.666666666599</v>
      </c>
      <c r="B1455" s="1">
        <f ca="1">IFERROR(__xludf.DUMMYFUNCTION("""COMPUTED_VALUE"""),10.55)</f>
        <v>10.55</v>
      </c>
    </row>
    <row r="1456" spans="1:2">
      <c r="A1456" s="3">
        <f ca="1">IFERROR(__xludf.DUMMYFUNCTION("""COMPUTED_VALUE"""),40463.6666666666)</f>
        <v>40463.666666666599</v>
      </c>
      <c r="B1456" s="1">
        <f ca="1">IFERROR(__xludf.DUMMYFUNCTION("""COMPUTED_VALUE"""),10.66)</f>
        <v>10.66</v>
      </c>
    </row>
    <row r="1457" spans="1:2">
      <c r="A1457" s="3">
        <f ca="1">IFERROR(__xludf.DUMMYFUNCTION("""COMPUTED_VALUE"""),40464.6666666666)</f>
        <v>40464.666666666599</v>
      </c>
      <c r="B1457" s="1">
        <f ca="1">IFERROR(__xludf.DUMMYFUNCTION("""COMPUTED_VALUE"""),10.72)</f>
        <v>10.72</v>
      </c>
    </row>
    <row r="1458" spans="1:2">
      <c r="A1458" s="3">
        <f ca="1">IFERROR(__xludf.DUMMYFUNCTION("""COMPUTED_VALUE"""),40465.6666666666)</f>
        <v>40465.666666666599</v>
      </c>
      <c r="B1458" s="1">
        <f ca="1">IFERROR(__xludf.DUMMYFUNCTION("""COMPUTED_VALUE"""),10.8)</f>
        <v>10.8</v>
      </c>
    </row>
    <row r="1459" spans="1:2">
      <c r="A1459" s="3">
        <f ca="1">IFERROR(__xludf.DUMMYFUNCTION("""COMPUTED_VALUE"""),40466.6666666666)</f>
        <v>40466.666666666599</v>
      </c>
      <c r="B1459" s="1">
        <f ca="1">IFERROR(__xludf.DUMMYFUNCTION("""COMPUTED_VALUE"""),11.24)</f>
        <v>11.24</v>
      </c>
    </row>
    <row r="1460" spans="1:2">
      <c r="A1460" s="3">
        <f ca="1">IFERROR(__xludf.DUMMYFUNCTION("""COMPUTED_VALUE"""),40469.6666666666)</f>
        <v>40469.666666666599</v>
      </c>
      <c r="B1460" s="1">
        <f ca="1">IFERROR(__xludf.DUMMYFUNCTION("""COMPUTED_VALUE"""),11.36)</f>
        <v>11.36</v>
      </c>
    </row>
    <row r="1461" spans="1:2">
      <c r="A1461" s="3">
        <f ca="1">IFERROR(__xludf.DUMMYFUNCTION("""COMPUTED_VALUE"""),40470.6666666666)</f>
        <v>40470.666666666599</v>
      </c>
      <c r="B1461" s="1">
        <f ca="1">IFERROR(__xludf.DUMMYFUNCTION("""COMPUTED_VALUE"""),11.05)</f>
        <v>11.05</v>
      </c>
    </row>
    <row r="1462" spans="1:2">
      <c r="A1462" s="3">
        <f ca="1">IFERROR(__xludf.DUMMYFUNCTION("""COMPUTED_VALUE"""),40471.6666666666)</f>
        <v>40471.666666666599</v>
      </c>
      <c r="B1462" s="1">
        <f ca="1">IFERROR(__xludf.DUMMYFUNCTION("""COMPUTED_VALUE"""),11.09)</f>
        <v>11.09</v>
      </c>
    </row>
    <row r="1463" spans="1:2">
      <c r="A1463" s="3">
        <f ca="1">IFERROR(__xludf.DUMMYFUNCTION("""COMPUTED_VALUE"""),40472.6666666666)</f>
        <v>40472.666666666599</v>
      </c>
      <c r="B1463" s="1">
        <f ca="1">IFERROR(__xludf.DUMMYFUNCTION("""COMPUTED_VALUE"""),11.05)</f>
        <v>11.05</v>
      </c>
    </row>
    <row r="1464" spans="1:2">
      <c r="A1464" s="3">
        <f ca="1">IFERROR(__xludf.DUMMYFUNCTION("""COMPUTED_VALUE"""),40473.6666666666)</f>
        <v>40473.666666666599</v>
      </c>
      <c r="B1464" s="1">
        <f ca="1">IFERROR(__xludf.DUMMYFUNCTION("""COMPUTED_VALUE"""),10.98)</f>
        <v>10.98</v>
      </c>
    </row>
    <row r="1465" spans="1:2">
      <c r="A1465" s="3">
        <f ca="1">IFERROR(__xludf.DUMMYFUNCTION("""COMPUTED_VALUE"""),40476.6666666666)</f>
        <v>40476.666666666599</v>
      </c>
      <c r="B1465" s="1">
        <f ca="1">IFERROR(__xludf.DUMMYFUNCTION("""COMPUTED_VALUE"""),11.03)</f>
        <v>11.03</v>
      </c>
    </row>
    <row r="1466" spans="1:2">
      <c r="A1466" s="3">
        <f ca="1">IFERROR(__xludf.DUMMYFUNCTION("""COMPUTED_VALUE"""),40477.6666666666)</f>
        <v>40477.666666666599</v>
      </c>
      <c r="B1466" s="1">
        <f ca="1">IFERROR(__xludf.DUMMYFUNCTION("""COMPUTED_VALUE"""),11)</f>
        <v>11</v>
      </c>
    </row>
    <row r="1467" spans="1:2">
      <c r="A1467" s="3">
        <f ca="1">IFERROR(__xludf.DUMMYFUNCTION("""COMPUTED_VALUE"""),40478.6666666666)</f>
        <v>40478.666666666599</v>
      </c>
      <c r="B1467" s="1">
        <f ca="1">IFERROR(__xludf.DUMMYFUNCTION("""COMPUTED_VALUE"""),10.99)</f>
        <v>10.99</v>
      </c>
    </row>
    <row r="1468" spans="1:2">
      <c r="A1468" s="3">
        <f ca="1">IFERROR(__xludf.DUMMYFUNCTION("""COMPUTED_VALUE"""),40479.6666666666)</f>
        <v>40479.666666666599</v>
      </c>
      <c r="B1468" s="1">
        <f ca="1">IFERROR(__xludf.DUMMYFUNCTION("""COMPUTED_VALUE"""),10.9)</f>
        <v>10.9</v>
      </c>
    </row>
    <row r="1469" spans="1:2">
      <c r="A1469" s="3">
        <f ca="1">IFERROR(__xludf.DUMMYFUNCTION("""COMPUTED_VALUE"""),40480.6666666666)</f>
        <v>40480.666666666599</v>
      </c>
      <c r="B1469" s="1">
        <f ca="1">IFERROR(__xludf.DUMMYFUNCTION("""COMPUTED_VALUE"""),10.75)</f>
        <v>10.75</v>
      </c>
    </row>
    <row r="1470" spans="1:2">
      <c r="A1470" s="3">
        <f ca="1">IFERROR(__xludf.DUMMYFUNCTION("""COMPUTED_VALUE"""),40483.6666666666)</f>
        <v>40483.666666666599</v>
      </c>
      <c r="B1470" s="1">
        <f ca="1">IFERROR(__xludf.DUMMYFUNCTION("""COMPUTED_VALUE"""),10.86)</f>
        <v>10.86</v>
      </c>
    </row>
    <row r="1471" spans="1:2">
      <c r="A1471" s="3">
        <f ca="1">IFERROR(__xludf.DUMMYFUNCTION("""COMPUTED_VALUE"""),40484.6666666666)</f>
        <v>40484.666666666599</v>
      </c>
      <c r="B1471" s="1">
        <f ca="1">IFERROR(__xludf.DUMMYFUNCTION("""COMPUTED_VALUE"""),11.05)</f>
        <v>11.05</v>
      </c>
    </row>
    <row r="1472" spans="1:2">
      <c r="A1472" s="3">
        <f ca="1">IFERROR(__xludf.DUMMYFUNCTION("""COMPUTED_VALUE"""),40485.6666666666)</f>
        <v>40485.666666666599</v>
      </c>
      <c r="B1472" s="1">
        <f ca="1">IFERROR(__xludf.DUMMYFUNCTION("""COMPUTED_VALUE"""),11.17)</f>
        <v>11.17</v>
      </c>
    </row>
    <row r="1473" spans="1:2">
      <c r="A1473" s="3">
        <f ca="1">IFERROR(__xludf.DUMMYFUNCTION("""COMPUTED_VALUE"""),40486.6666666666)</f>
        <v>40486.666666666599</v>
      </c>
      <c r="B1473" s="1">
        <f ca="1">IFERROR(__xludf.DUMMYFUNCTION("""COMPUTED_VALUE"""),11.37)</f>
        <v>11.37</v>
      </c>
    </row>
    <row r="1474" spans="1:2">
      <c r="A1474" s="3">
        <f ca="1">IFERROR(__xludf.DUMMYFUNCTION("""COMPUTED_VALUE"""),40487.6666666666)</f>
        <v>40487.666666666599</v>
      </c>
      <c r="B1474" s="1">
        <f ca="1">IFERROR(__xludf.DUMMYFUNCTION("""COMPUTED_VALUE"""),11.33)</f>
        <v>11.33</v>
      </c>
    </row>
    <row r="1475" spans="1:2">
      <c r="A1475" s="3">
        <f ca="1">IFERROR(__xludf.DUMMYFUNCTION("""COMPUTED_VALUE"""),40490.6666666666)</f>
        <v>40490.666666666599</v>
      </c>
      <c r="B1475" s="1">
        <f ca="1">IFERROR(__xludf.DUMMYFUNCTION("""COMPUTED_VALUE"""),11.38)</f>
        <v>11.38</v>
      </c>
    </row>
    <row r="1476" spans="1:2">
      <c r="A1476" s="3">
        <f ca="1">IFERROR(__xludf.DUMMYFUNCTION("""COMPUTED_VALUE"""),40491.6666666666)</f>
        <v>40491.666666666599</v>
      </c>
      <c r="B1476" s="1">
        <f ca="1">IFERROR(__xludf.DUMMYFUNCTION("""COMPUTED_VALUE"""),11.29)</f>
        <v>11.29</v>
      </c>
    </row>
    <row r="1477" spans="1:2">
      <c r="A1477" s="3">
        <f ca="1">IFERROR(__xludf.DUMMYFUNCTION("""COMPUTED_VALUE"""),40492.6666666666)</f>
        <v>40492.666666666599</v>
      </c>
      <c r="B1477" s="1">
        <f ca="1">IFERROR(__xludf.DUMMYFUNCTION("""COMPUTED_VALUE"""),11.36)</f>
        <v>11.36</v>
      </c>
    </row>
    <row r="1478" spans="1:2">
      <c r="A1478" s="3">
        <f ca="1">IFERROR(__xludf.DUMMYFUNCTION("""COMPUTED_VALUE"""),40493.6666666666)</f>
        <v>40493.666666666599</v>
      </c>
      <c r="B1478" s="1">
        <f ca="1">IFERROR(__xludf.DUMMYFUNCTION("""COMPUTED_VALUE"""),11.31)</f>
        <v>11.31</v>
      </c>
    </row>
    <row r="1479" spans="1:2">
      <c r="A1479" s="3">
        <f ca="1">IFERROR(__xludf.DUMMYFUNCTION("""COMPUTED_VALUE"""),40494.6666666666)</f>
        <v>40494.666666666599</v>
      </c>
      <c r="B1479" s="1">
        <f ca="1">IFERROR(__xludf.DUMMYFUNCTION("""COMPUTED_VALUE"""),11)</f>
        <v>11</v>
      </c>
    </row>
    <row r="1480" spans="1:2">
      <c r="A1480" s="3">
        <f ca="1">IFERROR(__xludf.DUMMYFUNCTION("""COMPUTED_VALUE"""),40497.6666666666)</f>
        <v>40497.666666666599</v>
      </c>
      <c r="B1480" s="1">
        <f ca="1">IFERROR(__xludf.DUMMYFUNCTION("""COMPUTED_VALUE"""),10.97)</f>
        <v>10.97</v>
      </c>
    </row>
    <row r="1481" spans="1:2">
      <c r="A1481" s="3">
        <f ca="1">IFERROR(__xludf.DUMMYFUNCTION("""COMPUTED_VALUE"""),40498.6666666666)</f>
        <v>40498.666666666599</v>
      </c>
      <c r="B1481" s="1">
        <f ca="1">IFERROR(__xludf.DUMMYFUNCTION("""COMPUTED_VALUE"""),10.77)</f>
        <v>10.77</v>
      </c>
    </row>
    <row r="1482" spans="1:2">
      <c r="A1482" s="3">
        <f ca="1">IFERROR(__xludf.DUMMYFUNCTION("""COMPUTED_VALUE"""),40499.6666666666)</f>
        <v>40499.666666666599</v>
      </c>
      <c r="B1482" s="1">
        <f ca="1">IFERROR(__xludf.DUMMYFUNCTION("""COMPUTED_VALUE"""),10.73)</f>
        <v>10.73</v>
      </c>
    </row>
    <row r="1483" spans="1:2">
      <c r="A1483" s="3">
        <f ca="1">IFERROR(__xludf.DUMMYFUNCTION("""COMPUTED_VALUE"""),40500.6666666666)</f>
        <v>40500.666666666599</v>
      </c>
      <c r="B1483" s="1">
        <f ca="1">IFERROR(__xludf.DUMMYFUNCTION("""COMPUTED_VALUE"""),11.02)</f>
        <v>11.02</v>
      </c>
    </row>
    <row r="1484" spans="1:2">
      <c r="A1484" s="3">
        <f ca="1">IFERROR(__xludf.DUMMYFUNCTION("""COMPUTED_VALUE"""),40501.6666666666)</f>
        <v>40501.666666666599</v>
      </c>
      <c r="B1484" s="1">
        <f ca="1">IFERROR(__xludf.DUMMYFUNCTION("""COMPUTED_VALUE"""),10.95)</f>
        <v>10.95</v>
      </c>
    </row>
    <row r="1485" spans="1:2">
      <c r="A1485" s="3">
        <f ca="1">IFERROR(__xludf.DUMMYFUNCTION("""COMPUTED_VALUE"""),40504.6666666666)</f>
        <v>40504.666666666599</v>
      </c>
      <c r="B1485" s="1">
        <f ca="1">IFERROR(__xludf.DUMMYFUNCTION("""COMPUTED_VALUE"""),11.19)</f>
        <v>11.19</v>
      </c>
    </row>
    <row r="1486" spans="1:2">
      <c r="A1486" s="3">
        <f ca="1">IFERROR(__xludf.DUMMYFUNCTION("""COMPUTED_VALUE"""),40505.6666666666)</f>
        <v>40505.666666666599</v>
      </c>
      <c r="B1486" s="1">
        <f ca="1">IFERROR(__xludf.DUMMYFUNCTION("""COMPUTED_VALUE"""),11.03)</f>
        <v>11.03</v>
      </c>
    </row>
    <row r="1487" spans="1:2">
      <c r="A1487" s="3">
        <f ca="1">IFERROR(__xludf.DUMMYFUNCTION("""COMPUTED_VALUE"""),40506.6666666666)</f>
        <v>40506.666666666599</v>
      </c>
      <c r="B1487" s="1">
        <f ca="1">IFERROR(__xludf.DUMMYFUNCTION("""COMPUTED_VALUE"""),11.24)</f>
        <v>11.24</v>
      </c>
    </row>
    <row r="1488" spans="1:2">
      <c r="A1488" s="3">
        <f ca="1">IFERROR(__xludf.DUMMYFUNCTION("""COMPUTED_VALUE"""),40508.6666666666)</f>
        <v>40508.666666666599</v>
      </c>
      <c r="B1488" s="1">
        <f ca="1">IFERROR(__xludf.DUMMYFUNCTION("""COMPUTED_VALUE"""),11.25)</f>
        <v>11.25</v>
      </c>
    </row>
    <row r="1489" spans="1:2">
      <c r="A1489" s="3">
        <f ca="1">IFERROR(__xludf.DUMMYFUNCTION("""COMPUTED_VALUE"""),40511.6666666666)</f>
        <v>40511.666666666599</v>
      </c>
      <c r="B1489" s="1">
        <f ca="1">IFERROR(__xludf.DUMMYFUNCTION("""COMPUTED_VALUE"""),11.32)</f>
        <v>11.32</v>
      </c>
    </row>
    <row r="1490" spans="1:2">
      <c r="A1490" s="3">
        <f ca="1">IFERROR(__xludf.DUMMYFUNCTION("""COMPUTED_VALUE"""),40512.6666666666)</f>
        <v>40512.666666666599</v>
      </c>
      <c r="B1490" s="1">
        <f ca="1">IFERROR(__xludf.DUMMYFUNCTION("""COMPUTED_VALUE"""),11.11)</f>
        <v>11.11</v>
      </c>
    </row>
    <row r="1491" spans="1:2">
      <c r="A1491" s="3">
        <f ca="1">IFERROR(__xludf.DUMMYFUNCTION("""COMPUTED_VALUE"""),40513.6666666666)</f>
        <v>40513.666666666599</v>
      </c>
      <c r="B1491" s="1">
        <f ca="1">IFERROR(__xludf.DUMMYFUNCTION("""COMPUTED_VALUE"""),11.3)</f>
        <v>11.3</v>
      </c>
    </row>
    <row r="1492" spans="1:2">
      <c r="A1492" s="3">
        <f ca="1">IFERROR(__xludf.DUMMYFUNCTION("""COMPUTED_VALUE"""),40514.6666666666)</f>
        <v>40514.666666666599</v>
      </c>
      <c r="B1492" s="1">
        <f ca="1">IFERROR(__xludf.DUMMYFUNCTION("""COMPUTED_VALUE"""),11.36)</f>
        <v>11.36</v>
      </c>
    </row>
    <row r="1493" spans="1:2">
      <c r="A1493" s="3">
        <f ca="1">IFERROR(__xludf.DUMMYFUNCTION("""COMPUTED_VALUE"""),40515.6666666666)</f>
        <v>40515.666666666599</v>
      </c>
      <c r="B1493" s="1">
        <f ca="1">IFERROR(__xludf.DUMMYFUNCTION("""COMPUTED_VALUE"""),11.34)</f>
        <v>11.34</v>
      </c>
    </row>
    <row r="1494" spans="1:2">
      <c r="A1494" s="3">
        <f ca="1">IFERROR(__xludf.DUMMYFUNCTION("""COMPUTED_VALUE"""),40518.6666666666)</f>
        <v>40518.666666666599</v>
      </c>
      <c r="B1494" s="1">
        <f ca="1">IFERROR(__xludf.DUMMYFUNCTION("""COMPUTED_VALUE"""),11.43)</f>
        <v>11.43</v>
      </c>
    </row>
    <row r="1495" spans="1:2">
      <c r="A1495" s="3">
        <f ca="1">IFERROR(__xludf.DUMMYFUNCTION("""COMPUTED_VALUE"""),40519.6666666666)</f>
        <v>40519.666666666599</v>
      </c>
      <c r="B1495" s="1">
        <f ca="1">IFERROR(__xludf.DUMMYFUNCTION("""COMPUTED_VALUE"""),11.36)</f>
        <v>11.36</v>
      </c>
    </row>
    <row r="1496" spans="1:2">
      <c r="A1496" s="3">
        <f ca="1">IFERROR(__xludf.DUMMYFUNCTION("""COMPUTED_VALUE"""),40520.6666666666)</f>
        <v>40520.666666666599</v>
      </c>
      <c r="B1496" s="1">
        <f ca="1">IFERROR(__xludf.DUMMYFUNCTION("""COMPUTED_VALUE"""),11.46)</f>
        <v>11.46</v>
      </c>
    </row>
    <row r="1497" spans="1:2">
      <c r="A1497" s="3">
        <f ca="1">IFERROR(__xludf.DUMMYFUNCTION("""COMPUTED_VALUE"""),40521.6666666666)</f>
        <v>40521.666666666599</v>
      </c>
      <c r="B1497" s="1">
        <f ca="1">IFERROR(__xludf.DUMMYFUNCTION("""COMPUTED_VALUE"""),11.42)</f>
        <v>11.42</v>
      </c>
    </row>
    <row r="1498" spans="1:2">
      <c r="A1498" s="3">
        <f ca="1">IFERROR(__xludf.DUMMYFUNCTION("""COMPUTED_VALUE"""),40522.6666666666)</f>
        <v>40522.666666666599</v>
      </c>
      <c r="B1498" s="1">
        <f ca="1">IFERROR(__xludf.DUMMYFUNCTION("""COMPUTED_VALUE"""),11.45)</f>
        <v>11.45</v>
      </c>
    </row>
    <row r="1499" spans="1:2">
      <c r="A1499" s="3">
        <f ca="1">IFERROR(__xludf.DUMMYFUNCTION("""COMPUTED_VALUE"""),40525.6666666666)</f>
        <v>40525.666666666599</v>
      </c>
      <c r="B1499" s="1">
        <f ca="1">IFERROR(__xludf.DUMMYFUNCTION("""COMPUTED_VALUE"""),11.49)</f>
        <v>11.49</v>
      </c>
    </row>
    <row r="1500" spans="1:2">
      <c r="A1500" s="3">
        <f ca="1">IFERROR(__xludf.DUMMYFUNCTION("""COMPUTED_VALUE"""),40526.6666666666)</f>
        <v>40526.666666666599</v>
      </c>
      <c r="B1500" s="1">
        <f ca="1">IFERROR(__xludf.DUMMYFUNCTION("""COMPUTED_VALUE"""),11.44)</f>
        <v>11.44</v>
      </c>
    </row>
    <row r="1501" spans="1:2">
      <c r="A1501" s="3">
        <f ca="1">IFERROR(__xludf.DUMMYFUNCTION("""COMPUTED_VALUE"""),40527.6666666666)</f>
        <v>40527.666666666599</v>
      </c>
      <c r="B1501" s="1">
        <f ca="1">IFERROR(__xludf.DUMMYFUNCTION("""COMPUTED_VALUE"""),11.44)</f>
        <v>11.44</v>
      </c>
    </row>
    <row r="1502" spans="1:2">
      <c r="A1502" s="3">
        <f ca="1">IFERROR(__xludf.DUMMYFUNCTION("""COMPUTED_VALUE"""),40528.6666666666)</f>
        <v>40528.666666666599</v>
      </c>
      <c r="B1502" s="1">
        <f ca="1">IFERROR(__xludf.DUMMYFUNCTION("""COMPUTED_VALUE"""),11.47)</f>
        <v>11.47</v>
      </c>
    </row>
    <row r="1503" spans="1:2">
      <c r="A1503" s="3">
        <f ca="1">IFERROR(__xludf.DUMMYFUNCTION("""COMPUTED_VALUE"""),40529.6666666666)</f>
        <v>40529.666666666599</v>
      </c>
      <c r="B1503" s="1">
        <f ca="1">IFERROR(__xludf.DUMMYFUNCTION("""COMPUTED_VALUE"""),11.45)</f>
        <v>11.45</v>
      </c>
    </row>
    <row r="1504" spans="1:2">
      <c r="A1504" s="3">
        <f ca="1">IFERROR(__xludf.DUMMYFUNCTION("""COMPUTED_VALUE"""),40532.6666666666)</f>
        <v>40532.666666666599</v>
      </c>
      <c r="B1504" s="1">
        <f ca="1">IFERROR(__xludf.DUMMYFUNCTION("""COMPUTED_VALUE"""),11.51)</f>
        <v>11.51</v>
      </c>
    </row>
    <row r="1505" spans="1:2">
      <c r="A1505" s="3">
        <f ca="1">IFERROR(__xludf.DUMMYFUNCTION("""COMPUTED_VALUE"""),40533.6666666666)</f>
        <v>40533.666666666599</v>
      </c>
      <c r="B1505" s="1">
        <f ca="1">IFERROR(__xludf.DUMMYFUNCTION("""COMPUTED_VALUE"""),11.58)</f>
        <v>11.58</v>
      </c>
    </row>
    <row r="1506" spans="1:2">
      <c r="A1506" s="3">
        <f ca="1">IFERROR(__xludf.DUMMYFUNCTION("""COMPUTED_VALUE"""),40534.6666666666)</f>
        <v>40534.666666666599</v>
      </c>
      <c r="B1506" s="1">
        <f ca="1">IFERROR(__xludf.DUMMYFUNCTION("""COMPUTED_VALUE"""),11.61)</f>
        <v>11.61</v>
      </c>
    </row>
    <row r="1507" spans="1:2">
      <c r="A1507" s="3">
        <f ca="1">IFERROR(__xludf.DUMMYFUNCTION("""COMPUTED_VALUE"""),40535.6666666666)</f>
        <v>40535.666666666599</v>
      </c>
      <c r="B1507" s="1">
        <f ca="1">IFERROR(__xludf.DUMMYFUNCTION("""COMPUTED_VALUE"""),11.56)</f>
        <v>11.56</v>
      </c>
    </row>
    <row r="1508" spans="1:2">
      <c r="A1508" s="3">
        <f ca="1">IFERROR(__xludf.DUMMYFUNCTION("""COMPUTED_VALUE"""),40539.6666666666)</f>
        <v>40539.666666666599</v>
      </c>
      <c r="B1508" s="1">
        <f ca="1">IFERROR(__xludf.DUMMYFUNCTION("""COMPUTED_VALUE"""),11.6)</f>
        <v>11.6</v>
      </c>
    </row>
    <row r="1509" spans="1:2">
      <c r="A1509" s="3">
        <f ca="1">IFERROR(__xludf.DUMMYFUNCTION("""COMPUTED_VALUE"""),40540.6666666666)</f>
        <v>40540.666666666599</v>
      </c>
      <c r="B1509" s="1">
        <f ca="1">IFERROR(__xludf.DUMMYFUNCTION("""COMPUTED_VALUE"""),11.62)</f>
        <v>11.62</v>
      </c>
    </row>
    <row r="1510" spans="1:2">
      <c r="A1510" s="3">
        <f ca="1">IFERROR(__xludf.DUMMYFUNCTION("""COMPUTED_VALUE"""),40541.6666666666)</f>
        <v>40541.666666666599</v>
      </c>
      <c r="B1510" s="1">
        <f ca="1">IFERROR(__xludf.DUMMYFUNCTION("""COMPUTED_VALUE"""),11.62)</f>
        <v>11.62</v>
      </c>
    </row>
    <row r="1511" spans="1:2">
      <c r="A1511" s="3">
        <f ca="1">IFERROR(__xludf.DUMMYFUNCTION("""COMPUTED_VALUE"""),40542.6666666666)</f>
        <v>40542.666666666599</v>
      </c>
      <c r="B1511" s="1">
        <f ca="1">IFERROR(__xludf.DUMMYFUNCTION("""COMPUTED_VALUE"""),11.56)</f>
        <v>11.56</v>
      </c>
    </row>
    <row r="1512" spans="1:2">
      <c r="A1512" s="3">
        <f ca="1">IFERROR(__xludf.DUMMYFUNCTION("""COMPUTED_VALUE"""),40543.6666666666)</f>
        <v>40543.666666666599</v>
      </c>
      <c r="B1512" s="1">
        <f ca="1">IFERROR(__xludf.DUMMYFUNCTION("""COMPUTED_VALUE"""),11.52)</f>
        <v>11.52</v>
      </c>
    </row>
    <row r="1513" spans="1:2">
      <c r="A1513" s="3">
        <f ca="1">IFERROR(__xludf.DUMMYFUNCTION("""COMPUTED_VALUE"""),40546.6666666666)</f>
        <v>40546.666666666599</v>
      </c>
      <c r="B1513" s="1">
        <f ca="1">IFERROR(__xludf.DUMMYFUNCTION("""COMPUTED_VALUE"""),11.77)</f>
        <v>11.77</v>
      </c>
    </row>
    <row r="1514" spans="1:2">
      <c r="A1514" s="3">
        <f ca="1">IFERROR(__xludf.DUMMYFUNCTION("""COMPUTED_VALUE"""),40547.6666666666)</f>
        <v>40547.666666666599</v>
      </c>
      <c r="B1514" s="1">
        <f ca="1">IFERROR(__xludf.DUMMYFUNCTION("""COMPUTED_VALUE"""),11.83)</f>
        <v>11.83</v>
      </c>
    </row>
    <row r="1515" spans="1:2">
      <c r="A1515" s="3">
        <f ca="1">IFERROR(__xludf.DUMMYFUNCTION("""COMPUTED_VALUE"""),40548.6666666666)</f>
        <v>40548.666666666599</v>
      </c>
      <c r="B1515" s="1">
        <f ca="1">IFERROR(__xludf.DUMMYFUNCTION("""COMPUTED_VALUE"""),11.93)</f>
        <v>11.93</v>
      </c>
    </row>
    <row r="1516" spans="1:2">
      <c r="A1516" s="3">
        <f ca="1">IFERROR(__xludf.DUMMYFUNCTION("""COMPUTED_VALUE"""),40549.6666666666)</f>
        <v>40549.666666666599</v>
      </c>
      <c r="B1516" s="1">
        <f ca="1">IFERROR(__xludf.DUMMYFUNCTION("""COMPUTED_VALUE"""),11.92)</f>
        <v>11.92</v>
      </c>
    </row>
    <row r="1517" spans="1:2">
      <c r="A1517" s="3">
        <f ca="1">IFERROR(__xludf.DUMMYFUNCTION("""COMPUTED_VALUE"""),40550.6666666666)</f>
        <v>40550.666666666599</v>
      </c>
      <c r="B1517" s="1">
        <f ca="1">IFERROR(__xludf.DUMMYFUNCTION("""COMPUTED_VALUE"""),12)</f>
        <v>12</v>
      </c>
    </row>
    <row r="1518" spans="1:2">
      <c r="A1518" s="3">
        <f ca="1">IFERROR(__xludf.DUMMYFUNCTION("""COMPUTED_VALUE"""),40553.6666666666)</f>
        <v>40553.666666666599</v>
      </c>
      <c r="B1518" s="1">
        <f ca="1">IFERROR(__xludf.DUMMYFUNCTION("""COMPUTED_VALUE"""),12.23)</f>
        <v>12.23</v>
      </c>
    </row>
    <row r="1519" spans="1:2">
      <c r="A1519" s="3">
        <f ca="1">IFERROR(__xludf.DUMMYFUNCTION("""COMPUTED_VALUE"""),40554.6666666666)</f>
        <v>40554.666666666599</v>
      </c>
      <c r="B1519" s="1">
        <f ca="1">IFERROR(__xludf.DUMMYFUNCTION("""COMPUTED_VALUE"""),12.2)</f>
        <v>12.2</v>
      </c>
    </row>
    <row r="1520" spans="1:2">
      <c r="A1520" s="3">
        <f ca="1">IFERROR(__xludf.DUMMYFUNCTION("""COMPUTED_VALUE"""),40555.6666666666)</f>
        <v>40555.666666666599</v>
      </c>
      <c r="B1520" s="1">
        <f ca="1">IFERROR(__xludf.DUMMYFUNCTION("""COMPUTED_VALUE"""),12.3)</f>
        <v>12.3</v>
      </c>
    </row>
    <row r="1521" spans="1:2">
      <c r="A1521" s="3">
        <f ca="1">IFERROR(__xludf.DUMMYFUNCTION("""COMPUTED_VALUE"""),40556.6666666666)</f>
        <v>40556.666666666599</v>
      </c>
      <c r="B1521" s="1">
        <f ca="1">IFERROR(__xludf.DUMMYFUNCTION("""COMPUTED_VALUE"""),12.35)</f>
        <v>12.35</v>
      </c>
    </row>
    <row r="1522" spans="1:2">
      <c r="A1522" s="3">
        <f ca="1">IFERROR(__xludf.DUMMYFUNCTION("""COMPUTED_VALUE"""),40557.6666666666)</f>
        <v>40557.666666666599</v>
      </c>
      <c r="B1522" s="1">
        <f ca="1">IFERROR(__xludf.DUMMYFUNCTION("""COMPUTED_VALUE"""),12.45)</f>
        <v>12.45</v>
      </c>
    </row>
    <row r="1523" spans="1:2">
      <c r="A1523" s="3">
        <f ca="1">IFERROR(__xludf.DUMMYFUNCTION("""COMPUTED_VALUE"""),40561.6666666666)</f>
        <v>40561.666666666599</v>
      </c>
      <c r="B1523" s="1">
        <f ca="1">IFERROR(__xludf.DUMMYFUNCTION("""COMPUTED_VALUE"""),12.17)</f>
        <v>12.17</v>
      </c>
    </row>
    <row r="1524" spans="1:2">
      <c r="A1524" s="3">
        <f ca="1">IFERROR(__xludf.DUMMYFUNCTION("""COMPUTED_VALUE"""),40562.6666666666)</f>
        <v>40562.666666666599</v>
      </c>
      <c r="B1524" s="1">
        <f ca="1">IFERROR(__xludf.DUMMYFUNCTION("""COMPUTED_VALUE"""),12.1)</f>
        <v>12.1</v>
      </c>
    </row>
    <row r="1525" spans="1:2">
      <c r="A1525" s="3">
        <f ca="1">IFERROR(__xludf.DUMMYFUNCTION("""COMPUTED_VALUE"""),40563.6666666666)</f>
        <v>40563.666666666599</v>
      </c>
      <c r="B1525" s="1">
        <f ca="1">IFERROR(__xludf.DUMMYFUNCTION("""COMPUTED_VALUE"""),11.88)</f>
        <v>11.88</v>
      </c>
    </row>
    <row r="1526" spans="1:2">
      <c r="A1526" s="3">
        <f ca="1">IFERROR(__xludf.DUMMYFUNCTION("""COMPUTED_VALUE"""),40564.6666666666)</f>
        <v>40564.666666666599</v>
      </c>
      <c r="B1526" s="1">
        <f ca="1">IFERROR(__xludf.DUMMYFUNCTION("""COMPUTED_VALUE"""),11.67)</f>
        <v>11.67</v>
      </c>
    </row>
    <row r="1527" spans="1:2">
      <c r="A1527" s="3">
        <f ca="1">IFERROR(__xludf.DUMMYFUNCTION("""COMPUTED_VALUE"""),40567.6666666666)</f>
        <v>40567.666666666599</v>
      </c>
      <c r="B1527" s="1">
        <f ca="1">IFERROR(__xludf.DUMMYFUNCTION("""COMPUTED_VALUE"""),12.05)</f>
        <v>12.05</v>
      </c>
    </row>
    <row r="1528" spans="1:2">
      <c r="A1528" s="3">
        <f ca="1">IFERROR(__xludf.DUMMYFUNCTION("""COMPUTED_VALUE"""),40568.6666666666)</f>
        <v>40568.666666666599</v>
      </c>
      <c r="B1528" s="1">
        <f ca="1">IFERROR(__xludf.DUMMYFUNCTION("""COMPUTED_VALUE"""),12.19)</f>
        <v>12.19</v>
      </c>
    </row>
    <row r="1529" spans="1:2">
      <c r="A1529" s="3">
        <f ca="1">IFERROR(__xludf.DUMMYFUNCTION("""COMPUTED_VALUE"""),40569.6666666666)</f>
        <v>40569.666666666599</v>
      </c>
      <c r="B1529" s="1">
        <f ca="1">IFERROR(__xludf.DUMMYFUNCTION("""COMPUTED_VALUE"""),12.28)</f>
        <v>12.28</v>
      </c>
    </row>
    <row r="1530" spans="1:2">
      <c r="A1530" s="3">
        <f ca="1">IFERROR(__xludf.DUMMYFUNCTION("""COMPUTED_VALUE"""),40570.6666666666)</f>
        <v>40570.666666666599</v>
      </c>
      <c r="B1530" s="1">
        <f ca="1">IFERROR(__xludf.DUMMYFUNCTION("""COMPUTED_VALUE"""),12.26)</f>
        <v>12.26</v>
      </c>
    </row>
    <row r="1531" spans="1:2">
      <c r="A1531" s="3">
        <f ca="1">IFERROR(__xludf.DUMMYFUNCTION("""COMPUTED_VALUE"""),40571.6666666666)</f>
        <v>40571.666666666599</v>
      </c>
      <c r="B1531" s="1">
        <f ca="1">IFERROR(__xludf.DUMMYFUNCTION("""COMPUTED_VALUE"""),12)</f>
        <v>12</v>
      </c>
    </row>
    <row r="1532" spans="1:2">
      <c r="A1532" s="3">
        <f ca="1">IFERROR(__xludf.DUMMYFUNCTION("""COMPUTED_VALUE"""),40574.6666666666)</f>
        <v>40574.666666666599</v>
      </c>
      <c r="B1532" s="1">
        <f ca="1">IFERROR(__xludf.DUMMYFUNCTION("""COMPUTED_VALUE"""),12.12)</f>
        <v>12.12</v>
      </c>
    </row>
    <row r="1533" spans="1:2">
      <c r="A1533" s="3">
        <f ca="1">IFERROR(__xludf.DUMMYFUNCTION("""COMPUTED_VALUE"""),40575.6666666666)</f>
        <v>40575.666666666599</v>
      </c>
      <c r="B1533" s="1">
        <f ca="1">IFERROR(__xludf.DUMMYFUNCTION("""COMPUTED_VALUE"""),12.32)</f>
        <v>12.32</v>
      </c>
    </row>
    <row r="1534" spans="1:2">
      <c r="A1534" s="3">
        <f ca="1">IFERROR(__xludf.DUMMYFUNCTION("""COMPUTED_VALUE"""),40576.6666666666)</f>
        <v>40576.666666666599</v>
      </c>
      <c r="B1534" s="1">
        <f ca="1">IFERROR(__xludf.DUMMYFUNCTION("""COMPUTED_VALUE"""),12.3)</f>
        <v>12.3</v>
      </c>
    </row>
    <row r="1535" spans="1:2">
      <c r="A1535" s="3">
        <f ca="1">IFERROR(__xludf.DUMMYFUNCTION("""COMPUTED_VALUE"""),40577.6666666666)</f>
        <v>40577.666666666599</v>
      </c>
      <c r="B1535" s="1">
        <f ca="1">IFERROR(__xludf.DUMMYFUNCTION("""COMPUTED_VALUE"""),12.27)</f>
        <v>12.27</v>
      </c>
    </row>
    <row r="1536" spans="1:2">
      <c r="A1536" s="3">
        <f ca="1">IFERROR(__xludf.DUMMYFUNCTION("""COMPUTED_VALUE"""),40578.6666666666)</f>
        <v>40578.666666666599</v>
      </c>
      <c r="B1536" s="1">
        <f ca="1">IFERROR(__xludf.DUMMYFUNCTION("""COMPUTED_VALUE"""),12.38)</f>
        <v>12.38</v>
      </c>
    </row>
    <row r="1537" spans="1:2">
      <c r="A1537" s="3">
        <f ca="1">IFERROR(__xludf.DUMMYFUNCTION("""COMPUTED_VALUE"""),40581.6666666666)</f>
        <v>40581.666666666599</v>
      </c>
      <c r="B1537" s="1">
        <f ca="1">IFERROR(__xludf.DUMMYFUNCTION("""COMPUTED_VALUE"""),12.57)</f>
        <v>12.57</v>
      </c>
    </row>
    <row r="1538" spans="1:2">
      <c r="A1538" s="3">
        <f ca="1">IFERROR(__xludf.DUMMYFUNCTION("""COMPUTED_VALUE"""),40582.6666666666)</f>
        <v>40582.666666666599</v>
      </c>
      <c r="B1538" s="1">
        <f ca="1">IFERROR(__xludf.DUMMYFUNCTION("""COMPUTED_VALUE"""),12.69)</f>
        <v>12.69</v>
      </c>
    </row>
    <row r="1539" spans="1:2">
      <c r="A1539" s="3">
        <f ca="1">IFERROR(__xludf.DUMMYFUNCTION("""COMPUTED_VALUE"""),40583.6666666666)</f>
        <v>40583.666666666599</v>
      </c>
      <c r="B1539" s="1">
        <f ca="1">IFERROR(__xludf.DUMMYFUNCTION("""COMPUTED_VALUE"""),12.79)</f>
        <v>12.79</v>
      </c>
    </row>
    <row r="1540" spans="1:2">
      <c r="A1540" s="3">
        <f ca="1">IFERROR(__xludf.DUMMYFUNCTION("""COMPUTED_VALUE"""),40584.6666666666)</f>
        <v>40584.666666666599</v>
      </c>
      <c r="B1540" s="1">
        <f ca="1">IFERROR(__xludf.DUMMYFUNCTION("""COMPUTED_VALUE"""),12.66)</f>
        <v>12.66</v>
      </c>
    </row>
    <row r="1541" spans="1:2">
      <c r="A1541" s="3">
        <f ca="1">IFERROR(__xludf.DUMMYFUNCTION("""COMPUTED_VALUE"""),40585.6666666666)</f>
        <v>40585.666666666599</v>
      </c>
      <c r="B1541" s="1">
        <f ca="1">IFERROR(__xludf.DUMMYFUNCTION("""COMPUTED_VALUE"""),12.74)</f>
        <v>12.74</v>
      </c>
    </row>
    <row r="1542" spans="1:2">
      <c r="A1542" s="3">
        <f ca="1">IFERROR(__xludf.DUMMYFUNCTION("""COMPUTED_VALUE"""),40588.6666666666)</f>
        <v>40588.666666666599</v>
      </c>
      <c r="B1542" s="1">
        <f ca="1">IFERROR(__xludf.DUMMYFUNCTION("""COMPUTED_VALUE"""),12.83)</f>
        <v>12.83</v>
      </c>
    </row>
    <row r="1543" spans="1:2">
      <c r="A1543" s="3">
        <f ca="1">IFERROR(__xludf.DUMMYFUNCTION("""COMPUTED_VALUE"""),40589.6666666666)</f>
        <v>40589.666666666599</v>
      </c>
      <c r="B1543" s="1">
        <f ca="1">IFERROR(__xludf.DUMMYFUNCTION("""COMPUTED_VALUE"""),12.85)</f>
        <v>12.85</v>
      </c>
    </row>
    <row r="1544" spans="1:2">
      <c r="A1544" s="3">
        <f ca="1">IFERROR(__xludf.DUMMYFUNCTION("""COMPUTED_VALUE"""),40590.6666666666)</f>
        <v>40590.666666666599</v>
      </c>
      <c r="B1544" s="1">
        <f ca="1">IFERROR(__xludf.DUMMYFUNCTION("""COMPUTED_VALUE"""),12.97)</f>
        <v>12.97</v>
      </c>
    </row>
    <row r="1545" spans="1:2">
      <c r="A1545" s="3">
        <f ca="1">IFERROR(__xludf.DUMMYFUNCTION("""COMPUTED_VALUE"""),40591.6666666666)</f>
        <v>40591.666666666599</v>
      </c>
      <c r="B1545" s="1">
        <f ca="1">IFERROR(__xludf.DUMMYFUNCTION("""COMPUTED_VALUE"""),12.8)</f>
        <v>12.8</v>
      </c>
    </row>
    <row r="1546" spans="1:2">
      <c r="A1546" s="3">
        <f ca="1">IFERROR(__xludf.DUMMYFUNCTION("""COMPUTED_VALUE"""),40592.6666666666)</f>
        <v>40592.666666666599</v>
      </c>
      <c r="B1546" s="1">
        <f ca="1">IFERROR(__xludf.DUMMYFUNCTION("""COMPUTED_VALUE"""),12.52)</f>
        <v>12.52</v>
      </c>
    </row>
    <row r="1547" spans="1:2">
      <c r="A1547" s="3">
        <f ca="1">IFERROR(__xludf.DUMMYFUNCTION("""COMPUTED_VALUE"""),40596.6666666666)</f>
        <v>40596.666666666599</v>
      </c>
      <c r="B1547" s="1">
        <f ca="1">IFERROR(__xludf.DUMMYFUNCTION("""COMPUTED_VALUE"""),12.09)</f>
        <v>12.09</v>
      </c>
    </row>
    <row r="1548" spans="1:2">
      <c r="A1548" s="3">
        <f ca="1">IFERROR(__xludf.DUMMYFUNCTION("""COMPUTED_VALUE"""),40597.6666666666)</f>
        <v>40597.666666666599</v>
      </c>
      <c r="B1548" s="1">
        <f ca="1">IFERROR(__xludf.DUMMYFUNCTION("""COMPUTED_VALUE"""),12.24)</f>
        <v>12.24</v>
      </c>
    </row>
    <row r="1549" spans="1:2">
      <c r="A1549" s="3">
        <f ca="1">IFERROR(__xludf.DUMMYFUNCTION("""COMPUTED_VALUE"""),40598.6666666666)</f>
        <v>40598.666666666599</v>
      </c>
      <c r="B1549" s="1">
        <f ca="1">IFERROR(__xludf.DUMMYFUNCTION("""COMPUTED_VALUE"""),12.25)</f>
        <v>12.25</v>
      </c>
    </row>
    <row r="1550" spans="1:2">
      <c r="A1550" s="3">
        <f ca="1">IFERROR(__xludf.DUMMYFUNCTION("""COMPUTED_VALUE"""),40599.6666666666)</f>
        <v>40599.666666666599</v>
      </c>
      <c r="B1550" s="1">
        <f ca="1">IFERROR(__xludf.DUMMYFUNCTION("""COMPUTED_VALUE"""),12.43)</f>
        <v>12.43</v>
      </c>
    </row>
    <row r="1551" spans="1:2">
      <c r="A1551" s="3">
        <f ca="1">IFERROR(__xludf.DUMMYFUNCTION("""COMPUTED_VALUE"""),40602.6666666666)</f>
        <v>40602.666666666599</v>
      </c>
      <c r="B1551" s="1">
        <f ca="1">IFERROR(__xludf.DUMMYFUNCTION("""COMPUTED_VALUE"""),12.61)</f>
        <v>12.61</v>
      </c>
    </row>
    <row r="1552" spans="1:2">
      <c r="A1552" s="3">
        <f ca="1">IFERROR(__xludf.DUMMYFUNCTION("""COMPUTED_VALUE"""),40603.6666666666)</f>
        <v>40603.666666666599</v>
      </c>
      <c r="B1552" s="1">
        <f ca="1">IFERROR(__xludf.DUMMYFUNCTION("""COMPUTED_VALUE"""),12.48)</f>
        <v>12.48</v>
      </c>
    </row>
    <row r="1553" spans="1:2">
      <c r="A1553" s="3">
        <f ca="1">IFERROR(__xludf.DUMMYFUNCTION("""COMPUTED_VALUE"""),40604.6666666666)</f>
        <v>40604.666666666599</v>
      </c>
      <c r="B1553" s="1">
        <f ca="1">IFERROR(__xludf.DUMMYFUNCTION("""COMPUTED_VALUE"""),12.58)</f>
        <v>12.58</v>
      </c>
    </row>
    <row r="1554" spans="1:2">
      <c r="A1554" s="3">
        <f ca="1">IFERROR(__xludf.DUMMYFUNCTION("""COMPUTED_VALUE"""),40605.6666666666)</f>
        <v>40605.666666666599</v>
      </c>
      <c r="B1554" s="1">
        <f ca="1">IFERROR(__xludf.DUMMYFUNCTION("""COMPUTED_VALUE"""),12.84)</f>
        <v>12.84</v>
      </c>
    </row>
    <row r="1555" spans="1:2">
      <c r="A1555" s="3">
        <f ca="1">IFERROR(__xludf.DUMMYFUNCTION("""COMPUTED_VALUE"""),40606.6666666666)</f>
        <v>40606.666666666599</v>
      </c>
      <c r="B1555" s="1">
        <f ca="1">IFERROR(__xludf.DUMMYFUNCTION("""COMPUTED_VALUE"""),12.86)</f>
        <v>12.86</v>
      </c>
    </row>
    <row r="1556" spans="1:2">
      <c r="A1556" s="3">
        <f ca="1">IFERROR(__xludf.DUMMYFUNCTION("""COMPUTED_VALUE"""),40609.6666666666)</f>
        <v>40609.666666666599</v>
      </c>
      <c r="B1556" s="1">
        <f ca="1">IFERROR(__xludf.DUMMYFUNCTION("""COMPUTED_VALUE"""),12.69)</f>
        <v>12.69</v>
      </c>
    </row>
    <row r="1557" spans="1:2">
      <c r="A1557" s="3">
        <f ca="1">IFERROR(__xludf.DUMMYFUNCTION("""COMPUTED_VALUE"""),40610.6666666666)</f>
        <v>40610.666666666599</v>
      </c>
      <c r="B1557" s="1">
        <f ca="1">IFERROR(__xludf.DUMMYFUNCTION("""COMPUTED_VALUE"""),12.71)</f>
        <v>12.71</v>
      </c>
    </row>
    <row r="1558" spans="1:2">
      <c r="A1558" s="3">
        <f ca="1">IFERROR(__xludf.DUMMYFUNCTION("""COMPUTED_VALUE"""),40611.6666666666)</f>
        <v>40611.666666666599</v>
      </c>
      <c r="B1558" s="1">
        <f ca="1">IFERROR(__xludf.DUMMYFUNCTION("""COMPUTED_VALUE"""),12.59)</f>
        <v>12.59</v>
      </c>
    </row>
    <row r="1559" spans="1:2">
      <c r="A1559" s="3">
        <f ca="1">IFERROR(__xludf.DUMMYFUNCTION("""COMPUTED_VALUE"""),40612.6666666666)</f>
        <v>40612.666666666599</v>
      </c>
      <c r="B1559" s="1">
        <f ca="1">IFERROR(__xludf.DUMMYFUNCTION("""COMPUTED_VALUE"""),12.38)</f>
        <v>12.38</v>
      </c>
    </row>
    <row r="1560" spans="1:2">
      <c r="A1560" s="3">
        <f ca="1">IFERROR(__xludf.DUMMYFUNCTION("""COMPUTED_VALUE"""),40613.6666666666)</f>
        <v>40613.666666666599</v>
      </c>
      <c r="B1560" s="1">
        <f ca="1">IFERROR(__xludf.DUMMYFUNCTION("""COMPUTED_VALUE"""),12.57)</f>
        <v>12.57</v>
      </c>
    </row>
    <row r="1561" spans="1:2">
      <c r="A1561" s="3">
        <f ca="1">IFERROR(__xludf.DUMMYFUNCTION("""COMPUTED_VALUE"""),40616.6666666666)</f>
        <v>40616.666666666599</v>
      </c>
      <c r="B1561" s="1">
        <f ca="1">IFERROR(__xludf.DUMMYFUNCTION("""COMPUTED_VALUE"""),12.63)</f>
        <v>12.63</v>
      </c>
    </row>
    <row r="1562" spans="1:2">
      <c r="A1562" s="3">
        <f ca="1">IFERROR(__xludf.DUMMYFUNCTION("""COMPUTED_VALUE"""),40617.6666666666)</f>
        <v>40617.666666666599</v>
      </c>
      <c r="B1562" s="1">
        <f ca="1">IFERROR(__xludf.DUMMYFUNCTION("""COMPUTED_VALUE"""),12.34)</f>
        <v>12.34</v>
      </c>
    </row>
    <row r="1563" spans="1:2">
      <c r="A1563" s="3">
        <f ca="1">IFERROR(__xludf.DUMMYFUNCTION("""COMPUTED_VALUE"""),40618.6666666666)</f>
        <v>40618.666666666599</v>
      </c>
      <c r="B1563" s="1">
        <f ca="1">IFERROR(__xludf.DUMMYFUNCTION("""COMPUTED_VALUE"""),11.79)</f>
        <v>11.79</v>
      </c>
    </row>
    <row r="1564" spans="1:2">
      <c r="A1564" s="3">
        <f ca="1">IFERROR(__xludf.DUMMYFUNCTION("""COMPUTED_VALUE"""),40619.6666666666)</f>
        <v>40619.666666666599</v>
      </c>
      <c r="B1564" s="1">
        <f ca="1">IFERROR(__xludf.DUMMYFUNCTION("""COMPUTED_VALUE"""),11.95)</f>
        <v>11.95</v>
      </c>
    </row>
    <row r="1565" spans="1:2">
      <c r="A1565" s="3">
        <f ca="1">IFERROR(__xludf.DUMMYFUNCTION("""COMPUTED_VALUE"""),40620.6666666666)</f>
        <v>40620.666666666599</v>
      </c>
      <c r="B1565" s="1">
        <f ca="1">IFERROR(__xludf.DUMMYFUNCTION("""COMPUTED_VALUE"""),11.81)</f>
        <v>11.81</v>
      </c>
    </row>
    <row r="1566" spans="1:2">
      <c r="A1566" s="3">
        <f ca="1">IFERROR(__xludf.DUMMYFUNCTION("""COMPUTED_VALUE"""),40623.6666666666)</f>
        <v>40623.666666666599</v>
      </c>
      <c r="B1566" s="1">
        <f ca="1">IFERROR(__xludf.DUMMYFUNCTION("""COMPUTED_VALUE"""),12.12)</f>
        <v>12.12</v>
      </c>
    </row>
    <row r="1567" spans="1:2">
      <c r="A1567" s="3">
        <f ca="1">IFERROR(__xludf.DUMMYFUNCTION("""COMPUTED_VALUE"""),40624.6666666666)</f>
        <v>40624.666666666599</v>
      </c>
      <c r="B1567" s="1">
        <f ca="1">IFERROR(__xludf.DUMMYFUNCTION("""COMPUTED_VALUE"""),12.19)</f>
        <v>12.19</v>
      </c>
    </row>
    <row r="1568" spans="1:2">
      <c r="A1568" s="3">
        <f ca="1">IFERROR(__xludf.DUMMYFUNCTION("""COMPUTED_VALUE"""),40625.6666666666)</f>
        <v>40625.666666666599</v>
      </c>
      <c r="B1568" s="1">
        <f ca="1">IFERROR(__xludf.DUMMYFUNCTION("""COMPUTED_VALUE"""),12.11)</f>
        <v>12.11</v>
      </c>
    </row>
    <row r="1569" spans="1:2">
      <c r="A1569" s="3">
        <f ca="1">IFERROR(__xludf.DUMMYFUNCTION("""COMPUTED_VALUE"""),40626.6666666666)</f>
        <v>40626.666666666599</v>
      </c>
      <c r="B1569" s="1">
        <f ca="1">IFERROR(__xludf.DUMMYFUNCTION("""COMPUTED_VALUE"""),12.32)</f>
        <v>12.32</v>
      </c>
    </row>
    <row r="1570" spans="1:2">
      <c r="A1570" s="3">
        <f ca="1">IFERROR(__xludf.DUMMYFUNCTION("""COMPUTED_VALUE"""),40627.6666666666)</f>
        <v>40627.666666666599</v>
      </c>
      <c r="B1570" s="1">
        <f ca="1">IFERROR(__xludf.DUMMYFUNCTION("""COMPUTED_VALUE"""),12.56)</f>
        <v>12.56</v>
      </c>
    </row>
    <row r="1571" spans="1:2">
      <c r="A1571" s="3">
        <f ca="1">IFERROR(__xludf.DUMMYFUNCTION("""COMPUTED_VALUE"""),40630.6666666666)</f>
        <v>40630.666666666599</v>
      </c>
      <c r="B1571" s="1">
        <f ca="1">IFERROR(__xludf.DUMMYFUNCTION("""COMPUTED_VALUE"""),12.52)</f>
        <v>12.52</v>
      </c>
    </row>
    <row r="1572" spans="1:2">
      <c r="A1572" s="3">
        <f ca="1">IFERROR(__xludf.DUMMYFUNCTION("""COMPUTED_VALUE"""),40631.6666666666)</f>
        <v>40631.666666666599</v>
      </c>
      <c r="B1572" s="1">
        <f ca="1">IFERROR(__xludf.DUMMYFUNCTION("""COMPUTED_VALUE"""),12.53)</f>
        <v>12.53</v>
      </c>
    </row>
    <row r="1573" spans="1:2">
      <c r="A1573" s="3">
        <f ca="1">IFERROR(__xludf.DUMMYFUNCTION("""COMPUTED_VALUE"""),40632.6666666666)</f>
        <v>40632.666666666599</v>
      </c>
      <c r="B1573" s="1">
        <f ca="1">IFERROR(__xludf.DUMMYFUNCTION("""COMPUTED_VALUE"""),12.45)</f>
        <v>12.45</v>
      </c>
    </row>
    <row r="1574" spans="1:2">
      <c r="A1574" s="3">
        <f ca="1">IFERROR(__xludf.DUMMYFUNCTION("""COMPUTED_VALUE"""),40633.6666666666)</f>
        <v>40633.666666666599</v>
      </c>
      <c r="B1574" s="1">
        <f ca="1">IFERROR(__xludf.DUMMYFUNCTION("""COMPUTED_VALUE"""),12.45)</f>
        <v>12.45</v>
      </c>
    </row>
    <row r="1575" spans="1:2">
      <c r="A1575" s="3">
        <f ca="1">IFERROR(__xludf.DUMMYFUNCTION("""COMPUTED_VALUE"""),40634.6666666666)</f>
        <v>40634.666666666599</v>
      </c>
      <c r="B1575" s="1">
        <f ca="1">IFERROR(__xludf.DUMMYFUNCTION("""COMPUTED_VALUE"""),12.31)</f>
        <v>12.31</v>
      </c>
    </row>
    <row r="1576" spans="1:2">
      <c r="A1576" s="3">
        <f ca="1">IFERROR(__xludf.DUMMYFUNCTION("""COMPUTED_VALUE"""),40637.6666666666)</f>
        <v>40637.666666666599</v>
      </c>
      <c r="B1576" s="1">
        <f ca="1">IFERROR(__xludf.DUMMYFUNCTION("""COMPUTED_VALUE"""),12.19)</f>
        <v>12.19</v>
      </c>
    </row>
    <row r="1577" spans="1:2">
      <c r="A1577" s="3">
        <f ca="1">IFERROR(__xludf.DUMMYFUNCTION("""COMPUTED_VALUE"""),40638.6666666666)</f>
        <v>40638.666666666599</v>
      </c>
      <c r="B1577" s="1">
        <f ca="1">IFERROR(__xludf.DUMMYFUNCTION("""COMPUTED_VALUE"""),12.1)</f>
        <v>12.1</v>
      </c>
    </row>
    <row r="1578" spans="1:2">
      <c r="A1578" s="3">
        <f ca="1">IFERROR(__xludf.DUMMYFUNCTION("""COMPUTED_VALUE"""),40639.6666666666)</f>
        <v>40639.666666666599</v>
      </c>
      <c r="B1578" s="1">
        <f ca="1">IFERROR(__xludf.DUMMYFUNCTION("""COMPUTED_VALUE"""),12.07)</f>
        <v>12.07</v>
      </c>
    </row>
    <row r="1579" spans="1:2">
      <c r="A1579" s="3">
        <f ca="1">IFERROR(__xludf.DUMMYFUNCTION("""COMPUTED_VALUE"""),40640.6666666666)</f>
        <v>40640.666666666599</v>
      </c>
      <c r="B1579" s="1">
        <f ca="1">IFERROR(__xludf.DUMMYFUNCTION("""COMPUTED_VALUE"""),12.07)</f>
        <v>12.07</v>
      </c>
    </row>
    <row r="1580" spans="1:2">
      <c r="A1580" s="3">
        <f ca="1">IFERROR(__xludf.DUMMYFUNCTION("""COMPUTED_VALUE"""),40641.6666666666)</f>
        <v>40641.666666666599</v>
      </c>
      <c r="B1580" s="1">
        <f ca="1">IFERROR(__xludf.DUMMYFUNCTION("""COMPUTED_VALUE"""),11.97)</f>
        <v>11.97</v>
      </c>
    </row>
    <row r="1581" spans="1:2">
      <c r="A1581" s="3">
        <f ca="1">IFERROR(__xludf.DUMMYFUNCTION("""COMPUTED_VALUE"""),40644.6666666666)</f>
        <v>40644.666666666599</v>
      </c>
      <c r="B1581" s="1">
        <f ca="1">IFERROR(__xludf.DUMMYFUNCTION("""COMPUTED_VALUE"""),11.81)</f>
        <v>11.81</v>
      </c>
    </row>
    <row r="1582" spans="1:2">
      <c r="A1582" s="3">
        <f ca="1">IFERROR(__xludf.DUMMYFUNCTION("""COMPUTED_VALUE"""),40645.6666666666)</f>
        <v>40645.666666666599</v>
      </c>
      <c r="B1582" s="1">
        <f ca="1">IFERROR(__xludf.DUMMYFUNCTION("""COMPUTED_VALUE"""),11.87)</f>
        <v>11.87</v>
      </c>
    </row>
    <row r="1583" spans="1:2">
      <c r="A1583" s="3">
        <f ca="1">IFERROR(__xludf.DUMMYFUNCTION("""COMPUTED_VALUE"""),40646.6666666666)</f>
        <v>40646.666666666599</v>
      </c>
      <c r="B1583" s="1">
        <f ca="1">IFERROR(__xludf.DUMMYFUNCTION("""COMPUTED_VALUE"""),12)</f>
        <v>12</v>
      </c>
    </row>
    <row r="1584" spans="1:2">
      <c r="A1584" s="3">
        <f ca="1">IFERROR(__xludf.DUMMYFUNCTION("""COMPUTED_VALUE"""),40647.6666666666)</f>
        <v>40647.666666666599</v>
      </c>
      <c r="B1584" s="1">
        <f ca="1">IFERROR(__xludf.DUMMYFUNCTION("""COMPUTED_VALUE"""),11.87)</f>
        <v>11.87</v>
      </c>
    </row>
    <row r="1585" spans="1:2">
      <c r="A1585" s="3">
        <f ca="1">IFERROR(__xludf.DUMMYFUNCTION("""COMPUTED_VALUE"""),40648.6666666666)</f>
        <v>40648.666666666599</v>
      </c>
      <c r="B1585" s="1">
        <f ca="1">IFERROR(__xludf.DUMMYFUNCTION("""COMPUTED_VALUE"""),11.7)</f>
        <v>11.7</v>
      </c>
    </row>
    <row r="1586" spans="1:2">
      <c r="A1586" s="3">
        <f ca="1">IFERROR(__xludf.DUMMYFUNCTION("""COMPUTED_VALUE"""),40651.6666666666)</f>
        <v>40651.666666666599</v>
      </c>
      <c r="B1586" s="1">
        <f ca="1">IFERROR(__xludf.DUMMYFUNCTION("""COMPUTED_VALUE"""),11.85)</f>
        <v>11.85</v>
      </c>
    </row>
    <row r="1587" spans="1:2">
      <c r="A1587" s="3">
        <f ca="1">IFERROR(__xludf.DUMMYFUNCTION("""COMPUTED_VALUE"""),40652.6666666666)</f>
        <v>40652.666666666599</v>
      </c>
      <c r="B1587" s="1">
        <f ca="1">IFERROR(__xludf.DUMMYFUNCTION("""COMPUTED_VALUE"""),12.07)</f>
        <v>12.07</v>
      </c>
    </row>
    <row r="1588" spans="1:2">
      <c r="A1588" s="3">
        <f ca="1">IFERROR(__xludf.DUMMYFUNCTION("""COMPUTED_VALUE"""),40653.6666666666)</f>
        <v>40653.666666666599</v>
      </c>
      <c r="B1588" s="1">
        <f ca="1">IFERROR(__xludf.DUMMYFUNCTION("""COMPUTED_VALUE"""),12.23)</f>
        <v>12.23</v>
      </c>
    </row>
    <row r="1589" spans="1:2">
      <c r="A1589" s="3">
        <f ca="1">IFERROR(__xludf.DUMMYFUNCTION("""COMPUTED_VALUE"""),40654.6666666666)</f>
        <v>40654.666666666599</v>
      </c>
      <c r="B1589" s="1">
        <f ca="1">IFERROR(__xludf.DUMMYFUNCTION("""COMPUTED_VALUE"""),12.52)</f>
        <v>12.52</v>
      </c>
    </row>
    <row r="1590" spans="1:2">
      <c r="A1590" s="3">
        <f ca="1">IFERROR(__xludf.DUMMYFUNCTION("""COMPUTED_VALUE"""),40658.6666666666)</f>
        <v>40658.666666666599</v>
      </c>
      <c r="B1590" s="1">
        <f ca="1">IFERROR(__xludf.DUMMYFUNCTION("""COMPUTED_VALUE"""),12.61)</f>
        <v>12.61</v>
      </c>
    </row>
    <row r="1591" spans="1:2">
      <c r="A1591" s="3">
        <f ca="1">IFERROR(__xludf.DUMMYFUNCTION("""COMPUTED_VALUE"""),40659.6666666666)</f>
        <v>40659.666666666599</v>
      </c>
      <c r="B1591" s="1">
        <f ca="1">IFERROR(__xludf.DUMMYFUNCTION("""COMPUTED_VALUE"""),12.52)</f>
        <v>12.52</v>
      </c>
    </row>
    <row r="1592" spans="1:2">
      <c r="A1592" s="3">
        <f ca="1">IFERROR(__xludf.DUMMYFUNCTION("""COMPUTED_VALUE"""),40660.6666666666)</f>
        <v>40660.666666666599</v>
      </c>
      <c r="B1592" s="1">
        <f ca="1">IFERROR(__xludf.DUMMYFUNCTION("""COMPUTED_VALUE"""),12.51)</f>
        <v>12.51</v>
      </c>
    </row>
    <row r="1593" spans="1:2">
      <c r="A1593" s="3">
        <f ca="1">IFERROR(__xludf.DUMMYFUNCTION("""COMPUTED_VALUE"""),40661.6666666666)</f>
        <v>40661.666666666599</v>
      </c>
      <c r="B1593" s="1">
        <f ca="1">IFERROR(__xludf.DUMMYFUNCTION("""COMPUTED_VALUE"""),12.38)</f>
        <v>12.38</v>
      </c>
    </row>
    <row r="1594" spans="1:2">
      <c r="A1594" s="3">
        <f ca="1">IFERROR(__xludf.DUMMYFUNCTION("""COMPUTED_VALUE"""),40662.6666666666)</f>
        <v>40662.666666666599</v>
      </c>
      <c r="B1594" s="1">
        <f ca="1">IFERROR(__xludf.DUMMYFUNCTION("""COMPUTED_VALUE"""),12.5)</f>
        <v>12.5</v>
      </c>
    </row>
    <row r="1595" spans="1:2">
      <c r="A1595" s="3">
        <f ca="1">IFERROR(__xludf.DUMMYFUNCTION("""COMPUTED_VALUE"""),40665.6666666666)</f>
        <v>40665.666666666599</v>
      </c>
      <c r="B1595" s="1">
        <f ca="1">IFERROR(__xludf.DUMMYFUNCTION("""COMPUTED_VALUE"""),12.37)</f>
        <v>12.37</v>
      </c>
    </row>
    <row r="1596" spans="1:2">
      <c r="A1596" s="3">
        <f ca="1">IFERROR(__xludf.DUMMYFUNCTION("""COMPUTED_VALUE"""),40666.6666666666)</f>
        <v>40666.666666666599</v>
      </c>
      <c r="B1596" s="1">
        <f ca="1">IFERROR(__xludf.DUMMYFUNCTION("""COMPUTED_VALUE"""),12.44)</f>
        <v>12.44</v>
      </c>
    </row>
    <row r="1597" spans="1:2">
      <c r="A1597" s="3">
        <f ca="1">IFERROR(__xludf.DUMMYFUNCTION("""COMPUTED_VALUE"""),40667.6666666666)</f>
        <v>40667.666666666599</v>
      </c>
      <c r="B1597" s="1">
        <f ca="1">IFERROR(__xludf.DUMMYFUNCTION("""COMPUTED_VALUE"""),12.48)</f>
        <v>12.48</v>
      </c>
    </row>
    <row r="1598" spans="1:2">
      <c r="A1598" s="3">
        <f ca="1">IFERROR(__xludf.DUMMYFUNCTION("""COMPUTED_VALUE"""),40668.6666666666)</f>
        <v>40668.666666666599</v>
      </c>
      <c r="B1598" s="1">
        <f ca="1">IFERROR(__xludf.DUMMYFUNCTION("""COMPUTED_VALUE"""),12.38)</f>
        <v>12.38</v>
      </c>
    </row>
    <row r="1599" spans="1:2">
      <c r="A1599" s="3">
        <f ca="1">IFERROR(__xludf.DUMMYFUNCTION("""COMPUTED_VALUE"""),40669.6666666666)</f>
        <v>40669.666666666599</v>
      </c>
      <c r="B1599" s="1">
        <f ca="1">IFERROR(__xludf.DUMMYFUNCTION("""COMPUTED_VALUE"""),12.38)</f>
        <v>12.38</v>
      </c>
    </row>
    <row r="1600" spans="1:2">
      <c r="A1600" s="3">
        <f ca="1">IFERROR(__xludf.DUMMYFUNCTION("""COMPUTED_VALUE"""),40672.6666666666)</f>
        <v>40672.666666666599</v>
      </c>
      <c r="B1600" s="1">
        <f ca="1">IFERROR(__xludf.DUMMYFUNCTION("""COMPUTED_VALUE"""),12.41)</f>
        <v>12.41</v>
      </c>
    </row>
    <row r="1601" spans="1:2">
      <c r="A1601" s="3">
        <f ca="1">IFERROR(__xludf.DUMMYFUNCTION("""COMPUTED_VALUE"""),40673.6666666666)</f>
        <v>40673.666666666599</v>
      </c>
      <c r="B1601" s="1">
        <f ca="1">IFERROR(__xludf.DUMMYFUNCTION("""COMPUTED_VALUE"""),12.48)</f>
        <v>12.48</v>
      </c>
    </row>
    <row r="1602" spans="1:2">
      <c r="A1602" s="3">
        <f ca="1">IFERROR(__xludf.DUMMYFUNCTION("""COMPUTED_VALUE"""),40674.6666666666)</f>
        <v>40674.666666666599</v>
      </c>
      <c r="B1602" s="1">
        <f ca="1">IFERROR(__xludf.DUMMYFUNCTION("""COMPUTED_VALUE"""),12.4)</f>
        <v>12.4</v>
      </c>
    </row>
    <row r="1603" spans="1:2">
      <c r="A1603" s="3">
        <f ca="1">IFERROR(__xludf.DUMMYFUNCTION("""COMPUTED_VALUE"""),40675.6666666666)</f>
        <v>40675.666666666599</v>
      </c>
      <c r="B1603" s="1">
        <f ca="1">IFERROR(__xludf.DUMMYFUNCTION("""COMPUTED_VALUE"""),12.38)</f>
        <v>12.38</v>
      </c>
    </row>
    <row r="1604" spans="1:2">
      <c r="A1604" s="3">
        <f ca="1">IFERROR(__xludf.DUMMYFUNCTION("""COMPUTED_VALUE"""),40676.6666666666)</f>
        <v>40676.666666666599</v>
      </c>
      <c r="B1604" s="1">
        <f ca="1">IFERROR(__xludf.DUMMYFUNCTION("""COMPUTED_VALUE"""),12.16)</f>
        <v>12.16</v>
      </c>
    </row>
    <row r="1605" spans="1:2">
      <c r="A1605" s="3">
        <f ca="1">IFERROR(__xludf.DUMMYFUNCTION("""COMPUTED_VALUE"""),40679.6666666666)</f>
        <v>40679.666666666599</v>
      </c>
      <c r="B1605" s="1">
        <f ca="1">IFERROR(__xludf.DUMMYFUNCTION("""COMPUTED_VALUE"""),11.9)</f>
        <v>11.9</v>
      </c>
    </row>
    <row r="1606" spans="1:2">
      <c r="A1606" s="3">
        <f ca="1">IFERROR(__xludf.DUMMYFUNCTION("""COMPUTED_VALUE"""),40680.6666666666)</f>
        <v>40680.666666666599</v>
      </c>
      <c r="B1606" s="1">
        <f ca="1">IFERROR(__xludf.DUMMYFUNCTION("""COMPUTED_VALUE"""),12.01)</f>
        <v>12.01</v>
      </c>
    </row>
    <row r="1607" spans="1:2">
      <c r="A1607" s="3">
        <f ca="1">IFERROR(__xludf.DUMMYFUNCTION("""COMPUTED_VALUE"""),40681.6666666666)</f>
        <v>40681.666666666599</v>
      </c>
      <c r="B1607" s="1">
        <f ca="1">IFERROR(__xludf.DUMMYFUNCTION("""COMPUTED_VALUE"""),12.14)</f>
        <v>12.14</v>
      </c>
    </row>
    <row r="1608" spans="1:2">
      <c r="A1608" s="3">
        <f ca="1">IFERROR(__xludf.DUMMYFUNCTION("""COMPUTED_VALUE"""),40682.6666666666)</f>
        <v>40682.666666666599</v>
      </c>
      <c r="B1608" s="1">
        <f ca="1">IFERROR(__xludf.DUMMYFUNCTION("""COMPUTED_VALUE"""),12.16)</f>
        <v>12.16</v>
      </c>
    </row>
    <row r="1609" spans="1:2">
      <c r="A1609" s="3">
        <f ca="1">IFERROR(__xludf.DUMMYFUNCTION("""COMPUTED_VALUE"""),40683.6666666666)</f>
        <v>40683.666666666599</v>
      </c>
      <c r="B1609" s="1">
        <f ca="1">IFERROR(__xludf.DUMMYFUNCTION("""COMPUTED_VALUE"""),11.97)</f>
        <v>11.97</v>
      </c>
    </row>
    <row r="1610" spans="1:2">
      <c r="A1610" s="3">
        <f ca="1">IFERROR(__xludf.DUMMYFUNCTION("""COMPUTED_VALUE"""),40686.6666666666)</f>
        <v>40686.666666666599</v>
      </c>
      <c r="B1610" s="1">
        <f ca="1">IFERROR(__xludf.DUMMYFUNCTION("""COMPUTED_VALUE"""),11.94)</f>
        <v>11.94</v>
      </c>
    </row>
    <row r="1611" spans="1:2">
      <c r="A1611" s="3">
        <f ca="1">IFERROR(__xludf.DUMMYFUNCTION("""COMPUTED_VALUE"""),40687.6666666666)</f>
        <v>40687.666666666599</v>
      </c>
      <c r="B1611" s="1">
        <f ca="1">IFERROR(__xludf.DUMMYFUNCTION("""COMPUTED_VALUE"""),11.86)</f>
        <v>11.86</v>
      </c>
    </row>
    <row r="1612" spans="1:2">
      <c r="A1612" s="3">
        <f ca="1">IFERROR(__xludf.DUMMYFUNCTION("""COMPUTED_VALUE"""),40688.6666666666)</f>
        <v>40688.666666666599</v>
      </c>
      <c r="B1612" s="1">
        <f ca="1">IFERROR(__xludf.DUMMYFUNCTION("""COMPUTED_VALUE"""),12.03)</f>
        <v>12.03</v>
      </c>
    </row>
    <row r="1613" spans="1:2">
      <c r="A1613" s="3">
        <f ca="1">IFERROR(__xludf.DUMMYFUNCTION("""COMPUTED_VALUE"""),40689.6666666666)</f>
        <v>40689.666666666599</v>
      </c>
      <c r="B1613" s="1">
        <f ca="1">IFERROR(__xludf.DUMMYFUNCTION("""COMPUTED_VALUE"""),11.96)</f>
        <v>11.96</v>
      </c>
    </row>
    <row r="1614" spans="1:2">
      <c r="A1614" s="3">
        <f ca="1">IFERROR(__xludf.DUMMYFUNCTION("""COMPUTED_VALUE"""),40690.6666666666)</f>
        <v>40690.666666666599</v>
      </c>
      <c r="B1614" s="1">
        <f ca="1">IFERROR(__xludf.DUMMYFUNCTION("""COMPUTED_VALUE"""),12.05)</f>
        <v>12.05</v>
      </c>
    </row>
    <row r="1615" spans="1:2">
      <c r="A1615" s="3">
        <f ca="1">IFERROR(__xludf.DUMMYFUNCTION("""COMPUTED_VALUE"""),40694.6666666666)</f>
        <v>40694.666666666599</v>
      </c>
      <c r="B1615" s="1">
        <f ca="1">IFERROR(__xludf.DUMMYFUNCTION("""COMPUTED_VALUE"""),12.42)</f>
        <v>12.42</v>
      </c>
    </row>
    <row r="1616" spans="1:2">
      <c r="A1616" s="3">
        <f ca="1">IFERROR(__xludf.DUMMYFUNCTION("""COMPUTED_VALUE"""),40695.6666666666)</f>
        <v>40695.666666666599</v>
      </c>
      <c r="B1616" s="1">
        <f ca="1">IFERROR(__xludf.DUMMYFUNCTION("""COMPUTED_VALUE"""),12.34)</f>
        <v>12.34</v>
      </c>
    </row>
    <row r="1617" spans="1:2">
      <c r="A1617" s="3">
        <f ca="1">IFERROR(__xludf.DUMMYFUNCTION("""COMPUTED_VALUE"""),40696.6666666666)</f>
        <v>40696.666666666599</v>
      </c>
      <c r="B1617" s="1">
        <f ca="1">IFERROR(__xludf.DUMMYFUNCTION("""COMPUTED_VALUE"""),12.36)</f>
        <v>12.36</v>
      </c>
    </row>
    <row r="1618" spans="1:2">
      <c r="A1618" s="3">
        <f ca="1">IFERROR(__xludf.DUMMYFUNCTION("""COMPUTED_VALUE"""),40697.6666666666)</f>
        <v>40697.666666666599</v>
      </c>
      <c r="B1618" s="1">
        <f ca="1">IFERROR(__xludf.DUMMYFUNCTION("""COMPUTED_VALUE"""),12.27)</f>
        <v>12.27</v>
      </c>
    </row>
    <row r="1619" spans="1:2">
      <c r="A1619" s="3">
        <f ca="1">IFERROR(__xludf.DUMMYFUNCTION("""COMPUTED_VALUE"""),40700.6666666666)</f>
        <v>40700.666666666599</v>
      </c>
      <c r="B1619" s="1">
        <f ca="1">IFERROR(__xludf.DUMMYFUNCTION("""COMPUTED_VALUE"""),12.07)</f>
        <v>12.07</v>
      </c>
    </row>
    <row r="1620" spans="1:2">
      <c r="A1620" s="3">
        <f ca="1">IFERROR(__xludf.DUMMYFUNCTION("""COMPUTED_VALUE"""),40701.6666666666)</f>
        <v>40701.666666666599</v>
      </c>
      <c r="B1620" s="1">
        <f ca="1">IFERROR(__xludf.DUMMYFUNCTION("""COMPUTED_VALUE"""),11.86)</f>
        <v>11.86</v>
      </c>
    </row>
    <row r="1621" spans="1:2">
      <c r="A1621" s="3">
        <f ca="1">IFERROR(__xludf.DUMMYFUNCTION("""COMPUTED_VALUE"""),40702.6666666666)</f>
        <v>40702.666666666599</v>
      </c>
      <c r="B1621" s="1">
        <f ca="1">IFERROR(__xludf.DUMMYFUNCTION("""COMPUTED_VALUE"""),11.87)</f>
        <v>11.87</v>
      </c>
    </row>
    <row r="1622" spans="1:2">
      <c r="A1622" s="3">
        <f ca="1">IFERROR(__xludf.DUMMYFUNCTION("""COMPUTED_VALUE"""),40703.6666666666)</f>
        <v>40703.666666666599</v>
      </c>
      <c r="B1622" s="1">
        <f ca="1">IFERROR(__xludf.DUMMYFUNCTION("""COMPUTED_VALUE"""),11.84)</f>
        <v>11.84</v>
      </c>
    </row>
    <row r="1623" spans="1:2">
      <c r="A1623" s="3">
        <f ca="1">IFERROR(__xludf.DUMMYFUNCTION("""COMPUTED_VALUE"""),40704.6666666666)</f>
        <v>40704.666666666599</v>
      </c>
      <c r="B1623" s="1">
        <f ca="1">IFERROR(__xludf.DUMMYFUNCTION("""COMPUTED_VALUE"""),11.64)</f>
        <v>11.64</v>
      </c>
    </row>
    <row r="1624" spans="1:2">
      <c r="A1624" s="3">
        <f ca="1">IFERROR(__xludf.DUMMYFUNCTION("""COMPUTED_VALUE"""),40707.6666666666)</f>
        <v>40707.666666666599</v>
      </c>
      <c r="B1624" s="1">
        <f ca="1">IFERROR(__xludf.DUMMYFUNCTION("""COMPUTED_VALUE"""),11.66)</f>
        <v>11.66</v>
      </c>
    </row>
    <row r="1625" spans="1:2">
      <c r="A1625" s="3">
        <f ca="1">IFERROR(__xludf.DUMMYFUNCTION("""COMPUTED_VALUE"""),40708.6666666666)</f>
        <v>40708.666666666599</v>
      </c>
      <c r="B1625" s="1">
        <f ca="1">IFERROR(__xludf.DUMMYFUNCTION("""COMPUTED_VALUE"""),11.87)</f>
        <v>11.87</v>
      </c>
    </row>
    <row r="1626" spans="1:2">
      <c r="A1626" s="3">
        <f ca="1">IFERROR(__xludf.DUMMYFUNCTION("""COMPUTED_VALUE"""),40709.6666666666)</f>
        <v>40709.666666666599</v>
      </c>
      <c r="B1626" s="1">
        <f ca="1">IFERROR(__xludf.DUMMYFUNCTION("""COMPUTED_VALUE"""),11.67)</f>
        <v>11.67</v>
      </c>
    </row>
    <row r="1627" spans="1:2">
      <c r="A1627" s="3">
        <f ca="1">IFERROR(__xludf.DUMMYFUNCTION("""COMPUTED_VALUE"""),40710.6666666666)</f>
        <v>40710.666666666599</v>
      </c>
      <c r="B1627" s="1">
        <f ca="1">IFERROR(__xludf.DUMMYFUNCTION("""COMPUTED_VALUE"""),11.61)</f>
        <v>11.61</v>
      </c>
    </row>
    <row r="1628" spans="1:2">
      <c r="A1628" s="3">
        <f ca="1">IFERROR(__xludf.DUMMYFUNCTION("""COMPUTED_VALUE"""),40711.6666666666)</f>
        <v>40711.666666666599</v>
      </c>
      <c r="B1628" s="1">
        <f ca="1">IFERROR(__xludf.DUMMYFUNCTION("""COMPUTED_VALUE"""),11.44)</f>
        <v>11.44</v>
      </c>
    </row>
    <row r="1629" spans="1:2">
      <c r="A1629" s="3">
        <f ca="1">IFERROR(__xludf.DUMMYFUNCTION("""COMPUTED_VALUE"""),40714.6666666666)</f>
        <v>40714.666666666599</v>
      </c>
      <c r="B1629" s="1">
        <f ca="1">IFERROR(__xludf.DUMMYFUNCTION("""COMPUTED_VALUE"""),11.26)</f>
        <v>11.26</v>
      </c>
    </row>
    <row r="1630" spans="1:2">
      <c r="A1630" s="3">
        <f ca="1">IFERROR(__xludf.DUMMYFUNCTION("""COMPUTED_VALUE"""),40715.6666666666)</f>
        <v>40715.666666666599</v>
      </c>
      <c r="B1630" s="1">
        <f ca="1">IFERROR(__xludf.DUMMYFUNCTION("""COMPUTED_VALUE"""),11.62)</f>
        <v>11.62</v>
      </c>
    </row>
    <row r="1631" spans="1:2">
      <c r="A1631" s="3">
        <f ca="1">IFERROR(__xludf.DUMMYFUNCTION("""COMPUTED_VALUE"""),40716.6666666666)</f>
        <v>40716.666666666599</v>
      </c>
      <c r="B1631" s="1">
        <f ca="1">IFERROR(__xludf.DUMMYFUNCTION("""COMPUTED_VALUE"""),11.52)</f>
        <v>11.52</v>
      </c>
    </row>
    <row r="1632" spans="1:2">
      <c r="A1632" s="3">
        <f ca="1">IFERROR(__xludf.DUMMYFUNCTION("""COMPUTED_VALUE"""),40717.6666666666)</f>
        <v>40717.666666666599</v>
      </c>
      <c r="B1632" s="1">
        <f ca="1">IFERROR(__xludf.DUMMYFUNCTION("""COMPUTED_VALUE"""),11.83)</f>
        <v>11.83</v>
      </c>
    </row>
    <row r="1633" spans="1:2">
      <c r="A1633" s="3">
        <f ca="1">IFERROR(__xludf.DUMMYFUNCTION("""COMPUTED_VALUE"""),40718.6666666666)</f>
        <v>40718.666666666599</v>
      </c>
      <c r="B1633" s="1">
        <f ca="1">IFERROR(__xludf.DUMMYFUNCTION("""COMPUTED_VALUE"""),11.66)</f>
        <v>11.66</v>
      </c>
    </row>
    <row r="1634" spans="1:2">
      <c r="A1634" s="3">
        <f ca="1">IFERROR(__xludf.DUMMYFUNCTION("""COMPUTED_VALUE"""),40721.6666666666)</f>
        <v>40721.666666666599</v>
      </c>
      <c r="B1634" s="1">
        <f ca="1">IFERROR(__xludf.DUMMYFUNCTION("""COMPUTED_VALUE"""),11.86)</f>
        <v>11.86</v>
      </c>
    </row>
    <row r="1635" spans="1:2">
      <c r="A1635" s="3">
        <f ca="1">IFERROR(__xludf.DUMMYFUNCTION("""COMPUTED_VALUE"""),40722.6666666666)</f>
        <v>40722.666666666599</v>
      </c>
      <c r="B1635" s="1">
        <f ca="1">IFERROR(__xludf.DUMMYFUNCTION("""COMPUTED_VALUE"""),11.97)</f>
        <v>11.97</v>
      </c>
    </row>
    <row r="1636" spans="1:2">
      <c r="A1636" s="3">
        <f ca="1">IFERROR(__xludf.DUMMYFUNCTION("""COMPUTED_VALUE"""),40723.6666666666)</f>
        <v>40723.666666666599</v>
      </c>
      <c r="B1636" s="1">
        <f ca="1">IFERROR(__xludf.DUMMYFUNCTION("""COMPUTED_VALUE"""),11.93)</f>
        <v>11.93</v>
      </c>
    </row>
    <row r="1637" spans="1:2">
      <c r="A1637" s="3">
        <f ca="1">IFERROR(__xludf.DUMMYFUNCTION("""COMPUTED_VALUE"""),40724.6666666666)</f>
        <v>40724.666666666599</v>
      </c>
      <c r="B1637" s="1">
        <f ca="1">IFERROR(__xludf.DUMMYFUNCTION("""COMPUTED_VALUE"""),11.99)</f>
        <v>11.99</v>
      </c>
    </row>
    <row r="1638" spans="1:2">
      <c r="A1638" s="3">
        <f ca="1">IFERROR(__xludf.DUMMYFUNCTION("""COMPUTED_VALUE"""),40725.6666666666)</f>
        <v>40725.666666666599</v>
      </c>
      <c r="B1638" s="1">
        <f ca="1">IFERROR(__xludf.DUMMYFUNCTION("""COMPUTED_VALUE"""),12.26)</f>
        <v>12.26</v>
      </c>
    </row>
    <row r="1639" spans="1:2">
      <c r="A1639" s="3">
        <f ca="1">IFERROR(__xludf.DUMMYFUNCTION("""COMPUTED_VALUE"""),40729.6666666666)</f>
        <v>40729.666666666599</v>
      </c>
      <c r="B1639" s="1">
        <f ca="1">IFERROR(__xludf.DUMMYFUNCTION("""COMPUTED_VALUE"""),12.48)</f>
        <v>12.48</v>
      </c>
    </row>
    <row r="1640" spans="1:2">
      <c r="A1640" s="3">
        <f ca="1">IFERROR(__xludf.DUMMYFUNCTION("""COMPUTED_VALUE"""),40730.6666666666)</f>
        <v>40730.666666666599</v>
      </c>
      <c r="B1640" s="1">
        <f ca="1">IFERROR(__xludf.DUMMYFUNCTION("""COMPUTED_VALUE"""),12.56)</f>
        <v>12.56</v>
      </c>
    </row>
    <row r="1641" spans="1:2">
      <c r="A1641" s="3">
        <f ca="1">IFERROR(__xludf.DUMMYFUNCTION("""COMPUTED_VALUE"""),40731.6666666666)</f>
        <v>40731.666666666599</v>
      </c>
      <c r="B1641" s="1">
        <f ca="1">IFERROR(__xludf.DUMMYFUNCTION("""COMPUTED_VALUE"""),12.76)</f>
        <v>12.76</v>
      </c>
    </row>
    <row r="1642" spans="1:2">
      <c r="A1642" s="3">
        <f ca="1">IFERROR(__xludf.DUMMYFUNCTION("""COMPUTED_VALUE"""),40732.6666666666)</f>
        <v>40732.666666666599</v>
      </c>
      <c r="B1642" s="1">
        <f ca="1">IFERROR(__xludf.DUMMYFUNCTION("""COMPUTED_VALUE"""),12.85)</f>
        <v>12.85</v>
      </c>
    </row>
    <row r="1643" spans="1:2">
      <c r="A1643" s="3">
        <f ca="1">IFERROR(__xludf.DUMMYFUNCTION("""COMPUTED_VALUE"""),40735.6666666666)</f>
        <v>40735.666666666599</v>
      </c>
      <c r="B1643" s="1">
        <f ca="1">IFERROR(__xludf.DUMMYFUNCTION("""COMPUTED_VALUE"""),12.64)</f>
        <v>12.64</v>
      </c>
    </row>
    <row r="1644" spans="1:2">
      <c r="A1644" s="3">
        <f ca="1">IFERROR(__xludf.DUMMYFUNCTION("""COMPUTED_VALUE"""),40736.6666666666)</f>
        <v>40736.666666666599</v>
      </c>
      <c r="B1644" s="1">
        <f ca="1">IFERROR(__xludf.DUMMYFUNCTION("""COMPUTED_VALUE"""),12.63)</f>
        <v>12.63</v>
      </c>
    </row>
    <row r="1645" spans="1:2">
      <c r="A1645" s="3">
        <f ca="1">IFERROR(__xludf.DUMMYFUNCTION("""COMPUTED_VALUE"""),40737.6666666666)</f>
        <v>40737.666666666599</v>
      </c>
      <c r="B1645" s="1">
        <f ca="1">IFERROR(__xludf.DUMMYFUNCTION("""COMPUTED_VALUE"""),12.79)</f>
        <v>12.79</v>
      </c>
    </row>
    <row r="1646" spans="1:2">
      <c r="A1646" s="3">
        <f ca="1">IFERROR(__xludf.DUMMYFUNCTION("""COMPUTED_VALUE"""),40738.6666666666)</f>
        <v>40738.666666666599</v>
      </c>
      <c r="B1646" s="1">
        <f ca="1">IFERROR(__xludf.DUMMYFUNCTION("""COMPUTED_VALUE"""),12.78)</f>
        <v>12.78</v>
      </c>
    </row>
    <row r="1647" spans="1:2">
      <c r="A1647" s="3">
        <f ca="1">IFERROR(__xludf.DUMMYFUNCTION("""COMPUTED_VALUE"""),40739.6666666666)</f>
        <v>40739.666666666599</v>
      </c>
      <c r="B1647" s="1">
        <f ca="1">IFERROR(__xludf.DUMMYFUNCTION("""COMPUTED_VALUE"""),13.03)</f>
        <v>13.03</v>
      </c>
    </row>
    <row r="1648" spans="1:2">
      <c r="A1648" s="3">
        <f ca="1">IFERROR(__xludf.DUMMYFUNCTION("""COMPUTED_VALUE"""),40742.6666666666)</f>
        <v>40742.666666666599</v>
      </c>
      <c r="B1648" s="1">
        <f ca="1">IFERROR(__xludf.DUMMYFUNCTION("""COMPUTED_VALUE"""),13.35)</f>
        <v>13.35</v>
      </c>
    </row>
    <row r="1649" spans="1:2">
      <c r="A1649" s="3">
        <f ca="1">IFERROR(__xludf.DUMMYFUNCTION("""COMPUTED_VALUE"""),40743.6666666666)</f>
        <v>40743.666666666599</v>
      </c>
      <c r="B1649" s="1">
        <f ca="1">IFERROR(__xludf.DUMMYFUNCTION("""COMPUTED_VALUE"""),13.46)</f>
        <v>13.46</v>
      </c>
    </row>
    <row r="1650" spans="1:2">
      <c r="A1650" s="3">
        <f ca="1">IFERROR(__xludf.DUMMYFUNCTION("""COMPUTED_VALUE"""),40744.6666666666)</f>
        <v>40744.666666666599</v>
      </c>
      <c r="B1650" s="1">
        <f ca="1">IFERROR(__xludf.DUMMYFUNCTION("""COMPUTED_VALUE"""),13.82)</f>
        <v>13.82</v>
      </c>
    </row>
    <row r="1651" spans="1:2">
      <c r="A1651" s="3">
        <f ca="1">IFERROR(__xludf.DUMMYFUNCTION("""COMPUTED_VALUE"""),40745.6666666666)</f>
        <v>40745.666666666599</v>
      </c>
      <c r="B1651" s="1">
        <f ca="1">IFERROR(__xludf.DUMMYFUNCTION("""COMPUTED_VALUE"""),13.83)</f>
        <v>13.83</v>
      </c>
    </row>
    <row r="1652" spans="1:2">
      <c r="A1652" s="3">
        <f ca="1">IFERROR(__xludf.DUMMYFUNCTION("""COMPUTED_VALUE"""),40746.6666666666)</f>
        <v>40746.666666666599</v>
      </c>
      <c r="B1652" s="1">
        <f ca="1">IFERROR(__xludf.DUMMYFUNCTION("""COMPUTED_VALUE"""),14.05)</f>
        <v>14.05</v>
      </c>
    </row>
    <row r="1653" spans="1:2">
      <c r="A1653" s="3">
        <f ca="1">IFERROR(__xludf.DUMMYFUNCTION("""COMPUTED_VALUE"""),40749.6666666666)</f>
        <v>40749.666666666599</v>
      </c>
      <c r="B1653" s="1">
        <f ca="1">IFERROR(__xludf.DUMMYFUNCTION("""COMPUTED_VALUE"""),14.23)</f>
        <v>14.23</v>
      </c>
    </row>
    <row r="1654" spans="1:2">
      <c r="A1654" s="3">
        <f ca="1">IFERROR(__xludf.DUMMYFUNCTION("""COMPUTED_VALUE"""),40750.6666666666)</f>
        <v>40750.666666666599</v>
      </c>
      <c r="B1654" s="1">
        <f ca="1">IFERROR(__xludf.DUMMYFUNCTION("""COMPUTED_VALUE"""),14.41)</f>
        <v>14.41</v>
      </c>
    </row>
    <row r="1655" spans="1:2">
      <c r="A1655" s="3">
        <f ca="1">IFERROR(__xludf.DUMMYFUNCTION("""COMPUTED_VALUE"""),40751.6666666666)</f>
        <v>40751.666666666599</v>
      </c>
      <c r="B1655" s="1">
        <f ca="1">IFERROR(__xludf.DUMMYFUNCTION("""COMPUTED_VALUE"""),14.02)</f>
        <v>14.02</v>
      </c>
    </row>
    <row r="1656" spans="1:2">
      <c r="A1656" s="3">
        <f ca="1">IFERROR(__xludf.DUMMYFUNCTION("""COMPUTED_VALUE"""),40752.6666666666)</f>
        <v>40752.666666666599</v>
      </c>
      <c r="B1656" s="1">
        <f ca="1">IFERROR(__xludf.DUMMYFUNCTION("""COMPUTED_VALUE"""),13.99)</f>
        <v>13.99</v>
      </c>
    </row>
    <row r="1657" spans="1:2">
      <c r="A1657" s="3">
        <f ca="1">IFERROR(__xludf.DUMMYFUNCTION("""COMPUTED_VALUE"""),40753.6666666666)</f>
        <v>40753.666666666599</v>
      </c>
      <c r="B1657" s="1">
        <f ca="1">IFERROR(__xludf.DUMMYFUNCTION("""COMPUTED_VALUE"""),13.95)</f>
        <v>13.95</v>
      </c>
    </row>
    <row r="1658" spans="1:2">
      <c r="A1658" s="3">
        <f ca="1">IFERROR(__xludf.DUMMYFUNCTION("""COMPUTED_VALUE"""),40756.6666666666)</f>
        <v>40756.666666666599</v>
      </c>
      <c r="B1658" s="1">
        <f ca="1">IFERROR(__xludf.DUMMYFUNCTION("""COMPUTED_VALUE"""),14.17)</f>
        <v>14.17</v>
      </c>
    </row>
    <row r="1659" spans="1:2">
      <c r="A1659" s="3">
        <f ca="1">IFERROR(__xludf.DUMMYFUNCTION("""COMPUTED_VALUE"""),40757.6666666666)</f>
        <v>40757.666666666599</v>
      </c>
      <c r="B1659" s="1">
        <f ca="1">IFERROR(__xludf.DUMMYFUNCTION("""COMPUTED_VALUE"""),13.89)</f>
        <v>13.89</v>
      </c>
    </row>
    <row r="1660" spans="1:2">
      <c r="A1660" s="3">
        <f ca="1">IFERROR(__xludf.DUMMYFUNCTION("""COMPUTED_VALUE"""),40758.6666666666)</f>
        <v>40758.666666666599</v>
      </c>
      <c r="B1660" s="1">
        <f ca="1">IFERROR(__xludf.DUMMYFUNCTION("""COMPUTED_VALUE"""),14.02)</f>
        <v>14.02</v>
      </c>
    </row>
    <row r="1661" spans="1:2">
      <c r="A1661" s="3">
        <f ca="1">IFERROR(__xludf.DUMMYFUNCTION("""COMPUTED_VALUE"""),40759.6666666666)</f>
        <v>40759.666666666599</v>
      </c>
      <c r="B1661" s="1">
        <f ca="1">IFERROR(__xludf.DUMMYFUNCTION("""COMPUTED_VALUE"""),13.48)</f>
        <v>13.48</v>
      </c>
    </row>
    <row r="1662" spans="1:2">
      <c r="A1662" s="3">
        <f ca="1">IFERROR(__xludf.DUMMYFUNCTION("""COMPUTED_VALUE"""),40760.6666666666)</f>
        <v>40760.666666666599</v>
      </c>
      <c r="B1662" s="1">
        <f ca="1">IFERROR(__xludf.DUMMYFUNCTION("""COMPUTED_VALUE"""),13.34)</f>
        <v>13.34</v>
      </c>
    </row>
    <row r="1663" spans="1:2">
      <c r="A1663" s="3">
        <f ca="1">IFERROR(__xludf.DUMMYFUNCTION("""COMPUTED_VALUE"""),40763.6666666666)</f>
        <v>40763.666666666599</v>
      </c>
      <c r="B1663" s="1">
        <f ca="1">IFERROR(__xludf.DUMMYFUNCTION("""COMPUTED_VALUE"""),12.61)</f>
        <v>12.61</v>
      </c>
    </row>
    <row r="1664" spans="1:2">
      <c r="A1664" s="3">
        <f ca="1">IFERROR(__xludf.DUMMYFUNCTION("""COMPUTED_VALUE"""),40764.6666666666)</f>
        <v>40764.666666666599</v>
      </c>
      <c r="B1664" s="1">
        <f ca="1">IFERROR(__xludf.DUMMYFUNCTION("""COMPUTED_VALUE"""),13.36)</f>
        <v>13.36</v>
      </c>
    </row>
    <row r="1665" spans="1:2">
      <c r="A1665" s="3">
        <f ca="1">IFERROR(__xludf.DUMMYFUNCTION("""COMPUTED_VALUE"""),40765.6666666666)</f>
        <v>40765.666666666599</v>
      </c>
      <c r="B1665" s="1">
        <f ca="1">IFERROR(__xludf.DUMMYFUNCTION("""COMPUTED_VALUE"""),12.99)</f>
        <v>12.99</v>
      </c>
    </row>
    <row r="1666" spans="1:2">
      <c r="A1666" s="3">
        <f ca="1">IFERROR(__xludf.DUMMYFUNCTION("""COMPUTED_VALUE"""),40766.6666666666)</f>
        <v>40766.666666666599</v>
      </c>
      <c r="B1666" s="1">
        <f ca="1">IFERROR(__xludf.DUMMYFUNCTION("""COMPUTED_VALUE"""),13.35)</f>
        <v>13.35</v>
      </c>
    </row>
    <row r="1667" spans="1:2">
      <c r="A1667" s="3">
        <f ca="1">IFERROR(__xludf.DUMMYFUNCTION("""COMPUTED_VALUE"""),40767.6666666666)</f>
        <v>40767.666666666599</v>
      </c>
      <c r="B1667" s="1">
        <f ca="1">IFERROR(__xludf.DUMMYFUNCTION("""COMPUTED_VALUE"""),13.46)</f>
        <v>13.46</v>
      </c>
    </row>
    <row r="1668" spans="1:2">
      <c r="A1668" s="3">
        <f ca="1">IFERROR(__xludf.DUMMYFUNCTION("""COMPUTED_VALUE"""),40770.6666666666)</f>
        <v>40770.666666666599</v>
      </c>
      <c r="B1668" s="1">
        <f ca="1">IFERROR(__xludf.DUMMYFUNCTION("""COMPUTED_VALUE"""),13.69)</f>
        <v>13.69</v>
      </c>
    </row>
    <row r="1669" spans="1:2">
      <c r="A1669" s="3">
        <f ca="1">IFERROR(__xludf.DUMMYFUNCTION("""COMPUTED_VALUE"""),40771.6666666666)</f>
        <v>40771.666666666599</v>
      </c>
      <c r="B1669" s="1">
        <f ca="1">IFERROR(__xludf.DUMMYFUNCTION("""COMPUTED_VALUE"""),13.59)</f>
        <v>13.59</v>
      </c>
    </row>
    <row r="1670" spans="1:2">
      <c r="A1670" s="3">
        <f ca="1">IFERROR(__xludf.DUMMYFUNCTION("""COMPUTED_VALUE"""),40772.6666666666)</f>
        <v>40772.666666666599</v>
      </c>
      <c r="B1670" s="1">
        <f ca="1">IFERROR(__xludf.DUMMYFUNCTION("""COMPUTED_VALUE"""),13.59)</f>
        <v>13.59</v>
      </c>
    </row>
    <row r="1671" spans="1:2">
      <c r="A1671" s="3">
        <f ca="1">IFERROR(__xludf.DUMMYFUNCTION("""COMPUTED_VALUE"""),40773.6666666666)</f>
        <v>40773.666666666599</v>
      </c>
      <c r="B1671" s="1">
        <f ca="1">IFERROR(__xludf.DUMMYFUNCTION("""COMPUTED_VALUE"""),13.07)</f>
        <v>13.07</v>
      </c>
    </row>
    <row r="1672" spans="1:2">
      <c r="A1672" s="3">
        <f ca="1">IFERROR(__xludf.DUMMYFUNCTION("""COMPUTED_VALUE"""),40774.6666666666)</f>
        <v>40774.666666666599</v>
      </c>
      <c r="B1672" s="1">
        <f ca="1">IFERROR(__xludf.DUMMYFUNCTION("""COMPUTED_VALUE"""),12.72)</f>
        <v>12.72</v>
      </c>
    </row>
    <row r="1673" spans="1:2">
      <c r="A1673" s="3">
        <f ca="1">IFERROR(__xludf.DUMMYFUNCTION("""COMPUTED_VALUE"""),40777.6666666666)</f>
        <v>40777.666666666599</v>
      </c>
      <c r="B1673" s="1">
        <f ca="1">IFERROR(__xludf.DUMMYFUNCTION("""COMPUTED_VALUE"""),12.73)</f>
        <v>12.73</v>
      </c>
    </row>
    <row r="1674" spans="1:2">
      <c r="A1674" s="3">
        <f ca="1">IFERROR(__xludf.DUMMYFUNCTION("""COMPUTED_VALUE"""),40778.6666666666)</f>
        <v>40778.666666666599</v>
      </c>
      <c r="B1674" s="1">
        <f ca="1">IFERROR(__xludf.DUMMYFUNCTION("""COMPUTED_VALUE"""),13.34)</f>
        <v>13.34</v>
      </c>
    </row>
    <row r="1675" spans="1:2">
      <c r="A1675" s="3">
        <f ca="1">IFERROR(__xludf.DUMMYFUNCTION("""COMPUTED_VALUE"""),40779.6666666666)</f>
        <v>40779.666666666599</v>
      </c>
      <c r="B1675" s="1">
        <f ca="1">IFERROR(__xludf.DUMMYFUNCTION("""COMPUTED_VALUE"""),13.44)</f>
        <v>13.44</v>
      </c>
    </row>
    <row r="1676" spans="1:2">
      <c r="A1676" s="3">
        <f ca="1">IFERROR(__xludf.DUMMYFUNCTION("""COMPUTED_VALUE"""),40780.6666666666)</f>
        <v>40780.666666666599</v>
      </c>
      <c r="B1676" s="1">
        <f ca="1">IFERROR(__xludf.DUMMYFUNCTION("""COMPUTED_VALUE"""),13.35)</f>
        <v>13.35</v>
      </c>
    </row>
    <row r="1677" spans="1:2">
      <c r="A1677" s="3">
        <f ca="1">IFERROR(__xludf.DUMMYFUNCTION("""COMPUTED_VALUE"""),40781.6666666666)</f>
        <v>40781.666666666599</v>
      </c>
      <c r="B1677" s="1">
        <f ca="1">IFERROR(__xludf.DUMMYFUNCTION("""COMPUTED_VALUE"""),13.7)</f>
        <v>13.7</v>
      </c>
    </row>
    <row r="1678" spans="1:2">
      <c r="A1678" s="3">
        <f ca="1">IFERROR(__xludf.DUMMYFUNCTION("""COMPUTED_VALUE"""),40784.6666666666)</f>
        <v>40784.666666666599</v>
      </c>
      <c r="B1678" s="1">
        <f ca="1">IFERROR(__xludf.DUMMYFUNCTION("""COMPUTED_VALUE"""),13.93)</f>
        <v>13.93</v>
      </c>
    </row>
    <row r="1679" spans="1:2">
      <c r="A1679" s="3">
        <f ca="1">IFERROR(__xludf.DUMMYFUNCTION("""COMPUTED_VALUE"""),40785.6666666666)</f>
        <v>40785.666666666599</v>
      </c>
      <c r="B1679" s="1">
        <f ca="1">IFERROR(__xludf.DUMMYFUNCTION("""COMPUTED_VALUE"""),13.93)</f>
        <v>13.93</v>
      </c>
    </row>
    <row r="1680" spans="1:2">
      <c r="A1680" s="3">
        <f ca="1">IFERROR(__xludf.DUMMYFUNCTION("""COMPUTED_VALUE"""),40786.6666666666)</f>
        <v>40786.666666666599</v>
      </c>
      <c r="B1680" s="1">
        <f ca="1">IFERROR(__xludf.DUMMYFUNCTION("""COMPUTED_VALUE"""),13.74)</f>
        <v>13.74</v>
      </c>
    </row>
    <row r="1681" spans="1:2">
      <c r="A1681" s="3">
        <f ca="1">IFERROR(__xludf.DUMMYFUNCTION("""COMPUTED_VALUE"""),40787.6666666666)</f>
        <v>40787.666666666599</v>
      </c>
      <c r="B1681" s="1">
        <f ca="1">IFERROR(__xludf.DUMMYFUNCTION("""COMPUTED_VALUE"""),13.61)</f>
        <v>13.61</v>
      </c>
    </row>
    <row r="1682" spans="1:2">
      <c r="A1682" s="3">
        <f ca="1">IFERROR(__xludf.DUMMYFUNCTION("""COMPUTED_VALUE"""),40788.6666666666)</f>
        <v>40788.666666666599</v>
      </c>
      <c r="B1682" s="1">
        <f ca="1">IFERROR(__xludf.DUMMYFUNCTION("""COMPUTED_VALUE"""),13.36)</f>
        <v>13.36</v>
      </c>
    </row>
    <row r="1683" spans="1:2">
      <c r="A1683" s="3">
        <f ca="1">IFERROR(__xludf.DUMMYFUNCTION("""COMPUTED_VALUE"""),40792.6666666666)</f>
        <v>40792.666666666599</v>
      </c>
      <c r="B1683" s="1">
        <f ca="1">IFERROR(__xludf.DUMMYFUNCTION("""COMPUTED_VALUE"""),13.56)</f>
        <v>13.56</v>
      </c>
    </row>
    <row r="1684" spans="1:2">
      <c r="A1684" s="3">
        <f ca="1">IFERROR(__xludf.DUMMYFUNCTION("""COMPUTED_VALUE"""),40793.6666666666)</f>
        <v>40793.666666666599</v>
      </c>
      <c r="B1684" s="1">
        <f ca="1">IFERROR(__xludf.DUMMYFUNCTION("""COMPUTED_VALUE"""),13.71)</f>
        <v>13.71</v>
      </c>
    </row>
    <row r="1685" spans="1:2">
      <c r="A1685" s="3">
        <f ca="1">IFERROR(__xludf.DUMMYFUNCTION("""COMPUTED_VALUE"""),40794.6666666666)</f>
        <v>40794.666666666599</v>
      </c>
      <c r="B1685" s="1">
        <f ca="1">IFERROR(__xludf.DUMMYFUNCTION("""COMPUTED_VALUE"""),13.72)</f>
        <v>13.72</v>
      </c>
    </row>
    <row r="1686" spans="1:2">
      <c r="A1686" s="3">
        <f ca="1">IFERROR(__xludf.DUMMYFUNCTION("""COMPUTED_VALUE"""),40795.6666666666)</f>
        <v>40795.666666666599</v>
      </c>
      <c r="B1686" s="1">
        <f ca="1">IFERROR(__xludf.DUMMYFUNCTION("""COMPUTED_VALUE"""),13.48)</f>
        <v>13.48</v>
      </c>
    </row>
    <row r="1687" spans="1:2">
      <c r="A1687" s="3">
        <f ca="1">IFERROR(__xludf.DUMMYFUNCTION("""COMPUTED_VALUE"""),40798.6666666666)</f>
        <v>40798.666666666599</v>
      </c>
      <c r="B1687" s="1">
        <f ca="1">IFERROR(__xludf.DUMMYFUNCTION("""COMPUTED_VALUE"""),13.57)</f>
        <v>13.57</v>
      </c>
    </row>
    <row r="1688" spans="1:2">
      <c r="A1688" s="3">
        <f ca="1">IFERROR(__xludf.DUMMYFUNCTION("""COMPUTED_VALUE"""),40799.6666666666)</f>
        <v>40799.666666666599</v>
      </c>
      <c r="B1688" s="1">
        <f ca="1">IFERROR(__xludf.DUMMYFUNCTION("""COMPUTED_VALUE"""),13.74)</f>
        <v>13.74</v>
      </c>
    </row>
    <row r="1689" spans="1:2">
      <c r="A1689" s="3">
        <f ca="1">IFERROR(__xludf.DUMMYFUNCTION("""COMPUTED_VALUE"""),40800.6666666666)</f>
        <v>40800.666666666599</v>
      </c>
      <c r="B1689" s="1">
        <f ca="1">IFERROR(__xludf.DUMMYFUNCTION("""COMPUTED_VALUE"""),13.9)</f>
        <v>13.9</v>
      </c>
    </row>
    <row r="1690" spans="1:2">
      <c r="A1690" s="3">
        <f ca="1">IFERROR(__xludf.DUMMYFUNCTION("""COMPUTED_VALUE"""),40801.6666666666)</f>
        <v>40801.666666666599</v>
      </c>
      <c r="B1690" s="1">
        <f ca="1">IFERROR(__xludf.DUMMYFUNCTION("""COMPUTED_VALUE"""),14.03)</f>
        <v>14.03</v>
      </c>
    </row>
    <row r="1691" spans="1:2">
      <c r="A1691" s="3">
        <f ca="1">IFERROR(__xludf.DUMMYFUNCTION("""COMPUTED_VALUE"""),40802.6666666666)</f>
        <v>40802.666666666599</v>
      </c>
      <c r="B1691" s="1">
        <f ca="1">IFERROR(__xludf.DUMMYFUNCTION("""COMPUTED_VALUE"""),14.3)</f>
        <v>14.3</v>
      </c>
    </row>
    <row r="1692" spans="1:2">
      <c r="A1692" s="3">
        <f ca="1">IFERROR(__xludf.DUMMYFUNCTION("""COMPUTED_VALUE"""),40805.6666666666)</f>
        <v>40805.666666666599</v>
      </c>
      <c r="B1692" s="1">
        <f ca="1">IFERROR(__xludf.DUMMYFUNCTION("""COMPUTED_VALUE"""),14.7)</f>
        <v>14.7</v>
      </c>
    </row>
    <row r="1693" spans="1:2">
      <c r="A1693" s="3">
        <f ca="1">IFERROR(__xludf.DUMMYFUNCTION("""COMPUTED_VALUE"""),40806.6666666666)</f>
        <v>40806.666666666599</v>
      </c>
      <c r="B1693" s="1">
        <f ca="1">IFERROR(__xludf.DUMMYFUNCTION("""COMPUTED_VALUE"""),14.77)</f>
        <v>14.77</v>
      </c>
    </row>
    <row r="1694" spans="1:2">
      <c r="A1694" s="3">
        <f ca="1">IFERROR(__xludf.DUMMYFUNCTION("""COMPUTED_VALUE"""),40807.6666666666)</f>
        <v>40807.666666666599</v>
      </c>
      <c r="B1694" s="1">
        <f ca="1">IFERROR(__xludf.DUMMYFUNCTION("""COMPUTED_VALUE"""),14.72)</f>
        <v>14.72</v>
      </c>
    </row>
    <row r="1695" spans="1:2">
      <c r="A1695" s="3">
        <f ca="1">IFERROR(__xludf.DUMMYFUNCTION("""COMPUTED_VALUE"""),40808.6666666666)</f>
        <v>40808.666666666599</v>
      </c>
      <c r="B1695" s="1">
        <f ca="1">IFERROR(__xludf.DUMMYFUNCTION("""COMPUTED_VALUE"""),14.35)</f>
        <v>14.35</v>
      </c>
    </row>
    <row r="1696" spans="1:2">
      <c r="A1696" s="3">
        <f ca="1">IFERROR(__xludf.DUMMYFUNCTION("""COMPUTED_VALUE"""),40809.6666666666)</f>
        <v>40809.666666666599</v>
      </c>
      <c r="B1696" s="1">
        <f ca="1">IFERROR(__xludf.DUMMYFUNCTION("""COMPUTED_VALUE"""),14.44)</f>
        <v>14.44</v>
      </c>
    </row>
    <row r="1697" spans="1:2">
      <c r="A1697" s="3">
        <f ca="1">IFERROR(__xludf.DUMMYFUNCTION("""COMPUTED_VALUE"""),40812.6666666666)</f>
        <v>40812.666666666599</v>
      </c>
      <c r="B1697" s="1">
        <f ca="1">IFERROR(__xludf.DUMMYFUNCTION("""COMPUTED_VALUE"""),14.4)</f>
        <v>14.4</v>
      </c>
    </row>
    <row r="1698" spans="1:2">
      <c r="A1698" s="3">
        <f ca="1">IFERROR(__xludf.DUMMYFUNCTION("""COMPUTED_VALUE"""),40813.6666666666)</f>
        <v>40813.666666666599</v>
      </c>
      <c r="B1698" s="1">
        <f ca="1">IFERROR(__xludf.DUMMYFUNCTION("""COMPUTED_VALUE"""),14.26)</f>
        <v>14.26</v>
      </c>
    </row>
    <row r="1699" spans="1:2">
      <c r="A1699" s="3">
        <f ca="1">IFERROR(__xludf.DUMMYFUNCTION("""COMPUTED_VALUE"""),40814.6666666666)</f>
        <v>40814.666666666599</v>
      </c>
      <c r="B1699" s="1">
        <f ca="1">IFERROR(__xludf.DUMMYFUNCTION("""COMPUTED_VALUE"""),14.18)</f>
        <v>14.18</v>
      </c>
    </row>
    <row r="1700" spans="1:2">
      <c r="A1700" s="3">
        <f ca="1">IFERROR(__xludf.DUMMYFUNCTION("""COMPUTED_VALUE"""),40815.6666666666)</f>
        <v>40815.666666666599</v>
      </c>
      <c r="B1700" s="1">
        <f ca="1">IFERROR(__xludf.DUMMYFUNCTION("""COMPUTED_VALUE"""),13.95)</f>
        <v>13.95</v>
      </c>
    </row>
    <row r="1701" spans="1:2">
      <c r="A1701" s="3">
        <f ca="1">IFERROR(__xludf.DUMMYFUNCTION("""COMPUTED_VALUE"""),40816.6666666666)</f>
        <v>40816.666666666599</v>
      </c>
      <c r="B1701" s="1">
        <f ca="1">IFERROR(__xludf.DUMMYFUNCTION("""COMPUTED_VALUE"""),13.62)</f>
        <v>13.62</v>
      </c>
    </row>
    <row r="1702" spans="1:2">
      <c r="A1702" s="3">
        <f ca="1">IFERROR(__xludf.DUMMYFUNCTION("""COMPUTED_VALUE"""),40819.6666666666)</f>
        <v>40819.666666666599</v>
      </c>
      <c r="B1702" s="1">
        <f ca="1">IFERROR(__xludf.DUMMYFUNCTION("""COMPUTED_VALUE"""),13.38)</f>
        <v>13.38</v>
      </c>
    </row>
    <row r="1703" spans="1:2">
      <c r="A1703" s="3">
        <f ca="1">IFERROR(__xludf.DUMMYFUNCTION("""COMPUTED_VALUE"""),40820.6666666666)</f>
        <v>40820.666666666599</v>
      </c>
      <c r="B1703" s="1">
        <f ca="1">IFERROR(__xludf.DUMMYFUNCTION("""COMPUTED_VALUE"""),13.3)</f>
        <v>13.3</v>
      </c>
    </row>
    <row r="1704" spans="1:2">
      <c r="A1704" s="3">
        <f ca="1">IFERROR(__xludf.DUMMYFUNCTION("""COMPUTED_VALUE"""),40821.6666666666)</f>
        <v>40821.666666666599</v>
      </c>
      <c r="B1704" s="1">
        <f ca="1">IFERROR(__xludf.DUMMYFUNCTION("""COMPUTED_VALUE"""),13.51)</f>
        <v>13.51</v>
      </c>
    </row>
    <row r="1705" spans="1:2">
      <c r="A1705" s="3">
        <f ca="1">IFERROR(__xludf.DUMMYFUNCTION("""COMPUTED_VALUE"""),40822.6666666666)</f>
        <v>40822.666666666599</v>
      </c>
      <c r="B1705" s="1">
        <f ca="1">IFERROR(__xludf.DUMMYFUNCTION("""COMPUTED_VALUE"""),13.48)</f>
        <v>13.48</v>
      </c>
    </row>
    <row r="1706" spans="1:2">
      <c r="A1706" s="3">
        <f ca="1">IFERROR(__xludf.DUMMYFUNCTION("""COMPUTED_VALUE"""),40823.6666666666)</f>
        <v>40823.666666666599</v>
      </c>
      <c r="B1706" s="1">
        <f ca="1">IFERROR(__xludf.DUMMYFUNCTION("""COMPUTED_VALUE"""),13.21)</f>
        <v>13.21</v>
      </c>
    </row>
    <row r="1707" spans="1:2">
      <c r="A1707" s="3">
        <f ca="1">IFERROR(__xludf.DUMMYFUNCTION("""COMPUTED_VALUE"""),40826.6666666666)</f>
        <v>40826.666666666599</v>
      </c>
      <c r="B1707" s="1">
        <f ca="1">IFERROR(__xludf.DUMMYFUNCTION("""COMPUTED_VALUE"""),13.89)</f>
        <v>13.89</v>
      </c>
    </row>
    <row r="1708" spans="1:2">
      <c r="A1708" s="3">
        <f ca="1">IFERROR(__xludf.DUMMYFUNCTION("""COMPUTED_VALUE"""),40827.6666666666)</f>
        <v>40827.666666666599</v>
      </c>
      <c r="B1708" s="1">
        <f ca="1">IFERROR(__xludf.DUMMYFUNCTION("""COMPUTED_VALUE"""),14.3)</f>
        <v>14.3</v>
      </c>
    </row>
    <row r="1709" spans="1:2">
      <c r="A1709" s="3">
        <f ca="1">IFERROR(__xludf.DUMMYFUNCTION("""COMPUTED_VALUE"""),40828.6666666666)</f>
        <v>40828.666666666599</v>
      </c>
      <c r="B1709" s="1">
        <f ca="1">IFERROR(__xludf.DUMMYFUNCTION("""COMPUTED_VALUE"""),14.36)</f>
        <v>14.36</v>
      </c>
    </row>
    <row r="1710" spans="1:2">
      <c r="A1710" s="3">
        <f ca="1">IFERROR(__xludf.DUMMYFUNCTION("""COMPUTED_VALUE"""),40829.6666666666)</f>
        <v>40829.666666666599</v>
      </c>
      <c r="B1710" s="1">
        <f ca="1">IFERROR(__xludf.DUMMYFUNCTION("""COMPUTED_VALUE"""),14.59)</f>
        <v>14.59</v>
      </c>
    </row>
    <row r="1711" spans="1:2">
      <c r="A1711" s="3">
        <f ca="1">IFERROR(__xludf.DUMMYFUNCTION("""COMPUTED_VALUE"""),40830.6666666666)</f>
        <v>40830.666666666599</v>
      </c>
      <c r="B1711" s="1">
        <f ca="1">IFERROR(__xludf.DUMMYFUNCTION("""COMPUTED_VALUE"""),15.07)</f>
        <v>15.07</v>
      </c>
    </row>
    <row r="1712" spans="1:2">
      <c r="A1712" s="3">
        <f ca="1">IFERROR(__xludf.DUMMYFUNCTION("""COMPUTED_VALUE"""),40833.6666666666)</f>
        <v>40833.666666666599</v>
      </c>
      <c r="B1712" s="1">
        <f ca="1">IFERROR(__xludf.DUMMYFUNCTION("""COMPUTED_VALUE"""),15)</f>
        <v>15</v>
      </c>
    </row>
    <row r="1713" spans="1:2">
      <c r="A1713" s="3">
        <f ca="1">IFERROR(__xludf.DUMMYFUNCTION("""COMPUTED_VALUE"""),40834.6666666666)</f>
        <v>40834.666666666599</v>
      </c>
      <c r="B1713" s="1">
        <f ca="1">IFERROR(__xludf.DUMMYFUNCTION("""COMPUTED_VALUE"""),15.08)</f>
        <v>15.08</v>
      </c>
    </row>
    <row r="1714" spans="1:2">
      <c r="A1714" s="3">
        <f ca="1">IFERROR(__xludf.DUMMYFUNCTION("""COMPUTED_VALUE"""),40835.6666666666)</f>
        <v>40835.666666666599</v>
      </c>
      <c r="B1714" s="1">
        <f ca="1">IFERROR(__xludf.DUMMYFUNCTION("""COMPUTED_VALUE"""),14.24)</f>
        <v>14.24</v>
      </c>
    </row>
    <row r="1715" spans="1:2">
      <c r="A1715" s="3">
        <f ca="1">IFERROR(__xludf.DUMMYFUNCTION("""COMPUTED_VALUE"""),40836.6666666666)</f>
        <v>40836.666666666599</v>
      </c>
      <c r="B1715" s="1">
        <f ca="1">IFERROR(__xludf.DUMMYFUNCTION("""COMPUTED_VALUE"""),14.12)</f>
        <v>14.12</v>
      </c>
    </row>
    <row r="1716" spans="1:2">
      <c r="A1716" s="3">
        <f ca="1">IFERROR(__xludf.DUMMYFUNCTION("""COMPUTED_VALUE"""),40837.6666666666)</f>
        <v>40837.666666666599</v>
      </c>
      <c r="B1716" s="1">
        <f ca="1">IFERROR(__xludf.DUMMYFUNCTION("""COMPUTED_VALUE"""),14.03)</f>
        <v>14.03</v>
      </c>
    </row>
    <row r="1717" spans="1:2">
      <c r="A1717" s="3">
        <f ca="1">IFERROR(__xludf.DUMMYFUNCTION("""COMPUTED_VALUE"""),40840.6666666666)</f>
        <v>40840.666666666599</v>
      </c>
      <c r="B1717" s="1">
        <f ca="1">IFERROR(__xludf.DUMMYFUNCTION("""COMPUTED_VALUE"""),14.49)</f>
        <v>14.49</v>
      </c>
    </row>
    <row r="1718" spans="1:2">
      <c r="A1718" s="3">
        <f ca="1">IFERROR(__xludf.DUMMYFUNCTION("""COMPUTED_VALUE"""),40841.6666666666)</f>
        <v>40841.666666666599</v>
      </c>
      <c r="B1718" s="1">
        <f ca="1">IFERROR(__xludf.DUMMYFUNCTION("""COMPUTED_VALUE"""),14.21)</f>
        <v>14.21</v>
      </c>
    </row>
    <row r="1719" spans="1:2">
      <c r="A1719" s="3">
        <f ca="1">IFERROR(__xludf.DUMMYFUNCTION("""COMPUTED_VALUE"""),40842.6666666666)</f>
        <v>40842.666666666599</v>
      </c>
      <c r="B1719" s="1">
        <f ca="1">IFERROR(__xludf.DUMMYFUNCTION("""COMPUTED_VALUE"""),14.31)</f>
        <v>14.31</v>
      </c>
    </row>
    <row r="1720" spans="1:2">
      <c r="A1720" s="3">
        <f ca="1">IFERROR(__xludf.DUMMYFUNCTION("""COMPUTED_VALUE"""),40843.6666666666)</f>
        <v>40843.666666666599</v>
      </c>
      <c r="B1720" s="1">
        <f ca="1">IFERROR(__xludf.DUMMYFUNCTION("""COMPUTED_VALUE"""),14.45)</f>
        <v>14.45</v>
      </c>
    </row>
    <row r="1721" spans="1:2">
      <c r="A1721" s="3">
        <f ca="1">IFERROR(__xludf.DUMMYFUNCTION("""COMPUTED_VALUE"""),40844.6666666666)</f>
        <v>40844.666666666599</v>
      </c>
      <c r="B1721" s="1">
        <f ca="1">IFERROR(__xludf.DUMMYFUNCTION("""COMPUTED_VALUE"""),14.46)</f>
        <v>14.46</v>
      </c>
    </row>
    <row r="1722" spans="1:2">
      <c r="A1722" s="3">
        <f ca="1">IFERROR(__xludf.DUMMYFUNCTION("""COMPUTED_VALUE"""),40847.6666666666)</f>
        <v>40847.666666666599</v>
      </c>
      <c r="B1722" s="1">
        <f ca="1">IFERROR(__xludf.DUMMYFUNCTION("""COMPUTED_VALUE"""),14.46)</f>
        <v>14.46</v>
      </c>
    </row>
    <row r="1723" spans="1:2">
      <c r="A1723" s="3">
        <f ca="1">IFERROR(__xludf.DUMMYFUNCTION("""COMPUTED_VALUE"""),40848.6666666666)</f>
        <v>40848.666666666599</v>
      </c>
      <c r="B1723" s="1">
        <f ca="1">IFERROR(__xludf.DUMMYFUNCTION("""COMPUTED_VALUE"""),14.16)</f>
        <v>14.16</v>
      </c>
    </row>
    <row r="1724" spans="1:2">
      <c r="A1724" s="3">
        <f ca="1">IFERROR(__xludf.DUMMYFUNCTION("""COMPUTED_VALUE"""),40849.6666666666)</f>
        <v>40849.666666666599</v>
      </c>
      <c r="B1724" s="1">
        <f ca="1">IFERROR(__xludf.DUMMYFUNCTION("""COMPUTED_VALUE"""),14.19)</f>
        <v>14.19</v>
      </c>
    </row>
    <row r="1725" spans="1:2">
      <c r="A1725" s="3">
        <f ca="1">IFERROR(__xludf.DUMMYFUNCTION("""COMPUTED_VALUE"""),40850.6666666666)</f>
        <v>40850.666666666599</v>
      </c>
      <c r="B1725" s="1">
        <f ca="1">IFERROR(__xludf.DUMMYFUNCTION("""COMPUTED_VALUE"""),14.4)</f>
        <v>14.4</v>
      </c>
    </row>
    <row r="1726" spans="1:2">
      <c r="A1726" s="3">
        <f ca="1">IFERROR(__xludf.DUMMYFUNCTION("""COMPUTED_VALUE"""),40851.6666666666)</f>
        <v>40851.666666666599</v>
      </c>
      <c r="B1726" s="1">
        <f ca="1">IFERROR(__xludf.DUMMYFUNCTION("""COMPUTED_VALUE"""),14.29)</f>
        <v>14.29</v>
      </c>
    </row>
    <row r="1727" spans="1:2">
      <c r="A1727" s="3">
        <f ca="1">IFERROR(__xludf.DUMMYFUNCTION("""COMPUTED_VALUE"""),40854.6666666666)</f>
        <v>40854.666666666599</v>
      </c>
      <c r="B1727" s="1">
        <f ca="1">IFERROR(__xludf.DUMMYFUNCTION("""COMPUTED_VALUE"""),14.28)</f>
        <v>14.28</v>
      </c>
    </row>
    <row r="1728" spans="1:2">
      <c r="A1728" s="3">
        <f ca="1">IFERROR(__xludf.DUMMYFUNCTION("""COMPUTED_VALUE"""),40855.6666666666)</f>
        <v>40855.666666666599</v>
      </c>
      <c r="B1728" s="1">
        <f ca="1">IFERROR(__xludf.DUMMYFUNCTION("""COMPUTED_VALUE"""),14.51)</f>
        <v>14.51</v>
      </c>
    </row>
    <row r="1729" spans="1:2">
      <c r="A1729" s="3">
        <f ca="1">IFERROR(__xludf.DUMMYFUNCTION("""COMPUTED_VALUE"""),40856.6666666666)</f>
        <v>40856.666666666599</v>
      </c>
      <c r="B1729" s="1">
        <f ca="1">IFERROR(__xludf.DUMMYFUNCTION("""COMPUTED_VALUE"""),14.12)</f>
        <v>14.12</v>
      </c>
    </row>
    <row r="1730" spans="1:2">
      <c r="A1730" s="3">
        <f ca="1">IFERROR(__xludf.DUMMYFUNCTION("""COMPUTED_VALUE"""),40857.6666666666)</f>
        <v>40857.666666666599</v>
      </c>
      <c r="B1730" s="1">
        <f ca="1">IFERROR(__xludf.DUMMYFUNCTION("""COMPUTED_VALUE"""),13.76)</f>
        <v>13.76</v>
      </c>
    </row>
    <row r="1731" spans="1:2">
      <c r="A1731" s="3">
        <f ca="1">IFERROR(__xludf.DUMMYFUNCTION("""COMPUTED_VALUE"""),40858.6666666666)</f>
        <v>40858.666666666599</v>
      </c>
      <c r="B1731" s="1">
        <f ca="1">IFERROR(__xludf.DUMMYFUNCTION("""COMPUTED_VALUE"""),13.74)</f>
        <v>13.74</v>
      </c>
    </row>
    <row r="1732" spans="1:2">
      <c r="A1732" s="3">
        <f ca="1">IFERROR(__xludf.DUMMYFUNCTION("""COMPUTED_VALUE"""),40861.6666666666)</f>
        <v>40861.666666666599</v>
      </c>
      <c r="B1732" s="1">
        <f ca="1">IFERROR(__xludf.DUMMYFUNCTION("""COMPUTED_VALUE"""),13.55)</f>
        <v>13.55</v>
      </c>
    </row>
    <row r="1733" spans="1:2">
      <c r="A1733" s="3">
        <f ca="1">IFERROR(__xludf.DUMMYFUNCTION("""COMPUTED_VALUE"""),40862.6666666666)</f>
        <v>40862.666666666599</v>
      </c>
      <c r="B1733" s="1">
        <f ca="1">IFERROR(__xludf.DUMMYFUNCTION("""COMPUTED_VALUE"""),13.89)</f>
        <v>13.89</v>
      </c>
    </row>
    <row r="1734" spans="1:2">
      <c r="A1734" s="3">
        <f ca="1">IFERROR(__xludf.DUMMYFUNCTION("""COMPUTED_VALUE"""),40863.6666666666)</f>
        <v>40863.666666666599</v>
      </c>
      <c r="B1734" s="1">
        <f ca="1">IFERROR(__xludf.DUMMYFUNCTION("""COMPUTED_VALUE"""),13.74)</f>
        <v>13.74</v>
      </c>
    </row>
    <row r="1735" spans="1:2">
      <c r="A1735" s="3">
        <f ca="1">IFERROR(__xludf.DUMMYFUNCTION("""COMPUTED_VALUE"""),40864.6666666666)</f>
        <v>40864.666666666599</v>
      </c>
      <c r="B1735" s="1">
        <f ca="1">IFERROR(__xludf.DUMMYFUNCTION("""COMPUTED_VALUE"""),13.48)</f>
        <v>13.48</v>
      </c>
    </row>
    <row r="1736" spans="1:2">
      <c r="A1736" s="3">
        <f ca="1">IFERROR(__xludf.DUMMYFUNCTION("""COMPUTED_VALUE"""),40865.6666666666)</f>
        <v>40865.666666666599</v>
      </c>
      <c r="B1736" s="1">
        <f ca="1">IFERROR(__xludf.DUMMYFUNCTION("""COMPUTED_VALUE"""),13.39)</f>
        <v>13.39</v>
      </c>
    </row>
    <row r="1737" spans="1:2">
      <c r="A1737" s="3">
        <f ca="1">IFERROR(__xludf.DUMMYFUNCTION("""COMPUTED_VALUE"""),40868.6666666666)</f>
        <v>40868.666666666599</v>
      </c>
      <c r="B1737" s="1">
        <f ca="1">IFERROR(__xludf.DUMMYFUNCTION("""COMPUTED_VALUE"""),13.18)</f>
        <v>13.18</v>
      </c>
    </row>
    <row r="1738" spans="1:2">
      <c r="A1738" s="3">
        <f ca="1">IFERROR(__xludf.DUMMYFUNCTION("""COMPUTED_VALUE"""),40869.6666666666)</f>
        <v>40869.666666666599</v>
      </c>
      <c r="B1738" s="1">
        <f ca="1">IFERROR(__xludf.DUMMYFUNCTION("""COMPUTED_VALUE"""),13.45)</f>
        <v>13.45</v>
      </c>
    </row>
    <row r="1739" spans="1:2">
      <c r="A1739" s="3">
        <f ca="1">IFERROR(__xludf.DUMMYFUNCTION("""COMPUTED_VALUE"""),40870.6666666666)</f>
        <v>40870.666666666599</v>
      </c>
      <c r="B1739" s="1">
        <f ca="1">IFERROR(__xludf.DUMMYFUNCTION("""COMPUTED_VALUE"""),13.11)</f>
        <v>13.11</v>
      </c>
    </row>
    <row r="1740" spans="1:2">
      <c r="A1740" s="3">
        <f ca="1">IFERROR(__xludf.DUMMYFUNCTION("""COMPUTED_VALUE"""),40872.6666666666)</f>
        <v>40872.666666666599</v>
      </c>
      <c r="B1740" s="1">
        <f ca="1">IFERROR(__xludf.DUMMYFUNCTION("""COMPUTED_VALUE"""),12.98)</f>
        <v>12.98</v>
      </c>
    </row>
    <row r="1741" spans="1:2">
      <c r="A1741" s="3">
        <f ca="1">IFERROR(__xludf.DUMMYFUNCTION("""COMPUTED_VALUE"""),40875.6666666666)</f>
        <v>40875.666666666599</v>
      </c>
      <c r="B1741" s="1">
        <f ca="1">IFERROR(__xludf.DUMMYFUNCTION("""COMPUTED_VALUE"""),13.43)</f>
        <v>13.43</v>
      </c>
    </row>
    <row r="1742" spans="1:2">
      <c r="A1742" s="3">
        <f ca="1">IFERROR(__xludf.DUMMYFUNCTION("""COMPUTED_VALUE"""),40876.6666666666)</f>
        <v>40876.666666666599</v>
      </c>
      <c r="B1742" s="1">
        <f ca="1">IFERROR(__xludf.DUMMYFUNCTION("""COMPUTED_VALUE"""),13.33)</f>
        <v>13.33</v>
      </c>
    </row>
    <row r="1743" spans="1:2">
      <c r="A1743" s="3">
        <f ca="1">IFERROR(__xludf.DUMMYFUNCTION("""COMPUTED_VALUE"""),40877.6666666666)</f>
        <v>40877.666666666599</v>
      </c>
      <c r="B1743" s="1">
        <f ca="1">IFERROR(__xludf.DUMMYFUNCTION("""COMPUTED_VALUE"""),13.65)</f>
        <v>13.65</v>
      </c>
    </row>
    <row r="1744" spans="1:2">
      <c r="A1744" s="3">
        <f ca="1">IFERROR(__xludf.DUMMYFUNCTION("""COMPUTED_VALUE"""),40878.6666666666)</f>
        <v>40878.666666666599</v>
      </c>
      <c r="B1744" s="1">
        <f ca="1">IFERROR(__xludf.DUMMYFUNCTION("""COMPUTED_VALUE"""),13.85)</f>
        <v>13.85</v>
      </c>
    </row>
    <row r="1745" spans="1:2">
      <c r="A1745" s="3">
        <f ca="1">IFERROR(__xludf.DUMMYFUNCTION("""COMPUTED_VALUE"""),40879.6666666666)</f>
        <v>40879.666666666599</v>
      </c>
      <c r="B1745" s="1">
        <f ca="1">IFERROR(__xludf.DUMMYFUNCTION("""COMPUTED_VALUE"""),13.92)</f>
        <v>13.92</v>
      </c>
    </row>
    <row r="1746" spans="1:2">
      <c r="A1746" s="3">
        <f ca="1">IFERROR(__xludf.DUMMYFUNCTION("""COMPUTED_VALUE"""),40882.6666666666)</f>
        <v>40882.666666666599</v>
      </c>
      <c r="B1746" s="1">
        <f ca="1">IFERROR(__xludf.DUMMYFUNCTION("""COMPUTED_VALUE"""),14.04)</f>
        <v>14.04</v>
      </c>
    </row>
    <row r="1747" spans="1:2">
      <c r="A1747" s="3">
        <f ca="1">IFERROR(__xludf.DUMMYFUNCTION("""COMPUTED_VALUE"""),40883.6666666666)</f>
        <v>40883.666666666599</v>
      </c>
      <c r="B1747" s="1">
        <f ca="1">IFERROR(__xludf.DUMMYFUNCTION("""COMPUTED_VALUE"""),13.96)</f>
        <v>13.96</v>
      </c>
    </row>
    <row r="1748" spans="1:2">
      <c r="A1748" s="3">
        <f ca="1">IFERROR(__xludf.DUMMYFUNCTION("""COMPUTED_VALUE"""),40884.6666666666)</f>
        <v>40884.666666666599</v>
      </c>
      <c r="B1748" s="1">
        <f ca="1">IFERROR(__xludf.DUMMYFUNCTION("""COMPUTED_VALUE"""),13.9)</f>
        <v>13.9</v>
      </c>
    </row>
    <row r="1749" spans="1:2">
      <c r="A1749" s="3">
        <f ca="1">IFERROR(__xludf.DUMMYFUNCTION("""COMPUTED_VALUE"""),40885.6666666666)</f>
        <v>40885.666666666599</v>
      </c>
      <c r="B1749" s="1">
        <f ca="1">IFERROR(__xludf.DUMMYFUNCTION("""COMPUTED_VALUE"""),13.95)</f>
        <v>13.95</v>
      </c>
    </row>
    <row r="1750" spans="1:2">
      <c r="A1750" s="3">
        <f ca="1">IFERROR(__xludf.DUMMYFUNCTION("""COMPUTED_VALUE"""),40886.6666666666)</f>
        <v>40886.666666666599</v>
      </c>
      <c r="B1750" s="1">
        <f ca="1">IFERROR(__xludf.DUMMYFUNCTION("""COMPUTED_VALUE"""),14.06)</f>
        <v>14.06</v>
      </c>
    </row>
    <row r="1751" spans="1:2">
      <c r="A1751" s="3">
        <f ca="1">IFERROR(__xludf.DUMMYFUNCTION("""COMPUTED_VALUE"""),40889.6666666666)</f>
        <v>40889.666666666599</v>
      </c>
      <c r="B1751" s="1">
        <f ca="1">IFERROR(__xludf.DUMMYFUNCTION("""COMPUTED_VALUE"""),13.99)</f>
        <v>13.99</v>
      </c>
    </row>
    <row r="1752" spans="1:2">
      <c r="A1752" s="3">
        <f ca="1">IFERROR(__xludf.DUMMYFUNCTION("""COMPUTED_VALUE"""),40890.6666666666)</f>
        <v>40890.666666666599</v>
      </c>
      <c r="B1752" s="1">
        <f ca="1">IFERROR(__xludf.DUMMYFUNCTION("""COMPUTED_VALUE"""),13.89)</f>
        <v>13.89</v>
      </c>
    </row>
    <row r="1753" spans="1:2">
      <c r="A1753" s="3">
        <f ca="1">IFERROR(__xludf.DUMMYFUNCTION("""COMPUTED_VALUE"""),40891.6666666666)</f>
        <v>40891.666666666599</v>
      </c>
      <c r="B1753" s="1">
        <f ca="1">IFERROR(__xludf.DUMMYFUNCTION("""COMPUTED_VALUE"""),13.58)</f>
        <v>13.58</v>
      </c>
    </row>
    <row r="1754" spans="1:2">
      <c r="A1754" s="3">
        <f ca="1">IFERROR(__xludf.DUMMYFUNCTION("""COMPUTED_VALUE"""),40892.6666666666)</f>
        <v>40892.666666666599</v>
      </c>
      <c r="B1754" s="1">
        <f ca="1">IFERROR(__xludf.DUMMYFUNCTION("""COMPUTED_VALUE"""),13.53)</f>
        <v>13.53</v>
      </c>
    </row>
    <row r="1755" spans="1:2">
      <c r="A1755" s="3">
        <f ca="1">IFERROR(__xludf.DUMMYFUNCTION("""COMPUTED_VALUE"""),40893.6666666666)</f>
        <v>40893.666666666599</v>
      </c>
      <c r="B1755" s="1">
        <f ca="1">IFERROR(__xludf.DUMMYFUNCTION("""COMPUTED_VALUE"""),13.61)</f>
        <v>13.61</v>
      </c>
    </row>
    <row r="1756" spans="1:2">
      <c r="A1756" s="3">
        <f ca="1">IFERROR(__xludf.DUMMYFUNCTION("""COMPUTED_VALUE"""),40896.6666666666)</f>
        <v>40896.666666666599</v>
      </c>
      <c r="B1756" s="1">
        <f ca="1">IFERROR(__xludf.DUMMYFUNCTION("""COMPUTED_VALUE"""),13.65)</f>
        <v>13.65</v>
      </c>
    </row>
    <row r="1757" spans="1:2">
      <c r="A1757" s="3">
        <f ca="1">IFERROR(__xludf.DUMMYFUNCTION("""COMPUTED_VALUE"""),40897.6666666666)</f>
        <v>40897.666666666599</v>
      </c>
      <c r="B1757" s="1">
        <f ca="1">IFERROR(__xludf.DUMMYFUNCTION("""COMPUTED_VALUE"""),14.14)</f>
        <v>14.14</v>
      </c>
    </row>
    <row r="1758" spans="1:2">
      <c r="A1758" s="3">
        <f ca="1">IFERROR(__xludf.DUMMYFUNCTION("""COMPUTED_VALUE"""),40898.6666666666)</f>
        <v>40898.666666666599</v>
      </c>
      <c r="B1758" s="1">
        <f ca="1">IFERROR(__xludf.DUMMYFUNCTION("""COMPUTED_VALUE"""),14.16)</f>
        <v>14.16</v>
      </c>
    </row>
    <row r="1759" spans="1:2">
      <c r="A1759" s="3">
        <f ca="1">IFERROR(__xludf.DUMMYFUNCTION("""COMPUTED_VALUE"""),40899.6666666666)</f>
        <v>40899.666666666599</v>
      </c>
      <c r="B1759" s="1">
        <f ca="1">IFERROR(__xludf.DUMMYFUNCTION("""COMPUTED_VALUE"""),14.23)</f>
        <v>14.23</v>
      </c>
    </row>
    <row r="1760" spans="1:2">
      <c r="A1760" s="3">
        <f ca="1">IFERROR(__xludf.DUMMYFUNCTION("""COMPUTED_VALUE"""),40900.6666666666)</f>
        <v>40900.666666666599</v>
      </c>
      <c r="B1760" s="1">
        <f ca="1">IFERROR(__xludf.DUMMYFUNCTION("""COMPUTED_VALUE"""),14.4)</f>
        <v>14.4</v>
      </c>
    </row>
    <row r="1761" spans="1:2">
      <c r="A1761" s="3">
        <f ca="1">IFERROR(__xludf.DUMMYFUNCTION("""COMPUTED_VALUE"""),40904.6666666666)</f>
        <v>40904.666666666599</v>
      </c>
      <c r="B1761" s="1">
        <f ca="1">IFERROR(__xludf.DUMMYFUNCTION("""COMPUTED_VALUE"""),14.52)</f>
        <v>14.52</v>
      </c>
    </row>
    <row r="1762" spans="1:2">
      <c r="A1762" s="3">
        <f ca="1">IFERROR(__xludf.DUMMYFUNCTION("""COMPUTED_VALUE"""),40905.6666666666)</f>
        <v>40905.666666666599</v>
      </c>
      <c r="B1762" s="1">
        <f ca="1">IFERROR(__xludf.DUMMYFUNCTION("""COMPUTED_VALUE"""),14.38)</f>
        <v>14.38</v>
      </c>
    </row>
    <row r="1763" spans="1:2">
      <c r="A1763" s="3">
        <f ca="1">IFERROR(__xludf.DUMMYFUNCTION("""COMPUTED_VALUE"""),40906.6666666666)</f>
        <v>40906.666666666599</v>
      </c>
      <c r="B1763" s="1">
        <f ca="1">IFERROR(__xludf.DUMMYFUNCTION("""COMPUTED_VALUE"""),14.47)</f>
        <v>14.47</v>
      </c>
    </row>
    <row r="1764" spans="1:2">
      <c r="A1764" s="3">
        <f ca="1">IFERROR(__xludf.DUMMYFUNCTION("""COMPUTED_VALUE"""),40907.6666666666)</f>
        <v>40907.666666666599</v>
      </c>
      <c r="B1764" s="1">
        <f ca="1">IFERROR(__xludf.DUMMYFUNCTION("""COMPUTED_VALUE"""),14.46)</f>
        <v>14.46</v>
      </c>
    </row>
    <row r="1765" spans="1:2">
      <c r="A1765" s="3">
        <f ca="1">IFERROR(__xludf.DUMMYFUNCTION("""COMPUTED_VALUE"""),40911.6666666666)</f>
        <v>40911.666666666599</v>
      </c>
      <c r="B1765" s="1">
        <f ca="1">IFERROR(__xludf.DUMMYFUNCTION("""COMPUTED_VALUE"""),14.69)</f>
        <v>14.69</v>
      </c>
    </row>
    <row r="1766" spans="1:2">
      <c r="A1766" s="3">
        <f ca="1">IFERROR(__xludf.DUMMYFUNCTION("""COMPUTED_VALUE"""),40912.6666666666)</f>
        <v>40912.666666666599</v>
      </c>
      <c r="B1766" s="1">
        <f ca="1">IFERROR(__xludf.DUMMYFUNCTION("""COMPUTED_VALUE"""),14.77)</f>
        <v>14.77</v>
      </c>
    </row>
    <row r="1767" spans="1:2">
      <c r="A1767" s="3">
        <f ca="1">IFERROR(__xludf.DUMMYFUNCTION("""COMPUTED_VALUE"""),40913.6666666666)</f>
        <v>40913.666666666599</v>
      </c>
      <c r="B1767" s="1">
        <f ca="1">IFERROR(__xludf.DUMMYFUNCTION("""COMPUTED_VALUE"""),14.93)</f>
        <v>14.93</v>
      </c>
    </row>
    <row r="1768" spans="1:2">
      <c r="A1768" s="3">
        <f ca="1">IFERROR(__xludf.DUMMYFUNCTION("""COMPUTED_VALUE"""),40914.6666666666)</f>
        <v>40914.666666666599</v>
      </c>
      <c r="B1768" s="1">
        <f ca="1">IFERROR(__xludf.DUMMYFUNCTION("""COMPUTED_VALUE"""),15.09)</f>
        <v>15.09</v>
      </c>
    </row>
    <row r="1769" spans="1:2">
      <c r="A1769" s="3">
        <f ca="1">IFERROR(__xludf.DUMMYFUNCTION("""COMPUTED_VALUE"""),40917.6666666666)</f>
        <v>40917.666666666599</v>
      </c>
      <c r="B1769" s="1">
        <f ca="1">IFERROR(__xludf.DUMMYFUNCTION("""COMPUTED_VALUE"""),15.06)</f>
        <v>15.06</v>
      </c>
    </row>
    <row r="1770" spans="1:2">
      <c r="A1770" s="3">
        <f ca="1">IFERROR(__xludf.DUMMYFUNCTION("""COMPUTED_VALUE"""),40918.6666666666)</f>
        <v>40918.666666666599</v>
      </c>
      <c r="B1770" s="1">
        <f ca="1">IFERROR(__xludf.DUMMYFUNCTION("""COMPUTED_VALUE"""),15.12)</f>
        <v>15.12</v>
      </c>
    </row>
    <row r="1771" spans="1:2">
      <c r="A1771" s="3">
        <f ca="1">IFERROR(__xludf.DUMMYFUNCTION("""COMPUTED_VALUE"""),40919.6666666666)</f>
        <v>40919.666666666599</v>
      </c>
      <c r="B1771" s="1">
        <f ca="1">IFERROR(__xludf.DUMMYFUNCTION("""COMPUTED_VALUE"""),15.09)</f>
        <v>15.09</v>
      </c>
    </row>
    <row r="1772" spans="1:2">
      <c r="A1772" s="3">
        <f ca="1">IFERROR(__xludf.DUMMYFUNCTION("""COMPUTED_VALUE"""),40920.6666666666)</f>
        <v>40920.666666666599</v>
      </c>
      <c r="B1772" s="1">
        <f ca="1">IFERROR(__xludf.DUMMYFUNCTION("""COMPUTED_VALUE"""),15.05)</f>
        <v>15.05</v>
      </c>
    </row>
    <row r="1773" spans="1:2">
      <c r="A1773" s="3">
        <f ca="1">IFERROR(__xludf.DUMMYFUNCTION("""COMPUTED_VALUE"""),40921.6666666666)</f>
        <v>40921.666666666599</v>
      </c>
      <c r="B1773" s="1">
        <f ca="1">IFERROR(__xludf.DUMMYFUNCTION("""COMPUTED_VALUE"""),14.99)</f>
        <v>14.99</v>
      </c>
    </row>
    <row r="1774" spans="1:2">
      <c r="A1774" s="3">
        <f ca="1">IFERROR(__xludf.DUMMYFUNCTION("""COMPUTED_VALUE"""),40925.6666666666)</f>
        <v>40925.666666666599</v>
      </c>
      <c r="B1774" s="1">
        <f ca="1">IFERROR(__xludf.DUMMYFUNCTION("""COMPUTED_VALUE"""),15.17)</f>
        <v>15.17</v>
      </c>
    </row>
    <row r="1775" spans="1:2">
      <c r="A1775" s="3">
        <f ca="1">IFERROR(__xludf.DUMMYFUNCTION("""COMPUTED_VALUE"""),40926.6666666666)</f>
        <v>40926.666666666599</v>
      </c>
      <c r="B1775" s="1">
        <f ca="1">IFERROR(__xludf.DUMMYFUNCTION("""COMPUTED_VALUE"""),15.33)</f>
        <v>15.33</v>
      </c>
    </row>
    <row r="1776" spans="1:2">
      <c r="A1776" s="3">
        <f ca="1">IFERROR(__xludf.DUMMYFUNCTION("""COMPUTED_VALUE"""),40927.6666666666)</f>
        <v>40927.666666666599</v>
      </c>
      <c r="B1776" s="1">
        <f ca="1">IFERROR(__xludf.DUMMYFUNCTION("""COMPUTED_VALUE"""),15.28)</f>
        <v>15.28</v>
      </c>
    </row>
    <row r="1777" spans="1:2">
      <c r="A1777" s="3">
        <f ca="1">IFERROR(__xludf.DUMMYFUNCTION("""COMPUTED_VALUE"""),40928.6666666666)</f>
        <v>40928.666666666599</v>
      </c>
      <c r="B1777" s="1">
        <f ca="1">IFERROR(__xludf.DUMMYFUNCTION("""COMPUTED_VALUE"""),15.01)</f>
        <v>15.01</v>
      </c>
    </row>
    <row r="1778" spans="1:2">
      <c r="A1778" s="3">
        <f ca="1">IFERROR(__xludf.DUMMYFUNCTION("""COMPUTED_VALUE"""),40931.6666666666)</f>
        <v>40931.666666666599</v>
      </c>
      <c r="B1778" s="1">
        <f ca="1">IFERROR(__xludf.DUMMYFUNCTION("""COMPUTED_VALUE"""),15.26)</f>
        <v>15.26</v>
      </c>
    </row>
    <row r="1779" spans="1:2">
      <c r="A1779" s="3">
        <f ca="1">IFERROR(__xludf.DUMMYFUNCTION("""COMPUTED_VALUE"""),40932.6666666666)</f>
        <v>40932.666666666599</v>
      </c>
      <c r="B1779" s="1">
        <f ca="1">IFERROR(__xludf.DUMMYFUNCTION("""COMPUTED_VALUE"""),15.01)</f>
        <v>15.01</v>
      </c>
    </row>
    <row r="1780" spans="1:2">
      <c r="A1780" s="3">
        <f ca="1">IFERROR(__xludf.DUMMYFUNCTION("""COMPUTED_VALUE"""),40933.6666666666)</f>
        <v>40933.666666666599</v>
      </c>
      <c r="B1780" s="1">
        <f ca="1">IFERROR(__xludf.DUMMYFUNCTION("""COMPUTED_VALUE"""),15.95)</f>
        <v>15.95</v>
      </c>
    </row>
    <row r="1781" spans="1:2">
      <c r="A1781" s="3">
        <f ca="1">IFERROR(__xludf.DUMMYFUNCTION("""COMPUTED_VALUE"""),40934.6666666666)</f>
        <v>40934.666666666599</v>
      </c>
      <c r="B1781" s="1">
        <f ca="1">IFERROR(__xludf.DUMMYFUNCTION("""COMPUTED_VALUE"""),15.88)</f>
        <v>15.88</v>
      </c>
    </row>
    <row r="1782" spans="1:2">
      <c r="A1782" s="3">
        <f ca="1">IFERROR(__xludf.DUMMYFUNCTION("""COMPUTED_VALUE"""),40935.6666666666)</f>
        <v>40935.666666666599</v>
      </c>
      <c r="B1782" s="1">
        <f ca="1">IFERROR(__xludf.DUMMYFUNCTION("""COMPUTED_VALUE"""),15.97)</f>
        <v>15.97</v>
      </c>
    </row>
    <row r="1783" spans="1:2">
      <c r="A1783" s="3">
        <f ca="1">IFERROR(__xludf.DUMMYFUNCTION("""COMPUTED_VALUE"""),40938.6666666666)</f>
        <v>40938.666666666599</v>
      </c>
      <c r="B1783" s="1">
        <f ca="1">IFERROR(__xludf.DUMMYFUNCTION("""COMPUTED_VALUE"""),16.18)</f>
        <v>16.18</v>
      </c>
    </row>
    <row r="1784" spans="1:2">
      <c r="A1784" s="3">
        <f ca="1">IFERROR(__xludf.DUMMYFUNCTION("""COMPUTED_VALUE"""),40939.6666666666)</f>
        <v>40939.666666666599</v>
      </c>
      <c r="B1784" s="1">
        <f ca="1">IFERROR(__xludf.DUMMYFUNCTION("""COMPUTED_VALUE"""),16.3)</f>
        <v>16.3</v>
      </c>
    </row>
    <row r="1785" spans="1:2">
      <c r="A1785" s="3">
        <f ca="1">IFERROR(__xludf.DUMMYFUNCTION("""COMPUTED_VALUE"""),40940.6666666666)</f>
        <v>40940.666666666599</v>
      </c>
      <c r="B1785" s="1">
        <f ca="1">IFERROR(__xludf.DUMMYFUNCTION("""COMPUTED_VALUE"""),16.29)</f>
        <v>16.29</v>
      </c>
    </row>
    <row r="1786" spans="1:2">
      <c r="A1786" s="3">
        <f ca="1">IFERROR(__xludf.DUMMYFUNCTION("""COMPUTED_VALUE"""),40941.6666666666)</f>
        <v>40941.666666666599</v>
      </c>
      <c r="B1786" s="1">
        <f ca="1">IFERROR(__xludf.DUMMYFUNCTION("""COMPUTED_VALUE"""),16.25)</f>
        <v>16.25</v>
      </c>
    </row>
    <row r="1787" spans="1:2">
      <c r="A1787" s="3">
        <f ca="1">IFERROR(__xludf.DUMMYFUNCTION("""COMPUTED_VALUE"""),40942.6666666666)</f>
        <v>40942.666666666599</v>
      </c>
      <c r="B1787" s="1">
        <f ca="1">IFERROR(__xludf.DUMMYFUNCTION("""COMPUTED_VALUE"""),16.42)</f>
        <v>16.420000000000002</v>
      </c>
    </row>
    <row r="1788" spans="1:2">
      <c r="A1788" s="3">
        <f ca="1">IFERROR(__xludf.DUMMYFUNCTION("""COMPUTED_VALUE"""),40945.6666666666)</f>
        <v>40945.666666666599</v>
      </c>
      <c r="B1788" s="1">
        <f ca="1">IFERROR(__xludf.DUMMYFUNCTION("""COMPUTED_VALUE"""),16.57)</f>
        <v>16.57</v>
      </c>
    </row>
    <row r="1789" spans="1:2">
      <c r="A1789" s="3">
        <f ca="1">IFERROR(__xludf.DUMMYFUNCTION("""COMPUTED_VALUE"""),40946.6666666666)</f>
        <v>40946.666666666599</v>
      </c>
      <c r="B1789" s="1">
        <f ca="1">IFERROR(__xludf.DUMMYFUNCTION("""COMPUTED_VALUE"""),16.74)</f>
        <v>16.739999999999998</v>
      </c>
    </row>
    <row r="1790" spans="1:2">
      <c r="A1790" s="3">
        <f ca="1">IFERROR(__xludf.DUMMYFUNCTION("""COMPUTED_VALUE"""),40947.6666666666)</f>
        <v>40947.666666666599</v>
      </c>
      <c r="B1790" s="1">
        <f ca="1">IFERROR(__xludf.DUMMYFUNCTION("""COMPUTED_VALUE"""),17.02)</f>
        <v>17.02</v>
      </c>
    </row>
    <row r="1791" spans="1:2">
      <c r="A1791" s="3">
        <f ca="1">IFERROR(__xludf.DUMMYFUNCTION("""COMPUTED_VALUE"""),40948.6666666666)</f>
        <v>40948.666666666599</v>
      </c>
      <c r="B1791" s="1">
        <f ca="1">IFERROR(__xludf.DUMMYFUNCTION("""COMPUTED_VALUE"""),17.61)</f>
        <v>17.61</v>
      </c>
    </row>
    <row r="1792" spans="1:2">
      <c r="A1792" s="3">
        <f ca="1">IFERROR(__xludf.DUMMYFUNCTION("""COMPUTED_VALUE"""),40949.6666666666)</f>
        <v>40949.666666666599</v>
      </c>
      <c r="B1792" s="1">
        <f ca="1">IFERROR(__xludf.DUMMYFUNCTION("""COMPUTED_VALUE"""),17.62)</f>
        <v>17.62</v>
      </c>
    </row>
    <row r="1793" spans="1:2">
      <c r="A1793" s="3">
        <f ca="1">IFERROR(__xludf.DUMMYFUNCTION("""COMPUTED_VALUE"""),40952.6666666666)</f>
        <v>40952.666666666599</v>
      </c>
      <c r="B1793" s="1">
        <f ca="1">IFERROR(__xludf.DUMMYFUNCTION("""COMPUTED_VALUE"""),17.95)</f>
        <v>17.95</v>
      </c>
    </row>
    <row r="1794" spans="1:2">
      <c r="A1794" s="3">
        <f ca="1">IFERROR(__xludf.DUMMYFUNCTION("""COMPUTED_VALUE"""),40953.6666666666)</f>
        <v>40953.666666666599</v>
      </c>
      <c r="B1794" s="1">
        <f ca="1">IFERROR(__xludf.DUMMYFUNCTION("""COMPUTED_VALUE"""),18.2)</f>
        <v>18.2</v>
      </c>
    </row>
    <row r="1795" spans="1:2">
      <c r="A1795" s="3">
        <f ca="1">IFERROR(__xludf.DUMMYFUNCTION("""COMPUTED_VALUE"""),40954.6666666666)</f>
        <v>40954.666666666599</v>
      </c>
      <c r="B1795" s="1">
        <f ca="1">IFERROR(__xludf.DUMMYFUNCTION("""COMPUTED_VALUE"""),17.77)</f>
        <v>17.77</v>
      </c>
    </row>
    <row r="1796" spans="1:2">
      <c r="A1796" s="3">
        <f ca="1">IFERROR(__xludf.DUMMYFUNCTION("""COMPUTED_VALUE"""),40955.6666666666)</f>
        <v>40955.666666666599</v>
      </c>
      <c r="B1796" s="1">
        <f ca="1">IFERROR(__xludf.DUMMYFUNCTION("""COMPUTED_VALUE"""),17.94)</f>
        <v>17.940000000000001</v>
      </c>
    </row>
    <row r="1797" spans="1:2">
      <c r="A1797" s="3">
        <f ca="1">IFERROR(__xludf.DUMMYFUNCTION("""COMPUTED_VALUE"""),40956.6666666666)</f>
        <v>40956.666666666599</v>
      </c>
      <c r="B1797" s="1">
        <f ca="1">IFERROR(__xludf.DUMMYFUNCTION("""COMPUTED_VALUE"""),17.93)</f>
        <v>17.93</v>
      </c>
    </row>
    <row r="1798" spans="1:2">
      <c r="A1798" s="3">
        <f ca="1">IFERROR(__xludf.DUMMYFUNCTION("""COMPUTED_VALUE"""),40960.6666666666)</f>
        <v>40960.666666666599</v>
      </c>
      <c r="B1798" s="1">
        <f ca="1">IFERROR(__xludf.DUMMYFUNCTION("""COMPUTED_VALUE"""),18.39)</f>
        <v>18.39</v>
      </c>
    </row>
    <row r="1799" spans="1:2">
      <c r="A1799" s="3">
        <f ca="1">IFERROR(__xludf.DUMMYFUNCTION("""COMPUTED_VALUE"""),40961.6666666666)</f>
        <v>40961.666666666599</v>
      </c>
      <c r="B1799" s="1">
        <f ca="1">IFERROR(__xludf.DUMMYFUNCTION("""COMPUTED_VALUE"""),18.32)</f>
        <v>18.32</v>
      </c>
    </row>
    <row r="1800" spans="1:2">
      <c r="A1800" s="3">
        <f ca="1">IFERROR(__xludf.DUMMYFUNCTION("""COMPUTED_VALUE"""),40962.6666666666)</f>
        <v>40962.666666666599</v>
      </c>
      <c r="B1800" s="1">
        <f ca="1">IFERROR(__xludf.DUMMYFUNCTION("""COMPUTED_VALUE"""),18.44)</f>
        <v>18.440000000000001</v>
      </c>
    </row>
    <row r="1801" spans="1:2">
      <c r="A1801" s="3">
        <f ca="1">IFERROR(__xludf.DUMMYFUNCTION("""COMPUTED_VALUE"""),40963.6666666666)</f>
        <v>40963.666666666599</v>
      </c>
      <c r="B1801" s="1">
        <f ca="1">IFERROR(__xludf.DUMMYFUNCTION("""COMPUTED_VALUE"""),18.66)</f>
        <v>18.66</v>
      </c>
    </row>
    <row r="1802" spans="1:2">
      <c r="A1802" s="3">
        <f ca="1">IFERROR(__xludf.DUMMYFUNCTION("""COMPUTED_VALUE"""),40966.6666666666)</f>
        <v>40966.666666666599</v>
      </c>
      <c r="B1802" s="1">
        <f ca="1">IFERROR(__xludf.DUMMYFUNCTION("""COMPUTED_VALUE"""),18.78)</f>
        <v>18.78</v>
      </c>
    </row>
    <row r="1803" spans="1:2">
      <c r="A1803" s="3">
        <f ca="1">IFERROR(__xludf.DUMMYFUNCTION("""COMPUTED_VALUE"""),40967.6666666666)</f>
        <v>40967.666666666599</v>
      </c>
      <c r="B1803" s="1">
        <f ca="1">IFERROR(__xludf.DUMMYFUNCTION("""COMPUTED_VALUE"""),19.12)</f>
        <v>19.12</v>
      </c>
    </row>
    <row r="1804" spans="1:2">
      <c r="A1804" s="3">
        <f ca="1">IFERROR(__xludf.DUMMYFUNCTION("""COMPUTED_VALUE"""),40968.6666666666)</f>
        <v>40968.666666666599</v>
      </c>
      <c r="B1804" s="1">
        <f ca="1">IFERROR(__xludf.DUMMYFUNCTION("""COMPUTED_VALUE"""),19.37)</f>
        <v>19.37</v>
      </c>
    </row>
    <row r="1805" spans="1:2">
      <c r="A1805" s="3">
        <f ca="1">IFERROR(__xludf.DUMMYFUNCTION("""COMPUTED_VALUE"""),40969.6666666666)</f>
        <v>40969.666666666599</v>
      </c>
      <c r="B1805" s="1">
        <f ca="1">IFERROR(__xludf.DUMMYFUNCTION("""COMPUTED_VALUE"""),19.45)</f>
        <v>19.45</v>
      </c>
    </row>
    <row r="1806" spans="1:2">
      <c r="A1806" s="3">
        <f ca="1">IFERROR(__xludf.DUMMYFUNCTION("""COMPUTED_VALUE"""),40970.6666666666)</f>
        <v>40970.666666666599</v>
      </c>
      <c r="B1806" s="1">
        <f ca="1">IFERROR(__xludf.DUMMYFUNCTION("""COMPUTED_VALUE"""),19.47)</f>
        <v>19.47</v>
      </c>
    </row>
    <row r="1807" spans="1:2">
      <c r="A1807" s="3">
        <f ca="1">IFERROR(__xludf.DUMMYFUNCTION("""COMPUTED_VALUE"""),40973.6666666666)</f>
        <v>40973.666666666599</v>
      </c>
      <c r="B1807" s="1">
        <f ca="1">IFERROR(__xludf.DUMMYFUNCTION("""COMPUTED_VALUE"""),19.04)</f>
        <v>19.04</v>
      </c>
    </row>
    <row r="1808" spans="1:2">
      <c r="A1808" s="3">
        <f ca="1">IFERROR(__xludf.DUMMYFUNCTION("""COMPUTED_VALUE"""),40974.6666666666)</f>
        <v>40974.666666666599</v>
      </c>
      <c r="B1808" s="1">
        <f ca="1">IFERROR(__xludf.DUMMYFUNCTION("""COMPUTED_VALUE"""),18.94)</f>
        <v>18.940000000000001</v>
      </c>
    </row>
    <row r="1809" spans="1:2">
      <c r="A1809" s="3">
        <f ca="1">IFERROR(__xludf.DUMMYFUNCTION("""COMPUTED_VALUE"""),40975.6666666666)</f>
        <v>40975.666666666599</v>
      </c>
      <c r="B1809" s="1">
        <f ca="1">IFERROR(__xludf.DUMMYFUNCTION("""COMPUTED_VALUE"""),18.95)</f>
        <v>18.95</v>
      </c>
    </row>
    <row r="1810" spans="1:2">
      <c r="A1810" s="3">
        <f ca="1">IFERROR(__xludf.DUMMYFUNCTION("""COMPUTED_VALUE"""),40976.6666666666)</f>
        <v>40976.666666666599</v>
      </c>
      <c r="B1810" s="1">
        <f ca="1">IFERROR(__xludf.DUMMYFUNCTION("""COMPUTED_VALUE"""),19.36)</f>
        <v>19.36</v>
      </c>
    </row>
    <row r="1811" spans="1:2">
      <c r="A1811" s="3">
        <f ca="1">IFERROR(__xludf.DUMMYFUNCTION("""COMPUTED_VALUE"""),40977.6666666666)</f>
        <v>40977.666666666599</v>
      </c>
      <c r="B1811" s="1">
        <f ca="1">IFERROR(__xludf.DUMMYFUNCTION("""COMPUTED_VALUE"""),19.47)</f>
        <v>19.47</v>
      </c>
    </row>
    <row r="1812" spans="1:2">
      <c r="A1812" s="3">
        <f ca="1">IFERROR(__xludf.DUMMYFUNCTION("""COMPUTED_VALUE"""),40980.6666666666)</f>
        <v>40980.666666666599</v>
      </c>
      <c r="B1812" s="1">
        <f ca="1">IFERROR(__xludf.DUMMYFUNCTION("""COMPUTED_VALUE"""),19.71)</f>
        <v>19.71</v>
      </c>
    </row>
    <row r="1813" spans="1:2">
      <c r="A1813" s="3">
        <f ca="1">IFERROR(__xludf.DUMMYFUNCTION("""COMPUTED_VALUE"""),40981.6666666666)</f>
        <v>40981.666666666599</v>
      </c>
      <c r="B1813" s="1">
        <f ca="1">IFERROR(__xludf.DUMMYFUNCTION("""COMPUTED_VALUE"""),20.29)</f>
        <v>20.29</v>
      </c>
    </row>
    <row r="1814" spans="1:2">
      <c r="A1814" s="3">
        <f ca="1">IFERROR(__xludf.DUMMYFUNCTION("""COMPUTED_VALUE"""),40982.6666666666)</f>
        <v>40982.666666666599</v>
      </c>
      <c r="B1814" s="1">
        <f ca="1">IFERROR(__xludf.DUMMYFUNCTION("""COMPUTED_VALUE"""),21.06)</f>
        <v>21.06</v>
      </c>
    </row>
    <row r="1815" spans="1:2">
      <c r="A1815" s="3">
        <f ca="1">IFERROR(__xludf.DUMMYFUNCTION("""COMPUTED_VALUE"""),40983.6666666666)</f>
        <v>40983.666666666599</v>
      </c>
      <c r="B1815" s="1">
        <f ca="1">IFERROR(__xludf.DUMMYFUNCTION("""COMPUTED_VALUE"""),20.91)</f>
        <v>20.91</v>
      </c>
    </row>
    <row r="1816" spans="1:2">
      <c r="A1816" s="3">
        <f ca="1">IFERROR(__xludf.DUMMYFUNCTION("""COMPUTED_VALUE"""),40984.6666666666)</f>
        <v>40984.666666666599</v>
      </c>
      <c r="B1816" s="1">
        <f ca="1">IFERROR(__xludf.DUMMYFUNCTION("""COMPUTED_VALUE"""),20.91)</f>
        <v>20.91</v>
      </c>
    </row>
    <row r="1817" spans="1:2">
      <c r="A1817" s="3">
        <f ca="1">IFERROR(__xludf.DUMMYFUNCTION("""COMPUTED_VALUE"""),40987.6666666666)</f>
        <v>40987.666666666599</v>
      </c>
      <c r="B1817" s="1">
        <f ca="1">IFERROR(__xludf.DUMMYFUNCTION("""COMPUTED_VALUE"""),21.47)</f>
        <v>21.47</v>
      </c>
    </row>
    <row r="1818" spans="1:2">
      <c r="A1818" s="3">
        <f ca="1">IFERROR(__xludf.DUMMYFUNCTION("""COMPUTED_VALUE"""),40988.6666666666)</f>
        <v>40988.666666666599</v>
      </c>
      <c r="B1818" s="1">
        <f ca="1">IFERROR(__xludf.DUMMYFUNCTION("""COMPUTED_VALUE"""),21.64)</f>
        <v>21.64</v>
      </c>
    </row>
    <row r="1819" spans="1:2">
      <c r="A1819" s="3">
        <f ca="1">IFERROR(__xludf.DUMMYFUNCTION("""COMPUTED_VALUE"""),40989.6666666666)</f>
        <v>40989.666666666599</v>
      </c>
      <c r="B1819" s="1">
        <f ca="1">IFERROR(__xludf.DUMMYFUNCTION("""COMPUTED_VALUE"""),21.52)</f>
        <v>21.52</v>
      </c>
    </row>
    <row r="1820" spans="1:2">
      <c r="A1820" s="3">
        <f ca="1">IFERROR(__xludf.DUMMYFUNCTION("""COMPUTED_VALUE"""),40990.6666666666)</f>
        <v>40990.666666666599</v>
      </c>
      <c r="B1820" s="1">
        <f ca="1">IFERROR(__xludf.DUMMYFUNCTION("""COMPUTED_VALUE"""),21.41)</f>
        <v>21.41</v>
      </c>
    </row>
    <row r="1821" spans="1:2">
      <c r="A1821" s="3">
        <f ca="1">IFERROR(__xludf.DUMMYFUNCTION("""COMPUTED_VALUE"""),40991.6666666666)</f>
        <v>40991.666666666599</v>
      </c>
      <c r="B1821" s="1">
        <f ca="1">IFERROR(__xludf.DUMMYFUNCTION("""COMPUTED_VALUE"""),21.29)</f>
        <v>21.29</v>
      </c>
    </row>
    <row r="1822" spans="1:2">
      <c r="A1822" s="3">
        <f ca="1">IFERROR(__xludf.DUMMYFUNCTION("""COMPUTED_VALUE"""),40994.6666666666)</f>
        <v>40994.666666666599</v>
      </c>
      <c r="B1822" s="1">
        <f ca="1">IFERROR(__xludf.DUMMYFUNCTION("""COMPUTED_VALUE"""),21.68)</f>
        <v>21.68</v>
      </c>
    </row>
    <row r="1823" spans="1:2">
      <c r="A1823" s="3">
        <f ca="1">IFERROR(__xludf.DUMMYFUNCTION("""COMPUTED_VALUE"""),40995.6666666666)</f>
        <v>40995.666666666599</v>
      </c>
      <c r="B1823" s="1">
        <f ca="1">IFERROR(__xludf.DUMMYFUNCTION("""COMPUTED_VALUE"""),21.95)</f>
        <v>21.95</v>
      </c>
    </row>
    <row r="1824" spans="1:2">
      <c r="A1824" s="3">
        <f ca="1">IFERROR(__xludf.DUMMYFUNCTION("""COMPUTED_VALUE"""),40996.6666666666)</f>
        <v>40996.666666666599</v>
      </c>
      <c r="B1824" s="1">
        <f ca="1">IFERROR(__xludf.DUMMYFUNCTION("""COMPUTED_VALUE"""),22.06)</f>
        <v>22.06</v>
      </c>
    </row>
    <row r="1825" spans="1:2">
      <c r="A1825" s="3">
        <f ca="1">IFERROR(__xludf.DUMMYFUNCTION("""COMPUTED_VALUE"""),40997.6666666666)</f>
        <v>40997.666666666599</v>
      </c>
      <c r="B1825" s="1">
        <f ca="1">IFERROR(__xludf.DUMMYFUNCTION("""COMPUTED_VALUE"""),21.78)</f>
        <v>21.78</v>
      </c>
    </row>
    <row r="1826" spans="1:2">
      <c r="A1826" s="3">
        <f ca="1">IFERROR(__xludf.DUMMYFUNCTION("""COMPUTED_VALUE"""),40998.6666666666)</f>
        <v>40998.666666666599</v>
      </c>
      <c r="B1826" s="1">
        <f ca="1">IFERROR(__xludf.DUMMYFUNCTION("""COMPUTED_VALUE"""),21.41)</f>
        <v>21.41</v>
      </c>
    </row>
    <row r="1827" spans="1:2">
      <c r="A1827" s="3">
        <f ca="1">IFERROR(__xludf.DUMMYFUNCTION("""COMPUTED_VALUE"""),41001.6666666666)</f>
        <v>41001.666666666599</v>
      </c>
      <c r="B1827" s="1">
        <f ca="1">IFERROR(__xludf.DUMMYFUNCTION("""COMPUTED_VALUE"""),22.09)</f>
        <v>22.09</v>
      </c>
    </row>
    <row r="1828" spans="1:2">
      <c r="A1828" s="3">
        <f ca="1">IFERROR(__xludf.DUMMYFUNCTION("""COMPUTED_VALUE"""),41002.6666666666)</f>
        <v>41002.666666666599</v>
      </c>
      <c r="B1828" s="1">
        <f ca="1">IFERROR(__xludf.DUMMYFUNCTION("""COMPUTED_VALUE"""),22.48)</f>
        <v>22.48</v>
      </c>
    </row>
    <row r="1829" spans="1:2">
      <c r="A1829" s="3">
        <f ca="1">IFERROR(__xludf.DUMMYFUNCTION("""COMPUTED_VALUE"""),41003.6666666666)</f>
        <v>41003.666666666599</v>
      </c>
      <c r="B1829" s="1">
        <f ca="1">IFERROR(__xludf.DUMMYFUNCTION("""COMPUTED_VALUE"""),22.3)</f>
        <v>22.3</v>
      </c>
    </row>
    <row r="1830" spans="1:2">
      <c r="A1830" s="3">
        <f ca="1">IFERROR(__xludf.DUMMYFUNCTION("""COMPUTED_VALUE"""),41004.6666666666)</f>
        <v>41004.666666666599</v>
      </c>
      <c r="B1830" s="1">
        <f ca="1">IFERROR(__xludf.DUMMYFUNCTION("""COMPUTED_VALUE"""),22.63)</f>
        <v>22.63</v>
      </c>
    </row>
    <row r="1831" spans="1:2">
      <c r="A1831" s="3">
        <f ca="1">IFERROR(__xludf.DUMMYFUNCTION("""COMPUTED_VALUE"""),41008.6666666666)</f>
        <v>41008.666666666599</v>
      </c>
      <c r="B1831" s="1">
        <f ca="1">IFERROR(__xludf.DUMMYFUNCTION("""COMPUTED_VALUE"""),22.72)</f>
        <v>22.72</v>
      </c>
    </row>
    <row r="1832" spans="1:2">
      <c r="A1832" s="3">
        <f ca="1">IFERROR(__xludf.DUMMYFUNCTION("""COMPUTED_VALUE"""),41009.6666666666)</f>
        <v>41009.666666666599</v>
      </c>
      <c r="B1832" s="1">
        <f ca="1">IFERROR(__xludf.DUMMYFUNCTION("""COMPUTED_VALUE"""),22.44)</f>
        <v>22.44</v>
      </c>
    </row>
    <row r="1833" spans="1:2">
      <c r="A1833" s="3">
        <f ca="1">IFERROR(__xludf.DUMMYFUNCTION("""COMPUTED_VALUE"""),41010.6666666666)</f>
        <v>41010.666666666599</v>
      </c>
      <c r="B1833" s="1">
        <f ca="1">IFERROR(__xludf.DUMMYFUNCTION("""COMPUTED_VALUE"""),22.36)</f>
        <v>22.36</v>
      </c>
    </row>
    <row r="1834" spans="1:2">
      <c r="A1834" s="3">
        <f ca="1">IFERROR(__xludf.DUMMYFUNCTION("""COMPUTED_VALUE"""),41011.6666666666)</f>
        <v>41011.666666666599</v>
      </c>
      <c r="B1834" s="1">
        <f ca="1">IFERROR(__xludf.DUMMYFUNCTION("""COMPUTED_VALUE"""),22.24)</f>
        <v>22.24</v>
      </c>
    </row>
    <row r="1835" spans="1:2">
      <c r="A1835" s="3">
        <f ca="1">IFERROR(__xludf.DUMMYFUNCTION("""COMPUTED_VALUE"""),41012.6666666666)</f>
        <v>41012.666666666599</v>
      </c>
      <c r="B1835" s="1">
        <f ca="1">IFERROR(__xludf.DUMMYFUNCTION("""COMPUTED_VALUE"""),21.62)</f>
        <v>21.62</v>
      </c>
    </row>
    <row r="1836" spans="1:2">
      <c r="A1836" s="3">
        <f ca="1">IFERROR(__xludf.DUMMYFUNCTION("""COMPUTED_VALUE"""),41015.6666666666)</f>
        <v>41015.666666666599</v>
      </c>
      <c r="B1836" s="1">
        <f ca="1">IFERROR(__xludf.DUMMYFUNCTION("""COMPUTED_VALUE"""),20.72)</f>
        <v>20.72</v>
      </c>
    </row>
    <row r="1837" spans="1:2">
      <c r="A1837" s="3">
        <f ca="1">IFERROR(__xludf.DUMMYFUNCTION("""COMPUTED_VALUE"""),41016.6666666666)</f>
        <v>41016.666666666599</v>
      </c>
      <c r="B1837" s="1">
        <f ca="1">IFERROR(__xludf.DUMMYFUNCTION("""COMPUTED_VALUE"""),21.78)</f>
        <v>21.78</v>
      </c>
    </row>
    <row r="1838" spans="1:2">
      <c r="A1838" s="3">
        <f ca="1">IFERROR(__xludf.DUMMYFUNCTION("""COMPUTED_VALUE"""),41017.6666666666)</f>
        <v>41017.666666666599</v>
      </c>
      <c r="B1838" s="1">
        <f ca="1">IFERROR(__xludf.DUMMYFUNCTION("""COMPUTED_VALUE"""),21.73)</f>
        <v>21.73</v>
      </c>
    </row>
    <row r="1839" spans="1:2">
      <c r="A1839" s="3">
        <f ca="1">IFERROR(__xludf.DUMMYFUNCTION("""COMPUTED_VALUE"""),41018.6666666666)</f>
        <v>41018.666666666599</v>
      </c>
      <c r="B1839" s="1">
        <f ca="1">IFERROR(__xludf.DUMMYFUNCTION("""COMPUTED_VALUE"""),20.98)</f>
        <v>20.98</v>
      </c>
    </row>
    <row r="1840" spans="1:2">
      <c r="A1840" s="3">
        <f ca="1">IFERROR(__xludf.DUMMYFUNCTION("""COMPUTED_VALUE"""),41019.6666666666)</f>
        <v>41019.666666666599</v>
      </c>
      <c r="B1840" s="1">
        <f ca="1">IFERROR(__xludf.DUMMYFUNCTION("""COMPUTED_VALUE"""),20.46)</f>
        <v>20.46</v>
      </c>
    </row>
    <row r="1841" spans="1:2">
      <c r="A1841" s="3">
        <f ca="1">IFERROR(__xludf.DUMMYFUNCTION("""COMPUTED_VALUE"""),41022.6666666666)</f>
        <v>41022.666666666599</v>
      </c>
      <c r="B1841" s="1">
        <f ca="1">IFERROR(__xludf.DUMMYFUNCTION("""COMPUTED_VALUE"""),20.42)</f>
        <v>20.420000000000002</v>
      </c>
    </row>
    <row r="1842" spans="1:2">
      <c r="A1842" s="3">
        <f ca="1">IFERROR(__xludf.DUMMYFUNCTION("""COMPUTED_VALUE"""),41023.6666666666)</f>
        <v>41023.666666666599</v>
      </c>
      <c r="B1842" s="1">
        <f ca="1">IFERROR(__xludf.DUMMYFUNCTION("""COMPUTED_VALUE"""),20.01)</f>
        <v>20.010000000000002</v>
      </c>
    </row>
    <row r="1843" spans="1:2">
      <c r="A1843" s="3">
        <f ca="1">IFERROR(__xludf.DUMMYFUNCTION("""COMPUTED_VALUE"""),41024.6666666666)</f>
        <v>41024.666666666599</v>
      </c>
      <c r="B1843" s="1">
        <f ca="1">IFERROR(__xludf.DUMMYFUNCTION("""COMPUTED_VALUE"""),21.79)</f>
        <v>21.79</v>
      </c>
    </row>
    <row r="1844" spans="1:2">
      <c r="A1844" s="3">
        <f ca="1">IFERROR(__xludf.DUMMYFUNCTION("""COMPUTED_VALUE"""),41025.6666666666)</f>
        <v>41025.666666666599</v>
      </c>
      <c r="B1844" s="1">
        <f ca="1">IFERROR(__xludf.DUMMYFUNCTION("""COMPUTED_VALUE"""),21.7)</f>
        <v>21.7</v>
      </c>
    </row>
    <row r="1845" spans="1:2">
      <c r="A1845" s="3">
        <f ca="1">IFERROR(__xludf.DUMMYFUNCTION("""COMPUTED_VALUE"""),41026.6666666666)</f>
        <v>41026.666666666599</v>
      </c>
      <c r="B1845" s="1">
        <f ca="1">IFERROR(__xludf.DUMMYFUNCTION("""COMPUTED_VALUE"""),21.54)</f>
        <v>21.54</v>
      </c>
    </row>
    <row r="1846" spans="1:2">
      <c r="A1846" s="3">
        <f ca="1">IFERROR(__xludf.DUMMYFUNCTION("""COMPUTED_VALUE"""),41029.6666666666)</f>
        <v>41029.666666666599</v>
      </c>
      <c r="B1846" s="1">
        <f ca="1">IFERROR(__xludf.DUMMYFUNCTION("""COMPUTED_VALUE"""),20.86)</f>
        <v>20.86</v>
      </c>
    </row>
    <row r="1847" spans="1:2">
      <c r="A1847" s="3">
        <f ca="1">IFERROR(__xludf.DUMMYFUNCTION("""COMPUTED_VALUE"""),41030.6666666666)</f>
        <v>41030.666666666599</v>
      </c>
      <c r="B1847" s="1">
        <f ca="1">IFERROR(__xludf.DUMMYFUNCTION("""COMPUTED_VALUE"""),20.79)</f>
        <v>20.79</v>
      </c>
    </row>
    <row r="1848" spans="1:2">
      <c r="A1848" s="3">
        <f ca="1">IFERROR(__xludf.DUMMYFUNCTION("""COMPUTED_VALUE"""),41031.6666666666)</f>
        <v>41031.666666666599</v>
      </c>
      <c r="B1848" s="1">
        <f ca="1">IFERROR(__xludf.DUMMYFUNCTION("""COMPUTED_VALUE"""),20.93)</f>
        <v>20.93</v>
      </c>
    </row>
    <row r="1849" spans="1:2">
      <c r="A1849" s="3">
        <f ca="1">IFERROR(__xludf.DUMMYFUNCTION("""COMPUTED_VALUE"""),41032.6666666666)</f>
        <v>41032.666666666599</v>
      </c>
      <c r="B1849" s="1">
        <f ca="1">IFERROR(__xludf.DUMMYFUNCTION("""COMPUTED_VALUE"""),20.78)</f>
        <v>20.78</v>
      </c>
    </row>
    <row r="1850" spans="1:2">
      <c r="A1850" s="3">
        <f ca="1">IFERROR(__xludf.DUMMYFUNCTION("""COMPUTED_VALUE"""),41033.6666666666)</f>
        <v>41033.666666666599</v>
      </c>
      <c r="B1850" s="1">
        <f ca="1">IFERROR(__xludf.DUMMYFUNCTION("""COMPUTED_VALUE"""),20.19)</f>
        <v>20.190000000000001</v>
      </c>
    </row>
    <row r="1851" spans="1:2">
      <c r="A1851" s="3">
        <f ca="1">IFERROR(__xludf.DUMMYFUNCTION("""COMPUTED_VALUE"""),41036.6666666666)</f>
        <v>41036.666666666599</v>
      </c>
      <c r="B1851" s="1">
        <f ca="1">IFERROR(__xludf.DUMMYFUNCTION("""COMPUTED_VALUE"""),20.34)</f>
        <v>20.34</v>
      </c>
    </row>
    <row r="1852" spans="1:2">
      <c r="A1852" s="3">
        <f ca="1">IFERROR(__xludf.DUMMYFUNCTION("""COMPUTED_VALUE"""),41037.6666666666)</f>
        <v>41037.666666666599</v>
      </c>
      <c r="B1852" s="1">
        <f ca="1">IFERROR(__xludf.DUMMYFUNCTION("""COMPUTED_VALUE"""),20.29)</f>
        <v>20.29</v>
      </c>
    </row>
    <row r="1853" spans="1:2">
      <c r="A1853" s="3">
        <f ca="1">IFERROR(__xludf.DUMMYFUNCTION("""COMPUTED_VALUE"""),41038.6666666666)</f>
        <v>41038.666666666599</v>
      </c>
      <c r="B1853" s="1">
        <f ca="1">IFERROR(__xludf.DUMMYFUNCTION("""COMPUTED_VALUE"""),20.33)</f>
        <v>20.329999999999998</v>
      </c>
    </row>
    <row r="1854" spans="1:2">
      <c r="A1854" s="3">
        <f ca="1">IFERROR(__xludf.DUMMYFUNCTION("""COMPUTED_VALUE"""),41039.6666666666)</f>
        <v>41039.666666666599</v>
      </c>
      <c r="B1854" s="1">
        <f ca="1">IFERROR(__xludf.DUMMYFUNCTION("""COMPUTED_VALUE"""),20.38)</f>
        <v>20.38</v>
      </c>
    </row>
    <row r="1855" spans="1:2">
      <c r="A1855" s="3">
        <f ca="1">IFERROR(__xludf.DUMMYFUNCTION("""COMPUTED_VALUE"""),41040.6666666666)</f>
        <v>41040.666666666599</v>
      </c>
      <c r="B1855" s="1">
        <f ca="1">IFERROR(__xludf.DUMMYFUNCTION("""COMPUTED_VALUE"""),20.24)</f>
        <v>20.239999999999998</v>
      </c>
    </row>
    <row r="1856" spans="1:2">
      <c r="A1856" s="3">
        <f ca="1">IFERROR(__xludf.DUMMYFUNCTION("""COMPUTED_VALUE"""),41043.6666666666)</f>
        <v>41043.666666666599</v>
      </c>
      <c r="B1856" s="1">
        <f ca="1">IFERROR(__xludf.DUMMYFUNCTION("""COMPUTED_VALUE"""),19.94)</f>
        <v>19.940000000000001</v>
      </c>
    </row>
    <row r="1857" spans="1:2">
      <c r="A1857" s="3">
        <f ca="1">IFERROR(__xludf.DUMMYFUNCTION("""COMPUTED_VALUE"""),41044.6666666666)</f>
        <v>41044.666666666599</v>
      </c>
      <c r="B1857" s="1">
        <f ca="1">IFERROR(__xludf.DUMMYFUNCTION("""COMPUTED_VALUE"""),19.76)</f>
        <v>19.760000000000002</v>
      </c>
    </row>
    <row r="1858" spans="1:2">
      <c r="A1858" s="3">
        <f ca="1">IFERROR(__xludf.DUMMYFUNCTION("""COMPUTED_VALUE"""),41045.6666666666)</f>
        <v>41045.666666666599</v>
      </c>
      <c r="B1858" s="1">
        <f ca="1">IFERROR(__xludf.DUMMYFUNCTION("""COMPUTED_VALUE"""),19.5)</f>
        <v>19.5</v>
      </c>
    </row>
    <row r="1859" spans="1:2">
      <c r="A1859" s="3">
        <f ca="1">IFERROR(__xludf.DUMMYFUNCTION("""COMPUTED_VALUE"""),41046.6666666666)</f>
        <v>41046.666666666599</v>
      </c>
      <c r="B1859" s="1">
        <f ca="1">IFERROR(__xludf.DUMMYFUNCTION("""COMPUTED_VALUE"""),18.93)</f>
        <v>18.93</v>
      </c>
    </row>
    <row r="1860" spans="1:2">
      <c r="A1860" s="3">
        <f ca="1">IFERROR(__xludf.DUMMYFUNCTION("""COMPUTED_VALUE"""),41047.6666666666)</f>
        <v>41047.666666666599</v>
      </c>
      <c r="B1860" s="1">
        <f ca="1">IFERROR(__xludf.DUMMYFUNCTION("""COMPUTED_VALUE"""),18.94)</f>
        <v>18.940000000000001</v>
      </c>
    </row>
    <row r="1861" spans="1:2">
      <c r="A1861" s="3">
        <f ca="1">IFERROR(__xludf.DUMMYFUNCTION("""COMPUTED_VALUE"""),41050.6666666666)</f>
        <v>41050.666666666599</v>
      </c>
      <c r="B1861" s="1">
        <f ca="1">IFERROR(__xludf.DUMMYFUNCTION("""COMPUTED_VALUE"""),20.05)</f>
        <v>20.05</v>
      </c>
    </row>
    <row r="1862" spans="1:2">
      <c r="A1862" s="3">
        <f ca="1">IFERROR(__xludf.DUMMYFUNCTION("""COMPUTED_VALUE"""),41051.6666666666)</f>
        <v>41051.666666666599</v>
      </c>
      <c r="B1862" s="1">
        <f ca="1">IFERROR(__xludf.DUMMYFUNCTION("""COMPUTED_VALUE"""),19.89)</f>
        <v>19.89</v>
      </c>
    </row>
    <row r="1863" spans="1:2">
      <c r="A1863" s="3">
        <f ca="1">IFERROR(__xludf.DUMMYFUNCTION("""COMPUTED_VALUE"""),41052.6666666666)</f>
        <v>41052.666666666599</v>
      </c>
      <c r="B1863" s="1">
        <f ca="1">IFERROR(__xludf.DUMMYFUNCTION("""COMPUTED_VALUE"""),20.38)</f>
        <v>20.38</v>
      </c>
    </row>
    <row r="1864" spans="1:2">
      <c r="A1864" s="3">
        <f ca="1">IFERROR(__xludf.DUMMYFUNCTION("""COMPUTED_VALUE"""),41053.6666666666)</f>
        <v>41053.666666666599</v>
      </c>
      <c r="B1864" s="1">
        <f ca="1">IFERROR(__xludf.DUMMYFUNCTION("""COMPUTED_VALUE"""),20.19)</f>
        <v>20.190000000000001</v>
      </c>
    </row>
    <row r="1865" spans="1:2">
      <c r="A1865" s="3">
        <f ca="1">IFERROR(__xludf.DUMMYFUNCTION("""COMPUTED_VALUE"""),41054.6666666666)</f>
        <v>41054.666666666599</v>
      </c>
      <c r="B1865" s="1">
        <f ca="1">IFERROR(__xludf.DUMMYFUNCTION("""COMPUTED_VALUE"""),20.08)</f>
        <v>20.079999999999998</v>
      </c>
    </row>
    <row r="1866" spans="1:2">
      <c r="A1866" s="3">
        <f ca="1">IFERROR(__xludf.DUMMYFUNCTION("""COMPUTED_VALUE"""),41058.6666666666)</f>
        <v>41058.666666666599</v>
      </c>
      <c r="B1866" s="1">
        <f ca="1">IFERROR(__xludf.DUMMYFUNCTION("""COMPUTED_VALUE"""),20.44)</f>
        <v>20.440000000000001</v>
      </c>
    </row>
    <row r="1867" spans="1:2">
      <c r="A1867" s="3">
        <f ca="1">IFERROR(__xludf.DUMMYFUNCTION("""COMPUTED_VALUE"""),41059.6666666666)</f>
        <v>41059.666666666599</v>
      </c>
      <c r="B1867" s="1">
        <f ca="1">IFERROR(__xludf.DUMMYFUNCTION("""COMPUTED_VALUE"""),20.68)</f>
        <v>20.68</v>
      </c>
    </row>
    <row r="1868" spans="1:2">
      <c r="A1868" s="3">
        <f ca="1">IFERROR(__xludf.DUMMYFUNCTION("""COMPUTED_VALUE"""),41060.6666666666)</f>
        <v>41060.666666666599</v>
      </c>
      <c r="B1868" s="1">
        <f ca="1">IFERROR(__xludf.DUMMYFUNCTION("""COMPUTED_VALUE"""),20.63)</f>
        <v>20.63</v>
      </c>
    </row>
    <row r="1869" spans="1:2">
      <c r="A1869" s="3">
        <f ca="1">IFERROR(__xludf.DUMMYFUNCTION("""COMPUTED_VALUE"""),41061.6666666666)</f>
        <v>41061.666666666599</v>
      </c>
      <c r="B1869" s="1">
        <f ca="1">IFERROR(__xludf.DUMMYFUNCTION("""COMPUTED_VALUE"""),20.04)</f>
        <v>20.04</v>
      </c>
    </row>
    <row r="1870" spans="1:2">
      <c r="A1870" s="3">
        <f ca="1">IFERROR(__xludf.DUMMYFUNCTION("""COMPUTED_VALUE"""),41064.6666666666)</f>
        <v>41064.666666666599</v>
      </c>
      <c r="B1870" s="1">
        <f ca="1">IFERROR(__xludf.DUMMYFUNCTION("""COMPUTED_VALUE"""),20.15)</f>
        <v>20.149999999999999</v>
      </c>
    </row>
    <row r="1871" spans="1:2">
      <c r="A1871" s="3">
        <f ca="1">IFERROR(__xludf.DUMMYFUNCTION("""COMPUTED_VALUE"""),41065.6666666666)</f>
        <v>41065.666666666599</v>
      </c>
      <c r="B1871" s="1">
        <f ca="1">IFERROR(__xludf.DUMMYFUNCTION("""COMPUTED_VALUE"""),20.1)</f>
        <v>20.100000000000001</v>
      </c>
    </row>
    <row r="1872" spans="1:2">
      <c r="A1872" s="3">
        <f ca="1">IFERROR(__xludf.DUMMYFUNCTION("""COMPUTED_VALUE"""),41066.6666666666)</f>
        <v>41066.666666666599</v>
      </c>
      <c r="B1872" s="1">
        <f ca="1">IFERROR(__xludf.DUMMYFUNCTION("""COMPUTED_VALUE"""),20.41)</f>
        <v>20.41</v>
      </c>
    </row>
    <row r="1873" spans="1:2">
      <c r="A1873" s="3">
        <f ca="1">IFERROR(__xludf.DUMMYFUNCTION("""COMPUTED_VALUE"""),41067.6666666666)</f>
        <v>41067.666666666599</v>
      </c>
      <c r="B1873" s="1">
        <f ca="1">IFERROR(__xludf.DUMMYFUNCTION("""COMPUTED_VALUE"""),20.42)</f>
        <v>20.420000000000002</v>
      </c>
    </row>
    <row r="1874" spans="1:2">
      <c r="A1874" s="3">
        <f ca="1">IFERROR(__xludf.DUMMYFUNCTION("""COMPUTED_VALUE"""),41068.6666666666)</f>
        <v>41068.666666666599</v>
      </c>
      <c r="B1874" s="1">
        <f ca="1">IFERROR(__xludf.DUMMYFUNCTION("""COMPUTED_VALUE"""),20.73)</f>
        <v>20.73</v>
      </c>
    </row>
    <row r="1875" spans="1:2">
      <c r="A1875" s="3">
        <f ca="1">IFERROR(__xludf.DUMMYFUNCTION("""COMPUTED_VALUE"""),41071.6666666666)</f>
        <v>41071.666666666599</v>
      </c>
      <c r="B1875" s="1">
        <f ca="1">IFERROR(__xludf.DUMMYFUNCTION("""COMPUTED_VALUE"""),20.4)</f>
        <v>20.399999999999999</v>
      </c>
    </row>
    <row r="1876" spans="1:2">
      <c r="A1876" s="3">
        <f ca="1">IFERROR(__xludf.DUMMYFUNCTION("""COMPUTED_VALUE"""),41072.6666666666)</f>
        <v>41072.666666666599</v>
      </c>
      <c r="B1876" s="1">
        <f ca="1">IFERROR(__xludf.DUMMYFUNCTION("""COMPUTED_VALUE"""),20.58)</f>
        <v>20.58</v>
      </c>
    </row>
    <row r="1877" spans="1:2">
      <c r="A1877" s="3">
        <f ca="1">IFERROR(__xludf.DUMMYFUNCTION("""COMPUTED_VALUE"""),41073.6666666666)</f>
        <v>41073.666666666599</v>
      </c>
      <c r="B1877" s="1">
        <f ca="1">IFERROR(__xludf.DUMMYFUNCTION("""COMPUTED_VALUE"""),20.43)</f>
        <v>20.43</v>
      </c>
    </row>
    <row r="1878" spans="1:2">
      <c r="A1878" s="3">
        <f ca="1">IFERROR(__xludf.DUMMYFUNCTION("""COMPUTED_VALUE"""),41074.6666666666)</f>
        <v>41074.666666666599</v>
      </c>
      <c r="B1878" s="1">
        <f ca="1">IFERROR(__xludf.DUMMYFUNCTION("""COMPUTED_VALUE"""),20.41)</f>
        <v>20.41</v>
      </c>
    </row>
    <row r="1879" spans="1:2">
      <c r="A1879" s="3">
        <f ca="1">IFERROR(__xludf.DUMMYFUNCTION("""COMPUTED_VALUE"""),41075.6666666666)</f>
        <v>41075.666666666599</v>
      </c>
      <c r="B1879" s="1">
        <f ca="1">IFERROR(__xludf.DUMMYFUNCTION("""COMPUTED_VALUE"""),20.5)</f>
        <v>20.5</v>
      </c>
    </row>
    <row r="1880" spans="1:2">
      <c r="A1880" s="3">
        <f ca="1">IFERROR(__xludf.DUMMYFUNCTION("""COMPUTED_VALUE"""),41078.6666666666)</f>
        <v>41078.666666666599</v>
      </c>
      <c r="B1880" s="1">
        <f ca="1">IFERROR(__xludf.DUMMYFUNCTION("""COMPUTED_VALUE"""),20.92)</f>
        <v>20.92</v>
      </c>
    </row>
    <row r="1881" spans="1:2">
      <c r="A1881" s="3">
        <f ca="1">IFERROR(__xludf.DUMMYFUNCTION("""COMPUTED_VALUE"""),41079.6666666666)</f>
        <v>41079.666666666599</v>
      </c>
      <c r="B1881" s="1">
        <f ca="1">IFERROR(__xludf.DUMMYFUNCTION("""COMPUTED_VALUE"""),20.98)</f>
        <v>20.98</v>
      </c>
    </row>
    <row r="1882" spans="1:2">
      <c r="A1882" s="3">
        <f ca="1">IFERROR(__xludf.DUMMYFUNCTION("""COMPUTED_VALUE"""),41080.6666666666)</f>
        <v>41080.666666666599</v>
      </c>
      <c r="B1882" s="1">
        <f ca="1">IFERROR(__xludf.DUMMYFUNCTION("""COMPUTED_VALUE"""),20.92)</f>
        <v>20.92</v>
      </c>
    </row>
    <row r="1883" spans="1:2">
      <c r="A1883" s="3">
        <f ca="1">IFERROR(__xludf.DUMMYFUNCTION("""COMPUTED_VALUE"""),41081.6666666666)</f>
        <v>41081.666666666599</v>
      </c>
      <c r="B1883" s="1">
        <f ca="1">IFERROR(__xludf.DUMMYFUNCTION("""COMPUTED_VALUE"""),20.63)</f>
        <v>20.63</v>
      </c>
    </row>
    <row r="1884" spans="1:2">
      <c r="A1884" s="3">
        <f ca="1">IFERROR(__xludf.DUMMYFUNCTION("""COMPUTED_VALUE"""),41082.6666666666)</f>
        <v>41082.666666666599</v>
      </c>
      <c r="B1884" s="1">
        <f ca="1">IFERROR(__xludf.DUMMYFUNCTION("""COMPUTED_VALUE"""),20.79)</f>
        <v>20.79</v>
      </c>
    </row>
    <row r="1885" spans="1:2">
      <c r="A1885" s="3">
        <f ca="1">IFERROR(__xludf.DUMMYFUNCTION("""COMPUTED_VALUE"""),41085.6666666666)</f>
        <v>41085.666666666599</v>
      </c>
      <c r="B1885" s="1">
        <f ca="1">IFERROR(__xludf.DUMMYFUNCTION("""COMPUTED_VALUE"""),20.38)</f>
        <v>20.38</v>
      </c>
    </row>
    <row r="1886" spans="1:2">
      <c r="A1886" s="3">
        <f ca="1">IFERROR(__xludf.DUMMYFUNCTION("""COMPUTED_VALUE"""),41086.6666666666)</f>
        <v>41086.666666666599</v>
      </c>
      <c r="B1886" s="1">
        <f ca="1">IFERROR(__xludf.DUMMYFUNCTION("""COMPUTED_VALUE"""),20.43)</f>
        <v>20.43</v>
      </c>
    </row>
    <row r="1887" spans="1:2">
      <c r="A1887" s="3">
        <f ca="1">IFERROR(__xludf.DUMMYFUNCTION("""COMPUTED_VALUE"""),41087.6666666666)</f>
        <v>41087.666666666599</v>
      </c>
      <c r="B1887" s="1">
        <f ca="1">IFERROR(__xludf.DUMMYFUNCTION("""COMPUTED_VALUE"""),20.52)</f>
        <v>20.52</v>
      </c>
    </row>
    <row r="1888" spans="1:2">
      <c r="A1888" s="3">
        <f ca="1">IFERROR(__xludf.DUMMYFUNCTION("""COMPUTED_VALUE"""),41088.6666666666)</f>
        <v>41088.666666666599</v>
      </c>
      <c r="B1888" s="1">
        <f ca="1">IFERROR(__xludf.DUMMYFUNCTION("""COMPUTED_VALUE"""),20.32)</f>
        <v>20.32</v>
      </c>
    </row>
    <row r="1889" spans="1:2">
      <c r="A1889" s="3">
        <f ca="1">IFERROR(__xludf.DUMMYFUNCTION("""COMPUTED_VALUE"""),41089.6666666666)</f>
        <v>41089.666666666599</v>
      </c>
      <c r="B1889" s="1">
        <f ca="1">IFERROR(__xludf.DUMMYFUNCTION("""COMPUTED_VALUE"""),20.86)</f>
        <v>20.86</v>
      </c>
    </row>
    <row r="1890" spans="1:2">
      <c r="A1890" s="3">
        <f ca="1">IFERROR(__xludf.DUMMYFUNCTION("""COMPUTED_VALUE"""),41092.6666666666)</f>
        <v>41092.666666666599</v>
      </c>
      <c r="B1890" s="1">
        <f ca="1">IFERROR(__xludf.DUMMYFUNCTION("""COMPUTED_VALUE"""),21.16)</f>
        <v>21.16</v>
      </c>
    </row>
    <row r="1891" spans="1:2">
      <c r="A1891" s="3">
        <f ca="1">IFERROR(__xludf.DUMMYFUNCTION("""COMPUTED_VALUE"""),41093.6666666666)</f>
        <v>41093.666666666599</v>
      </c>
      <c r="B1891" s="1">
        <f ca="1">IFERROR(__xludf.DUMMYFUNCTION("""COMPUTED_VALUE"""),21.41)</f>
        <v>21.41</v>
      </c>
    </row>
    <row r="1892" spans="1:2">
      <c r="A1892" s="3">
        <f ca="1">IFERROR(__xludf.DUMMYFUNCTION("""COMPUTED_VALUE"""),41095.6666666666)</f>
        <v>41095.666666666599</v>
      </c>
      <c r="B1892" s="1">
        <f ca="1">IFERROR(__xludf.DUMMYFUNCTION("""COMPUTED_VALUE"""),21.78)</f>
        <v>21.78</v>
      </c>
    </row>
    <row r="1893" spans="1:2">
      <c r="A1893" s="3">
        <f ca="1">IFERROR(__xludf.DUMMYFUNCTION("""COMPUTED_VALUE"""),41096.6666666666)</f>
        <v>41096.666666666599</v>
      </c>
      <c r="B1893" s="1">
        <f ca="1">IFERROR(__xludf.DUMMYFUNCTION("""COMPUTED_VALUE"""),21.64)</f>
        <v>21.64</v>
      </c>
    </row>
    <row r="1894" spans="1:2">
      <c r="A1894" s="3">
        <f ca="1">IFERROR(__xludf.DUMMYFUNCTION("""COMPUTED_VALUE"""),41099.6666666666)</f>
        <v>41099.666666666599</v>
      </c>
      <c r="B1894" s="1">
        <f ca="1">IFERROR(__xludf.DUMMYFUNCTION("""COMPUTED_VALUE"""),21.92)</f>
        <v>21.92</v>
      </c>
    </row>
    <row r="1895" spans="1:2">
      <c r="A1895" s="3">
        <f ca="1">IFERROR(__xludf.DUMMYFUNCTION("""COMPUTED_VALUE"""),41100.6666666666)</f>
        <v>41100.666666666599</v>
      </c>
      <c r="B1895" s="1">
        <f ca="1">IFERROR(__xludf.DUMMYFUNCTION("""COMPUTED_VALUE"""),21.72)</f>
        <v>21.72</v>
      </c>
    </row>
    <row r="1896" spans="1:2">
      <c r="A1896" s="3">
        <f ca="1">IFERROR(__xludf.DUMMYFUNCTION("""COMPUTED_VALUE"""),41101.6666666666)</f>
        <v>41101.666666666599</v>
      </c>
      <c r="B1896" s="1">
        <f ca="1">IFERROR(__xludf.DUMMYFUNCTION("""COMPUTED_VALUE"""),21.59)</f>
        <v>21.59</v>
      </c>
    </row>
    <row r="1897" spans="1:2">
      <c r="A1897" s="3">
        <f ca="1">IFERROR(__xludf.DUMMYFUNCTION("""COMPUTED_VALUE"""),41102.6666666666)</f>
        <v>41102.666666666599</v>
      </c>
      <c r="B1897" s="1">
        <f ca="1">IFERROR(__xludf.DUMMYFUNCTION("""COMPUTED_VALUE"""),21.39)</f>
        <v>21.39</v>
      </c>
    </row>
    <row r="1898" spans="1:2">
      <c r="A1898" s="3">
        <f ca="1">IFERROR(__xludf.DUMMYFUNCTION("""COMPUTED_VALUE"""),41103.6666666666)</f>
        <v>41103.666666666599</v>
      </c>
      <c r="B1898" s="1">
        <f ca="1">IFERROR(__xludf.DUMMYFUNCTION("""COMPUTED_VALUE"""),21.61)</f>
        <v>21.61</v>
      </c>
    </row>
    <row r="1899" spans="1:2">
      <c r="A1899" s="3">
        <f ca="1">IFERROR(__xludf.DUMMYFUNCTION("""COMPUTED_VALUE"""),41106.6666666666)</f>
        <v>41106.666666666599</v>
      </c>
      <c r="B1899" s="1">
        <f ca="1">IFERROR(__xludf.DUMMYFUNCTION("""COMPUTED_VALUE"""),21.68)</f>
        <v>21.68</v>
      </c>
    </row>
    <row r="1900" spans="1:2">
      <c r="A1900" s="3">
        <f ca="1">IFERROR(__xludf.DUMMYFUNCTION("""COMPUTED_VALUE"""),41107.6666666666)</f>
        <v>41107.666666666599</v>
      </c>
      <c r="B1900" s="1">
        <f ca="1">IFERROR(__xludf.DUMMYFUNCTION("""COMPUTED_VALUE"""),21.68)</f>
        <v>21.68</v>
      </c>
    </row>
    <row r="1901" spans="1:2">
      <c r="A1901" s="3">
        <f ca="1">IFERROR(__xludf.DUMMYFUNCTION("""COMPUTED_VALUE"""),41108.6666666666)</f>
        <v>41108.666666666599</v>
      </c>
      <c r="B1901" s="1">
        <f ca="1">IFERROR(__xludf.DUMMYFUNCTION("""COMPUTED_VALUE"""),21.65)</f>
        <v>21.65</v>
      </c>
    </row>
    <row r="1902" spans="1:2">
      <c r="A1902" s="3">
        <f ca="1">IFERROR(__xludf.DUMMYFUNCTION("""COMPUTED_VALUE"""),41109.6666666666)</f>
        <v>41109.666666666599</v>
      </c>
      <c r="B1902" s="1">
        <f ca="1">IFERROR(__xludf.DUMMYFUNCTION("""COMPUTED_VALUE"""),21.94)</f>
        <v>21.94</v>
      </c>
    </row>
    <row r="1903" spans="1:2">
      <c r="A1903" s="3">
        <f ca="1">IFERROR(__xludf.DUMMYFUNCTION("""COMPUTED_VALUE"""),41110.6666666666)</f>
        <v>41110.666666666599</v>
      </c>
      <c r="B1903" s="1">
        <f ca="1">IFERROR(__xludf.DUMMYFUNCTION("""COMPUTED_VALUE"""),21.58)</f>
        <v>21.58</v>
      </c>
    </row>
    <row r="1904" spans="1:2">
      <c r="A1904" s="3">
        <f ca="1">IFERROR(__xludf.DUMMYFUNCTION("""COMPUTED_VALUE"""),41113.6666666666)</f>
        <v>41113.666666666599</v>
      </c>
      <c r="B1904" s="1">
        <f ca="1">IFERROR(__xludf.DUMMYFUNCTION("""COMPUTED_VALUE"""),21.57)</f>
        <v>21.57</v>
      </c>
    </row>
    <row r="1905" spans="1:2">
      <c r="A1905" s="3">
        <f ca="1">IFERROR(__xludf.DUMMYFUNCTION("""COMPUTED_VALUE"""),41114.6666666666)</f>
        <v>41114.666666666599</v>
      </c>
      <c r="B1905" s="1">
        <f ca="1">IFERROR(__xludf.DUMMYFUNCTION("""COMPUTED_VALUE"""),21.46)</f>
        <v>21.46</v>
      </c>
    </row>
    <row r="1906" spans="1:2">
      <c r="A1906" s="3">
        <f ca="1">IFERROR(__xludf.DUMMYFUNCTION("""COMPUTED_VALUE"""),41115.6666666666)</f>
        <v>41115.666666666599</v>
      </c>
      <c r="B1906" s="1">
        <f ca="1">IFERROR(__xludf.DUMMYFUNCTION("""COMPUTED_VALUE"""),20.53)</f>
        <v>20.53</v>
      </c>
    </row>
    <row r="1907" spans="1:2">
      <c r="A1907" s="3">
        <f ca="1">IFERROR(__xludf.DUMMYFUNCTION("""COMPUTED_VALUE"""),41116.6666666666)</f>
        <v>41116.666666666599</v>
      </c>
      <c r="B1907" s="1">
        <f ca="1">IFERROR(__xludf.DUMMYFUNCTION("""COMPUTED_VALUE"""),20.53)</f>
        <v>20.53</v>
      </c>
    </row>
    <row r="1908" spans="1:2">
      <c r="A1908" s="3">
        <f ca="1">IFERROR(__xludf.DUMMYFUNCTION("""COMPUTED_VALUE"""),41117.6666666666)</f>
        <v>41117.666666666599</v>
      </c>
      <c r="B1908" s="1">
        <f ca="1">IFERROR(__xludf.DUMMYFUNCTION("""COMPUTED_VALUE"""),20.9)</f>
        <v>20.9</v>
      </c>
    </row>
    <row r="1909" spans="1:2">
      <c r="A1909" s="3">
        <f ca="1">IFERROR(__xludf.DUMMYFUNCTION("""COMPUTED_VALUE"""),41120.6666666666)</f>
        <v>41120.666666666599</v>
      </c>
      <c r="B1909" s="1">
        <f ca="1">IFERROR(__xludf.DUMMYFUNCTION("""COMPUTED_VALUE"""),21.25)</f>
        <v>21.25</v>
      </c>
    </row>
    <row r="1910" spans="1:2">
      <c r="A1910" s="3">
        <f ca="1">IFERROR(__xludf.DUMMYFUNCTION("""COMPUTED_VALUE"""),41121.6666666666)</f>
        <v>41121.666666666599</v>
      </c>
      <c r="B1910" s="1">
        <f ca="1">IFERROR(__xludf.DUMMYFUNCTION("""COMPUTED_VALUE"""),21.81)</f>
        <v>21.81</v>
      </c>
    </row>
    <row r="1911" spans="1:2">
      <c r="A1911" s="3">
        <f ca="1">IFERROR(__xludf.DUMMYFUNCTION("""COMPUTED_VALUE"""),41122.6666666666)</f>
        <v>41122.666666666599</v>
      </c>
      <c r="B1911" s="1">
        <f ca="1">IFERROR(__xludf.DUMMYFUNCTION("""COMPUTED_VALUE"""),21.67)</f>
        <v>21.67</v>
      </c>
    </row>
    <row r="1912" spans="1:2">
      <c r="A1912" s="3">
        <f ca="1">IFERROR(__xludf.DUMMYFUNCTION("""COMPUTED_VALUE"""),41123.6666666666)</f>
        <v>41123.666666666599</v>
      </c>
      <c r="B1912" s="1">
        <f ca="1">IFERROR(__xludf.DUMMYFUNCTION("""COMPUTED_VALUE"""),21.71)</f>
        <v>21.71</v>
      </c>
    </row>
    <row r="1913" spans="1:2">
      <c r="A1913" s="3">
        <f ca="1">IFERROR(__xludf.DUMMYFUNCTION("""COMPUTED_VALUE"""),41124.6666666666)</f>
        <v>41124.666666666599</v>
      </c>
      <c r="B1913" s="1">
        <f ca="1">IFERROR(__xludf.DUMMYFUNCTION("""COMPUTED_VALUE"""),21.99)</f>
        <v>21.99</v>
      </c>
    </row>
    <row r="1914" spans="1:2">
      <c r="A1914" s="3">
        <f ca="1">IFERROR(__xludf.DUMMYFUNCTION("""COMPUTED_VALUE"""),41127.6666666666)</f>
        <v>41127.666666666599</v>
      </c>
      <c r="B1914" s="1">
        <f ca="1">IFERROR(__xludf.DUMMYFUNCTION("""COMPUTED_VALUE"""),22.23)</f>
        <v>22.23</v>
      </c>
    </row>
    <row r="1915" spans="1:2">
      <c r="A1915" s="3">
        <f ca="1">IFERROR(__xludf.DUMMYFUNCTION("""COMPUTED_VALUE"""),41128.6666666666)</f>
        <v>41128.666666666599</v>
      </c>
      <c r="B1915" s="1">
        <f ca="1">IFERROR(__xludf.DUMMYFUNCTION("""COMPUTED_VALUE"""),22.18)</f>
        <v>22.18</v>
      </c>
    </row>
    <row r="1916" spans="1:2">
      <c r="A1916" s="3">
        <f ca="1">IFERROR(__xludf.DUMMYFUNCTION("""COMPUTED_VALUE"""),41129.6666666666)</f>
        <v>41129.666666666599</v>
      </c>
      <c r="B1916" s="1">
        <f ca="1">IFERROR(__xludf.DUMMYFUNCTION("""COMPUTED_VALUE"""),22.14)</f>
        <v>22.14</v>
      </c>
    </row>
    <row r="1917" spans="1:2">
      <c r="A1917" s="3">
        <f ca="1">IFERROR(__xludf.DUMMYFUNCTION("""COMPUTED_VALUE"""),41130.6666666666)</f>
        <v>41130.666666666599</v>
      </c>
      <c r="B1917" s="1">
        <f ca="1">IFERROR(__xludf.DUMMYFUNCTION("""COMPUTED_VALUE"""),22.17)</f>
        <v>22.17</v>
      </c>
    </row>
    <row r="1918" spans="1:2">
      <c r="A1918" s="3">
        <f ca="1">IFERROR(__xludf.DUMMYFUNCTION("""COMPUTED_VALUE"""),41131.6666666666)</f>
        <v>41131.666666666599</v>
      </c>
      <c r="B1918" s="1">
        <f ca="1">IFERROR(__xludf.DUMMYFUNCTION("""COMPUTED_VALUE"""),22.2)</f>
        <v>22.2</v>
      </c>
    </row>
    <row r="1919" spans="1:2">
      <c r="A1919" s="3">
        <f ca="1">IFERROR(__xludf.DUMMYFUNCTION("""COMPUTED_VALUE"""),41134.6666666666)</f>
        <v>41134.666666666599</v>
      </c>
      <c r="B1919" s="1">
        <f ca="1">IFERROR(__xludf.DUMMYFUNCTION("""COMPUTED_VALUE"""),22.5)</f>
        <v>22.5</v>
      </c>
    </row>
    <row r="1920" spans="1:2">
      <c r="A1920" s="3">
        <f ca="1">IFERROR(__xludf.DUMMYFUNCTION("""COMPUTED_VALUE"""),41135.6666666666)</f>
        <v>41135.666666666599</v>
      </c>
      <c r="B1920" s="1">
        <f ca="1">IFERROR(__xludf.DUMMYFUNCTION("""COMPUTED_VALUE"""),22.56)</f>
        <v>22.56</v>
      </c>
    </row>
    <row r="1921" spans="1:2">
      <c r="A1921" s="3">
        <f ca="1">IFERROR(__xludf.DUMMYFUNCTION("""COMPUTED_VALUE"""),41136.6666666666)</f>
        <v>41136.666666666599</v>
      </c>
      <c r="B1921" s="1">
        <f ca="1">IFERROR(__xludf.DUMMYFUNCTION("""COMPUTED_VALUE"""),22.53)</f>
        <v>22.53</v>
      </c>
    </row>
    <row r="1922" spans="1:2">
      <c r="A1922" s="3">
        <f ca="1">IFERROR(__xludf.DUMMYFUNCTION("""COMPUTED_VALUE"""),41137.6666666666)</f>
        <v>41137.666666666599</v>
      </c>
      <c r="B1922" s="1">
        <f ca="1">IFERROR(__xludf.DUMMYFUNCTION("""COMPUTED_VALUE"""),22.73)</f>
        <v>22.73</v>
      </c>
    </row>
    <row r="1923" spans="1:2">
      <c r="A1923" s="3">
        <f ca="1">IFERROR(__xludf.DUMMYFUNCTION("""COMPUTED_VALUE"""),41138.6666666666)</f>
        <v>41138.666666666599</v>
      </c>
      <c r="B1923" s="1">
        <f ca="1">IFERROR(__xludf.DUMMYFUNCTION("""COMPUTED_VALUE"""),23.15)</f>
        <v>23.15</v>
      </c>
    </row>
    <row r="1924" spans="1:2">
      <c r="A1924" s="3">
        <f ca="1">IFERROR(__xludf.DUMMYFUNCTION("""COMPUTED_VALUE"""),41141.6666666666)</f>
        <v>41141.666666666599</v>
      </c>
      <c r="B1924" s="1">
        <f ca="1">IFERROR(__xludf.DUMMYFUNCTION("""COMPUTED_VALUE"""),23.76)</f>
        <v>23.76</v>
      </c>
    </row>
    <row r="1925" spans="1:2">
      <c r="A1925" s="3">
        <f ca="1">IFERROR(__xludf.DUMMYFUNCTION("""COMPUTED_VALUE"""),41142.6666666666)</f>
        <v>41142.666666666599</v>
      </c>
      <c r="B1925" s="1">
        <f ca="1">IFERROR(__xludf.DUMMYFUNCTION("""COMPUTED_VALUE"""),23.43)</f>
        <v>23.43</v>
      </c>
    </row>
    <row r="1926" spans="1:2">
      <c r="A1926" s="3">
        <f ca="1">IFERROR(__xludf.DUMMYFUNCTION("""COMPUTED_VALUE"""),41143.6666666666)</f>
        <v>41143.666666666599</v>
      </c>
      <c r="B1926" s="1">
        <f ca="1">IFERROR(__xludf.DUMMYFUNCTION("""COMPUTED_VALUE"""),23.89)</f>
        <v>23.89</v>
      </c>
    </row>
    <row r="1927" spans="1:2">
      <c r="A1927" s="3">
        <f ca="1">IFERROR(__xludf.DUMMYFUNCTION("""COMPUTED_VALUE"""),41144.6666666666)</f>
        <v>41144.666666666599</v>
      </c>
      <c r="B1927" s="1">
        <f ca="1">IFERROR(__xludf.DUMMYFUNCTION("""COMPUTED_VALUE"""),23.67)</f>
        <v>23.67</v>
      </c>
    </row>
    <row r="1928" spans="1:2">
      <c r="A1928" s="3">
        <f ca="1">IFERROR(__xludf.DUMMYFUNCTION("""COMPUTED_VALUE"""),41145.6666666666)</f>
        <v>41145.666666666599</v>
      </c>
      <c r="B1928" s="1">
        <f ca="1">IFERROR(__xludf.DUMMYFUNCTION("""COMPUTED_VALUE"""),23.69)</f>
        <v>23.69</v>
      </c>
    </row>
    <row r="1929" spans="1:2">
      <c r="A1929" s="3">
        <f ca="1">IFERROR(__xludf.DUMMYFUNCTION("""COMPUTED_VALUE"""),41148.6666666666)</f>
        <v>41148.666666666599</v>
      </c>
      <c r="B1929" s="1">
        <f ca="1">IFERROR(__xludf.DUMMYFUNCTION("""COMPUTED_VALUE"""),24.13)</f>
        <v>24.13</v>
      </c>
    </row>
    <row r="1930" spans="1:2">
      <c r="A1930" s="3">
        <f ca="1">IFERROR(__xludf.DUMMYFUNCTION("""COMPUTED_VALUE"""),41149.6666666666)</f>
        <v>41149.666666666599</v>
      </c>
      <c r="B1930" s="1">
        <f ca="1">IFERROR(__xludf.DUMMYFUNCTION("""COMPUTED_VALUE"""),24.1)</f>
        <v>24.1</v>
      </c>
    </row>
    <row r="1931" spans="1:2">
      <c r="A1931" s="3">
        <f ca="1">IFERROR(__xludf.DUMMYFUNCTION("""COMPUTED_VALUE"""),41150.6666666666)</f>
        <v>41150.666666666599</v>
      </c>
      <c r="B1931" s="1">
        <f ca="1">IFERROR(__xludf.DUMMYFUNCTION("""COMPUTED_VALUE"""),24.05)</f>
        <v>24.05</v>
      </c>
    </row>
    <row r="1932" spans="1:2">
      <c r="A1932" s="3">
        <f ca="1">IFERROR(__xludf.DUMMYFUNCTION("""COMPUTED_VALUE"""),41151.6666666666)</f>
        <v>41151.666666666599</v>
      </c>
      <c r="B1932" s="1">
        <f ca="1">IFERROR(__xludf.DUMMYFUNCTION("""COMPUTED_VALUE"""),23.71)</f>
        <v>23.71</v>
      </c>
    </row>
    <row r="1933" spans="1:2">
      <c r="A1933" s="3">
        <f ca="1">IFERROR(__xludf.DUMMYFUNCTION("""COMPUTED_VALUE"""),41152.6666666666)</f>
        <v>41152.666666666599</v>
      </c>
      <c r="B1933" s="1">
        <f ca="1">IFERROR(__xludf.DUMMYFUNCTION("""COMPUTED_VALUE"""),23.76)</f>
        <v>23.76</v>
      </c>
    </row>
    <row r="1934" spans="1:2">
      <c r="A1934" s="3">
        <f ca="1">IFERROR(__xludf.DUMMYFUNCTION("""COMPUTED_VALUE"""),41156.6666666666)</f>
        <v>41156.666666666599</v>
      </c>
      <c r="B1934" s="1">
        <f ca="1">IFERROR(__xludf.DUMMYFUNCTION("""COMPUTED_VALUE"""),24.11)</f>
        <v>24.11</v>
      </c>
    </row>
    <row r="1935" spans="1:2">
      <c r="A1935" s="3">
        <f ca="1">IFERROR(__xludf.DUMMYFUNCTION("""COMPUTED_VALUE"""),41157.6666666666)</f>
        <v>41157.666666666599</v>
      </c>
      <c r="B1935" s="1">
        <f ca="1">IFERROR(__xludf.DUMMYFUNCTION("""COMPUTED_VALUE"""),23.94)</f>
        <v>23.94</v>
      </c>
    </row>
    <row r="1936" spans="1:2">
      <c r="A1936" s="3">
        <f ca="1">IFERROR(__xludf.DUMMYFUNCTION("""COMPUTED_VALUE"""),41158.6666666666)</f>
        <v>41158.666666666599</v>
      </c>
      <c r="B1936" s="1">
        <f ca="1">IFERROR(__xludf.DUMMYFUNCTION("""COMPUTED_VALUE"""),24.15)</f>
        <v>24.15</v>
      </c>
    </row>
    <row r="1937" spans="1:2">
      <c r="A1937" s="3">
        <f ca="1">IFERROR(__xludf.DUMMYFUNCTION("""COMPUTED_VALUE"""),41159.6666666666)</f>
        <v>41159.666666666599</v>
      </c>
      <c r="B1937" s="1">
        <f ca="1">IFERROR(__xludf.DUMMYFUNCTION("""COMPUTED_VALUE"""),24.3)</f>
        <v>24.3</v>
      </c>
    </row>
    <row r="1938" spans="1:2">
      <c r="A1938" s="3">
        <f ca="1">IFERROR(__xludf.DUMMYFUNCTION("""COMPUTED_VALUE"""),41162.6666666666)</f>
        <v>41162.666666666599</v>
      </c>
      <c r="B1938" s="1">
        <f ca="1">IFERROR(__xludf.DUMMYFUNCTION("""COMPUTED_VALUE"""),23.67)</f>
        <v>23.67</v>
      </c>
    </row>
    <row r="1939" spans="1:2">
      <c r="A1939" s="3">
        <f ca="1">IFERROR(__xludf.DUMMYFUNCTION("""COMPUTED_VALUE"""),41163.6666666666)</f>
        <v>41163.666666666599</v>
      </c>
      <c r="B1939" s="1">
        <f ca="1">IFERROR(__xludf.DUMMYFUNCTION("""COMPUTED_VALUE"""),23.59)</f>
        <v>23.59</v>
      </c>
    </row>
    <row r="1940" spans="1:2">
      <c r="A1940" s="3">
        <f ca="1">IFERROR(__xludf.DUMMYFUNCTION("""COMPUTED_VALUE"""),41164.6666666666)</f>
        <v>41164.666666666599</v>
      </c>
      <c r="B1940" s="1">
        <f ca="1">IFERROR(__xludf.DUMMYFUNCTION("""COMPUTED_VALUE"""),23.92)</f>
        <v>23.92</v>
      </c>
    </row>
    <row r="1941" spans="1:2">
      <c r="A1941" s="3">
        <f ca="1">IFERROR(__xludf.DUMMYFUNCTION("""COMPUTED_VALUE"""),41165.6666666666)</f>
        <v>41165.666666666599</v>
      </c>
      <c r="B1941" s="1">
        <f ca="1">IFERROR(__xludf.DUMMYFUNCTION("""COMPUTED_VALUE"""),24.39)</f>
        <v>24.39</v>
      </c>
    </row>
    <row r="1942" spans="1:2">
      <c r="A1942" s="3">
        <f ca="1">IFERROR(__xludf.DUMMYFUNCTION("""COMPUTED_VALUE"""),41166.6666666666)</f>
        <v>41166.666666666599</v>
      </c>
      <c r="B1942" s="1">
        <f ca="1">IFERROR(__xludf.DUMMYFUNCTION("""COMPUTED_VALUE"""),24.69)</f>
        <v>24.69</v>
      </c>
    </row>
    <row r="1943" spans="1:2">
      <c r="A1943" s="3">
        <f ca="1">IFERROR(__xludf.DUMMYFUNCTION("""COMPUTED_VALUE"""),41169.6666666666)</f>
        <v>41169.666666666599</v>
      </c>
      <c r="B1943" s="1">
        <f ca="1">IFERROR(__xludf.DUMMYFUNCTION("""COMPUTED_VALUE"""),24.99)</f>
        <v>24.99</v>
      </c>
    </row>
    <row r="1944" spans="1:2">
      <c r="A1944" s="3">
        <f ca="1">IFERROR(__xludf.DUMMYFUNCTION("""COMPUTED_VALUE"""),41170.6666666666)</f>
        <v>41170.666666666599</v>
      </c>
      <c r="B1944" s="1">
        <f ca="1">IFERROR(__xludf.DUMMYFUNCTION("""COMPUTED_VALUE"""),25.07)</f>
        <v>25.07</v>
      </c>
    </row>
    <row r="1945" spans="1:2">
      <c r="A1945" s="3">
        <f ca="1">IFERROR(__xludf.DUMMYFUNCTION("""COMPUTED_VALUE"""),41171.6666666666)</f>
        <v>41171.666666666599</v>
      </c>
      <c r="B1945" s="1">
        <f ca="1">IFERROR(__xludf.DUMMYFUNCTION("""COMPUTED_VALUE"""),25.08)</f>
        <v>25.08</v>
      </c>
    </row>
    <row r="1946" spans="1:2">
      <c r="A1946" s="3">
        <f ca="1">IFERROR(__xludf.DUMMYFUNCTION("""COMPUTED_VALUE"""),41172.6666666666)</f>
        <v>41172.666666666599</v>
      </c>
      <c r="B1946" s="1">
        <f ca="1">IFERROR(__xludf.DUMMYFUNCTION("""COMPUTED_VALUE"""),24.95)</f>
        <v>24.95</v>
      </c>
    </row>
    <row r="1947" spans="1:2">
      <c r="A1947" s="3">
        <f ca="1">IFERROR(__xludf.DUMMYFUNCTION("""COMPUTED_VALUE"""),41173.6666666666)</f>
        <v>41173.666666666599</v>
      </c>
      <c r="B1947" s="1">
        <f ca="1">IFERROR(__xludf.DUMMYFUNCTION("""COMPUTED_VALUE"""),25)</f>
        <v>25</v>
      </c>
    </row>
    <row r="1948" spans="1:2">
      <c r="A1948" s="3">
        <f ca="1">IFERROR(__xludf.DUMMYFUNCTION("""COMPUTED_VALUE"""),41176.6666666666)</f>
        <v>41176.666666666599</v>
      </c>
      <c r="B1948" s="1">
        <f ca="1">IFERROR(__xludf.DUMMYFUNCTION("""COMPUTED_VALUE"""),24.67)</f>
        <v>24.67</v>
      </c>
    </row>
    <row r="1949" spans="1:2">
      <c r="A1949" s="3">
        <f ca="1">IFERROR(__xludf.DUMMYFUNCTION("""COMPUTED_VALUE"""),41177.6666666666)</f>
        <v>41177.666666666599</v>
      </c>
      <c r="B1949" s="1">
        <f ca="1">IFERROR(__xludf.DUMMYFUNCTION("""COMPUTED_VALUE"""),24.05)</f>
        <v>24.05</v>
      </c>
    </row>
    <row r="1950" spans="1:2">
      <c r="A1950" s="3">
        <f ca="1">IFERROR(__xludf.DUMMYFUNCTION("""COMPUTED_VALUE"""),41178.6666666666)</f>
        <v>41178.666666666599</v>
      </c>
      <c r="B1950" s="1">
        <f ca="1">IFERROR(__xludf.DUMMYFUNCTION("""COMPUTED_VALUE"""),23.76)</f>
        <v>23.76</v>
      </c>
    </row>
    <row r="1951" spans="1:2">
      <c r="A1951" s="3">
        <f ca="1">IFERROR(__xludf.DUMMYFUNCTION("""COMPUTED_VALUE"""),41179.6666666666)</f>
        <v>41179.666666666599</v>
      </c>
      <c r="B1951" s="1">
        <f ca="1">IFERROR(__xludf.DUMMYFUNCTION("""COMPUTED_VALUE"""),24.33)</f>
        <v>24.33</v>
      </c>
    </row>
    <row r="1952" spans="1:2">
      <c r="A1952" s="3">
        <f ca="1">IFERROR(__xludf.DUMMYFUNCTION("""COMPUTED_VALUE"""),41180.6666666666)</f>
        <v>41180.666666666599</v>
      </c>
      <c r="B1952" s="1">
        <f ca="1">IFERROR(__xludf.DUMMYFUNCTION("""COMPUTED_VALUE"""),23.83)</f>
        <v>23.83</v>
      </c>
    </row>
    <row r="1953" spans="1:2">
      <c r="A1953" s="3">
        <f ca="1">IFERROR(__xludf.DUMMYFUNCTION("""COMPUTED_VALUE"""),41183.6666666666)</f>
        <v>41183.666666666599</v>
      </c>
      <c r="B1953" s="1">
        <f ca="1">IFERROR(__xludf.DUMMYFUNCTION("""COMPUTED_VALUE"""),23.55)</f>
        <v>23.55</v>
      </c>
    </row>
    <row r="1954" spans="1:2">
      <c r="A1954" s="3">
        <f ca="1">IFERROR(__xludf.DUMMYFUNCTION("""COMPUTED_VALUE"""),41184.6666666666)</f>
        <v>41184.666666666599</v>
      </c>
      <c r="B1954" s="1">
        <f ca="1">IFERROR(__xludf.DUMMYFUNCTION("""COMPUTED_VALUE"""),23.62)</f>
        <v>23.62</v>
      </c>
    </row>
    <row r="1955" spans="1:2">
      <c r="A1955" s="3">
        <f ca="1">IFERROR(__xludf.DUMMYFUNCTION("""COMPUTED_VALUE"""),41185.6666666666)</f>
        <v>41185.666666666599</v>
      </c>
      <c r="B1955" s="1">
        <f ca="1">IFERROR(__xludf.DUMMYFUNCTION("""COMPUTED_VALUE"""),23.98)</f>
        <v>23.98</v>
      </c>
    </row>
    <row r="1956" spans="1:2">
      <c r="A1956" s="3">
        <f ca="1">IFERROR(__xludf.DUMMYFUNCTION("""COMPUTED_VALUE"""),41186.6666666666)</f>
        <v>41186.666666666599</v>
      </c>
      <c r="B1956" s="1">
        <f ca="1">IFERROR(__xludf.DUMMYFUNCTION("""COMPUTED_VALUE"""),23.81)</f>
        <v>23.81</v>
      </c>
    </row>
    <row r="1957" spans="1:2">
      <c r="A1957" s="3">
        <f ca="1">IFERROR(__xludf.DUMMYFUNCTION("""COMPUTED_VALUE"""),41187.6666666666)</f>
        <v>41187.666666666599</v>
      </c>
      <c r="B1957" s="1">
        <f ca="1">IFERROR(__xludf.DUMMYFUNCTION("""COMPUTED_VALUE"""),23.31)</f>
        <v>23.31</v>
      </c>
    </row>
    <row r="1958" spans="1:2">
      <c r="A1958" s="3">
        <f ca="1">IFERROR(__xludf.DUMMYFUNCTION("""COMPUTED_VALUE"""),41190.6666666666)</f>
        <v>41190.666666666599</v>
      </c>
      <c r="B1958" s="1">
        <f ca="1">IFERROR(__xludf.DUMMYFUNCTION("""COMPUTED_VALUE"""),22.79)</f>
        <v>22.79</v>
      </c>
    </row>
    <row r="1959" spans="1:2">
      <c r="A1959" s="3">
        <f ca="1">IFERROR(__xludf.DUMMYFUNCTION("""COMPUTED_VALUE"""),41191.6666666666)</f>
        <v>41191.666666666599</v>
      </c>
      <c r="B1959" s="1">
        <f ca="1">IFERROR(__xludf.DUMMYFUNCTION("""COMPUTED_VALUE"""),22.71)</f>
        <v>22.71</v>
      </c>
    </row>
    <row r="1960" spans="1:2">
      <c r="A1960" s="3">
        <f ca="1">IFERROR(__xludf.DUMMYFUNCTION("""COMPUTED_VALUE"""),41192.6666666666)</f>
        <v>41192.666666666599</v>
      </c>
      <c r="B1960" s="1">
        <f ca="1">IFERROR(__xludf.DUMMYFUNCTION("""COMPUTED_VALUE"""),22.89)</f>
        <v>22.89</v>
      </c>
    </row>
    <row r="1961" spans="1:2">
      <c r="A1961" s="3">
        <f ca="1">IFERROR(__xludf.DUMMYFUNCTION("""COMPUTED_VALUE"""),41193.6666666666)</f>
        <v>41193.666666666599</v>
      </c>
      <c r="B1961" s="1">
        <f ca="1">IFERROR(__xludf.DUMMYFUNCTION("""COMPUTED_VALUE"""),22.43)</f>
        <v>22.43</v>
      </c>
    </row>
    <row r="1962" spans="1:2">
      <c r="A1962" s="3">
        <f ca="1">IFERROR(__xludf.DUMMYFUNCTION("""COMPUTED_VALUE"""),41194.6666666666)</f>
        <v>41194.666666666599</v>
      </c>
      <c r="B1962" s="1">
        <f ca="1">IFERROR(__xludf.DUMMYFUNCTION("""COMPUTED_VALUE"""),22.49)</f>
        <v>22.49</v>
      </c>
    </row>
    <row r="1963" spans="1:2">
      <c r="A1963" s="3">
        <f ca="1">IFERROR(__xludf.DUMMYFUNCTION("""COMPUTED_VALUE"""),41197.6666666666)</f>
        <v>41197.666666666599</v>
      </c>
      <c r="B1963" s="1">
        <f ca="1">IFERROR(__xludf.DUMMYFUNCTION("""COMPUTED_VALUE"""),22.67)</f>
        <v>22.67</v>
      </c>
    </row>
    <row r="1964" spans="1:2">
      <c r="A1964" s="3">
        <f ca="1">IFERROR(__xludf.DUMMYFUNCTION("""COMPUTED_VALUE"""),41198.6666666666)</f>
        <v>41198.666666666599</v>
      </c>
      <c r="B1964" s="1">
        <f ca="1">IFERROR(__xludf.DUMMYFUNCTION("""COMPUTED_VALUE"""),23.21)</f>
        <v>23.21</v>
      </c>
    </row>
    <row r="1965" spans="1:2">
      <c r="A1965" s="3">
        <f ca="1">IFERROR(__xludf.DUMMYFUNCTION("""COMPUTED_VALUE"""),41199.6666666666)</f>
        <v>41199.666666666599</v>
      </c>
      <c r="B1965" s="1">
        <f ca="1">IFERROR(__xludf.DUMMYFUNCTION("""COMPUTED_VALUE"""),23.02)</f>
        <v>23.02</v>
      </c>
    </row>
    <row r="1966" spans="1:2">
      <c r="A1966" s="3">
        <f ca="1">IFERROR(__xludf.DUMMYFUNCTION("""COMPUTED_VALUE"""),41200.6666666666)</f>
        <v>41200.666666666599</v>
      </c>
      <c r="B1966" s="1">
        <f ca="1">IFERROR(__xludf.DUMMYFUNCTION("""COMPUTED_VALUE"""),22.59)</f>
        <v>22.59</v>
      </c>
    </row>
    <row r="1967" spans="1:2">
      <c r="A1967" s="3">
        <f ca="1">IFERROR(__xludf.DUMMYFUNCTION("""COMPUTED_VALUE"""),41201.6666666666)</f>
        <v>41201.666666666599</v>
      </c>
      <c r="B1967" s="1">
        <f ca="1">IFERROR(__xludf.DUMMYFUNCTION("""COMPUTED_VALUE"""),21.78)</f>
        <v>21.78</v>
      </c>
    </row>
    <row r="1968" spans="1:2">
      <c r="A1968" s="3">
        <f ca="1">IFERROR(__xludf.DUMMYFUNCTION("""COMPUTED_VALUE"""),41204.6666666666)</f>
        <v>41204.666666666599</v>
      </c>
      <c r="B1968" s="1">
        <f ca="1">IFERROR(__xludf.DUMMYFUNCTION("""COMPUTED_VALUE"""),22.64)</f>
        <v>22.64</v>
      </c>
    </row>
    <row r="1969" spans="1:2">
      <c r="A1969" s="3">
        <f ca="1">IFERROR(__xludf.DUMMYFUNCTION("""COMPUTED_VALUE"""),41205.6666666666)</f>
        <v>41205.666666666599</v>
      </c>
      <c r="B1969" s="1">
        <f ca="1">IFERROR(__xludf.DUMMYFUNCTION("""COMPUTED_VALUE"""),21.91)</f>
        <v>21.91</v>
      </c>
    </row>
    <row r="1970" spans="1:2">
      <c r="A1970" s="3">
        <f ca="1">IFERROR(__xludf.DUMMYFUNCTION("""COMPUTED_VALUE"""),41206.6666666666)</f>
        <v>41206.666666666599</v>
      </c>
      <c r="B1970" s="1">
        <f ca="1">IFERROR(__xludf.DUMMYFUNCTION("""COMPUTED_VALUE"""),22.03)</f>
        <v>22.03</v>
      </c>
    </row>
    <row r="1971" spans="1:2">
      <c r="A1971" s="3">
        <f ca="1">IFERROR(__xludf.DUMMYFUNCTION("""COMPUTED_VALUE"""),41207.6666666666)</f>
        <v>41207.666666666599</v>
      </c>
      <c r="B1971" s="1">
        <f ca="1">IFERROR(__xludf.DUMMYFUNCTION("""COMPUTED_VALUE"""),21.77)</f>
        <v>21.77</v>
      </c>
    </row>
    <row r="1972" spans="1:2">
      <c r="A1972" s="3">
        <f ca="1">IFERROR(__xludf.DUMMYFUNCTION("""COMPUTED_VALUE"""),41208.6666666666)</f>
        <v>41208.666666666599</v>
      </c>
      <c r="B1972" s="1">
        <f ca="1">IFERROR(__xludf.DUMMYFUNCTION("""COMPUTED_VALUE"""),21.57)</f>
        <v>21.57</v>
      </c>
    </row>
    <row r="1973" spans="1:2">
      <c r="A1973" s="3">
        <f ca="1">IFERROR(__xludf.DUMMYFUNCTION("""COMPUTED_VALUE"""),41213.6666666666)</f>
        <v>41213.666666666599</v>
      </c>
      <c r="B1973" s="1">
        <f ca="1">IFERROR(__xludf.DUMMYFUNCTION("""COMPUTED_VALUE"""),21.26)</f>
        <v>21.26</v>
      </c>
    </row>
    <row r="1974" spans="1:2">
      <c r="A1974" s="3">
        <f ca="1">IFERROR(__xludf.DUMMYFUNCTION("""COMPUTED_VALUE"""),41214.6666666666)</f>
        <v>41214.666666666599</v>
      </c>
      <c r="B1974" s="1">
        <f ca="1">IFERROR(__xludf.DUMMYFUNCTION("""COMPUTED_VALUE"""),21.3)</f>
        <v>21.3</v>
      </c>
    </row>
    <row r="1975" spans="1:2">
      <c r="A1975" s="3">
        <f ca="1">IFERROR(__xludf.DUMMYFUNCTION("""COMPUTED_VALUE"""),41215.6666666666)</f>
        <v>41215.666666666599</v>
      </c>
      <c r="B1975" s="1">
        <f ca="1">IFERROR(__xludf.DUMMYFUNCTION("""COMPUTED_VALUE"""),20.6)</f>
        <v>20.6</v>
      </c>
    </row>
    <row r="1976" spans="1:2">
      <c r="A1976" s="3">
        <f ca="1">IFERROR(__xludf.DUMMYFUNCTION("""COMPUTED_VALUE"""),41218.6666666666)</f>
        <v>41218.666666666599</v>
      </c>
      <c r="B1976" s="1">
        <f ca="1">IFERROR(__xludf.DUMMYFUNCTION("""COMPUTED_VALUE"""),20.88)</f>
        <v>20.88</v>
      </c>
    </row>
    <row r="1977" spans="1:2">
      <c r="A1977" s="3">
        <f ca="1">IFERROR(__xludf.DUMMYFUNCTION("""COMPUTED_VALUE"""),41219.6666666666)</f>
        <v>41219.666666666599</v>
      </c>
      <c r="B1977" s="1">
        <f ca="1">IFERROR(__xludf.DUMMYFUNCTION("""COMPUTED_VALUE"""),20.82)</f>
        <v>20.82</v>
      </c>
    </row>
    <row r="1978" spans="1:2">
      <c r="A1978" s="3">
        <f ca="1">IFERROR(__xludf.DUMMYFUNCTION("""COMPUTED_VALUE"""),41220.6666666666)</f>
        <v>41220.666666666599</v>
      </c>
      <c r="B1978" s="1">
        <f ca="1">IFERROR(__xludf.DUMMYFUNCTION("""COMPUTED_VALUE"""),19.93)</f>
        <v>19.93</v>
      </c>
    </row>
    <row r="1979" spans="1:2">
      <c r="A1979" s="3">
        <f ca="1">IFERROR(__xludf.DUMMYFUNCTION("""COMPUTED_VALUE"""),41221.6666666666)</f>
        <v>41221.666666666599</v>
      </c>
      <c r="B1979" s="1">
        <f ca="1">IFERROR(__xludf.DUMMYFUNCTION("""COMPUTED_VALUE"""),19.21)</f>
        <v>19.21</v>
      </c>
    </row>
    <row r="1980" spans="1:2">
      <c r="A1980" s="3">
        <f ca="1">IFERROR(__xludf.DUMMYFUNCTION("""COMPUTED_VALUE"""),41222.6666666666)</f>
        <v>41222.666666666599</v>
      </c>
      <c r="B1980" s="1">
        <f ca="1">IFERROR(__xludf.DUMMYFUNCTION("""COMPUTED_VALUE"""),19.54)</f>
        <v>19.54</v>
      </c>
    </row>
    <row r="1981" spans="1:2">
      <c r="A1981" s="3">
        <f ca="1">IFERROR(__xludf.DUMMYFUNCTION("""COMPUTED_VALUE"""),41225.6666666666)</f>
        <v>41225.666666666599</v>
      </c>
      <c r="B1981" s="1">
        <f ca="1">IFERROR(__xludf.DUMMYFUNCTION("""COMPUTED_VALUE"""),19.39)</f>
        <v>19.39</v>
      </c>
    </row>
    <row r="1982" spans="1:2">
      <c r="A1982" s="3">
        <f ca="1">IFERROR(__xludf.DUMMYFUNCTION("""COMPUTED_VALUE"""),41226.6666666666)</f>
        <v>41226.666666666599</v>
      </c>
      <c r="B1982" s="1">
        <f ca="1">IFERROR(__xludf.DUMMYFUNCTION("""COMPUTED_VALUE"""),19.39)</f>
        <v>19.39</v>
      </c>
    </row>
    <row r="1983" spans="1:2">
      <c r="A1983" s="3">
        <f ca="1">IFERROR(__xludf.DUMMYFUNCTION("""COMPUTED_VALUE"""),41227.6666666666)</f>
        <v>41227.666666666599</v>
      </c>
      <c r="B1983" s="1">
        <f ca="1">IFERROR(__xludf.DUMMYFUNCTION("""COMPUTED_VALUE"""),19.17)</f>
        <v>19.170000000000002</v>
      </c>
    </row>
    <row r="1984" spans="1:2">
      <c r="A1984" s="3">
        <f ca="1">IFERROR(__xludf.DUMMYFUNCTION("""COMPUTED_VALUE"""),41228.6666666666)</f>
        <v>41228.666666666599</v>
      </c>
      <c r="B1984" s="1">
        <f ca="1">IFERROR(__xludf.DUMMYFUNCTION("""COMPUTED_VALUE"""),18.77)</f>
        <v>18.77</v>
      </c>
    </row>
    <row r="1985" spans="1:2">
      <c r="A1985" s="3">
        <f ca="1">IFERROR(__xludf.DUMMYFUNCTION("""COMPUTED_VALUE"""),41229.6666666666)</f>
        <v>41229.666666666599</v>
      </c>
      <c r="B1985" s="1">
        <f ca="1">IFERROR(__xludf.DUMMYFUNCTION("""COMPUTED_VALUE"""),18.85)</f>
        <v>18.850000000000001</v>
      </c>
    </row>
    <row r="1986" spans="1:2">
      <c r="A1986" s="3">
        <f ca="1">IFERROR(__xludf.DUMMYFUNCTION("""COMPUTED_VALUE"""),41232.6666666666)</f>
        <v>41232.666666666599</v>
      </c>
      <c r="B1986" s="1">
        <f ca="1">IFERROR(__xludf.DUMMYFUNCTION("""COMPUTED_VALUE"""),20.2)</f>
        <v>20.2</v>
      </c>
    </row>
    <row r="1987" spans="1:2">
      <c r="A1987" s="3">
        <f ca="1">IFERROR(__xludf.DUMMYFUNCTION("""COMPUTED_VALUE"""),41233.6666666666)</f>
        <v>41233.666666666599</v>
      </c>
      <c r="B1987" s="1">
        <f ca="1">IFERROR(__xludf.DUMMYFUNCTION("""COMPUTED_VALUE"""),20.03)</f>
        <v>20.03</v>
      </c>
    </row>
    <row r="1988" spans="1:2">
      <c r="A1988" s="3">
        <f ca="1">IFERROR(__xludf.DUMMYFUNCTION("""COMPUTED_VALUE"""),41234.6666666666)</f>
        <v>41234.666666666599</v>
      </c>
      <c r="B1988" s="1">
        <f ca="1">IFERROR(__xludf.DUMMYFUNCTION("""COMPUTED_VALUE"""),20.06)</f>
        <v>20.059999999999999</v>
      </c>
    </row>
    <row r="1989" spans="1:2">
      <c r="A1989" s="3">
        <f ca="1">IFERROR(__xludf.DUMMYFUNCTION("""COMPUTED_VALUE"""),41236.6666666666)</f>
        <v>41236.666666666599</v>
      </c>
      <c r="B1989" s="1">
        <f ca="1">IFERROR(__xludf.DUMMYFUNCTION("""COMPUTED_VALUE"""),20.41)</f>
        <v>20.41</v>
      </c>
    </row>
    <row r="1990" spans="1:2">
      <c r="A1990" s="3">
        <f ca="1">IFERROR(__xludf.DUMMYFUNCTION("""COMPUTED_VALUE"""),41239.6666666666)</f>
        <v>41239.666666666599</v>
      </c>
      <c r="B1990" s="1">
        <f ca="1">IFERROR(__xludf.DUMMYFUNCTION("""COMPUTED_VALUE"""),21.05)</f>
        <v>21.05</v>
      </c>
    </row>
    <row r="1991" spans="1:2">
      <c r="A1991" s="3">
        <f ca="1">IFERROR(__xludf.DUMMYFUNCTION("""COMPUTED_VALUE"""),41240.6666666666)</f>
        <v>41240.666666666599</v>
      </c>
      <c r="B1991" s="1">
        <f ca="1">IFERROR(__xludf.DUMMYFUNCTION("""COMPUTED_VALUE"""),20.89)</f>
        <v>20.89</v>
      </c>
    </row>
    <row r="1992" spans="1:2">
      <c r="A1992" s="3">
        <f ca="1">IFERROR(__xludf.DUMMYFUNCTION("""COMPUTED_VALUE"""),41241.6666666666)</f>
        <v>41241.666666666599</v>
      </c>
      <c r="B1992" s="1">
        <f ca="1">IFERROR(__xludf.DUMMYFUNCTION("""COMPUTED_VALUE"""),20.82)</f>
        <v>20.82</v>
      </c>
    </row>
    <row r="1993" spans="1:2">
      <c r="A1993" s="3">
        <f ca="1">IFERROR(__xludf.DUMMYFUNCTION("""COMPUTED_VALUE"""),41242.6666666666)</f>
        <v>41242.666666666599</v>
      </c>
      <c r="B1993" s="1">
        <f ca="1">IFERROR(__xludf.DUMMYFUNCTION("""COMPUTED_VALUE"""),21.05)</f>
        <v>21.05</v>
      </c>
    </row>
    <row r="1994" spans="1:2">
      <c r="A1994" s="3">
        <f ca="1">IFERROR(__xludf.DUMMYFUNCTION("""COMPUTED_VALUE"""),41243.6666666666)</f>
        <v>41243.666666666599</v>
      </c>
      <c r="B1994" s="1">
        <f ca="1">IFERROR(__xludf.DUMMYFUNCTION("""COMPUTED_VALUE"""),20.9)</f>
        <v>20.9</v>
      </c>
    </row>
    <row r="1995" spans="1:2">
      <c r="A1995" s="3">
        <f ca="1">IFERROR(__xludf.DUMMYFUNCTION("""COMPUTED_VALUE"""),41246.6666666666)</f>
        <v>41246.666666666599</v>
      </c>
      <c r="B1995" s="1">
        <f ca="1">IFERROR(__xludf.DUMMYFUNCTION("""COMPUTED_VALUE"""),20.94)</f>
        <v>20.94</v>
      </c>
    </row>
    <row r="1996" spans="1:2">
      <c r="A1996" s="3">
        <f ca="1">IFERROR(__xludf.DUMMYFUNCTION("""COMPUTED_VALUE"""),41247.6666666666)</f>
        <v>41247.666666666599</v>
      </c>
      <c r="B1996" s="1">
        <f ca="1">IFERROR(__xludf.DUMMYFUNCTION("""COMPUTED_VALUE"""),20.57)</f>
        <v>20.57</v>
      </c>
    </row>
    <row r="1997" spans="1:2">
      <c r="A1997" s="3">
        <f ca="1">IFERROR(__xludf.DUMMYFUNCTION("""COMPUTED_VALUE"""),41248.6666666666)</f>
        <v>41248.666666666599</v>
      </c>
      <c r="B1997" s="1">
        <f ca="1">IFERROR(__xludf.DUMMYFUNCTION("""COMPUTED_VALUE"""),19.24)</f>
        <v>19.239999999999998</v>
      </c>
    </row>
    <row r="1998" spans="1:2">
      <c r="A1998" s="3">
        <f ca="1">IFERROR(__xludf.DUMMYFUNCTION("""COMPUTED_VALUE"""),41249.6666666666)</f>
        <v>41249.666666666599</v>
      </c>
      <c r="B1998" s="1">
        <f ca="1">IFERROR(__xludf.DUMMYFUNCTION("""COMPUTED_VALUE"""),19.54)</f>
        <v>19.54</v>
      </c>
    </row>
    <row r="1999" spans="1:2">
      <c r="A1999" s="3">
        <f ca="1">IFERROR(__xludf.DUMMYFUNCTION("""COMPUTED_VALUE"""),41250.6666666666)</f>
        <v>41250.666666666599</v>
      </c>
      <c r="B1999" s="1">
        <f ca="1">IFERROR(__xludf.DUMMYFUNCTION("""COMPUTED_VALUE"""),19.04)</f>
        <v>19.04</v>
      </c>
    </row>
    <row r="2000" spans="1:2">
      <c r="A2000" s="3">
        <f ca="1">IFERROR(__xludf.DUMMYFUNCTION("""COMPUTED_VALUE"""),41253.6666666666)</f>
        <v>41253.666666666599</v>
      </c>
      <c r="B2000" s="1">
        <f ca="1">IFERROR(__xludf.DUMMYFUNCTION("""COMPUTED_VALUE"""),18.92)</f>
        <v>18.920000000000002</v>
      </c>
    </row>
    <row r="2001" spans="1:2">
      <c r="A2001" s="3">
        <f ca="1">IFERROR(__xludf.DUMMYFUNCTION("""COMPUTED_VALUE"""),41254.6666666666)</f>
        <v>41254.666666666599</v>
      </c>
      <c r="B2001" s="1">
        <f ca="1">IFERROR(__xludf.DUMMYFUNCTION("""COMPUTED_VALUE"""),19.34)</f>
        <v>19.34</v>
      </c>
    </row>
    <row r="2002" spans="1:2">
      <c r="A2002" s="3">
        <f ca="1">IFERROR(__xludf.DUMMYFUNCTION("""COMPUTED_VALUE"""),41255.6666666666)</f>
        <v>41255.666666666599</v>
      </c>
      <c r="B2002" s="1">
        <f ca="1">IFERROR(__xludf.DUMMYFUNCTION("""COMPUTED_VALUE"""),19.25)</f>
        <v>19.25</v>
      </c>
    </row>
    <row r="2003" spans="1:2">
      <c r="A2003" s="3">
        <f ca="1">IFERROR(__xludf.DUMMYFUNCTION("""COMPUTED_VALUE"""),41256.6666666666)</f>
        <v>41256.666666666599</v>
      </c>
      <c r="B2003" s="1">
        <f ca="1">IFERROR(__xludf.DUMMYFUNCTION("""COMPUTED_VALUE"""),18.92)</f>
        <v>18.920000000000002</v>
      </c>
    </row>
    <row r="2004" spans="1:2">
      <c r="A2004" s="3">
        <f ca="1">IFERROR(__xludf.DUMMYFUNCTION("""COMPUTED_VALUE"""),41257.6666666666)</f>
        <v>41257.666666666599</v>
      </c>
      <c r="B2004" s="1">
        <f ca="1">IFERROR(__xludf.DUMMYFUNCTION("""COMPUTED_VALUE"""),18.21)</f>
        <v>18.21</v>
      </c>
    </row>
    <row r="2005" spans="1:2">
      <c r="A2005" s="3">
        <f ca="1">IFERROR(__xludf.DUMMYFUNCTION("""COMPUTED_VALUE"""),41260.6666666666)</f>
        <v>41260.666666666599</v>
      </c>
      <c r="B2005" s="1">
        <f ca="1">IFERROR(__xludf.DUMMYFUNCTION("""COMPUTED_VALUE"""),18.53)</f>
        <v>18.53</v>
      </c>
    </row>
    <row r="2006" spans="1:2">
      <c r="A2006" s="3">
        <f ca="1">IFERROR(__xludf.DUMMYFUNCTION("""COMPUTED_VALUE"""),41261.6666666666)</f>
        <v>41261.666666666599</v>
      </c>
      <c r="B2006" s="1">
        <f ca="1">IFERROR(__xludf.DUMMYFUNCTION("""COMPUTED_VALUE"""),19.07)</f>
        <v>19.07</v>
      </c>
    </row>
    <row r="2007" spans="1:2">
      <c r="A2007" s="3">
        <f ca="1">IFERROR(__xludf.DUMMYFUNCTION("""COMPUTED_VALUE"""),41262.6666666666)</f>
        <v>41262.666666666599</v>
      </c>
      <c r="B2007" s="1">
        <f ca="1">IFERROR(__xludf.DUMMYFUNCTION("""COMPUTED_VALUE"""),18.8)</f>
        <v>18.8</v>
      </c>
    </row>
    <row r="2008" spans="1:2">
      <c r="A2008" s="3">
        <f ca="1">IFERROR(__xludf.DUMMYFUNCTION("""COMPUTED_VALUE"""),41263.6666666666)</f>
        <v>41263.666666666599</v>
      </c>
      <c r="B2008" s="1">
        <f ca="1">IFERROR(__xludf.DUMMYFUNCTION("""COMPUTED_VALUE"""),18.63)</f>
        <v>18.63</v>
      </c>
    </row>
    <row r="2009" spans="1:2">
      <c r="A2009" s="3">
        <f ca="1">IFERROR(__xludf.DUMMYFUNCTION("""COMPUTED_VALUE"""),41264.6666666666)</f>
        <v>41264.666666666599</v>
      </c>
      <c r="B2009" s="1">
        <f ca="1">IFERROR(__xludf.DUMMYFUNCTION("""COMPUTED_VALUE"""),18.55)</f>
        <v>18.55</v>
      </c>
    </row>
    <row r="2010" spans="1:2">
      <c r="A2010" s="3">
        <f ca="1">IFERROR(__xludf.DUMMYFUNCTION("""COMPUTED_VALUE"""),41267.6666666666)</f>
        <v>41267.666666666599</v>
      </c>
      <c r="B2010" s="1">
        <f ca="1">IFERROR(__xludf.DUMMYFUNCTION("""COMPUTED_VALUE"""),18.58)</f>
        <v>18.579999999999998</v>
      </c>
    </row>
    <row r="2011" spans="1:2">
      <c r="A2011" s="3">
        <f ca="1">IFERROR(__xludf.DUMMYFUNCTION("""COMPUTED_VALUE"""),41269.6666666666)</f>
        <v>41269.666666666599</v>
      </c>
      <c r="B2011" s="1">
        <f ca="1">IFERROR(__xludf.DUMMYFUNCTION("""COMPUTED_VALUE"""),18.32)</f>
        <v>18.32</v>
      </c>
    </row>
    <row r="2012" spans="1:2">
      <c r="A2012" s="3">
        <f ca="1">IFERROR(__xludf.DUMMYFUNCTION("""COMPUTED_VALUE"""),41270.6666666666)</f>
        <v>41270.666666666599</v>
      </c>
      <c r="B2012" s="1">
        <f ca="1">IFERROR(__xludf.DUMMYFUNCTION("""COMPUTED_VALUE"""),18.4)</f>
        <v>18.399999999999999</v>
      </c>
    </row>
    <row r="2013" spans="1:2">
      <c r="A2013" s="3">
        <f ca="1">IFERROR(__xludf.DUMMYFUNCTION("""COMPUTED_VALUE"""),41271.6666666666)</f>
        <v>41271.666666666599</v>
      </c>
      <c r="B2013" s="1">
        <f ca="1">IFERROR(__xludf.DUMMYFUNCTION("""COMPUTED_VALUE"""),18.2)</f>
        <v>18.2</v>
      </c>
    </row>
    <row r="2014" spans="1:2">
      <c r="A2014" s="3">
        <f ca="1">IFERROR(__xludf.DUMMYFUNCTION("""COMPUTED_VALUE"""),41274.6666666666)</f>
        <v>41274.666666666599</v>
      </c>
      <c r="B2014" s="1">
        <f ca="1">IFERROR(__xludf.DUMMYFUNCTION("""COMPUTED_VALUE"""),19.01)</f>
        <v>19.010000000000002</v>
      </c>
    </row>
    <row r="2015" spans="1:2">
      <c r="A2015" s="3">
        <f ca="1">IFERROR(__xludf.DUMMYFUNCTION("""COMPUTED_VALUE"""),41276.6666666666)</f>
        <v>41276.666666666599</v>
      </c>
      <c r="B2015" s="1">
        <f ca="1">IFERROR(__xludf.DUMMYFUNCTION("""COMPUTED_VALUE"""),19.61)</f>
        <v>19.61</v>
      </c>
    </row>
    <row r="2016" spans="1:2">
      <c r="A2016" s="3">
        <f ca="1">IFERROR(__xludf.DUMMYFUNCTION("""COMPUTED_VALUE"""),41277.6666666666)</f>
        <v>41277.666666666599</v>
      </c>
      <c r="B2016" s="1">
        <f ca="1">IFERROR(__xludf.DUMMYFUNCTION("""COMPUTED_VALUE"""),19.36)</f>
        <v>19.36</v>
      </c>
    </row>
    <row r="2017" spans="1:2">
      <c r="A2017" s="3">
        <f ca="1">IFERROR(__xludf.DUMMYFUNCTION("""COMPUTED_VALUE"""),41278.6666666666)</f>
        <v>41278.666666666599</v>
      </c>
      <c r="B2017" s="1">
        <f ca="1">IFERROR(__xludf.DUMMYFUNCTION("""COMPUTED_VALUE"""),18.82)</f>
        <v>18.82</v>
      </c>
    </row>
    <row r="2018" spans="1:2">
      <c r="A2018" s="3">
        <f ca="1">IFERROR(__xludf.DUMMYFUNCTION("""COMPUTED_VALUE"""),41281.6666666666)</f>
        <v>41281.666666666599</v>
      </c>
      <c r="B2018" s="1">
        <f ca="1">IFERROR(__xludf.DUMMYFUNCTION("""COMPUTED_VALUE"""),18.71)</f>
        <v>18.71</v>
      </c>
    </row>
    <row r="2019" spans="1:2">
      <c r="A2019" s="3">
        <f ca="1">IFERROR(__xludf.DUMMYFUNCTION("""COMPUTED_VALUE"""),41282.6666666666)</f>
        <v>41282.666666666599</v>
      </c>
      <c r="B2019" s="1">
        <f ca="1">IFERROR(__xludf.DUMMYFUNCTION("""COMPUTED_VALUE"""),18.76)</f>
        <v>18.760000000000002</v>
      </c>
    </row>
    <row r="2020" spans="1:2">
      <c r="A2020" s="3">
        <f ca="1">IFERROR(__xludf.DUMMYFUNCTION("""COMPUTED_VALUE"""),41283.6666666666)</f>
        <v>41283.666666666599</v>
      </c>
      <c r="B2020" s="1">
        <f ca="1">IFERROR(__xludf.DUMMYFUNCTION("""COMPUTED_VALUE"""),18.47)</f>
        <v>18.47</v>
      </c>
    </row>
    <row r="2021" spans="1:2">
      <c r="A2021" s="3">
        <f ca="1">IFERROR(__xludf.DUMMYFUNCTION("""COMPUTED_VALUE"""),41284.6666666666)</f>
        <v>41284.666666666599</v>
      </c>
      <c r="B2021" s="1">
        <f ca="1">IFERROR(__xludf.DUMMYFUNCTION("""COMPUTED_VALUE"""),18.7)</f>
        <v>18.7</v>
      </c>
    </row>
    <row r="2022" spans="1:2">
      <c r="A2022" s="3">
        <f ca="1">IFERROR(__xludf.DUMMYFUNCTION("""COMPUTED_VALUE"""),41285.6666666666)</f>
        <v>41285.666666666599</v>
      </c>
      <c r="B2022" s="1">
        <f ca="1">IFERROR(__xludf.DUMMYFUNCTION("""COMPUTED_VALUE"""),18.58)</f>
        <v>18.579999999999998</v>
      </c>
    </row>
    <row r="2023" spans="1:2">
      <c r="A2023" s="3">
        <f ca="1">IFERROR(__xludf.DUMMYFUNCTION("""COMPUTED_VALUE"""),41288.6666666666)</f>
        <v>41288.666666666599</v>
      </c>
      <c r="B2023" s="1">
        <f ca="1">IFERROR(__xludf.DUMMYFUNCTION("""COMPUTED_VALUE"""),17.92)</f>
        <v>17.920000000000002</v>
      </c>
    </row>
    <row r="2024" spans="1:2">
      <c r="A2024" s="3">
        <f ca="1">IFERROR(__xludf.DUMMYFUNCTION("""COMPUTED_VALUE"""),41289.6666666666)</f>
        <v>41289.666666666599</v>
      </c>
      <c r="B2024" s="1">
        <f ca="1">IFERROR(__xludf.DUMMYFUNCTION("""COMPUTED_VALUE"""),17.35)</f>
        <v>17.350000000000001</v>
      </c>
    </row>
    <row r="2025" spans="1:2">
      <c r="A2025" s="3">
        <f ca="1">IFERROR(__xludf.DUMMYFUNCTION("""COMPUTED_VALUE"""),41290.6666666666)</f>
        <v>41290.666666666599</v>
      </c>
      <c r="B2025" s="1">
        <f ca="1">IFERROR(__xludf.DUMMYFUNCTION("""COMPUTED_VALUE"""),18.07)</f>
        <v>18.07</v>
      </c>
    </row>
    <row r="2026" spans="1:2">
      <c r="A2026" s="3">
        <f ca="1">IFERROR(__xludf.DUMMYFUNCTION("""COMPUTED_VALUE"""),41291.6666666666)</f>
        <v>41291.666666666599</v>
      </c>
      <c r="B2026" s="1">
        <f ca="1">IFERROR(__xludf.DUMMYFUNCTION("""COMPUTED_VALUE"""),17.95)</f>
        <v>17.95</v>
      </c>
    </row>
    <row r="2027" spans="1:2">
      <c r="A2027" s="3">
        <f ca="1">IFERROR(__xludf.DUMMYFUNCTION("""COMPUTED_VALUE"""),41292.6666666666)</f>
        <v>41292.666666666599</v>
      </c>
      <c r="B2027" s="1">
        <f ca="1">IFERROR(__xludf.DUMMYFUNCTION("""COMPUTED_VALUE"""),17.86)</f>
        <v>17.86</v>
      </c>
    </row>
    <row r="2028" spans="1:2">
      <c r="A2028" s="3">
        <f ca="1">IFERROR(__xludf.DUMMYFUNCTION("""COMPUTED_VALUE"""),41296.6666666666)</f>
        <v>41296.666666666599</v>
      </c>
      <c r="B2028" s="1">
        <f ca="1">IFERROR(__xludf.DUMMYFUNCTION("""COMPUTED_VALUE"""),18.03)</f>
        <v>18.03</v>
      </c>
    </row>
    <row r="2029" spans="1:2">
      <c r="A2029" s="3">
        <f ca="1">IFERROR(__xludf.DUMMYFUNCTION("""COMPUTED_VALUE"""),41297.6666666666)</f>
        <v>41297.666666666599</v>
      </c>
      <c r="B2029" s="1">
        <f ca="1">IFERROR(__xludf.DUMMYFUNCTION("""COMPUTED_VALUE"""),18.36)</f>
        <v>18.36</v>
      </c>
    </row>
    <row r="2030" spans="1:2">
      <c r="A2030" s="3">
        <f ca="1">IFERROR(__xludf.DUMMYFUNCTION("""COMPUTED_VALUE"""),41298.6666666666)</f>
        <v>41298.666666666599</v>
      </c>
      <c r="B2030" s="1">
        <f ca="1">IFERROR(__xludf.DUMMYFUNCTION("""COMPUTED_VALUE"""),16.09)</f>
        <v>16.09</v>
      </c>
    </row>
    <row r="2031" spans="1:2">
      <c r="A2031" s="3">
        <f ca="1">IFERROR(__xludf.DUMMYFUNCTION("""COMPUTED_VALUE"""),41299.6666666666)</f>
        <v>41299.666666666599</v>
      </c>
      <c r="B2031" s="1">
        <f ca="1">IFERROR(__xludf.DUMMYFUNCTION("""COMPUTED_VALUE"""),15.71)</f>
        <v>15.71</v>
      </c>
    </row>
    <row r="2032" spans="1:2">
      <c r="A2032" s="3">
        <f ca="1">IFERROR(__xludf.DUMMYFUNCTION("""COMPUTED_VALUE"""),41302.6666666666)</f>
        <v>41302.666666666599</v>
      </c>
      <c r="B2032" s="1">
        <f ca="1">IFERROR(__xludf.DUMMYFUNCTION("""COMPUTED_VALUE"""),16.07)</f>
        <v>16.07</v>
      </c>
    </row>
    <row r="2033" spans="1:2">
      <c r="A2033" s="3">
        <f ca="1">IFERROR(__xludf.DUMMYFUNCTION("""COMPUTED_VALUE"""),41303.6666666666)</f>
        <v>41303.666666666599</v>
      </c>
      <c r="B2033" s="1">
        <f ca="1">IFERROR(__xludf.DUMMYFUNCTION("""COMPUTED_VALUE"""),16.37)</f>
        <v>16.37</v>
      </c>
    </row>
    <row r="2034" spans="1:2">
      <c r="A2034" s="3">
        <f ca="1">IFERROR(__xludf.DUMMYFUNCTION("""COMPUTED_VALUE"""),41304.6666666666)</f>
        <v>41304.666666666599</v>
      </c>
      <c r="B2034" s="1">
        <f ca="1">IFERROR(__xludf.DUMMYFUNCTION("""COMPUTED_VALUE"""),16.32)</f>
        <v>16.32</v>
      </c>
    </row>
    <row r="2035" spans="1:2">
      <c r="A2035" s="3">
        <f ca="1">IFERROR(__xludf.DUMMYFUNCTION("""COMPUTED_VALUE"""),41305.6666666666)</f>
        <v>41305.666666666599</v>
      </c>
      <c r="B2035" s="1">
        <f ca="1">IFERROR(__xludf.DUMMYFUNCTION("""COMPUTED_VALUE"""),16.27)</f>
        <v>16.27</v>
      </c>
    </row>
    <row r="2036" spans="1:2">
      <c r="A2036" s="3">
        <f ca="1">IFERROR(__xludf.DUMMYFUNCTION("""COMPUTED_VALUE"""),41306.6666666666)</f>
        <v>41306.666666666599</v>
      </c>
      <c r="B2036" s="1">
        <f ca="1">IFERROR(__xludf.DUMMYFUNCTION("""COMPUTED_VALUE"""),16.2)</f>
        <v>16.2</v>
      </c>
    </row>
    <row r="2037" spans="1:2">
      <c r="A2037" s="3">
        <f ca="1">IFERROR(__xludf.DUMMYFUNCTION("""COMPUTED_VALUE"""),41309.6666666666)</f>
        <v>41309.666666666599</v>
      </c>
      <c r="B2037" s="1">
        <f ca="1">IFERROR(__xludf.DUMMYFUNCTION("""COMPUTED_VALUE"""),15.8)</f>
        <v>15.8</v>
      </c>
    </row>
    <row r="2038" spans="1:2">
      <c r="A2038" s="3">
        <f ca="1">IFERROR(__xludf.DUMMYFUNCTION("""COMPUTED_VALUE"""),41310.6666666666)</f>
        <v>41310.666666666599</v>
      </c>
      <c r="B2038" s="1">
        <f ca="1">IFERROR(__xludf.DUMMYFUNCTION("""COMPUTED_VALUE"""),16.35)</f>
        <v>16.350000000000001</v>
      </c>
    </row>
    <row r="2039" spans="1:2">
      <c r="A2039" s="3">
        <f ca="1">IFERROR(__xludf.DUMMYFUNCTION("""COMPUTED_VALUE"""),41311.6666666666)</f>
        <v>41311.666666666599</v>
      </c>
      <c r="B2039" s="1">
        <f ca="1">IFERROR(__xludf.DUMMYFUNCTION("""COMPUTED_VALUE"""),16.33)</f>
        <v>16.329999999999998</v>
      </c>
    </row>
    <row r="2040" spans="1:2">
      <c r="A2040" s="3">
        <f ca="1">IFERROR(__xludf.DUMMYFUNCTION("""COMPUTED_VALUE"""),41312.6666666666)</f>
        <v>41312.666666666599</v>
      </c>
      <c r="B2040" s="1">
        <f ca="1">IFERROR(__xludf.DUMMYFUNCTION("""COMPUTED_VALUE"""),16.72)</f>
        <v>16.72</v>
      </c>
    </row>
    <row r="2041" spans="1:2">
      <c r="A2041" s="3">
        <f ca="1">IFERROR(__xludf.DUMMYFUNCTION("""COMPUTED_VALUE"""),41313.6666666666)</f>
        <v>41313.666666666599</v>
      </c>
      <c r="B2041" s="1">
        <f ca="1">IFERROR(__xludf.DUMMYFUNCTION("""COMPUTED_VALUE"""),16.96)</f>
        <v>16.96</v>
      </c>
    </row>
    <row r="2042" spans="1:2">
      <c r="A2042" s="3">
        <f ca="1">IFERROR(__xludf.DUMMYFUNCTION("""COMPUTED_VALUE"""),41316.6666666666)</f>
        <v>41316.666666666599</v>
      </c>
      <c r="B2042" s="1">
        <f ca="1">IFERROR(__xludf.DUMMYFUNCTION("""COMPUTED_VALUE"""),17.14)</f>
        <v>17.14</v>
      </c>
    </row>
    <row r="2043" spans="1:2">
      <c r="A2043" s="3">
        <f ca="1">IFERROR(__xludf.DUMMYFUNCTION("""COMPUTED_VALUE"""),41317.6666666666)</f>
        <v>41317.666666666599</v>
      </c>
      <c r="B2043" s="1">
        <f ca="1">IFERROR(__xludf.DUMMYFUNCTION("""COMPUTED_VALUE"""),16.71)</f>
        <v>16.71</v>
      </c>
    </row>
    <row r="2044" spans="1:2">
      <c r="A2044" s="3">
        <f ca="1">IFERROR(__xludf.DUMMYFUNCTION("""COMPUTED_VALUE"""),41318.6666666666)</f>
        <v>41318.666666666599</v>
      </c>
      <c r="B2044" s="1">
        <f ca="1">IFERROR(__xludf.DUMMYFUNCTION("""COMPUTED_VALUE"""),16.68)</f>
        <v>16.68</v>
      </c>
    </row>
    <row r="2045" spans="1:2">
      <c r="A2045" s="3">
        <f ca="1">IFERROR(__xludf.DUMMYFUNCTION("""COMPUTED_VALUE"""),41319.6666666666)</f>
        <v>41319.666666666599</v>
      </c>
      <c r="B2045" s="1">
        <f ca="1">IFERROR(__xludf.DUMMYFUNCTION("""COMPUTED_VALUE"""),16.66)</f>
        <v>16.66</v>
      </c>
    </row>
    <row r="2046" spans="1:2">
      <c r="A2046" s="3">
        <f ca="1">IFERROR(__xludf.DUMMYFUNCTION("""COMPUTED_VALUE"""),41320.6666666666)</f>
        <v>41320.666666666599</v>
      </c>
      <c r="B2046" s="1">
        <f ca="1">IFERROR(__xludf.DUMMYFUNCTION("""COMPUTED_VALUE"""),16.43)</f>
        <v>16.43</v>
      </c>
    </row>
    <row r="2047" spans="1:2">
      <c r="A2047" s="3">
        <f ca="1">IFERROR(__xludf.DUMMYFUNCTION("""COMPUTED_VALUE"""),41324.6666666666)</f>
        <v>41324.666666666599</v>
      </c>
      <c r="B2047" s="1">
        <f ca="1">IFERROR(__xludf.DUMMYFUNCTION("""COMPUTED_VALUE"""),16.43)</f>
        <v>16.43</v>
      </c>
    </row>
    <row r="2048" spans="1:2">
      <c r="A2048" s="3">
        <f ca="1">IFERROR(__xludf.DUMMYFUNCTION("""COMPUTED_VALUE"""),41325.6666666666)</f>
        <v>41325.666666666599</v>
      </c>
      <c r="B2048" s="1">
        <f ca="1">IFERROR(__xludf.DUMMYFUNCTION("""COMPUTED_VALUE"""),16.03)</f>
        <v>16.03</v>
      </c>
    </row>
    <row r="2049" spans="1:2">
      <c r="A2049" s="3">
        <f ca="1">IFERROR(__xludf.DUMMYFUNCTION("""COMPUTED_VALUE"""),41326.6666666666)</f>
        <v>41326.666666666599</v>
      </c>
      <c r="B2049" s="1">
        <f ca="1">IFERROR(__xludf.DUMMYFUNCTION("""COMPUTED_VALUE"""),15.93)</f>
        <v>15.93</v>
      </c>
    </row>
    <row r="2050" spans="1:2">
      <c r="A2050" s="3">
        <f ca="1">IFERROR(__xludf.DUMMYFUNCTION("""COMPUTED_VALUE"""),41327.6666666666)</f>
        <v>41327.666666666599</v>
      </c>
      <c r="B2050" s="1">
        <f ca="1">IFERROR(__xludf.DUMMYFUNCTION("""COMPUTED_VALUE"""),16.1)</f>
        <v>16.100000000000001</v>
      </c>
    </row>
    <row r="2051" spans="1:2">
      <c r="A2051" s="3">
        <f ca="1">IFERROR(__xludf.DUMMYFUNCTION("""COMPUTED_VALUE"""),41330.6666666666)</f>
        <v>41330.666666666599</v>
      </c>
      <c r="B2051" s="1">
        <f ca="1">IFERROR(__xludf.DUMMYFUNCTION("""COMPUTED_VALUE"""),15.81)</f>
        <v>15.81</v>
      </c>
    </row>
    <row r="2052" spans="1:2">
      <c r="A2052" s="3">
        <f ca="1">IFERROR(__xludf.DUMMYFUNCTION("""COMPUTED_VALUE"""),41331.6666666666)</f>
        <v>41331.666666666599</v>
      </c>
      <c r="B2052" s="1">
        <f ca="1">IFERROR(__xludf.DUMMYFUNCTION("""COMPUTED_VALUE"""),16.03)</f>
        <v>16.03</v>
      </c>
    </row>
    <row r="2053" spans="1:2">
      <c r="A2053" s="3">
        <f ca="1">IFERROR(__xludf.DUMMYFUNCTION("""COMPUTED_VALUE"""),41332.6666666666)</f>
        <v>41332.666666666599</v>
      </c>
      <c r="B2053" s="1">
        <f ca="1">IFERROR(__xludf.DUMMYFUNCTION("""COMPUTED_VALUE"""),15.88)</f>
        <v>15.88</v>
      </c>
    </row>
    <row r="2054" spans="1:2">
      <c r="A2054" s="3">
        <f ca="1">IFERROR(__xludf.DUMMYFUNCTION("""COMPUTED_VALUE"""),41333.6666666666)</f>
        <v>41333.666666666599</v>
      </c>
      <c r="B2054" s="1">
        <f ca="1">IFERROR(__xludf.DUMMYFUNCTION("""COMPUTED_VALUE"""),15.76)</f>
        <v>15.76</v>
      </c>
    </row>
    <row r="2055" spans="1:2">
      <c r="A2055" s="3">
        <f ca="1">IFERROR(__xludf.DUMMYFUNCTION("""COMPUTED_VALUE"""),41334.6666666666)</f>
        <v>41334.666666666599</v>
      </c>
      <c r="B2055" s="1">
        <f ca="1">IFERROR(__xludf.DUMMYFUNCTION("""COMPUTED_VALUE"""),15.37)</f>
        <v>15.37</v>
      </c>
    </row>
    <row r="2056" spans="1:2">
      <c r="A2056" s="3">
        <f ca="1">IFERROR(__xludf.DUMMYFUNCTION("""COMPUTED_VALUE"""),41337.6666666666)</f>
        <v>41337.666666666599</v>
      </c>
      <c r="B2056" s="1">
        <f ca="1">IFERROR(__xludf.DUMMYFUNCTION("""COMPUTED_VALUE"""),15)</f>
        <v>15</v>
      </c>
    </row>
    <row r="2057" spans="1:2">
      <c r="A2057" s="3">
        <f ca="1">IFERROR(__xludf.DUMMYFUNCTION("""COMPUTED_VALUE"""),41338.6666666666)</f>
        <v>41338.666666666599</v>
      </c>
      <c r="B2057" s="1">
        <f ca="1">IFERROR(__xludf.DUMMYFUNCTION("""COMPUTED_VALUE"""),15.4)</f>
        <v>15.4</v>
      </c>
    </row>
    <row r="2058" spans="1:2">
      <c r="A2058" s="3">
        <f ca="1">IFERROR(__xludf.DUMMYFUNCTION("""COMPUTED_VALUE"""),41339.6666666666)</f>
        <v>41339.666666666599</v>
      </c>
      <c r="B2058" s="1">
        <f ca="1">IFERROR(__xludf.DUMMYFUNCTION("""COMPUTED_VALUE"""),15.2)</f>
        <v>15.2</v>
      </c>
    </row>
    <row r="2059" spans="1:2">
      <c r="A2059" s="3">
        <f ca="1">IFERROR(__xludf.DUMMYFUNCTION("""COMPUTED_VALUE"""),41340.6666666666)</f>
        <v>41340.666666666599</v>
      </c>
      <c r="B2059" s="1">
        <f ca="1">IFERROR(__xludf.DUMMYFUNCTION("""COMPUTED_VALUE"""),15.38)</f>
        <v>15.38</v>
      </c>
    </row>
    <row r="2060" spans="1:2">
      <c r="A2060" s="3">
        <f ca="1">IFERROR(__xludf.DUMMYFUNCTION("""COMPUTED_VALUE"""),41341.6666666666)</f>
        <v>41341.666666666599</v>
      </c>
      <c r="B2060" s="1">
        <f ca="1">IFERROR(__xludf.DUMMYFUNCTION("""COMPUTED_VALUE"""),15.42)</f>
        <v>15.42</v>
      </c>
    </row>
    <row r="2061" spans="1:2">
      <c r="A2061" s="3">
        <f ca="1">IFERROR(__xludf.DUMMYFUNCTION("""COMPUTED_VALUE"""),41344.6666666666)</f>
        <v>41344.666666666599</v>
      </c>
      <c r="B2061" s="1">
        <f ca="1">IFERROR(__xludf.DUMMYFUNCTION("""COMPUTED_VALUE"""),15.64)</f>
        <v>15.64</v>
      </c>
    </row>
    <row r="2062" spans="1:2">
      <c r="A2062" s="3">
        <f ca="1">IFERROR(__xludf.DUMMYFUNCTION("""COMPUTED_VALUE"""),41345.6666666666)</f>
        <v>41345.666666666599</v>
      </c>
      <c r="B2062" s="1">
        <f ca="1">IFERROR(__xludf.DUMMYFUNCTION("""COMPUTED_VALUE"""),15.3)</f>
        <v>15.3</v>
      </c>
    </row>
    <row r="2063" spans="1:2">
      <c r="A2063" s="3">
        <f ca="1">IFERROR(__xludf.DUMMYFUNCTION("""COMPUTED_VALUE"""),41346.6666666666)</f>
        <v>41346.666666666599</v>
      </c>
      <c r="B2063" s="1">
        <f ca="1">IFERROR(__xludf.DUMMYFUNCTION("""COMPUTED_VALUE"""),15.3)</f>
        <v>15.3</v>
      </c>
    </row>
    <row r="2064" spans="1:2">
      <c r="A2064" s="3">
        <f ca="1">IFERROR(__xludf.DUMMYFUNCTION("""COMPUTED_VALUE"""),41347.6666666666)</f>
        <v>41347.666666666599</v>
      </c>
      <c r="B2064" s="1">
        <f ca="1">IFERROR(__xludf.DUMMYFUNCTION("""COMPUTED_VALUE"""),15.45)</f>
        <v>15.45</v>
      </c>
    </row>
    <row r="2065" spans="1:2">
      <c r="A2065" s="3">
        <f ca="1">IFERROR(__xludf.DUMMYFUNCTION("""COMPUTED_VALUE"""),41348.6666666666)</f>
        <v>41348.666666666599</v>
      </c>
      <c r="B2065" s="1">
        <f ca="1">IFERROR(__xludf.DUMMYFUNCTION("""COMPUTED_VALUE"""),15.85)</f>
        <v>15.85</v>
      </c>
    </row>
    <row r="2066" spans="1:2">
      <c r="A2066" s="3">
        <f ca="1">IFERROR(__xludf.DUMMYFUNCTION("""COMPUTED_VALUE"""),41351.6666666666)</f>
        <v>41351.666666666599</v>
      </c>
      <c r="B2066" s="1">
        <f ca="1">IFERROR(__xludf.DUMMYFUNCTION("""COMPUTED_VALUE"""),16.28)</f>
        <v>16.28</v>
      </c>
    </row>
    <row r="2067" spans="1:2">
      <c r="A2067" s="3">
        <f ca="1">IFERROR(__xludf.DUMMYFUNCTION("""COMPUTED_VALUE"""),41352.6666666666)</f>
        <v>41352.666666666599</v>
      </c>
      <c r="B2067" s="1">
        <f ca="1">IFERROR(__xludf.DUMMYFUNCTION("""COMPUTED_VALUE"""),16.23)</f>
        <v>16.23</v>
      </c>
    </row>
    <row r="2068" spans="1:2">
      <c r="A2068" s="3">
        <f ca="1">IFERROR(__xludf.DUMMYFUNCTION("""COMPUTED_VALUE"""),41353.6666666666)</f>
        <v>41353.666666666599</v>
      </c>
      <c r="B2068" s="1">
        <f ca="1">IFERROR(__xludf.DUMMYFUNCTION("""COMPUTED_VALUE"""),16.15)</f>
        <v>16.149999999999999</v>
      </c>
    </row>
    <row r="2069" spans="1:2">
      <c r="A2069" s="3">
        <f ca="1">IFERROR(__xludf.DUMMYFUNCTION("""COMPUTED_VALUE"""),41354.6666666666)</f>
        <v>41354.666666666599</v>
      </c>
      <c r="B2069" s="1">
        <f ca="1">IFERROR(__xludf.DUMMYFUNCTION("""COMPUTED_VALUE"""),16.17)</f>
        <v>16.170000000000002</v>
      </c>
    </row>
    <row r="2070" spans="1:2">
      <c r="A2070" s="3">
        <f ca="1">IFERROR(__xludf.DUMMYFUNCTION("""COMPUTED_VALUE"""),41355.6666666666)</f>
        <v>41355.666666666599</v>
      </c>
      <c r="B2070" s="1">
        <f ca="1">IFERROR(__xludf.DUMMYFUNCTION("""COMPUTED_VALUE"""),16.5)</f>
        <v>16.5</v>
      </c>
    </row>
    <row r="2071" spans="1:2">
      <c r="A2071" s="3">
        <f ca="1">IFERROR(__xludf.DUMMYFUNCTION("""COMPUTED_VALUE"""),41358.6666666666)</f>
        <v>41358.666666666599</v>
      </c>
      <c r="B2071" s="1">
        <f ca="1">IFERROR(__xludf.DUMMYFUNCTION("""COMPUTED_VALUE"""),16.56)</f>
        <v>16.559999999999999</v>
      </c>
    </row>
    <row r="2072" spans="1:2">
      <c r="A2072" s="3">
        <f ca="1">IFERROR(__xludf.DUMMYFUNCTION("""COMPUTED_VALUE"""),41359.6666666666)</f>
        <v>41359.666666666599</v>
      </c>
      <c r="B2072" s="1">
        <f ca="1">IFERROR(__xludf.DUMMYFUNCTION("""COMPUTED_VALUE"""),16.47)</f>
        <v>16.47</v>
      </c>
    </row>
    <row r="2073" spans="1:2">
      <c r="A2073" s="3">
        <f ca="1">IFERROR(__xludf.DUMMYFUNCTION("""COMPUTED_VALUE"""),41360.6666666666)</f>
        <v>41360.666666666599</v>
      </c>
      <c r="B2073" s="1">
        <f ca="1">IFERROR(__xludf.DUMMYFUNCTION("""COMPUTED_VALUE"""),16.15)</f>
        <v>16.149999999999999</v>
      </c>
    </row>
    <row r="2074" spans="1:2">
      <c r="A2074" s="3">
        <f ca="1">IFERROR(__xludf.DUMMYFUNCTION("""COMPUTED_VALUE"""),41361.6666666666)</f>
        <v>41361.666666666599</v>
      </c>
      <c r="B2074" s="1">
        <f ca="1">IFERROR(__xludf.DUMMYFUNCTION("""COMPUTED_VALUE"""),15.81)</f>
        <v>15.81</v>
      </c>
    </row>
    <row r="2075" spans="1:2">
      <c r="A2075" s="3">
        <f ca="1">IFERROR(__xludf.DUMMYFUNCTION("""COMPUTED_VALUE"""),41365.6666666666)</f>
        <v>41365.666666666599</v>
      </c>
      <c r="B2075" s="1">
        <f ca="1">IFERROR(__xludf.DUMMYFUNCTION("""COMPUTED_VALUE"""),15.32)</f>
        <v>15.32</v>
      </c>
    </row>
    <row r="2076" spans="1:2">
      <c r="A2076" s="3">
        <f ca="1">IFERROR(__xludf.DUMMYFUNCTION("""COMPUTED_VALUE"""),41366.6666666666)</f>
        <v>41366.666666666599</v>
      </c>
      <c r="B2076" s="1">
        <f ca="1">IFERROR(__xludf.DUMMYFUNCTION("""COMPUTED_VALUE"""),15.35)</f>
        <v>15.35</v>
      </c>
    </row>
    <row r="2077" spans="1:2">
      <c r="A2077" s="3">
        <f ca="1">IFERROR(__xludf.DUMMYFUNCTION("""COMPUTED_VALUE"""),41367.6666666666)</f>
        <v>41367.666666666599</v>
      </c>
      <c r="B2077" s="1">
        <f ca="1">IFERROR(__xludf.DUMMYFUNCTION("""COMPUTED_VALUE"""),15.43)</f>
        <v>15.43</v>
      </c>
    </row>
    <row r="2078" spans="1:2">
      <c r="A2078" s="3">
        <f ca="1">IFERROR(__xludf.DUMMYFUNCTION("""COMPUTED_VALUE"""),41368.6666666666)</f>
        <v>41368.666666666599</v>
      </c>
      <c r="B2078" s="1">
        <f ca="1">IFERROR(__xludf.DUMMYFUNCTION("""COMPUTED_VALUE"""),15.28)</f>
        <v>15.28</v>
      </c>
    </row>
    <row r="2079" spans="1:2">
      <c r="A2079" s="3">
        <f ca="1">IFERROR(__xludf.DUMMYFUNCTION("""COMPUTED_VALUE"""),41369.6666666666)</f>
        <v>41369.666666666599</v>
      </c>
      <c r="B2079" s="1">
        <f ca="1">IFERROR(__xludf.DUMMYFUNCTION("""COMPUTED_VALUE"""),15.11)</f>
        <v>15.11</v>
      </c>
    </row>
    <row r="2080" spans="1:2">
      <c r="A2080" s="3">
        <f ca="1">IFERROR(__xludf.DUMMYFUNCTION("""COMPUTED_VALUE"""),41372.6666666666)</f>
        <v>41372.666666666599</v>
      </c>
      <c r="B2080" s="1">
        <f ca="1">IFERROR(__xludf.DUMMYFUNCTION("""COMPUTED_VALUE"""),15.22)</f>
        <v>15.22</v>
      </c>
    </row>
    <row r="2081" spans="1:2">
      <c r="A2081" s="3">
        <f ca="1">IFERROR(__xludf.DUMMYFUNCTION("""COMPUTED_VALUE"""),41373.6666666666)</f>
        <v>41373.666666666599</v>
      </c>
      <c r="B2081" s="1">
        <f ca="1">IFERROR(__xludf.DUMMYFUNCTION("""COMPUTED_VALUE"""),15.25)</f>
        <v>15.25</v>
      </c>
    </row>
    <row r="2082" spans="1:2">
      <c r="A2082" s="3">
        <f ca="1">IFERROR(__xludf.DUMMYFUNCTION("""COMPUTED_VALUE"""),41374.6666666666)</f>
        <v>41374.666666666599</v>
      </c>
      <c r="B2082" s="1">
        <f ca="1">IFERROR(__xludf.DUMMYFUNCTION("""COMPUTED_VALUE"""),15.56)</f>
        <v>15.56</v>
      </c>
    </row>
    <row r="2083" spans="1:2">
      <c r="A2083" s="3">
        <f ca="1">IFERROR(__xludf.DUMMYFUNCTION("""COMPUTED_VALUE"""),41375.6666666666)</f>
        <v>41375.666666666599</v>
      </c>
      <c r="B2083" s="1">
        <f ca="1">IFERROR(__xludf.DUMMYFUNCTION("""COMPUTED_VALUE"""),15.51)</f>
        <v>15.51</v>
      </c>
    </row>
    <row r="2084" spans="1:2">
      <c r="A2084" s="3">
        <f ca="1">IFERROR(__xludf.DUMMYFUNCTION("""COMPUTED_VALUE"""),41376.6666666666)</f>
        <v>41376.666666666599</v>
      </c>
      <c r="B2084" s="1">
        <f ca="1">IFERROR(__xludf.DUMMYFUNCTION("""COMPUTED_VALUE"""),15.35)</f>
        <v>15.35</v>
      </c>
    </row>
    <row r="2085" spans="1:2">
      <c r="A2085" s="3">
        <f ca="1">IFERROR(__xludf.DUMMYFUNCTION("""COMPUTED_VALUE"""),41379.6666666666)</f>
        <v>41379.666666666599</v>
      </c>
      <c r="B2085" s="1">
        <f ca="1">IFERROR(__xludf.DUMMYFUNCTION("""COMPUTED_VALUE"""),14.99)</f>
        <v>14.99</v>
      </c>
    </row>
    <row r="2086" spans="1:2">
      <c r="A2086" s="3">
        <f ca="1">IFERROR(__xludf.DUMMYFUNCTION("""COMPUTED_VALUE"""),41380.6666666666)</f>
        <v>41380.666666666599</v>
      </c>
      <c r="B2086" s="1">
        <f ca="1">IFERROR(__xludf.DUMMYFUNCTION("""COMPUTED_VALUE"""),15.22)</f>
        <v>15.22</v>
      </c>
    </row>
    <row r="2087" spans="1:2">
      <c r="A2087" s="3">
        <f ca="1">IFERROR(__xludf.DUMMYFUNCTION("""COMPUTED_VALUE"""),41381.6666666666)</f>
        <v>41381.666666666599</v>
      </c>
      <c r="B2087" s="1">
        <f ca="1">IFERROR(__xludf.DUMMYFUNCTION("""COMPUTED_VALUE"""),14.39)</f>
        <v>14.39</v>
      </c>
    </row>
    <row r="2088" spans="1:2">
      <c r="A2088" s="3">
        <f ca="1">IFERROR(__xludf.DUMMYFUNCTION("""COMPUTED_VALUE"""),41382.6666666666)</f>
        <v>41382.666666666599</v>
      </c>
      <c r="B2088" s="1">
        <f ca="1">IFERROR(__xludf.DUMMYFUNCTION("""COMPUTED_VALUE"""),14)</f>
        <v>14</v>
      </c>
    </row>
    <row r="2089" spans="1:2">
      <c r="A2089" s="3">
        <f ca="1">IFERROR(__xludf.DUMMYFUNCTION("""COMPUTED_VALUE"""),41383.6666666666)</f>
        <v>41383.666666666599</v>
      </c>
      <c r="B2089" s="1">
        <f ca="1">IFERROR(__xludf.DUMMYFUNCTION("""COMPUTED_VALUE"""),13.95)</f>
        <v>13.95</v>
      </c>
    </row>
    <row r="2090" spans="1:2">
      <c r="A2090" s="3">
        <f ca="1">IFERROR(__xludf.DUMMYFUNCTION("""COMPUTED_VALUE"""),41386.6666666666)</f>
        <v>41386.666666666599</v>
      </c>
      <c r="B2090" s="1">
        <f ca="1">IFERROR(__xludf.DUMMYFUNCTION("""COMPUTED_VALUE"""),14.24)</f>
        <v>14.24</v>
      </c>
    </row>
    <row r="2091" spans="1:2">
      <c r="A2091" s="3">
        <f ca="1">IFERROR(__xludf.DUMMYFUNCTION("""COMPUTED_VALUE"""),41387.6666666666)</f>
        <v>41387.666666666599</v>
      </c>
      <c r="B2091" s="1">
        <f ca="1">IFERROR(__xludf.DUMMYFUNCTION("""COMPUTED_VALUE"""),14.5)</f>
        <v>14.5</v>
      </c>
    </row>
    <row r="2092" spans="1:2">
      <c r="A2092" s="3">
        <f ca="1">IFERROR(__xludf.DUMMYFUNCTION("""COMPUTED_VALUE"""),41388.6666666666)</f>
        <v>41388.666666666599</v>
      </c>
      <c r="B2092" s="1">
        <f ca="1">IFERROR(__xludf.DUMMYFUNCTION("""COMPUTED_VALUE"""),14.48)</f>
        <v>14.48</v>
      </c>
    </row>
    <row r="2093" spans="1:2">
      <c r="A2093" s="3">
        <f ca="1">IFERROR(__xludf.DUMMYFUNCTION("""COMPUTED_VALUE"""),41389.6666666666)</f>
        <v>41389.666666666599</v>
      </c>
      <c r="B2093" s="1">
        <f ca="1">IFERROR(__xludf.DUMMYFUNCTION("""COMPUTED_VALUE"""),14.59)</f>
        <v>14.59</v>
      </c>
    </row>
    <row r="2094" spans="1:2">
      <c r="A2094" s="3">
        <f ca="1">IFERROR(__xludf.DUMMYFUNCTION("""COMPUTED_VALUE"""),41390.6666666666)</f>
        <v>41390.666666666599</v>
      </c>
      <c r="B2094" s="1">
        <f ca="1">IFERROR(__xludf.DUMMYFUNCTION("""COMPUTED_VALUE"""),14.9)</f>
        <v>14.9</v>
      </c>
    </row>
    <row r="2095" spans="1:2">
      <c r="A2095" s="3">
        <f ca="1">IFERROR(__xludf.DUMMYFUNCTION("""COMPUTED_VALUE"""),41393.6666666666)</f>
        <v>41393.666666666599</v>
      </c>
      <c r="B2095" s="1">
        <f ca="1">IFERROR(__xludf.DUMMYFUNCTION("""COMPUTED_VALUE"""),15.36)</f>
        <v>15.36</v>
      </c>
    </row>
    <row r="2096" spans="1:2">
      <c r="A2096" s="3">
        <f ca="1">IFERROR(__xludf.DUMMYFUNCTION("""COMPUTED_VALUE"""),41394.6666666666)</f>
        <v>41394.666666666599</v>
      </c>
      <c r="B2096" s="1">
        <f ca="1">IFERROR(__xludf.DUMMYFUNCTION("""COMPUTED_VALUE"""),15.81)</f>
        <v>15.81</v>
      </c>
    </row>
    <row r="2097" spans="1:2">
      <c r="A2097" s="3">
        <f ca="1">IFERROR(__xludf.DUMMYFUNCTION("""COMPUTED_VALUE"""),41395.6666666666)</f>
        <v>41395.666666666599</v>
      </c>
      <c r="B2097" s="1">
        <f ca="1">IFERROR(__xludf.DUMMYFUNCTION("""COMPUTED_VALUE"""),15.69)</f>
        <v>15.69</v>
      </c>
    </row>
    <row r="2098" spans="1:2">
      <c r="A2098" s="3">
        <f ca="1">IFERROR(__xludf.DUMMYFUNCTION("""COMPUTED_VALUE"""),41396.6666666666)</f>
        <v>41396.666666666599</v>
      </c>
      <c r="B2098" s="1">
        <f ca="1">IFERROR(__xludf.DUMMYFUNCTION("""COMPUTED_VALUE"""),15.91)</f>
        <v>15.91</v>
      </c>
    </row>
    <row r="2099" spans="1:2">
      <c r="A2099" s="3">
        <f ca="1">IFERROR(__xludf.DUMMYFUNCTION("""COMPUTED_VALUE"""),41397.6666666666)</f>
        <v>41397.666666666599</v>
      </c>
      <c r="B2099" s="1">
        <f ca="1">IFERROR(__xludf.DUMMYFUNCTION("""COMPUTED_VALUE"""),16.07)</f>
        <v>16.07</v>
      </c>
    </row>
    <row r="2100" spans="1:2">
      <c r="A2100" s="3">
        <f ca="1">IFERROR(__xludf.DUMMYFUNCTION("""COMPUTED_VALUE"""),41400.6666666666)</f>
        <v>41400.666666666599</v>
      </c>
      <c r="B2100" s="1">
        <f ca="1">IFERROR(__xludf.DUMMYFUNCTION("""COMPUTED_VALUE"""),16.45)</f>
        <v>16.45</v>
      </c>
    </row>
    <row r="2101" spans="1:2">
      <c r="A2101" s="3">
        <f ca="1">IFERROR(__xludf.DUMMYFUNCTION("""COMPUTED_VALUE"""),41401.6666666666)</f>
        <v>41401.666666666599</v>
      </c>
      <c r="B2101" s="1">
        <f ca="1">IFERROR(__xludf.DUMMYFUNCTION("""COMPUTED_VALUE"""),16.38)</f>
        <v>16.38</v>
      </c>
    </row>
    <row r="2102" spans="1:2">
      <c r="A2102" s="3">
        <f ca="1">IFERROR(__xludf.DUMMYFUNCTION("""COMPUTED_VALUE"""),41402.6666666666)</f>
        <v>41402.666666666599</v>
      </c>
      <c r="B2102" s="1">
        <f ca="1">IFERROR(__xludf.DUMMYFUNCTION("""COMPUTED_VALUE"""),16.57)</f>
        <v>16.57</v>
      </c>
    </row>
    <row r="2103" spans="1:2">
      <c r="A2103" s="3">
        <f ca="1">IFERROR(__xludf.DUMMYFUNCTION("""COMPUTED_VALUE"""),41403.6666666666)</f>
        <v>41403.666666666599</v>
      </c>
      <c r="B2103" s="1">
        <f ca="1">IFERROR(__xludf.DUMMYFUNCTION("""COMPUTED_VALUE"""),16.31)</f>
        <v>16.309999999999999</v>
      </c>
    </row>
    <row r="2104" spans="1:2">
      <c r="A2104" s="3">
        <f ca="1">IFERROR(__xludf.DUMMYFUNCTION("""COMPUTED_VALUE"""),41404.6666666666)</f>
        <v>41404.666666666599</v>
      </c>
      <c r="B2104" s="1">
        <f ca="1">IFERROR(__xludf.DUMMYFUNCTION("""COMPUTED_VALUE"""),16.18)</f>
        <v>16.18</v>
      </c>
    </row>
    <row r="2105" spans="1:2">
      <c r="A2105" s="3">
        <f ca="1">IFERROR(__xludf.DUMMYFUNCTION("""COMPUTED_VALUE"""),41407.6666666666)</f>
        <v>41407.666666666599</v>
      </c>
      <c r="B2105" s="1">
        <f ca="1">IFERROR(__xludf.DUMMYFUNCTION("""COMPUTED_VALUE"""),16.24)</f>
        <v>16.239999999999998</v>
      </c>
    </row>
    <row r="2106" spans="1:2">
      <c r="A2106" s="3">
        <f ca="1">IFERROR(__xludf.DUMMYFUNCTION("""COMPUTED_VALUE"""),41408.6666666666)</f>
        <v>41408.666666666599</v>
      </c>
      <c r="B2106" s="1">
        <f ca="1">IFERROR(__xludf.DUMMYFUNCTION("""COMPUTED_VALUE"""),15.85)</f>
        <v>15.85</v>
      </c>
    </row>
    <row r="2107" spans="1:2">
      <c r="A2107" s="3">
        <f ca="1">IFERROR(__xludf.DUMMYFUNCTION("""COMPUTED_VALUE"""),41409.6666666666)</f>
        <v>41409.666666666599</v>
      </c>
      <c r="B2107" s="1">
        <f ca="1">IFERROR(__xludf.DUMMYFUNCTION("""COMPUTED_VALUE"""),15.32)</f>
        <v>15.32</v>
      </c>
    </row>
    <row r="2108" spans="1:2">
      <c r="A2108" s="3">
        <f ca="1">IFERROR(__xludf.DUMMYFUNCTION("""COMPUTED_VALUE"""),41410.6666666666)</f>
        <v>41410.666666666599</v>
      </c>
      <c r="B2108" s="1">
        <f ca="1">IFERROR(__xludf.DUMMYFUNCTION("""COMPUTED_VALUE"""),15.52)</f>
        <v>15.52</v>
      </c>
    </row>
    <row r="2109" spans="1:2">
      <c r="A2109" s="3">
        <f ca="1">IFERROR(__xludf.DUMMYFUNCTION("""COMPUTED_VALUE"""),41411.6666666666)</f>
        <v>41411.666666666599</v>
      </c>
      <c r="B2109" s="1">
        <f ca="1">IFERROR(__xludf.DUMMYFUNCTION("""COMPUTED_VALUE"""),15.47)</f>
        <v>15.47</v>
      </c>
    </row>
    <row r="2110" spans="1:2">
      <c r="A2110" s="3">
        <f ca="1">IFERROR(__xludf.DUMMYFUNCTION("""COMPUTED_VALUE"""),41414.6666666666)</f>
        <v>41414.666666666599</v>
      </c>
      <c r="B2110" s="1">
        <f ca="1">IFERROR(__xludf.DUMMYFUNCTION("""COMPUTED_VALUE"""),15.82)</f>
        <v>15.82</v>
      </c>
    </row>
    <row r="2111" spans="1:2">
      <c r="A2111" s="3">
        <f ca="1">IFERROR(__xludf.DUMMYFUNCTION("""COMPUTED_VALUE"""),41415.6666666666)</f>
        <v>41415.666666666599</v>
      </c>
      <c r="B2111" s="1">
        <f ca="1">IFERROR(__xludf.DUMMYFUNCTION("""COMPUTED_VALUE"""),15.7)</f>
        <v>15.7</v>
      </c>
    </row>
    <row r="2112" spans="1:2">
      <c r="A2112" s="3">
        <f ca="1">IFERROR(__xludf.DUMMYFUNCTION("""COMPUTED_VALUE"""),41416.6666666666)</f>
        <v>41416.666666666599</v>
      </c>
      <c r="B2112" s="1">
        <f ca="1">IFERROR(__xludf.DUMMYFUNCTION("""COMPUTED_VALUE"""),15.76)</f>
        <v>15.76</v>
      </c>
    </row>
    <row r="2113" spans="1:2">
      <c r="A2113" s="3">
        <f ca="1">IFERROR(__xludf.DUMMYFUNCTION("""COMPUTED_VALUE"""),41417.6666666666)</f>
        <v>41417.666666666599</v>
      </c>
      <c r="B2113" s="1">
        <f ca="1">IFERROR(__xludf.DUMMYFUNCTION("""COMPUTED_VALUE"""),15.79)</f>
        <v>15.79</v>
      </c>
    </row>
    <row r="2114" spans="1:2">
      <c r="A2114" s="3">
        <f ca="1">IFERROR(__xludf.DUMMYFUNCTION("""COMPUTED_VALUE"""),41418.6666666666)</f>
        <v>41418.666666666599</v>
      </c>
      <c r="B2114" s="1">
        <f ca="1">IFERROR(__xludf.DUMMYFUNCTION("""COMPUTED_VALUE"""),15.9)</f>
        <v>15.9</v>
      </c>
    </row>
    <row r="2115" spans="1:2">
      <c r="A2115" s="3">
        <f ca="1">IFERROR(__xludf.DUMMYFUNCTION("""COMPUTED_VALUE"""),41422.6666666666)</f>
        <v>41422.666666666599</v>
      </c>
      <c r="B2115" s="1">
        <f ca="1">IFERROR(__xludf.DUMMYFUNCTION("""COMPUTED_VALUE"""),15.77)</f>
        <v>15.77</v>
      </c>
    </row>
    <row r="2116" spans="1:2">
      <c r="A2116" s="3">
        <f ca="1">IFERROR(__xludf.DUMMYFUNCTION("""COMPUTED_VALUE"""),41423.6666666666)</f>
        <v>41423.666666666599</v>
      </c>
      <c r="B2116" s="1">
        <f ca="1">IFERROR(__xludf.DUMMYFUNCTION("""COMPUTED_VALUE"""),15.89)</f>
        <v>15.89</v>
      </c>
    </row>
    <row r="2117" spans="1:2">
      <c r="A2117" s="3">
        <f ca="1">IFERROR(__xludf.DUMMYFUNCTION("""COMPUTED_VALUE"""),41424.6666666666)</f>
        <v>41424.666666666599</v>
      </c>
      <c r="B2117" s="1">
        <f ca="1">IFERROR(__xludf.DUMMYFUNCTION("""COMPUTED_VALUE"""),16.13)</f>
        <v>16.13</v>
      </c>
    </row>
    <row r="2118" spans="1:2">
      <c r="A2118" s="3">
        <f ca="1">IFERROR(__xludf.DUMMYFUNCTION("""COMPUTED_VALUE"""),41425.6666666666)</f>
        <v>41425.666666666599</v>
      </c>
      <c r="B2118" s="1">
        <f ca="1">IFERROR(__xludf.DUMMYFUNCTION("""COMPUTED_VALUE"""),16.06)</f>
        <v>16.059999999999999</v>
      </c>
    </row>
    <row r="2119" spans="1:2">
      <c r="A2119" s="3">
        <f ca="1">IFERROR(__xludf.DUMMYFUNCTION("""COMPUTED_VALUE"""),41428.6666666666)</f>
        <v>41428.666666666599</v>
      </c>
      <c r="B2119" s="1">
        <f ca="1">IFERROR(__xludf.DUMMYFUNCTION("""COMPUTED_VALUE"""),16.1)</f>
        <v>16.100000000000001</v>
      </c>
    </row>
    <row r="2120" spans="1:2">
      <c r="A2120" s="3">
        <f ca="1">IFERROR(__xludf.DUMMYFUNCTION("""COMPUTED_VALUE"""),41429.6666666666)</f>
        <v>41429.666666666599</v>
      </c>
      <c r="B2120" s="1">
        <f ca="1">IFERROR(__xludf.DUMMYFUNCTION("""COMPUTED_VALUE"""),16.05)</f>
        <v>16.05</v>
      </c>
    </row>
    <row r="2121" spans="1:2">
      <c r="A2121" s="3">
        <f ca="1">IFERROR(__xludf.DUMMYFUNCTION("""COMPUTED_VALUE"""),41430.6666666666)</f>
        <v>41430.666666666599</v>
      </c>
      <c r="B2121" s="1">
        <f ca="1">IFERROR(__xludf.DUMMYFUNCTION("""COMPUTED_VALUE"""),15.9)</f>
        <v>15.9</v>
      </c>
    </row>
    <row r="2122" spans="1:2">
      <c r="A2122" s="3">
        <f ca="1">IFERROR(__xludf.DUMMYFUNCTION("""COMPUTED_VALUE"""),41431.6666666666)</f>
        <v>41431.666666666599</v>
      </c>
      <c r="B2122" s="1">
        <f ca="1">IFERROR(__xludf.DUMMYFUNCTION("""COMPUTED_VALUE"""),15.66)</f>
        <v>15.66</v>
      </c>
    </row>
    <row r="2123" spans="1:2">
      <c r="A2123" s="3">
        <f ca="1">IFERROR(__xludf.DUMMYFUNCTION("""COMPUTED_VALUE"""),41432.6666666666)</f>
        <v>41432.666666666599</v>
      </c>
      <c r="B2123" s="1">
        <f ca="1">IFERROR(__xludf.DUMMYFUNCTION("""COMPUTED_VALUE"""),15.78)</f>
        <v>15.78</v>
      </c>
    </row>
    <row r="2124" spans="1:2">
      <c r="A2124" s="3">
        <f ca="1">IFERROR(__xludf.DUMMYFUNCTION("""COMPUTED_VALUE"""),41435.6666666666)</f>
        <v>41435.666666666599</v>
      </c>
      <c r="B2124" s="1">
        <f ca="1">IFERROR(__xludf.DUMMYFUNCTION("""COMPUTED_VALUE"""),15.67)</f>
        <v>15.67</v>
      </c>
    </row>
    <row r="2125" spans="1:2">
      <c r="A2125" s="3">
        <f ca="1">IFERROR(__xludf.DUMMYFUNCTION("""COMPUTED_VALUE"""),41436.6666666666)</f>
        <v>41436.666666666599</v>
      </c>
      <c r="B2125" s="1">
        <f ca="1">IFERROR(__xludf.DUMMYFUNCTION("""COMPUTED_VALUE"""),15.63)</f>
        <v>15.63</v>
      </c>
    </row>
    <row r="2126" spans="1:2">
      <c r="A2126" s="3">
        <f ca="1">IFERROR(__xludf.DUMMYFUNCTION("""COMPUTED_VALUE"""),41437.6666666666)</f>
        <v>41437.666666666599</v>
      </c>
      <c r="B2126" s="1">
        <f ca="1">IFERROR(__xludf.DUMMYFUNCTION("""COMPUTED_VALUE"""),15.44)</f>
        <v>15.44</v>
      </c>
    </row>
    <row r="2127" spans="1:2">
      <c r="A2127" s="3">
        <f ca="1">IFERROR(__xludf.DUMMYFUNCTION("""COMPUTED_VALUE"""),41438.6666666666)</f>
        <v>41438.666666666599</v>
      </c>
      <c r="B2127" s="1">
        <f ca="1">IFERROR(__xludf.DUMMYFUNCTION("""COMPUTED_VALUE"""),15.57)</f>
        <v>15.57</v>
      </c>
    </row>
    <row r="2128" spans="1:2">
      <c r="A2128" s="3">
        <f ca="1">IFERROR(__xludf.DUMMYFUNCTION("""COMPUTED_VALUE"""),41439.6666666666)</f>
        <v>41439.666666666599</v>
      </c>
      <c r="B2128" s="1">
        <f ca="1">IFERROR(__xludf.DUMMYFUNCTION("""COMPUTED_VALUE"""),15.36)</f>
        <v>15.36</v>
      </c>
    </row>
    <row r="2129" spans="1:2">
      <c r="A2129" s="3">
        <f ca="1">IFERROR(__xludf.DUMMYFUNCTION("""COMPUTED_VALUE"""),41442.6666666666)</f>
        <v>41442.666666666599</v>
      </c>
      <c r="B2129" s="1">
        <f ca="1">IFERROR(__xludf.DUMMYFUNCTION("""COMPUTED_VALUE"""),15.43)</f>
        <v>15.43</v>
      </c>
    </row>
    <row r="2130" spans="1:2">
      <c r="A2130" s="3">
        <f ca="1">IFERROR(__xludf.DUMMYFUNCTION("""COMPUTED_VALUE"""),41443.6666666666)</f>
        <v>41443.666666666599</v>
      </c>
      <c r="B2130" s="1">
        <f ca="1">IFERROR(__xludf.DUMMYFUNCTION("""COMPUTED_VALUE"""),15.42)</f>
        <v>15.42</v>
      </c>
    </row>
    <row r="2131" spans="1:2">
      <c r="A2131" s="3">
        <f ca="1">IFERROR(__xludf.DUMMYFUNCTION("""COMPUTED_VALUE"""),41444.6666666666)</f>
        <v>41444.666666666599</v>
      </c>
      <c r="B2131" s="1">
        <f ca="1">IFERROR(__xludf.DUMMYFUNCTION("""COMPUTED_VALUE"""),15.11)</f>
        <v>15.11</v>
      </c>
    </row>
    <row r="2132" spans="1:2">
      <c r="A2132" s="3">
        <f ca="1">IFERROR(__xludf.DUMMYFUNCTION("""COMPUTED_VALUE"""),41445.6666666666)</f>
        <v>41445.666666666599</v>
      </c>
      <c r="B2132" s="1">
        <f ca="1">IFERROR(__xludf.DUMMYFUNCTION("""COMPUTED_VALUE"""),14.89)</f>
        <v>14.89</v>
      </c>
    </row>
    <row r="2133" spans="1:2">
      <c r="A2133" s="3">
        <f ca="1">IFERROR(__xludf.DUMMYFUNCTION("""COMPUTED_VALUE"""),41446.6666666666)</f>
        <v>41446.666666666599</v>
      </c>
      <c r="B2133" s="1">
        <f ca="1">IFERROR(__xludf.DUMMYFUNCTION("""COMPUTED_VALUE"""),14.77)</f>
        <v>14.77</v>
      </c>
    </row>
    <row r="2134" spans="1:2">
      <c r="A2134" s="3">
        <f ca="1">IFERROR(__xludf.DUMMYFUNCTION("""COMPUTED_VALUE"""),41449.6666666666)</f>
        <v>41449.666666666599</v>
      </c>
      <c r="B2134" s="1">
        <f ca="1">IFERROR(__xludf.DUMMYFUNCTION("""COMPUTED_VALUE"""),14.38)</f>
        <v>14.38</v>
      </c>
    </row>
    <row r="2135" spans="1:2">
      <c r="A2135" s="3">
        <f ca="1">IFERROR(__xludf.DUMMYFUNCTION("""COMPUTED_VALUE"""),41450.6666666666)</f>
        <v>41450.666666666599</v>
      </c>
      <c r="B2135" s="1">
        <f ca="1">IFERROR(__xludf.DUMMYFUNCTION("""COMPUTED_VALUE"""),14.38)</f>
        <v>14.38</v>
      </c>
    </row>
    <row r="2136" spans="1:2">
      <c r="A2136" s="3">
        <f ca="1">IFERROR(__xludf.DUMMYFUNCTION("""COMPUTED_VALUE"""),41451.6666666666)</f>
        <v>41451.666666666599</v>
      </c>
      <c r="B2136" s="1">
        <f ca="1">IFERROR(__xludf.DUMMYFUNCTION("""COMPUTED_VALUE"""),14.22)</f>
        <v>14.22</v>
      </c>
    </row>
    <row r="2137" spans="1:2">
      <c r="A2137" s="3">
        <f ca="1">IFERROR(__xludf.DUMMYFUNCTION("""COMPUTED_VALUE"""),41452.6666666666)</f>
        <v>41452.666666666599</v>
      </c>
      <c r="B2137" s="1">
        <f ca="1">IFERROR(__xludf.DUMMYFUNCTION("""COMPUTED_VALUE"""),14.06)</f>
        <v>14.06</v>
      </c>
    </row>
    <row r="2138" spans="1:2">
      <c r="A2138" s="3">
        <f ca="1">IFERROR(__xludf.DUMMYFUNCTION("""COMPUTED_VALUE"""),41453.6666666666)</f>
        <v>41453.666666666599</v>
      </c>
      <c r="B2138" s="1">
        <f ca="1">IFERROR(__xludf.DUMMYFUNCTION("""COMPUTED_VALUE"""),14.16)</f>
        <v>14.16</v>
      </c>
    </row>
    <row r="2139" spans="1:2">
      <c r="A2139" s="3">
        <f ca="1">IFERROR(__xludf.DUMMYFUNCTION("""COMPUTED_VALUE"""),41456.6666666666)</f>
        <v>41456.666666666599</v>
      </c>
      <c r="B2139" s="1">
        <f ca="1">IFERROR(__xludf.DUMMYFUNCTION("""COMPUTED_VALUE"""),14.62)</f>
        <v>14.62</v>
      </c>
    </row>
    <row r="2140" spans="1:2">
      <c r="A2140" s="3">
        <f ca="1">IFERROR(__xludf.DUMMYFUNCTION("""COMPUTED_VALUE"""),41457.6666666666)</f>
        <v>41457.666666666599</v>
      </c>
      <c r="B2140" s="1">
        <f ca="1">IFERROR(__xludf.DUMMYFUNCTION("""COMPUTED_VALUE"""),14.95)</f>
        <v>14.95</v>
      </c>
    </row>
    <row r="2141" spans="1:2">
      <c r="A2141" s="3">
        <f ca="1">IFERROR(__xludf.DUMMYFUNCTION("""COMPUTED_VALUE"""),41458.6666666666)</f>
        <v>41458.666666666599</v>
      </c>
      <c r="B2141" s="1">
        <f ca="1">IFERROR(__xludf.DUMMYFUNCTION("""COMPUTED_VALUE"""),15.03)</f>
        <v>15.03</v>
      </c>
    </row>
    <row r="2142" spans="1:2">
      <c r="A2142" s="3">
        <f ca="1">IFERROR(__xludf.DUMMYFUNCTION("""COMPUTED_VALUE"""),41460.6666666666)</f>
        <v>41460.666666666599</v>
      </c>
      <c r="B2142" s="1">
        <f ca="1">IFERROR(__xludf.DUMMYFUNCTION("""COMPUTED_VALUE"""),14.91)</f>
        <v>14.91</v>
      </c>
    </row>
    <row r="2143" spans="1:2">
      <c r="A2143" s="3">
        <f ca="1">IFERROR(__xludf.DUMMYFUNCTION("""COMPUTED_VALUE"""),41463.6666666666)</f>
        <v>41463.666666666599</v>
      </c>
      <c r="B2143" s="1">
        <f ca="1">IFERROR(__xludf.DUMMYFUNCTION("""COMPUTED_VALUE"""),14.82)</f>
        <v>14.82</v>
      </c>
    </row>
    <row r="2144" spans="1:2">
      <c r="A2144" s="3">
        <f ca="1">IFERROR(__xludf.DUMMYFUNCTION("""COMPUTED_VALUE"""),41464.6666666666)</f>
        <v>41464.666666666599</v>
      </c>
      <c r="B2144" s="1">
        <f ca="1">IFERROR(__xludf.DUMMYFUNCTION("""COMPUTED_VALUE"""),15.08)</f>
        <v>15.08</v>
      </c>
    </row>
    <row r="2145" spans="1:2">
      <c r="A2145" s="3">
        <f ca="1">IFERROR(__xludf.DUMMYFUNCTION("""COMPUTED_VALUE"""),41465.6666666666)</f>
        <v>41465.666666666599</v>
      </c>
      <c r="B2145" s="1">
        <f ca="1">IFERROR(__xludf.DUMMYFUNCTION("""COMPUTED_VALUE"""),15.03)</f>
        <v>15.03</v>
      </c>
    </row>
    <row r="2146" spans="1:2">
      <c r="A2146" s="3">
        <f ca="1">IFERROR(__xludf.DUMMYFUNCTION("""COMPUTED_VALUE"""),41466.6666666666)</f>
        <v>41466.666666666599</v>
      </c>
      <c r="B2146" s="1">
        <f ca="1">IFERROR(__xludf.DUMMYFUNCTION("""COMPUTED_VALUE"""),15.26)</f>
        <v>15.26</v>
      </c>
    </row>
    <row r="2147" spans="1:2">
      <c r="A2147" s="3">
        <f ca="1">IFERROR(__xludf.DUMMYFUNCTION("""COMPUTED_VALUE"""),41467.6666666666)</f>
        <v>41467.666666666599</v>
      </c>
      <c r="B2147" s="1">
        <f ca="1">IFERROR(__xludf.DUMMYFUNCTION("""COMPUTED_VALUE"""),15.23)</f>
        <v>15.23</v>
      </c>
    </row>
    <row r="2148" spans="1:2">
      <c r="A2148" s="3">
        <f ca="1">IFERROR(__xludf.DUMMYFUNCTION("""COMPUTED_VALUE"""),41470.6666666666)</f>
        <v>41470.666666666599</v>
      </c>
      <c r="B2148" s="1">
        <f ca="1">IFERROR(__xludf.DUMMYFUNCTION("""COMPUTED_VALUE"""),15.27)</f>
        <v>15.27</v>
      </c>
    </row>
    <row r="2149" spans="1:2">
      <c r="A2149" s="3">
        <f ca="1">IFERROR(__xludf.DUMMYFUNCTION("""COMPUTED_VALUE"""),41471.6666666666)</f>
        <v>41471.666666666599</v>
      </c>
      <c r="B2149" s="1">
        <f ca="1">IFERROR(__xludf.DUMMYFUNCTION("""COMPUTED_VALUE"""),15.36)</f>
        <v>15.36</v>
      </c>
    </row>
    <row r="2150" spans="1:2">
      <c r="A2150" s="3">
        <f ca="1">IFERROR(__xludf.DUMMYFUNCTION("""COMPUTED_VALUE"""),41472.6666666666)</f>
        <v>41472.666666666599</v>
      </c>
      <c r="B2150" s="1">
        <f ca="1">IFERROR(__xludf.DUMMYFUNCTION("""COMPUTED_VALUE"""),15.37)</f>
        <v>15.37</v>
      </c>
    </row>
    <row r="2151" spans="1:2">
      <c r="A2151" s="3">
        <f ca="1">IFERROR(__xludf.DUMMYFUNCTION("""COMPUTED_VALUE"""),41473.6666666666)</f>
        <v>41473.666666666599</v>
      </c>
      <c r="B2151" s="1">
        <f ca="1">IFERROR(__xludf.DUMMYFUNCTION("""COMPUTED_VALUE"""),15.42)</f>
        <v>15.42</v>
      </c>
    </row>
    <row r="2152" spans="1:2">
      <c r="A2152" s="3">
        <f ca="1">IFERROR(__xludf.DUMMYFUNCTION("""COMPUTED_VALUE"""),41474.6666666666)</f>
        <v>41474.666666666599</v>
      </c>
      <c r="B2152" s="1">
        <f ca="1">IFERROR(__xludf.DUMMYFUNCTION("""COMPUTED_VALUE"""),15.18)</f>
        <v>15.18</v>
      </c>
    </row>
    <row r="2153" spans="1:2">
      <c r="A2153" s="3">
        <f ca="1">IFERROR(__xludf.DUMMYFUNCTION("""COMPUTED_VALUE"""),41477.6666666666)</f>
        <v>41477.666666666599</v>
      </c>
      <c r="B2153" s="1">
        <f ca="1">IFERROR(__xludf.DUMMYFUNCTION("""COMPUTED_VALUE"""),15.23)</f>
        <v>15.23</v>
      </c>
    </row>
    <row r="2154" spans="1:2">
      <c r="A2154" s="3">
        <f ca="1">IFERROR(__xludf.DUMMYFUNCTION("""COMPUTED_VALUE"""),41478.6666666666)</f>
        <v>41478.666666666599</v>
      </c>
      <c r="B2154" s="1">
        <f ca="1">IFERROR(__xludf.DUMMYFUNCTION("""COMPUTED_VALUE"""),14.96)</f>
        <v>14.96</v>
      </c>
    </row>
    <row r="2155" spans="1:2">
      <c r="A2155" s="3">
        <f ca="1">IFERROR(__xludf.DUMMYFUNCTION("""COMPUTED_VALUE"""),41479.6666666666)</f>
        <v>41479.666666666599</v>
      </c>
      <c r="B2155" s="1">
        <f ca="1">IFERROR(__xludf.DUMMYFUNCTION("""COMPUTED_VALUE"""),15.73)</f>
        <v>15.73</v>
      </c>
    </row>
    <row r="2156" spans="1:2">
      <c r="A2156" s="3">
        <f ca="1">IFERROR(__xludf.DUMMYFUNCTION("""COMPUTED_VALUE"""),41480.6666666666)</f>
        <v>41480.666666666599</v>
      </c>
      <c r="B2156" s="1">
        <f ca="1">IFERROR(__xludf.DUMMYFUNCTION("""COMPUTED_VALUE"""),15.66)</f>
        <v>15.66</v>
      </c>
    </row>
    <row r="2157" spans="1:2">
      <c r="A2157" s="3">
        <f ca="1">IFERROR(__xludf.DUMMYFUNCTION("""COMPUTED_VALUE"""),41481.6666666666)</f>
        <v>41481.666666666599</v>
      </c>
      <c r="B2157" s="1">
        <f ca="1">IFERROR(__xludf.DUMMYFUNCTION("""COMPUTED_VALUE"""),15.75)</f>
        <v>15.75</v>
      </c>
    </row>
    <row r="2158" spans="1:2">
      <c r="A2158" s="3">
        <f ca="1">IFERROR(__xludf.DUMMYFUNCTION("""COMPUTED_VALUE"""),41484.6666666666)</f>
        <v>41484.666666666599</v>
      </c>
      <c r="B2158" s="1">
        <f ca="1">IFERROR(__xludf.DUMMYFUNCTION("""COMPUTED_VALUE"""),15.99)</f>
        <v>15.99</v>
      </c>
    </row>
    <row r="2159" spans="1:2">
      <c r="A2159" s="3">
        <f ca="1">IFERROR(__xludf.DUMMYFUNCTION("""COMPUTED_VALUE"""),41485.6666666666)</f>
        <v>41485.666666666599</v>
      </c>
      <c r="B2159" s="1">
        <f ca="1">IFERROR(__xludf.DUMMYFUNCTION("""COMPUTED_VALUE"""),16.19)</f>
        <v>16.190000000000001</v>
      </c>
    </row>
    <row r="2160" spans="1:2">
      <c r="A2160" s="3">
        <f ca="1">IFERROR(__xludf.DUMMYFUNCTION("""COMPUTED_VALUE"""),41486.6666666666)</f>
        <v>41486.666666666599</v>
      </c>
      <c r="B2160" s="1">
        <f ca="1">IFERROR(__xludf.DUMMYFUNCTION("""COMPUTED_VALUE"""),16.16)</f>
        <v>16.16</v>
      </c>
    </row>
    <row r="2161" spans="1:2">
      <c r="A2161" s="3">
        <f ca="1">IFERROR(__xludf.DUMMYFUNCTION("""COMPUTED_VALUE"""),41487.6666666666)</f>
        <v>41487.666666666599</v>
      </c>
      <c r="B2161" s="1">
        <f ca="1">IFERROR(__xludf.DUMMYFUNCTION("""COMPUTED_VALUE"""),16.31)</f>
        <v>16.309999999999999</v>
      </c>
    </row>
    <row r="2162" spans="1:2">
      <c r="A2162" s="3">
        <f ca="1">IFERROR(__xludf.DUMMYFUNCTION("""COMPUTED_VALUE"""),41488.6666666666)</f>
        <v>41488.666666666599</v>
      </c>
      <c r="B2162" s="1">
        <f ca="1">IFERROR(__xludf.DUMMYFUNCTION("""COMPUTED_VALUE"""),16.52)</f>
        <v>16.52</v>
      </c>
    </row>
    <row r="2163" spans="1:2">
      <c r="A2163" s="3">
        <f ca="1">IFERROR(__xludf.DUMMYFUNCTION("""COMPUTED_VALUE"""),41491.6666666666)</f>
        <v>41491.666666666599</v>
      </c>
      <c r="B2163" s="1">
        <f ca="1">IFERROR(__xludf.DUMMYFUNCTION("""COMPUTED_VALUE"""),16.77)</f>
        <v>16.77</v>
      </c>
    </row>
    <row r="2164" spans="1:2">
      <c r="A2164" s="3">
        <f ca="1">IFERROR(__xludf.DUMMYFUNCTION("""COMPUTED_VALUE"""),41492.6666666666)</f>
        <v>41492.666666666599</v>
      </c>
      <c r="B2164" s="1">
        <f ca="1">IFERROR(__xludf.DUMMYFUNCTION("""COMPUTED_VALUE"""),16.62)</f>
        <v>16.62</v>
      </c>
    </row>
    <row r="2165" spans="1:2">
      <c r="A2165" s="3">
        <f ca="1">IFERROR(__xludf.DUMMYFUNCTION("""COMPUTED_VALUE"""),41493.6666666666)</f>
        <v>41493.666666666599</v>
      </c>
      <c r="B2165" s="1">
        <f ca="1">IFERROR(__xludf.DUMMYFUNCTION("""COMPUTED_VALUE"""),16.61)</f>
        <v>16.61</v>
      </c>
    </row>
    <row r="2166" spans="1:2">
      <c r="A2166" s="3">
        <f ca="1">IFERROR(__xludf.DUMMYFUNCTION("""COMPUTED_VALUE"""),41494.6666666666)</f>
        <v>41494.666666666599</v>
      </c>
      <c r="B2166" s="1">
        <f ca="1">IFERROR(__xludf.DUMMYFUNCTION("""COMPUTED_VALUE"""),16.46)</f>
        <v>16.46</v>
      </c>
    </row>
    <row r="2167" spans="1:2">
      <c r="A2167" s="3">
        <f ca="1">IFERROR(__xludf.DUMMYFUNCTION("""COMPUTED_VALUE"""),41495.6666666666)</f>
        <v>41495.666666666599</v>
      </c>
      <c r="B2167" s="1">
        <f ca="1">IFERROR(__xludf.DUMMYFUNCTION("""COMPUTED_VALUE"""),16.23)</f>
        <v>16.23</v>
      </c>
    </row>
    <row r="2168" spans="1:2">
      <c r="A2168" s="3">
        <f ca="1">IFERROR(__xludf.DUMMYFUNCTION("""COMPUTED_VALUE"""),41498.6666666666)</f>
        <v>41498.666666666599</v>
      </c>
      <c r="B2168" s="1">
        <f ca="1">IFERROR(__xludf.DUMMYFUNCTION("""COMPUTED_VALUE"""),16.69)</f>
        <v>16.690000000000001</v>
      </c>
    </row>
    <row r="2169" spans="1:2">
      <c r="A2169" s="3">
        <f ca="1">IFERROR(__xludf.DUMMYFUNCTION("""COMPUTED_VALUE"""),41499.6666666666)</f>
        <v>41499.666666666599</v>
      </c>
      <c r="B2169" s="1">
        <f ca="1">IFERROR(__xludf.DUMMYFUNCTION("""COMPUTED_VALUE"""),17.48)</f>
        <v>17.48</v>
      </c>
    </row>
    <row r="2170" spans="1:2">
      <c r="A2170" s="3">
        <f ca="1">IFERROR(__xludf.DUMMYFUNCTION("""COMPUTED_VALUE"""),41500.6666666666)</f>
        <v>41500.666666666599</v>
      </c>
      <c r="B2170" s="1">
        <f ca="1">IFERROR(__xludf.DUMMYFUNCTION("""COMPUTED_VALUE"""),17.8)</f>
        <v>17.8</v>
      </c>
    </row>
    <row r="2171" spans="1:2">
      <c r="A2171" s="3">
        <f ca="1">IFERROR(__xludf.DUMMYFUNCTION("""COMPUTED_VALUE"""),41501.6666666666)</f>
        <v>41501.666666666599</v>
      </c>
      <c r="B2171" s="1">
        <f ca="1">IFERROR(__xludf.DUMMYFUNCTION("""COMPUTED_VALUE"""),17.78)</f>
        <v>17.78</v>
      </c>
    </row>
    <row r="2172" spans="1:2">
      <c r="A2172" s="3">
        <f ca="1">IFERROR(__xludf.DUMMYFUNCTION("""COMPUTED_VALUE"""),41502.6666666666)</f>
        <v>41502.666666666599</v>
      </c>
      <c r="B2172" s="1">
        <f ca="1">IFERROR(__xludf.DUMMYFUNCTION("""COMPUTED_VALUE"""),17.94)</f>
        <v>17.940000000000001</v>
      </c>
    </row>
    <row r="2173" spans="1:2">
      <c r="A2173" s="3">
        <f ca="1">IFERROR(__xludf.DUMMYFUNCTION("""COMPUTED_VALUE"""),41505.6666666666)</f>
        <v>41505.666666666599</v>
      </c>
      <c r="B2173" s="1">
        <f ca="1">IFERROR(__xludf.DUMMYFUNCTION("""COMPUTED_VALUE"""),18.13)</f>
        <v>18.13</v>
      </c>
    </row>
    <row r="2174" spans="1:2">
      <c r="A2174" s="3">
        <f ca="1">IFERROR(__xludf.DUMMYFUNCTION("""COMPUTED_VALUE"""),41506.6666666666)</f>
        <v>41506.666666666599</v>
      </c>
      <c r="B2174" s="1">
        <f ca="1">IFERROR(__xludf.DUMMYFUNCTION("""COMPUTED_VALUE"""),17.9)</f>
        <v>17.899999999999999</v>
      </c>
    </row>
    <row r="2175" spans="1:2">
      <c r="A2175" s="3">
        <f ca="1">IFERROR(__xludf.DUMMYFUNCTION("""COMPUTED_VALUE"""),41507.6666666666)</f>
        <v>41507.666666666599</v>
      </c>
      <c r="B2175" s="1">
        <f ca="1">IFERROR(__xludf.DUMMYFUNCTION("""COMPUTED_VALUE"""),17.94)</f>
        <v>17.940000000000001</v>
      </c>
    </row>
    <row r="2176" spans="1:2">
      <c r="A2176" s="3">
        <f ca="1">IFERROR(__xludf.DUMMYFUNCTION("""COMPUTED_VALUE"""),41508.6666666666)</f>
        <v>41508.666666666599</v>
      </c>
      <c r="B2176" s="1">
        <f ca="1">IFERROR(__xludf.DUMMYFUNCTION("""COMPUTED_VALUE"""),17.96)</f>
        <v>17.96</v>
      </c>
    </row>
    <row r="2177" spans="1:2">
      <c r="A2177" s="3">
        <f ca="1">IFERROR(__xludf.DUMMYFUNCTION("""COMPUTED_VALUE"""),41509.6666666666)</f>
        <v>41509.666666666599</v>
      </c>
      <c r="B2177" s="1">
        <f ca="1">IFERROR(__xludf.DUMMYFUNCTION("""COMPUTED_VALUE"""),17.89)</f>
        <v>17.89</v>
      </c>
    </row>
    <row r="2178" spans="1:2">
      <c r="A2178" s="3">
        <f ca="1">IFERROR(__xludf.DUMMYFUNCTION("""COMPUTED_VALUE"""),41512.6666666666)</f>
        <v>41512.666666666599</v>
      </c>
      <c r="B2178" s="1">
        <f ca="1">IFERROR(__xludf.DUMMYFUNCTION("""COMPUTED_VALUE"""),17.96)</f>
        <v>17.96</v>
      </c>
    </row>
    <row r="2179" spans="1:2">
      <c r="A2179" s="3">
        <f ca="1">IFERROR(__xludf.DUMMYFUNCTION("""COMPUTED_VALUE"""),41513.6666666666)</f>
        <v>41513.666666666599</v>
      </c>
      <c r="B2179" s="1">
        <f ca="1">IFERROR(__xludf.DUMMYFUNCTION("""COMPUTED_VALUE"""),17.45)</f>
        <v>17.45</v>
      </c>
    </row>
    <row r="2180" spans="1:2">
      <c r="A2180" s="3">
        <f ca="1">IFERROR(__xludf.DUMMYFUNCTION("""COMPUTED_VALUE"""),41514.6666666666)</f>
        <v>41514.666666666599</v>
      </c>
      <c r="B2180" s="1">
        <f ca="1">IFERROR(__xludf.DUMMYFUNCTION("""COMPUTED_VALUE"""),17.53)</f>
        <v>17.53</v>
      </c>
    </row>
    <row r="2181" spans="1:2">
      <c r="A2181" s="3">
        <f ca="1">IFERROR(__xludf.DUMMYFUNCTION("""COMPUTED_VALUE"""),41515.6666666666)</f>
        <v>41515.666666666599</v>
      </c>
      <c r="B2181" s="1">
        <f ca="1">IFERROR(__xludf.DUMMYFUNCTION("""COMPUTED_VALUE"""),17.56)</f>
        <v>17.559999999999999</v>
      </c>
    </row>
    <row r="2182" spans="1:2">
      <c r="A2182" s="3">
        <f ca="1">IFERROR(__xludf.DUMMYFUNCTION("""COMPUTED_VALUE"""),41516.6666666666)</f>
        <v>41516.666666666599</v>
      </c>
      <c r="B2182" s="1">
        <f ca="1">IFERROR(__xludf.DUMMYFUNCTION("""COMPUTED_VALUE"""),17.4)</f>
        <v>17.399999999999999</v>
      </c>
    </row>
    <row r="2183" spans="1:2">
      <c r="A2183" s="3">
        <f ca="1">IFERROR(__xludf.DUMMYFUNCTION("""COMPUTED_VALUE"""),41520.6666666666)</f>
        <v>41520.666666666599</v>
      </c>
      <c r="B2183" s="1">
        <f ca="1">IFERROR(__xludf.DUMMYFUNCTION("""COMPUTED_VALUE"""),17.45)</f>
        <v>17.45</v>
      </c>
    </row>
    <row r="2184" spans="1:2">
      <c r="A2184" s="3">
        <f ca="1">IFERROR(__xludf.DUMMYFUNCTION("""COMPUTED_VALUE"""),41521.6666666666)</f>
        <v>41521.666666666599</v>
      </c>
      <c r="B2184" s="1">
        <f ca="1">IFERROR(__xludf.DUMMYFUNCTION("""COMPUTED_VALUE"""),17.81)</f>
        <v>17.809999999999999</v>
      </c>
    </row>
    <row r="2185" spans="1:2">
      <c r="A2185" s="3">
        <f ca="1">IFERROR(__xludf.DUMMYFUNCTION("""COMPUTED_VALUE"""),41522.6666666666)</f>
        <v>41522.666666666599</v>
      </c>
      <c r="B2185" s="1">
        <f ca="1">IFERROR(__xludf.DUMMYFUNCTION("""COMPUTED_VALUE"""),17.69)</f>
        <v>17.690000000000001</v>
      </c>
    </row>
    <row r="2186" spans="1:2">
      <c r="A2186" s="3">
        <f ca="1">IFERROR(__xludf.DUMMYFUNCTION("""COMPUTED_VALUE"""),41523.6666666666)</f>
        <v>41523.666666666599</v>
      </c>
      <c r="B2186" s="1">
        <f ca="1">IFERROR(__xludf.DUMMYFUNCTION("""COMPUTED_VALUE"""),17.79)</f>
        <v>17.79</v>
      </c>
    </row>
    <row r="2187" spans="1:2">
      <c r="A2187" s="3">
        <f ca="1">IFERROR(__xludf.DUMMYFUNCTION("""COMPUTED_VALUE"""),41526.6666666666)</f>
        <v>41526.666666666599</v>
      </c>
      <c r="B2187" s="1">
        <f ca="1">IFERROR(__xludf.DUMMYFUNCTION("""COMPUTED_VALUE"""),18.08)</f>
        <v>18.079999999999998</v>
      </c>
    </row>
    <row r="2188" spans="1:2">
      <c r="A2188" s="3">
        <f ca="1">IFERROR(__xludf.DUMMYFUNCTION("""COMPUTED_VALUE"""),41527.6666666666)</f>
        <v>41527.666666666599</v>
      </c>
      <c r="B2188" s="1">
        <f ca="1">IFERROR(__xludf.DUMMYFUNCTION("""COMPUTED_VALUE"""),17.67)</f>
        <v>17.670000000000002</v>
      </c>
    </row>
    <row r="2189" spans="1:2">
      <c r="A2189" s="3">
        <f ca="1">IFERROR(__xludf.DUMMYFUNCTION("""COMPUTED_VALUE"""),41528.6666666666)</f>
        <v>41528.666666666599</v>
      </c>
      <c r="B2189" s="1">
        <f ca="1">IFERROR(__xludf.DUMMYFUNCTION("""COMPUTED_VALUE"""),16.7)</f>
        <v>16.7</v>
      </c>
    </row>
    <row r="2190" spans="1:2">
      <c r="A2190" s="3">
        <f ca="1">IFERROR(__xludf.DUMMYFUNCTION("""COMPUTED_VALUE"""),41529.6666666666)</f>
        <v>41529.666666666599</v>
      </c>
      <c r="B2190" s="1">
        <f ca="1">IFERROR(__xludf.DUMMYFUNCTION("""COMPUTED_VALUE"""),16.88)</f>
        <v>16.88</v>
      </c>
    </row>
    <row r="2191" spans="1:2">
      <c r="A2191" s="3">
        <f ca="1">IFERROR(__xludf.DUMMYFUNCTION("""COMPUTED_VALUE"""),41530.6666666666)</f>
        <v>41530.666666666599</v>
      </c>
      <c r="B2191" s="1">
        <f ca="1">IFERROR(__xludf.DUMMYFUNCTION("""COMPUTED_VALUE"""),16.6)</f>
        <v>16.600000000000001</v>
      </c>
    </row>
    <row r="2192" spans="1:2">
      <c r="A2192" s="3">
        <f ca="1">IFERROR(__xludf.DUMMYFUNCTION("""COMPUTED_VALUE"""),41533.6666666666)</f>
        <v>41533.666666666599</v>
      </c>
      <c r="B2192" s="1">
        <f ca="1">IFERROR(__xludf.DUMMYFUNCTION("""COMPUTED_VALUE"""),16.08)</f>
        <v>16.079999999999998</v>
      </c>
    </row>
    <row r="2193" spans="1:2">
      <c r="A2193" s="3">
        <f ca="1">IFERROR(__xludf.DUMMYFUNCTION("""COMPUTED_VALUE"""),41534.6666666666)</f>
        <v>41534.666666666599</v>
      </c>
      <c r="B2193" s="1">
        <f ca="1">IFERROR(__xludf.DUMMYFUNCTION("""COMPUTED_VALUE"""),16.26)</f>
        <v>16.260000000000002</v>
      </c>
    </row>
    <row r="2194" spans="1:2">
      <c r="A2194" s="3">
        <f ca="1">IFERROR(__xludf.DUMMYFUNCTION("""COMPUTED_VALUE"""),41535.6666666666)</f>
        <v>41535.666666666599</v>
      </c>
      <c r="B2194" s="1">
        <f ca="1">IFERROR(__xludf.DUMMYFUNCTION("""COMPUTED_VALUE"""),16.6)</f>
        <v>16.600000000000001</v>
      </c>
    </row>
    <row r="2195" spans="1:2">
      <c r="A2195" s="3">
        <f ca="1">IFERROR(__xludf.DUMMYFUNCTION("""COMPUTED_VALUE"""),41536.6666666666)</f>
        <v>41536.666666666599</v>
      </c>
      <c r="B2195" s="1">
        <f ca="1">IFERROR(__xludf.DUMMYFUNCTION("""COMPUTED_VALUE"""),16.87)</f>
        <v>16.87</v>
      </c>
    </row>
    <row r="2196" spans="1:2">
      <c r="A2196" s="3">
        <f ca="1">IFERROR(__xludf.DUMMYFUNCTION("""COMPUTED_VALUE"""),41537.6666666666)</f>
        <v>41537.666666666599</v>
      </c>
      <c r="B2196" s="1">
        <f ca="1">IFERROR(__xludf.DUMMYFUNCTION("""COMPUTED_VALUE"""),16.69)</f>
        <v>16.690000000000001</v>
      </c>
    </row>
    <row r="2197" spans="1:2">
      <c r="A2197" s="3">
        <f ca="1">IFERROR(__xludf.DUMMYFUNCTION("""COMPUTED_VALUE"""),41540.6666666666)</f>
        <v>41540.666666666599</v>
      </c>
      <c r="B2197" s="1">
        <f ca="1">IFERROR(__xludf.DUMMYFUNCTION("""COMPUTED_VALUE"""),17.52)</f>
        <v>17.52</v>
      </c>
    </row>
    <row r="2198" spans="1:2">
      <c r="A2198" s="3">
        <f ca="1">IFERROR(__xludf.DUMMYFUNCTION("""COMPUTED_VALUE"""),41541.6666666666)</f>
        <v>41541.666666666599</v>
      </c>
      <c r="B2198" s="1">
        <f ca="1">IFERROR(__xludf.DUMMYFUNCTION("""COMPUTED_VALUE"""),17.47)</f>
        <v>17.47</v>
      </c>
    </row>
    <row r="2199" spans="1:2">
      <c r="A2199" s="3">
        <f ca="1">IFERROR(__xludf.DUMMYFUNCTION("""COMPUTED_VALUE"""),41542.6666666666)</f>
        <v>41542.666666666599</v>
      </c>
      <c r="B2199" s="1">
        <f ca="1">IFERROR(__xludf.DUMMYFUNCTION("""COMPUTED_VALUE"""),17.2)</f>
        <v>17.2</v>
      </c>
    </row>
    <row r="2200" spans="1:2">
      <c r="A2200" s="3">
        <f ca="1">IFERROR(__xludf.DUMMYFUNCTION("""COMPUTED_VALUE"""),41543.6666666666)</f>
        <v>41543.666666666599</v>
      </c>
      <c r="B2200" s="1">
        <f ca="1">IFERROR(__xludf.DUMMYFUNCTION("""COMPUTED_VALUE"""),17.36)</f>
        <v>17.36</v>
      </c>
    </row>
    <row r="2201" spans="1:2">
      <c r="A2201" s="3">
        <f ca="1">IFERROR(__xludf.DUMMYFUNCTION("""COMPUTED_VALUE"""),41544.6666666666)</f>
        <v>41544.666666666599</v>
      </c>
      <c r="B2201" s="1">
        <f ca="1">IFERROR(__xludf.DUMMYFUNCTION("""COMPUTED_VALUE"""),17.24)</f>
        <v>17.239999999999998</v>
      </c>
    </row>
    <row r="2202" spans="1:2">
      <c r="A2202" s="3">
        <f ca="1">IFERROR(__xludf.DUMMYFUNCTION("""COMPUTED_VALUE"""),41547.6666666666)</f>
        <v>41547.666666666599</v>
      </c>
      <c r="B2202" s="1">
        <f ca="1">IFERROR(__xludf.DUMMYFUNCTION("""COMPUTED_VALUE"""),17.03)</f>
        <v>17.03</v>
      </c>
    </row>
    <row r="2203" spans="1:2">
      <c r="A2203" s="3">
        <f ca="1">IFERROR(__xludf.DUMMYFUNCTION("""COMPUTED_VALUE"""),41548.6666666666)</f>
        <v>41548.666666666599</v>
      </c>
      <c r="B2203" s="1">
        <f ca="1">IFERROR(__xludf.DUMMYFUNCTION("""COMPUTED_VALUE"""),17.43)</f>
        <v>17.43</v>
      </c>
    </row>
    <row r="2204" spans="1:2">
      <c r="A2204" s="3">
        <f ca="1">IFERROR(__xludf.DUMMYFUNCTION("""COMPUTED_VALUE"""),41549.6666666666)</f>
        <v>41549.666666666599</v>
      </c>
      <c r="B2204" s="1">
        <f ca="1">IFERROR(__xludf.DUMMYFUNCTION("""COMPUTED_VALUE"""),17.48)</f>
        <v>17.48</v>
      </c>
    </row>
    <row r="2205" spans="1:2">
      <c r="A2205" s="3">
        <f ca="1">IFERROR(__xludf.DUMMYFUNCTION("""COMPUTED_VALUE"""),41550.6666666666)</f>
        <v>41550.666666666599</v>
      </c>
      <c r="B2205" s="1">
        <f ca="1">IFERROR(__xludf.DUMMYFUNCTION("""COMPUTED_VALUE"""),17.26)</f>
        <v>17.260000000000002</v>
      </c>
    </row>
    <row r="2206" spans="1:2">
      <c r="A2206" s="3">
        <f ca="1">IFERROR(__xludf.DUMMYFUNCTION("""COMPUTED_VALUE"""),41551.6666666666)</f>
        <v>41551.666666666599</v>
      </c>
      <c r="B2206" s="1">
        <f ca="1">IFERROR(__xludf.DUMMYFUNCTION("""COMPUTED_VALUE"""),17.25)</f>
        <v>17.25</v>
      </c>
    </row>
    <row r="2207" spans="1:2">
      <c r="A2207" s="3">
        <f ca="1">IFERROR(__xludf.DUMMYFUNCTION("""COMPUTED_VALUE"""),41554.6666666666)</f>
        <v>41554.666666666599</v>
      </c>
      <c r="B2207" s="1">
        <f ca="1">IFERROR(__xludf.DUMMYFUNCTION("""COMPUTED_VALUE"""),17.42)</f>
        <v>17.420000000000002</v>
      </c>
    </row>
    <row r="2208" spans="1:2">
      <c r="A2208" s="3">
        <f ca="1">IFERROR(__xludf.DUMMYFUNCTION("""COMPUTED_VALUE"""),41555.6666666666)</f>
        <v>41555.666666666599</v>
      </c>
      <c r="B2208" s="1">
        <f ca="1">IFERROR(__xludf.DUMMYFUNCTION("""COMPUTED_VALUE"""),17.18)</f>
        <v>17.18</v>
      </c>
    </row>
    <row r="2209" spans="1:2">
      <c r="A2209" s="3">
        <f ca="1">IFERROR(__xludf.DUMMYFUNCTION("""COMPUTED_VALUE"""),41556.6666666666)</f>
        <v>41556.666666666599</v>
      </c>
      <c r="B2209" s="1">
        <f ca="1">IFERROR(__xludf.DUMMYFUNCTION("""COMPUTED_VALUE"""),17.38)</f>
        <v>17.38</v>
      </c>
    </row>
    <row r="2210" spans="1:2">
      <c r="A2210" s="3">
        <f ca="1">IFERROR(__xludf.DUMMYFUNCTION("""COMPUTED_VALUE"""),41557.6666666666)</f>
        <v>41557.666666666599</v>
      </c>
      <c r="B2210" s="1">
        <f ca="1">IFERROR(__xludf.DUMMYFUNCTION("""COMPUTED_VALUE"""),17.49)</f>
        <v>17.489999999999998</v>
      </c>
    </row>
    <row r="2211" spans="1:2">
      <c r="A2211" s="3">
        <f ca="1">IFERROR(__xludf.DUMMYFUNCTION("""COMPUTED_VALUE"""),41558.6666666666)</f>
        <v>41558.666666666599</v>
      </c>
      <c r="B2211" s="1">
        <f ca="1">IFERROR(__xludf.DUMMYFUNCTION("""COMPUTED_VALUE"""),17.6)</f>
        <v>17.600000000000001</v>
      </c>
    </row>
    <row r="2212" spans="1:2">
      <c r="A2212" s="3">
        <f ca="1">IFERROR(__xludf.DUMMYFUNCTION("""COMPUTED_VALUE"""),41561.6666666666)</f>
        <v>41561.666666666599</v>
      </c>
      <c r="B2212" s="1">
        <f ca="1">IFERROR(__xludf.DUMMYFUNCTION("""COMPUTED_VALUE"""),17.72)</f>
        <v>17.72</v>
      </c>
    </row>
    <row r="2213" spans="1:2">
      <c r="A2213" s="3">
        <f ca="1">IFERROR(__xludf.DUMMYFUNCTION("""COMPUTED_VALUE"""),41562.6666666666)</f>
        <v>41562.666666666599</v>
      </c>
      <c r="B2213" s="1">
        <f ca="1">IFERROR(__xludf.DUMMYFUNCTION("""COMPUTED_VALUE"""),17.81)</f>
        <v>17.809999999999999</v>
      </c>
    </row>
    <row r="2214" spans="1:2">
      <c r="A2214" s="3">
        <f ca="1">IFERROR(__xludf.DUMMYFUNCTION("""COMPUTED_VALUE"""),41563.6666666666)</f>
        <v>41563.666666666599</v>
      </c>
      <c r="B2214" s="1">
        <f ca="1">IFERROR(__xludf.DUMMYFUNCTION("""COMPUTED_VALUE"""),17.9)</f>
        <v>17.899999999999999</v>
      </c>
    </row>
    <row r="2215" spans="1:2">
      <c r="A2215" s="3">
        <f ca="1">IFERROR(__xludf.DUMMYFUNCTION("""COMPUTED_VALUE"""),41564.6666666666)</f>
        <v>41564.666666666599</v>
      </c>
      <c r="B2215" s="1">
        <f ca="1">IFERROR(__xludf.DUMMYFUNCTION("""COMPUTED_VALUE"""),18.02)</f>
        <v>18.02</v>
      </c>
    </row>
    <row r="2216" spans="1:2">
      <c r="A2216" s="3">
        <f ca="1">IFERROR(__xludf.DUMMYFUNCTION("""COMPUTED_VALUE"""),41565.6666666666)</f>
        <v>41565.666666666599</v>
      </c>
      <c r="B2216" s="1">
        <f ca="1">IFERROR(__xludf.DUMMYFUNCTION("""COMPUTED_VALUE"""),18.17)</f>
        <v>18.170000000000002</v>
      </c>
    </row>
    <row r="2217" spans="1:2">
      <c r="A2217" s="3">
        <f ca="1">IFERROR(__xludf.DUMMYFUNCTION("""COMPUTED_VALUE"""),41568.6666666666)</f>
        <v>41568.666666666599</v>
      </c>
      <c r="B2217" s="1">
        <f ca="1">IFERROR(__xludf.DUMMYFUNCTION("""COMPUTED_VALUE"""),18.62)</f>
        <v>18.62</v>
      </c>
    </row>
    <row r="2218" spans="1:2">
      <c r="A2218" s="3">
        <f ca="1">IFERROR(__xludf.DUMMYFUNCTION("""COMPUTED_VALUE"""),41569.6666666666)</f>
        <v>41569.666666666599</v>
      </c>
      <c r="B2218" s="1">
        <f ca="1">IFERROR(__xludf.DUMMYFUNCTION("""COMPUTED_VALUE"""),18.57)</f>
        <v>18.57</v>
      </c>
    </row>
    <row r="2219" spans="1:2">
      <c r="A2219" s="3">
        <f ca="1">IFERROR(__xludf.DUMMYFUNCTION("""COMPUTED_VALUE"""),41570.6666666666)</f>
        <v>41570.666666666599</v>
      </c>
      <c r="B2219" s="1">
        <f ca="1">IFERROR(__xludf.DUMMYFUNCTION("""COMPUTED_VALUE"""),18.75)</f>
        <v>18.75</v>
      </c>
    </row>
    <row r="2220" spans="1:2">
      <c r="A2220" s="3">
        <f ca="1">IFERROR(__xludf.DUMMYFUNCTION("""COMPUTED_VALUE"""),41571.6666666666)</f>
        <v>41571.666666666599</v>
      </c>
      <c r="B2220" s="1">
        <f ca="1">IFERROR(__xludf.DUMMYFUNCTION("""COMPUTED_VALUE"""),19)</f>
        <v>19</v>
      </c>
    </row>
    <row r="2221" spans="1:2">
      <c r="A2221" s="3">
        <f ca="1">IFERROR(__xludf.DUMMYFUNCTION("""COMPUTED_VALUE"""),41572.6666666666)</f>
        <v>41572.666666666599</v>
      </c>
      <c r="B2221" s="1">
        <f ca="1">IFERROR(__xludf.DUMMYFUNCTION("""COMPUTED_VALUE"""),18.78)</f>
        <v>18.78</v>
      </c>
    </row>
    <row r="2222" spans="1:2">
      <c r="A2222" s="3">
        <f ca="1">IFERROR(__xludf.DUMMYFUNCTION("""COMPUTED_VALUE"""),41575.6666666666)</f>
        <v>41575.666666666599</v>
      </c>
      <c r="B2222" s="1">
        <f ca="1">IFERROR(__xludf.DUMMYFUNCTION("""COMPUTED_VALUE"""),18.92)</f>
        <v>18.920000000000002</v>
      </c>
    </row>
    <row r="2223" spans="1:2">
      <c r="A2223" s="3">
        <f ca="1">IFERROR(__xludf.DUMMYFUNCTION("""COMPUTED_VALUE"""),41576.6666666666)</f>
        <v>41576.666666666599</v>
      </c>
      <c r="B2223" s="1">
        <f ca="1">IFERROR(__xludf.DUMMYFUNCTION("""COMPUTED_VALUE"""),18.45)</f>
        <v>18.45</v>
      </c>
    </row>
    <row r="2224" spans="1:2">
      <c r="A2224" s="3">
        <f ca="1">IFERROR(__xludf.DUMMYFUNCTION("""COMPUTED_VALUE"""),41577.6666666666)</f>
        <v>41577.666666666599</v>
      </c>
      <c r="B2224" s="1">
        <f ca="1">IFERROR(__xludf.DUMMYFUNCTION("""COMPUTED_VALUE"""),18.75)</f>
        <v>18.75</v>
      </c>
    </row>
    <row r="2225" spans="1:2">
      <c r="A2225" s="3">
        <f ca="1">IFERROR(__xludf.DUMMYFUNCTION("""COMPUTED_VALUE"""),41578.6666666666)</f>
        <v>41578.666666666599</v>
      </c>
      <c r="B2225" s="1">
        <f ca="1">IFERROR(__xludf.DUMMYFUNCTION("""COMPUTED_VALUE"""),18.67)</f>
        <v>18.670000000000002</v>
      </c>
    </row>
    <row r="2226" spans="1:2">
      <c r="A2226" s="3">
        <f ca="1">IFERROR(__xludf.DUMMYFUNCTION("""COMPUTED_VALUE"""),41579.6666666666)</f>
        <v>41579.666666666599</v>
      </c>
      <c r="B2226" s="1">
        <f ca="1">IFERROR(__xludf.DUMMYFUNCTION("""COMPUTED_VALUE"""),18.57)</f>
        <v>18.57</v>
      </c>
    </row>
    <row r="2227" spans="1:2">
      <c r="A2227" s="3">
        <f ca="1">IFERROR(__xludf.DUMMYFUNCTION("""COMPUTED_VALUE"""),41582.6666666666)</f>
        <v>41582.666666666599</v>
      </c>
      <c r="B2227" s="1">
        <f ca="1">IFERROR(__xludf.DUMMYFUNCTION("""COMPUTED_VALUE"""),18.81)</f>
        <v>18.809999999999999</v>
      </c>
    </row>
    <row r="2228" spans="1:2">
      <c r="A2228" s="3">
        <f ca="1">IFERROR(__xludf.DUMMYFUNCTION("""COMPUTED_VALUE"""),41583.6666666666)</f>
        <v>41583.666666666599</v>
      </c>
      <c r="B2228" s="1">
        <f ca="1">IFERROR(__xludf.DUMMYFUNCTION("""COMPUTED_VALUE"""),18.77)</f>
        <v>18.77</v>
      </c>
    </row>
    <row r="2229" spans="1:2">
      <c r="A2229" s="3">
        <f ca="1">IFERROR(__xludf.DUMMYFUNCTION("""COMPUTED_VALUE"""),41584.6666666666)</f>
        <v>41584.666666666599</v>
      </c>
      <c r="B2229" s="1">
        <f ca="1">IFERROR(__xludf.DUMMYFUNCTION("""COMPUTED_VALUE"""),18.6)</f>
        <v>18.600000000000001</v>
      </c>
    </row>
    <row r="2230" spans="1:2">
      <c r="A2230" s="3">
        <f ca="1">IFERROR(__xludf.DUMMYFUNCTION("""COMPUTED_VALUE"""),41585.6666666666)</f>
        <v>41585.666666666599</v>
      </c>
      <c r="B2230" s="1">
        <f ca="1">IFERROR(__xludf.DUMMYFUNCTION("""COMPUTED_VALUE"""),18.3)</f>
        <v>18.3</v>
      </c>
    </row>
    <row r="2231" spans="1:2">
      <c r="A2231" s="3">
        <f ca="1">IFERROR(__xludf.DUMMYFUNCTION("""COMPUTED_VALUE"""),41586.6666666666)</f>
        <v>41586.666666666599</v>
      </c>
      <c r="B2231" s="1">
        <f ca="1">IFERROR(__xludf.DUMMYFUNCTION("""COMPUTED_VALUE"""),18.59)</f>
        <v>18.59</v>
      </c>
    </row>
    <row r="2232" spans="1:2">
      <c r="A2232" s="3">
        <f ca="1">IFERROR(__xludf.DUMMYFUNCTION("""COMPUTED_VALUE"""),41589.6666666666)</f>
        <v>41589.666666666599</v>
      </c>
      <c r="B2232" s="1">
        <f ca="1">IFERROR(__xludf.DUMMYFUNCTION("""COMPUTED_VALUE"""),18.54)</f>
        <v>18.54</v>
      </c>
    </row>
    <row r="2233" spans="1:2">
      <c r="A2233" s="3">
        <f ca="1">IFERROR(__xludf.DUMMYFUNCTION("""COMPUTED_VALUE"""),41590.6666666666)</f>
        <v>41590.666666666599</v>
      </c>
      <c r="B2233" s="1">
        <f ca="1">IFERROR(__xludf.DUMMYFUNCTION("""COMPUTED_VALUE"""),18.57)</f>
        <v>18.57</v>
      </c>
    </row>
    <row r="2234" spans="1:2">
      <c r="A2234" s="3">
        <f ca="1">IFERROR(__xludf.DUMMYFUNCTION("""COMPUTED_VALUE"""),41591.6666666666)</f>
        <v>41591.666666666599</v>
      </c>
      <c r="B2234" s="1">
        <f ca="1">IFERROR(__xludf.DUMMYFUNCTION("""COMPUTED_VALUE"""),18.59)</f>
        <v>18.59</v>
      </c>
    </row>
    <row r="2235" spans="1:2">
      <c r="A2235" s="3">
        <f ca="1">IFERROR(__xludf.DUMMYFUNCTION("""COMPUTED_VALUE"""),41592.6666666666)</f>
        <v>41592.666666666599</v>
      </c>
      <c r="B2235" s="1">
        <f ca="1">IFERROR(__xludf.DUMMYFUNCTION("""COMPUTED_VALUE"""),18.86)</f>
        <v>18.86</v>
      </c>
    </row>
    <row r="2236" spans="1:2">
      <c r="A2236" s="3">
        <f ca="1">IFERROR(__xludf.DUMMYFUNCTION("""COMPUTED_VALUE"""),41593.6666666666)</f>
        <v>41593.666666666599</v>
      </c>
      <c r="B2236" s="1">
        <f ca="1">IFERROR(__xludf.DUMMYFUNCTION("""COMPUTED_VALUE"""),18.75)</f>
        <v>18.75</v>
      </c>
    </row>
    <row r="2237" spans="1:2">
      <c r="A2237" s="3">
        <f ca="1">IFERROR(__xludf.DUMMYFUNCTION("""COMPUTED_VALUE"""),41596.6666666666)</f>
        <v>41596.666666666599</v>
      </c>
      <c r="B2237" s="1">
        <f ca="1">IFERROR(__xludf.DUMMYFUNCTION("""COMPUTED_VALUE"""),18.52)</f>
        <v>18.52</v>
      </c>
    </row>
    <row r="2238" spans="1:2">
      <c r="A2238" s="3">
        <f ca="1">IFERROR(__xludf.DUMMYFUNCTION("""COMPUTED_VALUE"""),41597.6666666666)</f>
        <v>41597.666666666599</v>
      </c>
      <c r="B2238" s="1">
        <f ca="1">IFERROR(__xludf.DUMMYFUNCTION("""COMPUTED_VALUE"""),18.56)</f>
        <v>18.559999999999999</v>
      </c>
    </row>
    <row r="2239" spans="1:2">
      <c r="A2239" s="3">
        <f ca="1">IFERROR(__xludf.DUMMYFUNCTION("""COMPUTED_VALUE"""),41598.6666666666)</f>
        <v>41598.666666666599</v>
      </c>
      <c r="B2239" s="1">
        <f ca="1">IFERROR(__xludf.DUMMYFUNCTION("""COMPUTED_VALUE"""),18.39)</f>
        <v>18.39</v>
      </c>
    </row>
    <row r="2240" spans="1:2">
      <c r="A2240" s="3">
        <f ca="1">IFERROR(__xludf.DUMMYFUNCTION("""COMPUTED_VALUE"""),41599.6666666666)</f>
        <v>41599.666666666599</v>
      </c>
      <c r="B2240" s="1">
        <f ca="1">IFERROR(__xludf.DUMMYFUNCTION("""COMPUTED_VALUE"""),18.61)</f>
        <v>18.61</v>
      </c>
    </row>
    <row r="2241" spans="1:2">
      <c r="A2241" s="3">
        <f ca="1">IFERROR(__xludf.DUMMYFUNCTION("""COMPUTED_VALUE"""),41600.6666666666)</f>
        <v>41600.666666666599</v>
      </c>
      <c r="B2241" s="1">
        <f ca="1">IFERROR(__xludf.DUMMYFUNCTION("""COMPUTED_VALUE"""),18.56)</f>
        <v>18.559999999999999</v>
      </c>
    </row>
    <row r="2242" spans="1:2">
      <c r="A2242" s="3">
        <f ca="1">IFERROR(__xludf.DUMMYFUNCTION("""COMPUTED_VALUE"""),41603.6666666666)</f>
        <v>41603.666666666599</v>
      </c>
      <c r="B2242" s="1">
        <f ca="1">IFERROR(__xludf.DUMMYFUNCTION("""COMPUTED_VALUE"""),18.7)</f>
        <v>18.7</v>
      </c>
    </row>
    <row r="2243" spans="1:2">
      <c r="A2243" s="3">
        <f ca="1">IFERROR(__xludf.DUMMYFUNCTION("""COMPUTED_VALUE"""),41604.6666666666)</f>
        <v>41604.666666666599</v>
      </c>
      <c r="B2243" s="1">
        <f ca="1">IFERROR(__xludf.DUMMYFUNCTION("""COMPUTED_VALUE"""),19.05)</f>
        <v>19.05</v>
      </c>
    </row>
    <row r="2244" spans="1:2">
      <c r="A2244" s="3">
        <f ca="1">IFERROR(__xludf.DUMMYFUNCTION("""COMPUTED_VALUE"""),41605.6666666666)</f>
        <v>41605.666666666599</v>
      </c>
      <c r="B2244" s="1">
        <f ca="1">IFERROR(__xludf.DUMMYFUNCTION("""COMPUTED_VALUE"""),19.5)</f>
        <v>19.5</v>
      </c>
    </row>
    <row r="2245" spans="1:2">
      <c r="A2245" s="3">
        <f ca="1">IFERROR(__xludf.DUMMYFUNCTION("""COMPUTED_VALUE"""),41607.6666666666)</f>
        <v>41607.666666666599</v>
      </c>
      <c r="B2245" s="1">
        <f ca="1">IFERROR(__xludf.DUMMYFUNCTION("""COMPUTED_VALUE"""),19.86)</f>
        <v>19.86</v>
      </c>
    </row>
    <row r="2246" spans="1:2">
      <c r="A2246" s="3">
        <f ca="1">IFERROR(__xludf.DUMMYFUNCTION("""COMPUTED_VALUE"""),41610.6666666666)</f>
        <v>41610.666666666599</v>
      </c>
      <c r="B2246" s="1">
        <f ca="1">IFERROR(__xludf.DUMMYFUNCTION("""COMPUTED_VALUE"""),19.69)</f>
        <v>19.690000000000001</v>
      </c>
    </row>
    <row r="2247" spans="1:2">
      <c r="A2247" s="3">
        <f ca="1">IFERROR(__xludf.DUMMYFUNCTION("""COMPUTED_VALUE"""),41611.6666666666)</f>
        <v>41611.666666666599</v>
      </c>
      <c r="B2247" s="1">
        <f ca="1">IFERROR(__xludf.DUMMYFUNCTION("""COMPUTED_VALUE"""),20.23)</f>
        <v>20.23</v>
      </c>
    </row>
    <row r="2248" spans="1:2">
      <c r="A2248" s="3">
        <f ca="1">IFERROR(__xludf.DUMMYFUNCTION("""COMPUTED_VALUE"""),41612.6666666666)</f>
        <v>41612.666666666599</v>
      </c>
      <c r="B2248" s="1">
        <f ca="1">IFERROR(__xludf.DUMMYFUNCTION("""COMPUTED_VALUE"""),20.18)</f>
        <v>20.18</v>
      </c>
    </row>
    <row r="2249" spans="1:2">
      <c r="A2249" s="3">
        <f ca="1">IFERROR(__xludf.DUMMYFUNCTION("""COMPUTED_VALUE"""),41613.6666666666)</f>
        <v>41613.666666666599</v>
      </c>
      <c r="B2249" s="1">
        <f ca="1">IFERROR(__xludf.DUMMYFUNCTION("""COMPUTED_VALUE"""),20.28)</f>
        <v>20.28</v>
      </c>
    </row>
    <row r="2250" spans="1:2">
      <c r="A2250" s="3">
        <f ca="1">IFERROR(__xludf.DUMMYFUNCTION("""COMPUTED_VALUE"""),41614.6666666666)</f>
        <v>41614.666666666599</v>
      </c>
      <c r="B2250" s="1">
        <f ca="1">IFERROR(__xludf.DUMMYFUNCTION("""COMPUTED_VALUE"""),20)</f>
        <v>20</v>
      </c>
    </row>
    <row r="2251" spans="1:2">
      <c r="A2251" s="3">
        <f ca="1">IFERROR(__xludf.DUMMYFUNCTION("""COMPUTED_VALUE"""),41617.6666666666)</f>
        <v>41617.666666666599</v>
      </c>
      <c r="B2251" s="1">
        <f ca="1">IFERROR(__xludf.DUMMYFUNCTION("""COMPUTED_VALUE"""),20.23)</f>
        <v>20.23</v>
      </c>
    </row>
    <row r="2252" spans="1:2">
      <c r="A2252" s="3">
        <f ca="1">IFERROR(__xludf.DUMMYFUNCTION("""COMPUTED_VALUE"""),41618.6666666666)</f>
        <v>41618.666666666599</v>
      </c>
      <c r="B2252" s="1">
        <f ca="1">IFERROR(__xludf.DUMMYFUNCTION("""COMPUTED_VALUE"""),20.2)</f>
        <v>20.2</v>
      </c>
    </row>
    <row r="2253" spans="1:2">
      <c r="A2253" s="3">
        <f ca="1">IFERROR(__xludf.DUMMYFUNCTION("""COMPUTED_VALUE"""),41619.6666666666)</f>
        <v>41619.666666666599</v>
      </c>
      <c r="B2253" s="1">
        <f ca="1">IFERROR(__xludf.DUMMYFUNCTION("""COMPUTED_VALUE"""),20.05)</f>
        <v>20.05</v>
      </c>
    </row>
    <row r="2254" spans="1:2">
      <c r="A2254" s="3">
        <f ca="1">IFERROR(__xludf.DUMMYFUNCTION("""COMPUTED_VALUE"""),41620.6666666666)</f>
        <v>41620.666666666599</v>
      </c>
      <c r="B2254" s="1">
        <f ca="1">IFERROR(__xludf.DUMMYFUNCTION("""COMPUTED_VALUE"""),20.02)</f>
        <v>20.02</v>
      </c>
    </row>
    <row r="2255" spans="1:2">
      <c r="A2255" s="3">
        <f ca="1">IFERROR(__xludf.DUMMYFUNCTION("""COMPUTED_VALUE"""),41621.6666666666)</f>
        <v>41621.666666666599</v>
      </c>
      <c r="B2255" s="1">
        <f ca="1">IFERROR(__xludf.DUMMYFUNCTION("""COMPUTED_VALUE"""),19.8)</f>
        <v>19.8</v>
      </c>
    </row>
    <row r="2256" spans="1:2">
      <c r="A2256" s="3">
        <f ca="1">IFERROR(__xludf.DUMMYFUNCTION("""COMPUTED_VALUE"""),41624.6666666666)</f>
        <v>41624.666666666599</v>
      </c>
      <c r="B2256" s="1">
        <f ca="1">IFERROR(__xludf.DUMMYFUNCTION("""COMPUTED_VALUE"""),19.91)</f>
        <v>19.91</v>
      </c>
    </row>
    <row r="2257" spans="1:2">
      <c r="A2257" s="3">
        <f ca="1">IFERROR(__xludf.DUMMYFUNCTION("""COMPUTED_VALUE"""),41625.6666666666)</f>
        <v>41625.666666666599</v>
      </c>
      <c r="B2257" s="1">
        <f ca="1">IFERROR(__xludf.DUMMYFUNCTION("""COMPUTED_VALUE"""),19.82)</f>
        <v>19.82</v>
      </c>
    </row>
    <row r="2258" spans="1:2">
      <c r="A2258" s="3">
        <f ca="1">IFERROR(__xludf.DUMMYFUNCTION("""COMPUTED_VALUE"""),41626.6666666666)</f>
        <v>41626.666666666599</v>
      </c>
      <c r="B2258" s="1">
        <f ca="1">IFERROR(__xludf.DUMMYFUNCTION("""COMPUTED_VALUE"""),19.67)</f>
        <v>19.670000000000002</v>
      </c>
    </row>
    <row r="2259" spans="1:2">
      <c r="A2259" s="3">
        <f ca="1">IFERROR(__xludf.DUMMYFUNCTION("""COMPUTED_VALUE"""),41627.6666666666)</f>
        <v>41627.666666666599</v>
      </c>
      <c r="B2259" s="1">
        <f ca="1">IFERROR(__xludf.DUMMYFUNCTION("""COMPUTED_VALUE"""),19.45)</f>
        <v>19.45</v>
      </c>
    </row>
    <row r="2260" spans="1:2">
      <c r="A2260" s="3">
        <f ca="1">IFERROR(__xludf.DUMMYFUNCTION("""COMPUTED_VALUE"""),41628.6666666666)</f>
        <v>41628.666666666599</v>
      </c>
      <c r="B2260" s="1">
        <f ca="1">IFERROR(__xludf.DUMMYFUNCTION("""COMPUTED_VALUE"""),19.61)</f>
        <v>19.61</v>
      </c>
    </row>
    <row r="2261" spans="1:2">
      <c r="A2261" s="3">
        <f ca="1">IFERROR(__xludf.DUMMYFUNCTION("""COMPUTED_VALUE"""),41631.6666666666)</f>
        <v>41631.666666666599</v>
      </c>
      <c r="B2261" s="1">
        <f ca="1">IFERROR(__xludf.DUMMYFUNCTION("""COMPUTED_VALUE"""),20.36)</f>
        <v>20.36</v>
      </c>
    </row>
    <row r="2262" spans="1:2">
      <c r="A2262" s="3">
        <f ca="1">IFERROR(__xludf.DUMMYFUNCTION("""COMPUTED_VALUE"""),41632.6666666666)</f>
        <v>41632.666666666599</v>
      </c>
      <c r="B2262" s="1">
        <f ca="1">IFERROR(__xludf.DUMMYFUNCTION("""COMPUTED_VALUE"""),20.27)</f>
        <v>20.27</v>
      </c>
    </row>
    <row r="2263" spans="1:2">
      <c r="A2263" s="3">
        <f ca="1">IFERROR(__xludf.DUMMYFUNCTION("""COMPUTED_VALUE"""),41634.6666666666)</f>
        <v>41634.666666666599</v>
      </c>
      <c r="B2263" s="1">
        <f ca="1">IFERROR(__xludf.DUMMYFUNCTION("""COMPUTED_VALUE"""),20.14)</f>
        <v>20.14</v>
      </c>
    </row>
    <row r="2264" spans="1:2">
      <c r="A2264" s="3">
        <f ca="1">IFERROR(__xludf.DUMMYFUNCTION("""COMPUTED_VALUE"""),41635.6666666666)</f>
        <v>41635.666666666599</v>
      </c>
      <c r="B2264" s="1">
        <f ca="1">IFERROR(__xludf.DUMMYFUNCTION("""COMPUTED_VALUE"""),20)</f>
        <v>20</v>
      </c>
    </row>
    <row r="2265" spans="1:2">
      <c r="A2265" s="3">
        <f ca="1">IFERROR(__xludf.DUMMYFUNCTION("""COMPUTED_VALUE"""),41638.6666666666)</f>
        <v>41638.666666666599</v>
      </c>
      <c r="B2265" s="1">
        <f ca="1">IFERROR(__xludf.DUMMYFUNCTION("""COMPUTED_VALUE"""),19.8)</f>
        <v>19.8</v>
      </c>
    </row>
    <row r="2266" spans="1:2">
      <c r="A2266" s="3">
        <f ca="1">IFERROR(__xludf.DUMMYFUNCTION("""COMPUTED_VALUE"""),41639.6666666666)</f>
        <v>41639.666666666599</v>
      </c>
      <c r="B2266" s="1">
        <f ca="1">IFERROR(__xludf.DUMMYFUNCTION("""COMPUTED_VALUE"""),20.04)</f>
        <v>20.04</v>
      </c>
    </row>
    <row r="2267" spans="1:2">
      <c r="A2267" s="3">
        <f ca="1">IFERROR(__xludf.DUMMYFUNCTION("""COMPUTED_VALUE"""),41641.6666666666)</f>
        <v>41641.666666666599</v>
      </c>
      <c r="B2267" s="1">
        <f ca="1">IFERROR(__xludf.DUMMYFUNCTION("""COMPUTED_VALUE"""),19.75)</f>
        <v>19.75</v>
      </c>
    </row>
    <row r="2268" spans="1:2">
      <c r="A2268" s="3">
        <f ca="1">IFERROR(__xludf.DUMMYFUNCTION("""COMPUTED_VALUE"""),41642.6666666666)</f>
        <v>41642.666666666599</v>
      </c>
      <c r="B2268" s="1">
        <f ca="1">IFERROR(__xludf.DUMMYFUNCTION("""COMPUTED_VALUE"""),19.32)</f>
        <v>19.32</v>
      </c>
    </row>
    <row r="2269" spans="1:2">
      <c r="A2269" s="3">
        <f ca="1">IFERROR(__xludf.DUMMYFUNCTION("""COMPUTED_VALUE"""),41645.6666666666)</f>
        <v>41645.666666666599</v>
      </c>
      <c r="B2269" s="1">
        <f ca="1">IFERROR(__xludf.DUMMYFUNCTION("""COMPUTED_VALUE"""),19.43)</f>
        <v>19.43</v>
      </c>
    </row>
    <row r="2270" spans="1:2">
      <c r="A2270" s="3">
        <f ca="1">IFERROR(__xludf.DUMMYFUNCTION("""COMPUTED_VALUE"""),41646.6666666666)</f>
        <v>41646.666666666599</v>
      </c>
      <c r="B2270" s="1">
        <f ca="1">IFERROR(__xludf.DUMMYFUNCTION("""COMPUTED_VALUE"""),19.29)</f>
        <v>19.29</v>
      </c>
    </row>
    <row r="2271" spans="1:2">
      <c r="A2271" s="3">
        <f ca="1">IFERROR(__xludf.DUMMYFUNCTION("""COMPUTED_VALUE"""),41647.6666666666)</f>
        <v>41647.666666666599</v>
      </c>
      <c r="B2271" s="1">
        <f ca="1">IFERROR(__xludf.DUMMYFUNCTION("""COMPUTED_VALUE"""),19.41)</f>
        <v>19.41</v>
      </c>
    </row>
    <row r="2272" spans="1:2">
      <c r="A2272" s="3">
        <f ca="1">IFERROR(__xludf.DUMMYFUNCTION("""COMPUTED_VALUE"""),41648.6666666666)</f>
        <v>41648.666666666599</v>
      </c>
      <c r="B2272" s="1">
        <f ca="1">IFERROR(__xludf.DUMMYFUNCTION("""COMPUTED_VALUE"""),19.16)</f>
        <v>19.16</v>
      </c>
    </row>
    <row r="2273" spans="1:2">
      <c r="A2273" s="3">
        <f ca="1">IFERROR(__xludf.DUMMYFUNCTION("""COMPUTED_VALUE"""),41649.6666666666)</f>
        <v>41649.666666666599</v>
      </c>
      <c r="B2273" s="1">
        <f ca="1">IFERROR(__xludf.DUMMYFUNCTION("""COMPUTED_VALUE"""),19.03)</f>
        <v>19.03</v>
      </c>
    </row>
    <row r="2274" spans="1:2">
      <c r="A2274" s="3">
        <f ca="1">IFERROR(__xludf.DUMMYFUNCTION("""COMPUTED_VALUE"""),41652.6666666666)</f>
        <v>41652.666666666599</v>
      </c>
      <c r="B2274" s="1">
        <f ca="1">IFERROR(__xludf.DUMMYFUNCTION("""COMPUTED_VALUE"""),19.13)</f>
        <v>19.13</v>
      </c>
    </row>
    <row r="2275" spans="1:2">
      <c r="A2275" s="3">
        <f ca="1">IFERROR(__xludf.DUMMYFUNCTION("""COMPUTED_VALUE"""),41653.6666666666)</f>
        <v>41653.666666666599</v>
      </c>
      <c r="B2275" s="1">
        <f ca="1">IFERROR(__xludf.DUMMYFUNCTION("""COMPUTED_VALUE"""),19.51)</f>
        <v>19.510000000000002</v>
      </c>
    </row>
    <row r="2276" spans="1:2">
      <c r="A2276" s="3">
        <f ca="1">IFERROR(__xludf.DUMMYFUNCTION("""COMPUTED_VALUE"""),41654.6666666666)</f>
        <v>41654.666666666599</v>
      </c>
      <c r="B2276" s="1">
        <f ca="1">IFERROR(__xludf.DUMMYFUNCTION("""COMPUTED_VALUE"""),19.91)</f>
        <v>19.91</v>
      </c>
    </row>
    <row r="2277" spans="1:2">
      <c r="A2277" s="3">
        <f ca="1">IFERROR(__xludf.DUMMYFUNCTION("""COMPUTED_VALUE"""),41655.6666666666)</f>
        <v>41655.666666666599</v>
      </c>
      <c r="B2277" s="1">
        <f ca="1">IFERROR(__xludf.DUMMYFUNCTION("""COMPUTED_VALUE"""),19.79)</f>
        <v>19.79</v>
      </c>
    </row>
    <row r="2278" spans="1:2">
      <c r="A2278" s="3">
        <f ca="1">IFERROR(__xludf.DUMMYFUNCTION("""COMPUTED_VALUE"""),41656.6666666666)</f>
        <v>41656.666666666599</v>
      </c>
      <c r="B2278" s="1">
        <f ca="1">IFERROR(__xludf.DUMMYFUNCTION("""COMPUTED_VALUE"""),19.31)</f>
        <v>19.309999999999999</v>
      </c>
    </row>
    <row r="2279" spans="1:2">
      <c r="A2279" s="3">
        <f ca="1">IFERROR(__xludf.DUMMYFUNCTION("""COMPUTED_VALUE"""),41660.6666666666)</f>
        <v>41660.666666666599</v>
      </c>
      <c r="B2279" s="1">
        <f ca="1">IFERROR(__xludf.DUMMYFUNCTION("""COMPUTED_VALUE"""),19.61)</f>
        <v>19.61</v>
      </c>
    </row>
    <row r="2280" spans="1:2">
      <c r="A2280" s="3">
        <f ca="1">IFERROR(__xludf.DUMMYFUNCTION("""COMPUTED_VALUE"""),41661.6666666666)</f>
        <v>41661.666666666599</v>
      </c>
      <c r="B2280" s="1">
        <f ca="1">IFERROR(__xludf.DUMMYFUNCTION("""COMPUTED_VALUE"""),19.7)</f>
        <v>19.7</v>
      </c>
    </row>
    <row r="2281" spans="1:2">
      <c r="A2281" s="3">
        <f ca="1">IFERROR(__xludf.DUMMYFUNCTION("""COMPUTED_VALUE"""),41662.6666666666)</f>
        <v>41662.666666666599</v>
      </c>
      <c r="B2281" s="1">
        <f ca="1">IFERROR(__xludf.DUMMYFUNCTION("""COMPUTED_VALUE"""),19.86)</f>
        <v>19.86</v>
      </c>
    </row>
    <row r="2282" spans="1:2">
      <c r="A2282" s="3">
        <f ca="1">IFERROR(__xludf.DUMMYFUNCTION("""COMPUTED_VALUE"""),41663.6666666666)</f>
        <v>41663.666666666599</v>
      </c>
      <c r="B2282" s="1">
        <f ca="1">IFERROR(__xludf.DUMMYFUNCTION("""COMPUTED_VALUE"""),19.5)</f>
        <v>19.5</v>
      </c>
    </row>
    <row r="2283" spans="1:2">
      <c r="A2283" s="3">
        <f ca="1">IFERROR(__xludf.DUMMYFUNCTION("""COMPUTED_VALUE"""),41666.6666666666)</f>
        <v>41666.666666666599</v>
      </c>
      <c r="B2283" s="1">
        <f ca="1">IFERROR(__xludf.DUMMYFUNCTION("""COMPUTED_VALUE"""),19.66)</f>
        <v>19.66</v>
      </c>
    </row>
    <row r="2284" spans="1:2">
      <c r="A2284" s="3">
        <f ca="1">IFERROR(__xludf.DUMMYFUNCTION("""COMPUTED_VALUE"""),41667.6666666666)</f>
        <v>41667.666666666599</v>
      </c>
      <c r="B2284" s="1">
        <f ca="1">IFERROR(__xludf.DUMMYFUNCTION("""COMPUTED_VALUE"""),18.09)</f>
        <v>18.09</v>
      </c>
    </row>
    <row r="2285" spans="1:2">
      <c r="A2285" s="3">
        <f ca="1">IFERROR(__xludf.DUMMYFUNCTION("""COMPUTED_VALUE"""),41668.6666666666)</f>
        <v>41668.666666666599</v>
      </c>
      <c r="B2285" s="1">
        <f ca="1">IFERROR(__xludf.DUMMYFUNCTION("""COMPUTED_VALUE"""),17.88)</f>
        <v>17.88</v>
      </c>
    </row>
    <row r="2286" spans="1:2">
      <c r="A2286" s="3">
        <f ca="1">IFERROR(__xludf.DUMMYFUNCTION("""COMPUTED_VALUE"""),41669.6666666666)</f>
        <v>41669.666666666599</v>
      </c>
      <c r="B2286" s="1">
        <f ca="1">IFERROR(__xludf.DUMMYFUNCTION("""COMPUTED_VALUE"""),17.85)</f>
        <v>17.850000000000001</v>
      </c>
    </row>
    <row r="2287" spans="1:2">
      <c r="A2287" s="3">
        <f ca="1">IFERROR(__xludf.DUMMYFUNCTION("""COMPUTED_VALUE"""),41670.6666666666)</f>
        <v>41670.666666666599</v>
      </c>
      <c r="B2287" s="1">
        <f ca="1">IFERROR(__xludf.DUMMYFUNCTION("""COMPUTED_VALUE"""),17.88)</f>
        <v>17.88</v>
      </c>
    </row>
    <row r="2288" spans="1:2">
      <c r="A2288" s="3">
        <f ca="1">IFERROR(__xludf.DUMMYFUNCTION("""COMPUTED_VALUE"""),41673.6666666666)</f>
        <v>41673.666666666599</v>
      </c>
      <c r="B2288" s="1">
        <f ca="1">IFERROR(__xludf.DUMMYFUNCTION("""COMPUTED_VALUE"""),17.91)</f>
        <v>17.91</v>
      </c>
    </row>
    <row r="2289" spans="1:2">
      <c r="A2289" s="3">
        <f ca="1">IFERROR(__xludf.DUMMYFUNCTION("""COMPUTED_VALUE"""),41674.6666666666)</f>
        <v>41674.666666666599</v>
      </c>
      <c r="B2289" s="1">
        <f ca="1">IFERROR(__xludf.DUMMYFUNCTION("""COMPUTED_VALUE"""),18.17)</f>
        <v>18.170000000000002</v>
      </c>
    </row>
    <row r="2290" spans="1:2">
      <c r="A2290" s="3">
        <f ca="1">IFERROR(__xludf.DUMMYFUNCTION("""COMPUTED_VALUE"""),41675.6666666666)</f>
        <v>41675.666666666599</v>
      </c>
      <c r="B2290" s="1">
        <f ca="1">IFERROR(__xludf.DUMMYFUNCTION("""COMPUTED_VALUE"""),18.31)</f>
        <v>18.309999999999999</v>
      </c>
    </row>
    <row r="2291" spans="1:2">
      <c r="A2291" s="3">
        <f ca="1">IFERROR(__xludf.DUMMYFUNCTION("""COMPUTED_VALUE"""),41676.6666666666)</f>
        <v>41676.666666666599</v>
      </c>
      <c r="B2291" s="1">
        <f ca="1">IFERROR(__xludf.DUMMYFUNCTION("""COMPUTED_VALUE"""),18.3)</f>
        <v>18.3</v>
      </c>
    </row>
    <row r="2292" spans="1:2">
      <c r="A2292" s="3">
        <f ca="1">IFERROR(__xludf.DUMMYFUNCTION("""COMPUTED_VALUE"""),41677.6666666666)</f>
        <v>41677.666666666599</v>
      </c>
      <c r="B2292" s="1">
        <f ca="1">IFERROR(__xludf.DUMMYFUNCTION("""COMPUTED_VALUE"""),18.56)</f>
        <v>18.559999999999999</v>
      </c>
    </row>
    <row r="2293" spans="1:2">
      <c r="A2293" s="3">
        <f ca="1">IFERROR(__xludf.DUMMYFUNCTION("""COMPUTED_VALUE"""),41680.6666666666)</f>
        <v>41680.666666666599</v>
      </c>
      <c r="B2293" s="1">
        <f ca="1">IFERROR(__xludf.DUMMYFUNCTION("""COMPUTED_VALUE"""),18.89)</f>
        <v>18.89</v>
      </c>
    </row>
    <row r="2294" spans="1:2">
      <c r="A2294" s="3">
        <f ca="1">IFERROR(__xludf.DUMMYFUNCTION("""COMPUTED_VALUE"""),41681.6666666666)</f>
        <v>41681.666666666599</v>
      </c>
      <c r="B2294" s="1">
        <f ca="1">IFERROR(__xludf.DUMMYFUNCTION("""COMPUTED_VALUE"""),19.14)</f>
        <v>19.14</v>
      </c>
    </row>
    <row r="2295" spans="1:2">
      <c r="A2295" s="3">
        <f ca="1">IFERROR(__xludf.DUMMYFUNCTION("""COMPUTED_VALUE"""),41682.6666666666)</f>
        <v>41682.666666666599</v>
      </c>
      <c r="B2295" s="1">
        <f ca="1">IFERROR(__xludf.DUMMYFUNCTION("""COMPUTED_VALUE"""),19.14)</f>
        <v>19.14</v>
      </c>
    </row>
    <row r="2296" spans="1:2">
      <c r="A2296" s="3">
        <f ca="1">IFERROR(__xludf.DUMMYFUNCTION("""COMPUTED_VALUE"""),41683.6666666666)</f>
        <v>41683.666666666599</v>
      </c>
      <c r="B2296" s="1">
        <f ca="1">IFERROR(__xludf.DUMMYFUNCTION("""COMPUTED_VALUE"""),19.44)</f>
        <v>19.440000000000001</v>
      </c>
    </row>
    <row r="2297" spans="1:2">
      <c r="A2297" s="3">
        <f ca="1">IFERROR(__xludf.DUMMYFUNCTION("""COMPUTED_VALUE"""),41684.6666666666)</f>
        <v>41684.666666666599</v>
      </c>
      <c r="B2297" s="1">
        <f ca="1">IFERROR(__xludf.DUMMYFUNCTION("""COMPUTED_VALUE"""),19.43)</f>
        <v>19.43</v>
      </c>
    </row>
    <row r="2298" spans="1:2">
      <c r="A2298" s="3">
        <f ca="1">IFERROR(__xludf.DUMMYFUNCTION("""COMPUTED_VALUE"""),41688.6666666666)</f>
        <v>41688.666666666599</v>
      </c>
      <c r="B2298" s="1">
        <f ca="1">IFERROR(__xludf.DUMMYFUNCTION("""COMPUTED_VALUE"""),19.5)</f>
        <v>19.5</v>
      </c>
    </row>
    <row r="2299" spans="1:2">
      <c r="A2299" s="3">
        <f ca="1">IFERROR(__xludf.DUMMYFUNCTION("""COMPUTED_VALUE"""),41689.6666666666)</f>
        <v>41689.666666666599</v>
      </c>
      <c r="B2299" s="1">
        <f ca="1">IFERROR(__xludf.DUMMYFUNCTION("""COMPUTED_VALUE"""),19.19)</f>
        <v>19.190000000000001</v>
      </c>
    </row>
    <row r="2300" spans="1:2">
      <c r="A2300" s="3">
        <f ca="1">IFERROR(__xludf.DUMMYFUNCTION("""COMPUTED_VALUE"""),41690.6666666666)</f>
        <v>41690.666666666599</v>
      </c>
      <c r="B2300" s="1">
        <f ca="1">IFERROR(__xludf.DUMMYFUNCTION("""COMPUTED_VALUE"""),18.97)</f>
        <v>18.97</v>
      </c>
    </row>
    <row r="2301" spans="1:2">
      <c r="A2301" s="3">
        <f ca="1">IFERROR(__xludf.DUMMYFUNCTION("""COMPUTED_VALUE"""),41691.6666666666)</f>
        <v>41691.666666666599</v>
      </c>
      <c r="B2301" s="1">
        <f ca="1">IFERROR(__xludf.DUMMYFUNCTION("""COMPUTED_VALUE"""),18.76)</f>
        <v>18.760000000000002</v>
      </c>
    </row>
    <row r="2302" spans="1:2">
      <c r="A2302" s="3">
        <f ca="1">IFERROR(__xludf.DUMMYFUNCTION("""COMPUTED_VALUE"""),41694.6666666666)</f>
        <v>41694.666666666599</v>
      </c>
      <c r="B2302" s="1">
        <f ca="1">IFERROR(__xludf.DUMMYFUNCTION("""COMPUTED_VALUE"""),18.84)</f>
        <v>18.84</v>
      </c>
    </row>
    <row r="2303" spans="1:2">
      <c r="A2303" s="3">
        <f ca="1">IFERROR(__xludf.DUMMYFUNCTION("""COMPUTED_VALUE"""),41695.6666666666)</f>
        <v>41695.666666666599</v>
      </c>
      <c r="B2303" s="1">
        <f ca="1">IFERROR(__xludf.DUMMYFUNCTION("""COMPUTED_VALUE"""),18.65)</f>
        <v>18.649999999999999</v>
      </c>
    </row>
    <row r="2304" spans="1:2">
      <c r="A2304" s="3">
        <f ca="1">IFERROR(__xludf.DUMMYFUNCTION("""COMPUTED_VALUE"""),41696.6666666666)</f>
        <v>41696.666666666599</v>
      </c>
      <c r="B2304" s="1">
        <f ca="1">IFERROR(__xludf.DUMMYFUNCTION("""COMPUTED_VALUE"""),18.48)</f>
        <v>18.48</v>
      </c>
    </row>
    <row r="2305" spans="1:2">
      <c r="A2305" s="3">
        <f ca="1">IFERROR(__xludf.DUMMYFUNCTION("""COMPUTED_VALUE"""),41697.6666666666)</f>
        <v>41697.666666666599</v>
      </c>
      <c r="B2305" s="1">
        <f ca="1">IFERROR(__xludf.DUMMYFUNCTION("""COMPUTED_VALUE"""),18.85)</f>
        <v>18.850000000000001</v>
      </c>
    </row>
    <row r="2306" spans="1:2">
      <c r="A2306" s="3">
        <f ca="1">IFERROR(__xludf.DUMMYFUNCTION("""COMPUTED_VALUE"""),41698.6666666666)</f>
        <v>41698.666666666599</v>
      </c>
      <c r="B2306" s="1">
        <f ca="1">IFERROR(__xludf.DUMMYFUNCTION("""COMPUTED_VALUE"""),18.79)</f>
        <v>18.79</v>
      </c>
    </row>
    <row r="2307" spans="1:2">
      <c r="A2307" s="3">
        <f ca="1">IFERROR(__xludf.DUMMYFUNCTION("""COMPUTED_VALUE"""),41701.6666666666)</f>
        <v>41701.666666666599</v>
      </c>
      <c r="B2307" s="1">
        <f ca="1">IFERROR(__xludf.DUMMYFUNCTION("""COMPUTED_VALUE"""),18.85)</f>
        <v>18.850000000000001</v>
      </c>
    </row>
    <row r="2308" spans="1:2">
      <c r="A2308" s="3">
        <f ca="1">IFERROR(__xludf.DUMMYFUNCTION("""COMPUTED_VALUE"""),41702.6666666666)</f>
        <v>41702.666666666599</v>
      </c>
      <c r="B2308" s="1">
        <f ca="1">IFERROR(__xludf.DUMMYFUNCTION("""COMPUTED_VALUE"""),18.97)</f>
        <v>18.97</v>
      </c>
    </row>
    <row r="2309" spans="1:2">
      <c r="A2309" s="3">
        <f ca="1">IFERROR(__xludf.DUMMYFUNCTION("""COMPUTED_VALUE"""),41703.6666666666)</f>
        <v>41703.666666666599</v>
      </c>
      <c r="B2309" s="1">
        <f ca="1">IFERROR(__xludf.DUMMYFUNCTION("""COMPUTED_VALUE"""),19.01)</f>
        <v>19.010000000000002</v>
      </c>
    </row>
    <row r="2310" spans="1:2">
      <c r="A2310" s="3">
        <f ca="1">IFERROR(__xludf.DUMMYFUNCTION("""COMPUTED_VALUE"""),41704.6666666666)</f>
        <v>41704.666666666599</v>
      </c>
      <c r="B2310" s="1">
        <f ca="1">IFERROR(__xludf.DUMMYFUNCTION("""COMPUTED_VALUE"""),18.96)</f>
        <v>18.96</v>
      </c>
    </row>
    <row r="2311" spans="1:2">
      <c r="A2311" s="3">
        <f ca="1">IFERROR(__xludf.DUMMYFUNCTION("""COMPUTED_VALUE"""),41705.6666666666)</f>
        <v>41705.666666666599</v>
      </c>
      <c r="B2311" s="1">
        <f ca="1">IFERROR(__xludf.DUMMYFUNCTION("""COMPUTED_VALUE"""),18.94)</f>
        <v>18.940000000000001</v>
      </c>
    </row>
    <row r="2312" spans="1:2">
      <c r="A2312" s="3">
        <f ca="1">IFERROR(__xludf.DUMMYFUNCTION("""COMPUTED_VALUE"""),41708.6666666666)</f>
        <v>41708.666666666599</v>
      </c>
      <c r="B2312" s="1">
        <f ca="1">IFERROR(__xludf.DUMMYFUNCTION("""COMPUTED_VALUE"""),18.96)</f>
        <v>18.96</v>
      </c>
    </row>
    <row r="2313" spans="1:2">
      <c r="A2313" s="3">
        <f ca="1">IFERROR(__xludf.DUMMYFUNCTION("""COMPUTED_VALUE"""),41709.6666666666)</f>
        <v>41709.666666666599</v>
      </c>
      <c r="B2313" s="1">
        <f ca="1">IFERROR(__xludf.DUMMYFUNCTION("""COMPUTED_VALUE"""),19.15)</f>
        <v>19.149999999999999</v>
      </c>
    </row>
    <row r="2314" spans="1:2">
      <c r="A2314" s="3">
        <f ca="1">IFERROR(__xludf.DUMMYFUNCTION("""COMPUTED_VALUE"""),41710.6666666666)</f>
        <v>41710.666666666599</v>
      </c>
      <c r="B2314" s="1">
        <f ca="1">IFERROR(__xludf.DUMMYFUNCTION("""COMPUTED_VALUE"""),19.16)</f>
        <v>19.16</v>
      </c>
    </row>
    <row r="2315" spans="1:2">
      <c r="A2315" s="3">
        <f ca="1">IFERROR(__xludf.DUMMYFUNCTION("""COMPUTED_VALUE"""),41711.6666666666)</f>
        <v>41711.666666666599</v>
      </c>
      <c r="B2315" s="1">
        <f ca="1">IFERROR(__xludf.DUMMYFUNCTION("""COMPUTED_VALUE"""),18.95)</f>
        <v>18.95</v>
      </c>
    </row>
    <row r="2316" spans="1:2">
      <c r="A2316" s="3">
        <f ca="1">IFERROR(__xludf.DUMMYFUNCTION("""COMPUTED_VALUE"""),41712.6666666666)</f>
        <v>41712.666666666599</v>
      </c>
      <c r="B2316" s="1">
        <f ca="1">IFERROR(__xludf.DUMMYFUNCTION("""COMPUTED_VALUE"""),18.74)</f>
        <v>18.739999999999998</v>
      </c>
    </row>
    <row r="2317" spans="1:2">
      <c r="A2317" s="3">
        <f ca="1">IFERROR(__xludf.DUMMYFUNCTION("""COMPUTED_VALUE"""),41715.6666666666)</f>
        <v>41715.666666666599</v>
      </c>
      <c r="B2317" s="1">
        <f ca="1">IFERROR(__xludf.DUMMYFUNCTION("""COMPUTED_VALUE"""),18.81)</f>
        <v>18.809999999999999</v>
      </c>
    </row>
    <row r="2318" spans="1:2">
      <c r="A2318" s="3">
        <f ca="1">IFERROR(__xludf.DUMMYFUNCTION("""COMPUTED_VALUE"""),41716.6666666666)</f>
        <v>41716.666666666599</v>
      </c>
      <c r="B2318" s="1">
        <f ca="1">IFERROR(__xludf.DUMMYFUNCTION("""COMPUTED_VALUE"""),18.98)</f>
        <v>18.98</v>
      </c>
    </row>
    <row r="2319" spans="1:2">
      <c r="A2319" s="3">
        <f ca="1">IFERROR(__xludf.DUMMYFUNCTION("""COMPUTED_VALUE"""),41717.6666666666)</f>
        <v>41717.666666666599</v>
      </c>
      <c r="B2319" s="1">
        <f ca="1">IFERROR(__xludf.DUMMYFUNCTION("""COMPUTED_VALUE"""),18.97)</f>
        <v>18.97</v>
      </c>
    </row>
    <row r="2320" spans="1:2">
      <c r="A2320" s="3">
        <f ca="1">IFERROR(__xludf.DUMMYFUNCTION("""COMPUTED_VALUE"""),41718.6666666666)</f>
        <v>41718.666666666599</v>
      </c>
      <c r="B2320" s="1">
        <f ca="1">IFERROR(__xludf.DUMMYFUNCTION("""COMPUTED_VALUE"""),18.88)</f>
        <v>18.88</v>
      </c>
    </row>
    <row r="2321" spans="1:2">
      <c r="A2321" s="3">
        <f ca="1">IFERROR(__xludf.DUMMYFUNCTION("""COMPUTED_VALUE"""),41719.6666666666)</f>
        <v>41719.666666666599</v>
      </c>
      <c r="B2321" s="1">
        <f ca="1">IFERROR(__xludf.DUMMYFUNCTION("""COMPUTED_VALUE"""),19.03)</f>
        <v>19.03</v>
      </c>
    </row>
    <row r="2322" spans="1:2">
      <c r="A2322" s="3">
        <f ca="1">IFERROR(__xludf.DUMMYFUNCTION("""COMPUTED_VALUE"""),41722.6666666666)</f>
        <v>41722.666666666599</v>
      </c>
      <c r="B2322" s="1">
        <f ca="1">IFERROR(__xludf.DUMMYFUNCTION("""COMPUTED_VALUE"""),19.26)</f>
        <v>19.260000000000002</v>
      </c>
    </row>
    <row r="2323" spans="1:2">
      <c r="A2323" s="3">
        <f ca="1">IFERROR(__xludf.DUMMYFUNCTION("""COMPUTED_VALUE"""),41723.6666666666)</f>
        <v>41723.666666666599</v>
      </c>
      <c r="B2323" s="1">
        <f ca="1">IFERROR(__xludf.DUMMYFUNCTION("""COMPUTED_VALUE"""),19.46)</f>
        <v>19.46</v>
      </c>
    </row>
    <row r="2324" spans="1:2">
      <c r="A2324" s="3">
        <f ca="1">IFERROR(__xludf.DUMMYFUNCTION("""COMPUTED_VALUE"""),41724.6666666666)</f>
        <v>41724.666666666599</v>
      </c>
      <c r="B2324" s="1">
        <f ca="1">IFERROR(__xludf.DUMMYFUNCTION("""COMPUTED_VALUE"""),19.28)</f>
        <v>19.28</v>
      </c>
    </row>
    <row r="2325" spans="1:2">
      <c r="A2325" s="3">
        <f ca="1">IFERROR(__xludf.DUMMYFUNCTION("""COMPUTED_VALUE"""),41725.6666666666)</f>
        <v>41725.666666666599</v>
      </c>
      <c r="B2325" s="1">
        <f ca="1">IFERROR(__xludf.DUMMYFUNCTION("""COMPUTED_VALUE"""),19.2)</f>
        <v>19.2</v>
      </c>
    </row>
    <row r="2326" spans="1:2">
      <c r="A2326" s="3">
        <f ca="1">IFERROR(__xludf.DUMMYFUNCTION("""COMPUTED_VALUE"""),41726.6666666666)</f>
        <v>41726.666666666599</v>
      </c>
      <c r="B2326" s="1">
        <f ca="1">IFERROR(__xludf.DUMMYFUNCTION("""COMPUTED_VALUE"""),19.17)</f>
        <v>19.170000000000002</v>
      </c>
    </row>
    <row r="2327" spans="1:2">
      <c r="A2327" s="3">
        <f ca="1">IFERROR(__xludf.DUMMYFUNCTION("""COMPUTED_VALUE"""),41729.6666666666)</f>
        <v>41729.666666666599</v>
      </c>
      <c r="B2327" s="1">
        <f ca="1">IFERROR(__xludf.DUMMYFUNCTION("""COMPUTED_VALUE"""),19.17)</f>
        <v>19.170000000000002</v>
      </c>
    </row>
    <row r="2328" spans="1:2">
      <c r="A2328" s="3">
        <f ca="1">IFERROR(__xludf.DUMMYFUNCTION("""COMPUTED_VALUE"""),41730.6666666666)</f>
        <v>41730.666666666599</v>
      </c>
      <c r="B2328" s="1">
        <f ca="1">IFERROR(__xludf.DUMMYFUNCTION("""COMPUTED_VALUE"""),19.34)</f>
        <v>19.34</v>
      </c>
    </row>
    <row r="2329" spans="1:2">
      <c r="A2329" s="3">
        <f ca="1">IFERROR(__xludf.DUMMYFUNCTION("""COMPUTED_VALUE"""),41731.6666666666)</f>
        <v>41731.666666666599</v>
      </c>
      <c r="B2329" s="1">
        <f ca="1">IFERROR(__xludf.DUMMYFUNCTION("""COMPUTED_VALUE"""),19.38)</f>
        <v>19.38</v>
      </c>
    </row>
    <row r="2330" spans="1:2">
      <c r="A2330" s="3">
        <f ca="1">IFERROR(__xludf.DUMMYFUNCTION("""COMPUTED_VALUE"""),41732.6666666666)</f>
        <v>41732.666666666599</v>
      </c>
      <c r="B2330" s="1">
        <f ca="1">IFERROR(__xludf.DUMMYFUNCTION("""COMPUTED_VALUE"""),19.24)</f>
        <v>19.239999999999998</v>
      </c>
    </row>
    <row r="2331" spans="1:2">
      <c r="A2331" s="3">
        <f ca="1">IFERROR(__xludf.DUMMYFUNCTION("""COMPUTED_VALUE"""),41733.6666666666)</f>
        <v>41733.666666666599</v>
      </c>
      <c r="B2331" s="1">
        <f ca="1">IFERROR(__xludf.DUMMYFUNCTION("""COMPUTED_VALUE"""),18.99)</f>
        <v>18.989999999999998</v>
      </c>
    </row>
    <row r="2332" spans="1:2">
      <c r="A2332" s="3">
        <f ca="1">IFERROR(__xludf.DUMMYFUNCTION("""COMPUTED_VALUE"""),41736.6666666666)</f>
        <v>41736.666666666599</v>
      </c>
      <c r="B2332" s="1">
        <f ca="1">IFERROR(__xludf.DUMMYFUNCTION("""COMPUTED_VALUE"""),18.7)</f>
        <v>18.7</v>
      </c>
    </row>
    <row r="2333" spans="1:2">
      <c r="A2333" s="3">
        <f ca="1">IFERROR(__xludf.DUMMYFUNCTION("""COMPUTED_VALUE"""),41737.6666666666)</f>
        <v>41737.666666666599</v>
      </c>
      <c r="B2333" s="1">
        <f ca="1">IFERROR(__xludf.DUMMYFUNCTION("""COMPUTED_VALUE"""),18.69)</f>
        <v>18.690000000000001</v>
      </c>
    </row>
    <row r="2334" spans="1:2">
      <c r="A2334" s="3">
        <f ca="1">IFERROR(__xludf.DUMMYFUNCTION("""COMPUTED_VALUE"""),41738.6666666666)</f>
        <v>41738.666666666599</v>
      </c>
      <c r="B2334" s="1">
        <f ca="1">IFERROR(__xludf.DUMMYFUNCTION("""COMPUTED_VALUE"""),18.94)</f>
        <v>18.940000000000001</v>
      </c>
    </row>
    <row r="2335" spans="1:2">
      <c r="A2335" s="3">
        <f ca="1">IFERROR(__xludf.DUMMYFUNCTION("""COMPUTED_VALUE"""),41739.6666666666)</f>
        <v>41739.666666666599</v>
      </c>
      <c r="B2335" s="1">
        <f ca="1">IFERROR(__xludf.DUMMYFUNCTION("""COMPUTED_VALUE"""),18.7)</f>
        <v>18.7</v>
      </c>
    </row>
    <row r="2336" spans="1:2">
      <c r="A2336" s="3">
        <f ca="1">IFERROR(__xludf.DUMMYFUNCTION("""COMPUTED_VALUE"""),41740.6666666666)</f>
        <v>41740.666666666599</v>
      </c>
      <c r="B2336" s="1">
        <f ca="1">IFERROR(__xludf.DUMMYFUNCTION("""COMPUTED_VALUE"""),18.56)</f>
        <v>18.559999999999999</v>
      </c>
    </row>
    <row r="2337" spans="1:2">
      <c r="A2337" s="3">
        <f ca="1">IFERROR(__xludf.DUMMYFUNCTION("""COMPUTED_VALUE"""),41743.6666666666)</f>
        <v>41743.666666666599</v>
      </c>
      <c r="B2337" s="1">
        <f ca="1">IFERROR(__xludf.DUMMYFUNCTION("""COMPUTED_VALUE"""),18.63)</f>
        <v>18.63</v>
      </c>
    </row>
    <row r="2338" spans="1:2">
      <c r="A2338" s="3">
        <f ca="1">IFERROR(__xludf.DUMMYFUNCTION("""COMPUTED_VALUE"""),41744.6666666666)</f>
        <v>41744.666666666599</v>
      </c>
      <c r="B2338" s="1">
        <f ca="1">IFERROR(__xludf.DUMMYFUNCTION("""COMPUTED_VALUE"""),18.5)</f>
        <v>18.5</v>
      </c>
    </row>
    <row r="2339" spans="1:2">
      <c r="A2339" s="3">
        <f ca="1">IFERROR(__xludf.DUMMYFUNCTION("""COMPUTED_VALUE"""),41745.6666666666)</f>
        <v>41745.666666666599</v>
      </c>
      <c r="B2339" s="1">
        <f ca="1">IFERROR(__xludf.DUMMYFUNCTION("""COMPUTED_VALUE"""),18.54)</f>
        <v>18.54</v>
      </c>
    </row>
    <row r="2340" spans="1:2">
      <c r="A2340" s="3">
        <f ca="1">IFERROR(__xludf.DUMMYFUNCTION("""COMPUTED_VALUE"""),41746.6666666666)</f>
        <v>41746.666666666599</v>
      </c>
      <c r="B2340" s="1">
        <f ca="1">IFERROR(__xludf.DUMMYFUNCTION("""COMPUTED_VALUE"""),18.75)</f>
        <v>18.75</v>
      </c>
    </row>
    <row r="2341" spans="1:2">
      <c r="A2341" s="3">
        <f ca="1">IFERROR(__xludf.DUMMYFUNCTION("""COMPUTED_VALUE"""),41750.6666666666)</f>
        <v>41750.666666666599</v>
      </c>
      <c r="B2341" s="1">
        <f ca="1">IFERROR(__xludf.DUMMYFUNCTION("""COMPUTED_VALUE"""),18.97)</f>
        <v>18.97</v>
      </c>
    </row>
    <row r="2342" spans="1:2">
      <c r="A2342" s="3">
        <f ca="1">IFERROR(__xludf.DUMMYFUNCTION("""COMPUTED_VALUE"""),41751.6666666666)</f>
        <v>41751.666666666599</v>
      </c>
      <c r="B2342" s="1">
        <f ca="1">IFERROR(__xludf.DUMMYFUNCTION("""COMPUTED_VALUE"""),18.99)</f>
        <v>18.989999999999998</v>
      </c>
    </row>
    <row r="2343" spans="1:2">
      <c r="A2343" s="3">
        <f ca="1">IFERROR(__xludf.DUMMYFUNCTION("""COMPUTED_VALUE"""),41752.6666666666)</f>
        <v>41752.666666666599</v>
      </c>
      <c r="B2343" s="1">
        <f ca="1">IFERROR(__xludf.DUMMYFUNCTION("""COMPUTED_VALUE"""),18.74)</f>
        <v>18.739999999999998</v>
      </c>
    </row>
    <row r="2344" spans="1:2">
      <c r="A2344" s="3">
        <f ca="1">IFERROR(__xludf.DUMMYFUNCTION("""COMPUTED_VALUE"""),41753.6666666666)</f>
        <v>41753.666666666599</v>
      </c>
      <c r="B2344" s="1">
        <f ca="1">IFERROR(__xludf.DUMMYFUNCTION("""COMPUTED_VALUE"""),20.28)</f>
        <v>20.28</v>
      </c>
    </row>
    <row r="2345" spans="1:2">
      <c r="A2345" s="3">
        <f ca="1">IFERROR(__xludf.DUMMYFUNCTION("""COMPUTED_VALUE"""),41754.6666666666)</f>
        <v>41754.666666666599</v>
      </c>
      <c r="B2345" s="1">
        <f ca="1">IFERROR(__xludf.DUMMYFUNCTION("""COMPUTED_VALUE"""),20.43)</f>
        <v>20.43</v>
      </c>
    </row>
    <row r="2346" spans="1:2">
      <c r="A2346" s="3">
        <f ca="1">IFERROR(__xludf.DUMMYFUNCTION("""COMPUTED_VALUE"""),41757.6666666666)</f>
        <v>41757.666666666599</v>
      </c>
      <c r="B2346" s="1">
        <f ca="1">IFERROR(__xludf.DUMMYFUNCTION("""COMPUTED_VALUE"""),21.22)</f>
        <v>21.22</v>
      </c>
    </row>
    <row r="2347" spans="1:2">
      <c r="A2347" s="3">
        <f ca="1">IFERROR(__xludf.DUMMYFUNCTION("""COMPUTED_VALUE"""),41758.6666666666)</f>
        <v>41758.666666666599</v>
      </c>
      <c r="B2347" s="1">
        <f ca="1">IFERROR(__xludf.DUMMYFUNCTION("""COMPUTED_VALUE"""),21.15)</f>
        <v>21.15</v>
      </c>
    </row>
    <row r="2348" spans="1:2">
      <c r="A2348" s="3">
        <f ca="1">IFERROR(__xludf.DUMMYFUNCTION("""COMPUTED_VALUE"""),41759.6666666666)</f>
        <v>41759.666666666599</v>
      </c>
      <c r="B2348" s="1">
        <f ca="1">IFERROR(__xludf.DUMMYFUNCTION("""COMPUTED_VALUE"""),21.07)</f>
        <v>21.07</v>
      </c>
    </row>
    <row r="2349" spans="1:2">
      <c r="A2349" s="3">
        <f ca="1">IFERROR(__xludf.DUMMYFUNCTION("""COMPUTED_VALUE"""),41760.6666666666)</f>
        <v>41760.666666666599</v>
      </c>
      <c r="B2349" s="1">
        <f ca="1">IFERROR(__xludf.DUMMYFUNCTION("""COMPUTED_VALUE"""),21.12)</f>
        <v>21.12</v>
      </c>
    </row>
    <row r="2350" spans="1:2">
      <c r="A2350" s="3">
        <f ca="1">IFERROR(__xludf.DUMMYFUNCTION("""COMPUTED_VALUE"""),41761.6666666666)</f>
        <v>41761.666666666599</v>
      </c>
      <c r="B2350" s="1">
        <f ca="1">IFERROR(__xludf.DUMMYFUNCTION("""COMPUTED_VALUE"""),21.16)</f>
        <v>21.16</v>
      </c>
    </row>
    <row r="2351" spans="1:2">
      <c r="A2351" s="3">
        <f ca="1">IFERROR(__xludf.DUMMYFUNCTION("""COMPUTED_VALUE"""),41764.6666666666)</f>
        <v>41764.666666666599</v>
      </c>
      <c r="B2351" s="1">
        <f ca="1">IFERROR(__xludf.DUMMYFUNCTION("""COMPUTED_VALUE"""),21.46)</f>
        <v>21.46</v>
      </c>
    </row>
    <row r="2352" spans="1:2">
      <c r="A2352" s="3">
        <f ca="1">IFERROR(__xludf.DUMMYFUNCTION("""COMPUTED_VALUE"""),41765.6666666666)</f>
        <v>41765.666666666599</v>
      </c>
      <c r="B2352" s="1">
        <f ca="1">IFERROR(__xludf.DUMMYFUNCTION("""COMPUTED_VALUE"""),21.23)</f>
        <v>21.23</v>
      </c>
    </row>
    <row r="2353" spans="1:2">
      <c r="A2353" s="3">
        <f ca="1">IFERROR(__xludf.DUMMYFUNCTION("""COMPUTED_VALUE"""),41766.6666666666)</f>
        <v>41766.666666666599</v>
      </c>
      <c r="B2353" s="1">
        <f ca="1">IFERROR(__xludf.DUMMYFUNCTION("""COMPUTED_VALUE"""),21.15)</f>
        <v>21.15</v>
      </c>
    </row>
    <row r="2354" spans="1:2">
      <c r="A2354" s="3">
        <f ca="1">IFERROR(__xludf.DUMMYFUNCTION("""COMPUTED_VALUE"""),41767.6666666666)</f>
        <v>41767.666666666599</v>
      </c>
      <c r="B2354" s="1">
        <f ca="1">IFERROR(__xludf.DUMMYFUNCTION("""COMPUTED_VALUE"""),21)</f>
        <v>21</v>
      </c>
    </row>
    <row r="2355" spans="1:2">
      <c r="A2355" s="3">
        <f ca="1">IFERROR(__xludf.DUMMYFUNCTION("""COMPUTED_VALUE"""),41768.6666666666)</f>
        <v>41768.666666666599</v>
      </c>
      <c r="B2355" s="1">
        <f ca="1">IFERROR(__xludf.DUMMYFUNCTION("""COMPUTED_VALUE"""),20.91)</f>
        <v>20.91</v>
      </c>
    </row>
    <row r="2356" spans="1:2">
      <c r="A2356" s="3">
        <f ca="1">IFERROR(__xludf.DUMMYFUNCTION("""COMPUTED_VALUE"""),41771.6666666666)</f>
        <v>41771.666666666599</v>
      </c>
      <c r="B2356" s="1">
        <f ca="1">IFERROR(__xludf.DUMMYFUNCTION("""COMPUTED_VALUE"""),21.17)</f>
        <v>21.17</v>
      </c>
    </row>
    <row r="2357" spans="1:2">
      <c r="A2357" s="3">
        <f ca="1">IFERROR(__xludf.DUMMYFUNCTION("""COMPUTED_VALUE"""),41772.6666666666)</f>
        <v>41772.666666666599</v>
      </c>
      <c r="B2357" s="1">
        <f ca="1">IFERROR(__xludf.DUMMYFUNCTION("""COMPUTED_VALUE"""),21.21)</f>
        <v>21.21</v>
      </c>
    </row>
    <row r="2358" spans="1:2">
      <c r="A2358" s="3">
        <f ca="1">IFERROR(__xludf.DUMMYFUNCTION("""COMPUTED_VALUE"""),41773.6666666666)</f>
        <v>41773.666666666599</v>
      </c>
      <c r="B2358" s="1">
        <f ca="1">IFERROR(__xludf.DUMMYFUNCTION("""COMPUTED_VALUE"""),21.21)</f>
        <v>21.21</v>
      </c>
    </row>
    <row r="2359" spans="1:2">
      <c r="A2359" s="3">
        <f ca="1">IFERROR(__xludf.DUMMYFUNCTION("""COMPUTED_VALUE"""),41774.6666666666)</f>
        <v>41774.666666666599</v>
      </c>
      <c r="B2359" s="1">
        <f ca="1">IFERROR(__xludf.DUMMYFUNCTION("""COMPUTED_VALUE"""),21.03)</f>
        <v>21.03</v>
      </c>
    </row>
    <row r="2360" spans="1:2">
      <c r="A2360" s="3">
        <f ca="1">IFERROR(__xludf.DUMMYFUNCTION("""COMPUTED_VALUE"""),41775.6666666666)</f>
        <v>41775.666666666599</v>
      </c>
      <c r="B2360" s="1">
        <f ca="1">IFERROR(__xludf.DUMMYFUNCTION("""COMPUTED_VALUE"""),21.34)</f>
        <v>21.34</v>
      </c>
    </row>
    <row r="2361" spans="1:2">
      <c r="A2361" s="3">
        <f ca="1">IFERROR(__xludf.DUMMYFUNCTION("""COMPUTED_VALUE"""),41778.6666666666)</f>
        <v>41778.666666666599</v>
      </c>
      <c r="B2361" s="1">
        <f ca="1">IFERROR(__xludf.DUMMYFUNCTION("""COMPUTED_VALUE"""),21.59)</f>
        <v>21.59</v>
      </c>
    </row>
    <row r="2362" spans="1:2">
      <c r="A2362" s="3">
        <f ca="1">IFERROR(__xludf.DUMMYFUNCTION("""COMPUTED_VALUE"""),41779.6666666666)</f>
        <v>41779.666666666599</v>
      </c>
      <c r="B2362" s="1">
        <f ca="1">IFERROR(__xludf.DUMMYFUNCTION("""COMPUTED_VALUE"""),21.6)</f>
        <v>21.6</v>
      </c>
    </row>
    <row r="2363" spans="1:2">
      <c r="A2363" s="3">
        <f ca="1">IFERROR(__xludf.DUMMYFUNCTION("""COMPUTED_VALUE"""),41780.6666666666)</f>
        <v>41780.666666666599</v>
      </c>
      <c r="B2363" s="1">
        <f ca="1">IFERROR(__xludf.DUMMYFUNCTION("""COMPUTED_VALUE"""),21.65)</f>
        <v>21.65</v>
      </c>
    </row>
    <row r="2364" spans="1:2">
      <c r="A2364" s="3">
        <f ca="1">IFERROR(__xludf.DUMMYFUNCTION("""COMPUTED_VALUE"""),41781.6666666666)</f>
        <v>41781.666666666599</v>
      </c>
      <c r="B2364" s="1">
        <f ca="1">IFERROR(__xludf.DUMMYFUNCTION("""COMPUTED_VALUE"""),21.69)</f>
        <v>21.69</v>
      </c>
    </row>
    <row r="2365" spans="1:2">
      <c r="A2365" s="3">
        <f ca="1">IFERROR(__xludf.DUMMYFUNCTION("""COMPUTED_VALUE"""),41782.6666666666)</f>
        <v>41782.666666666599</v>
      </c>
      <c r="B2365" s="1">
        <f ca="1">IFERROR(__xludf.DUMMYFUNCTION("""COMPUTED_VALUE"""),21.93)</f>
        <v>21.93</v>
      </c>
    </row>
    <row r="2366" spans="1:2">
      <c r="A2366" s="3">
        <f ca="1">IFERROR(__xludf.DUMMYFUNCTION("""COMPUTED_VALUE"""),41786.6666666666)</f>
        <v>41786.666666666599</v>
      </c>
      <c r="B2366" s="1">
        <f ca="1">IFERROR(__xludf.DUMMYFUNCTION("""COMPUTED_VALUE"""),22.34)</f>
        <v>22.34</v>
      </c>
    </row>
    <row r="2367" spans="1:2">
      <c r="A2367" s="3">
        <f ca="1">IFERROR(__xludf.DUMMYFUNCTION("""COMPUTED_VALUE"""),41787.6666666666)</f>
        <v>41787.666666666599</v>
      </c>
      <c r="B2367" s="1">
        <f ca="1">IFERROR(__xludf.DUMMYFUNCTION("""COMPUTED_VALUE"""),22.29)</f>
        <v>22.29</v>
      </c>
    </row>
    <row r="2368" spans="1:2">
      <c r="A2368" s="3">
        <f ca="1">IFERROR(__xludf.DUMMYFUNCTION("""COMPUTED_VALUE"""),41788.6666666666)</f>
        <v>41788.666666666599</v>
      </c>
      <c r="B2368" s="1">
        <f ca="1">IFERROR(__xludf.DUMMYFUNCTION("""COMPUTED_VALUE"""),22.69)</f>
        <v>22.69</v>
      </c>
    </row>
    <row r="2369" spans="1:2">
      <c r="A2369" s="3">
        <f ca="1">IFERROR(__xludf.DUMMYFUNCTION("""COMPUTED_VALUE"""),41789.6666666666)</f>
        <v>41789.666666666599</v>
      </c>
      <c r="B2369" s="1">
        <f ca="1">IFERROR(__xludf.DUMMYFUNCTION("""COMPUTED_VALUE"""),22.61)</f>
        <v>22.61</v>
      </c>
    </row>
    <row r="2370" spans="1:2">
      <c r="A2370" s="3">
        <f ca="1">IFERROR(__xludf.DUMMYFUNCTION("""COMPUTED_VALUE"""),41792.6666666666)</f>
        <v>41792.666666666599</v>
      </c>
      <c r="B2370" s="1">
        <f ca="1">IFERROR(__xludf.DUMMYFUNCTION("""COMPUTED_VALUE"""),22.45)</f>
        <v>22.45</v>
      </c>
    </row>
    <row r="2371" spans="1:2">
      <c r="A2371" s="3">
        <f ca="1">IFERROR(__xludf.DUMMYFUNCTION("""COMPUTED_VALUE"""),41793.6666666666)</f>
        <v>41793.666666666599</v>
      </c>
      <c r="B2371" s="1">
        <f ca="1">IFERROR(__xludf.DUMMYFUNCTION("""COMPUTED_VALUE"""),22.77)</f>
        <v>22.77</v>
      </c>
    </row>
    <row r="2372" spans="1:2">
      <c r="A2372" s="3">
        <f ca="1">IFERROR(__xludf.DUMMYFUNCTION("""COMPUTED_VALUE"""),41794.6666666666)</f>
        <v>41794.666666666599</v>
      </c>
      <c r="B2372" s="1">
        <f ca="1">IFERROR(__xludf.DUMMYFUNCTION("""COMPUTED_VALUE"""),23.03)</f>
        <v>23.03</v>
      </c>
    </row>
    <row r="2373" spans="1:2">
      <c r="A2373" s="3">
        <f ca="1">IFERROR(__xludf.DUMMYFUNCTION("""COMPUTED_VALUE"""),41795.6666666666)</f>
        <v>41795.666666666599</v>
      </c>
      <c r="B2373" s="1">
        <f ca="1">IFERROR(__xludf.DUMMYFUNCTION("""COMPUTED_VALUE"""),23.12)</f>
        <v>23.12</v>
      </c>
    </row>
    <row r="2374" spans="1:2">
      <c r="A2374" s="3">
        <f ca="1">IFERROR(__xludf.DUMMYFUNCTION("""COMPUTED_VALUE"""),41796.6666666666)</f>
        <v>41796.666666666599</v>
      </c>
      <c r="B2374" s="1">
        <f ca="1">IFERROR(__xludf.DUMMYFUNCTION("""COMPUTED_VALUE"""),23.06)</f>
        <v>23.06</v>
      </c>
    </row>
    <row r="2375" spans="1:2">
      <c r="A2375" s="3">
        <f ca="1">IFERROR(__xludf.DUMMYFUNCTION("""COMPUTED_VALUE"""),41799.6666666666)</f>
        <v>41799.666666666599</v>
      </c>
      <c r="B2375" s="1">
        <f ca="1">IFERROR(__xludf.DUMMYFUNCTION("""COMPUTED_VALUE"""),23.43)</f>
        <v>23.43</v>
      </c>
    </row>
    <row r="2376" spans="1:2">
      <c r="A2376" s="3">
        <f ca="1">IFERROR(__xludf.DUMMYFUNCTION("""COMPUTED_VALUE"""),41800.6666666666)</f>
        <v>41800.666666666599</v>
      </c>
      <c r="B2376" s="1">
        <f ca="1">IFERROR(__xludf.DUMMYFUNCTION("""COMPUTED_VALUE"""),23.56)</f>
        <v>23.56</v>
      </c>
    </row>
    <row r="2377" spans="1:2">
      <c r="A2377" s="3">
        <f ca="1">IFERROR(__xludf.DUMMYFUNCTION("""COMPUTED_VALUE"""),41801.6666666666)</f>
        <v>41801.666666666599</v>
      </c>
      <c r="B2377" s="1">
        <f ca="1">IFERROR(__xludf.DUMMYFUNCTION("""COMPUTED_VALUE"""),23.47)</f>
        <v>23.47</v>
      </c>
    </row>
    <row r="2378" spans="1:2">
      <c r="A2378" s="3">
        <f ca="1">IFERROR(__xludf.DUMMYFUNCTION("""COMPUTED_VALUE"""),41802.6666666666)</f>
        <v>41802.666666666599</v>
      </c>
      <c r="B2378" s="1">
        <f ca="1">IFERROR(__xludf.DUMMYFUNCTION("""COMPUTED_VALUE"""),23.07)</f>
        <v>23.07</v>
      </c>
    </row>
    <row r="2379" spans="1:2">
      <c r="A2379" s="3">
        <f ca="1">IFERROR(__xludf.DUMMYFUNCTION("""COMPUTED_VALUE"""),41803.6666666666)</f>
        <v>41803.666666666599</v>
      </c>
      <c r="B2379" s="1">
        <f ca="1">IFERROR(__xludf.DUMMYFUNCTION("""COMPUTED_VALUE"""),22.82)</f>
        <v>22.82</v>
      </c>
    </row>
    <row r="2380" spans="1:2">
      <c r="A2380" s="3">
        <f ca="1">IFERROR(__xludf.DUMMYFUNCTION("""COMPUTED_VALUE"""),41806.6666666666)</f>
        <v>41806.666666666599</v>
      </c>
      <c r="B2380" s="1">
        <f ca="1">IFERROR(__xludf.DUMMYFUNCTION("""COMPUTED_VALUE"""),23.05)</f>
        <v>23.05</v>
      </c>
    </row>
    <row r="2381" spans="1:2">
      <c r="A2381" s="3">
        <f ca="1">IFERROR(__xludf.DUMMYFUNCTION("""COMPUTED_VALUE"""),41807.6666666666)</f>
        <v>41807.666666666599</v>
      </c>
      <c r="B2381" s="1">
        <f ca="1">IFERROR(__xludf.DUMMYFUNCTION("""COMPUTED_VALUE"""),23.02)</f>
        <v>23.02</v>
      </c>
    </row>
    <row r="2382" spans="1:2">
      <c r="A2382" s="3">
        <f ca="1">IFERROR(__xludf.DUMMYFUNCTION("""COMPUTED_VALUE"""),41808.6666666666)</f>
        <v>41808.666666666599</v>
      </c>
      <c r="B2382" s="1">
        <f ca="1">IFERROR(__xludf.DUMMYFUNCTION("""COMPUTED_VALUE"""),23.05)</f>
        <v>23.05</v>
      </c>
    </row>
    <row r="2383" spans="1:2">
      <c r="A2383" s="3">
        <f ca="1">IFERROR(__xludf.DUMMYFUNCTION("""COMPUTED_VALUE"""),41809.6666666666)</f>
        <v>41809.666666666599</v>
      </c>
      <c r="B2383" s="1">
        <f ca="1">IFERROR(__xludf.DUMMYFUNCTION("""COMPUTED_VALUE"""),22.97)</f>
        <v>22.97</v>
      </c>
    </row>
    <row r="2384" spans="1:2">
      <c r="A2384" s="3">
        <f ca="1">IFERROR(__xludf.DUMMYFUNCTION("""COMPUTED_VALUE"""),41810.6666666666)</f>
        <v>41810.666666666599</v>
      </c>
      <c r="B2384" s="1">
        <f ca="1">IFERROR(__xludf.DUMMYFUNCTION("""COMPUTED_VALUE"""),22.73)</f>
        <v>22.73</v>
      </c>
    </row>
    <row r="2385" spans="1:2">
      <c r="A2385" s="3">
        <f ca="1">IFERROR(__xludf.DUMMYFUNCTION("""COMPUTED_VALUE"""),41813.6666666666)</f>
        <v>41813.666666666599</v>
      </c>
      <c r="B2385" s="1">
        <f ca="1">IFERROR(__xludf.DUMMYFUNCTION("""COMPUTED_VALUE"""),22.71)</f>
        <v>22.71</v>
      </c>
    </row>
    <row r="2386" spans="1:2">
      <c r="A2386" s="3">
        <f ca="1">IFERROR(__xludf.DUMMYFUNCTION("""COMPUTED_VALUE"""),41814.6666666666)</f>
        <v>41814.666666666599</v>
      </c>
      <c r="B2386" s="1">
        <f ca="1">IFERROR(__xludf.DUMMYFUNCTION("""COMPUTED_VALUE"""),22.57)</f>
        <v>22.57</v>
      </c>
    </row>
    <row r="2387" spans="1:2">
      <c r="A2387" s="3">
        <f ca="1">IFERROR(__xludf.DUMMYFUNCTION("""COMPUTED_VALUE"""),41815.6666666666)</f>
        <v>41815.666666666599</v>
      </c>
      <c r="B2387" s="1">
        <f ca="1">IFERROR(__xludf.DUMMYFUNCTION("""COMPUTED_VALUE"""),22.59)</f>
        <v>22.59</v>
      </c>
    </row>
    <row r="2388" spans="1:2">
      <c r="A2388" s="3">
        <f ca="1">IFERROR(__xludf.DUMMYFUNCTION("""COMPUTED_VALUE"""),41816.6666666666)</f>
        <v>41816.666666666599</v>
      </c>
      <c r="B2388" s="1">
        <f ca="1">IFERROR(__xludf.DUMMYFUNCTION("""COMPUTED_VALUE"""),22.73)</f>
        <v>22.73</v>
      </c>
    </row>
    <row r="2389" spans="1:2">
      <c r="A2389" s="3">
        <f ca="1">IFERROR(__xludf.DUMMYFUNCTION("""COMPUTED_VALUE"""),41817.6666666666)</f>
        <v>41817.666666666599</v>
      </c>
      <c r="B2389" s="1">
        <f ca="1">IFERROR(__xludf.DUMMYFUNCTION("""COMPUTED_VALUE"""),23)</f>
        <v>23</v>
      </c>
    </row>
    <row r="2390" spans="1:2">
      <c r="A2390" s="3">
        <f ca="1">IFERROR(__xludf.DUMMYFUNCTION("""COMPUTED_VALUE"""),41820.6666666666)</f>
        <v>41820.666666666599</v>
      </c>
      <c r="B2390" s="1">
        <f ca="1">IFERROR(__xludf.DUMMYFUNCTION("""COMPUTED_VALUE"""),23.23)</f>
        <v>23.23</v>
      </c>
    </row>
    <row r="2391" spans="1:2">
      <c r="A2391" s="3">
        <f ca="1">IFERROR(__xludf.DUMMYFUNCTION("""COMPUTED_VALUE"""),41821.6666666666)</f>
        <v>41821.666666666599</v>
      </c>
      <c r="B2391" s="1">
        <f ca="1">IFERROR(__xludf.DUMMYFUNCTION("""COMPUTED_VALUE"""),23.38)</f>
        <v>23.38</v>
      </c>
    </row>
    <row r="2392" spans="1:2">
      <c r="A2392" s="3">
        <f ca="1">IFERROR(__xludf.DUMMYFUNCTION("""COMPUTED_VALUE"""),41822.6666666666)</f>
        <v>41822.666666666599</v>
      </c>
      <c r="B2392" s="1">
        <f ca="1">IFERROR(__xludf.DUMMYFUNCTION("""COMPUTED_VALUE"""),23.37)</f>
        <v>23.37</v>
      </c>
    </row>
    <row r="2393" spans="1:2">
      <c r="A2393" s="3">
        <f ca="1">IFERROR(__xludf.DUMMYFUNCTION("""COMPUTED_VALUE"""),41823.6666666666)</f>
        <v>41823.666666666599</v>
      </c>
      <c r="B2393" s="1">
        <f ca="1">IFERROR(__xludf.DUMMYFUNCTION("""COMPUTED_VALUE"""),23.51)</f>
        <v>23.51</v>
      </c>
    </row>
    <row r="2394" spans="1:2">
      <c r="A2394" s="3">
        <f ca="1">IFERROR(__xludf.DUMMYFUNCTION("""COMPUTED_VALUE"""),41827.6666666666)</f>
        <v>41827.666666666599</v>
      </c>
      <c r="B2394" s="1">
        <f ca="1">IFERROR(__xludf.DUMMYFUNCTION("""COMPUTED_VALUE"""),23.99)</f>
        <v>23.99</v>
      </c>
    </row>
    <row r="2395" spans="1:2">
      <c r="A2395" s="3">
        <f ca="1">IFERROR(__xludf.DUMMYFUNCTION("""COMPUTED_VALUE"""),41828.6666666666)</f>
        <v>41828.666666666599</v>
      </c>
      <c r="B2395" s="1">
        <f ca="1">IFERROR(__xludf.DUMMYFUNCTION("""COMPUTED_VALUE"""),23.84)</f>
        <v>23.84</v>
      </c>
    </row>
    <row r="2396" spans="1:2">
      <c r="A2396" s="3">
        <f ca="1">IFERROR(__xludf.DUMMYFUNCTION("""COMPUTED_VALUE"""),41829.6666666666)</f>
        <v>41829.666666666599</v>
      </c>
      <c r="B2396" s="1">
        <f ca="1">IFERROR(__xludf.DUMMYFUNCTION("""COMPUTED_VALUE"""),23.85)</f>
        <v>23.85</v>
      </c>
    </row>
    <row r="2397" spans="1:2">
      <c r="A2397" s="3">
        <f ca="1">IFERROR(__xludf.DUMMYFUNCTION("""COMPUTED_VALUE"""),41830.6666666666)</f>
        <v>41830.666666666599</v>
      </c>
      <c r="B2397" s="1">
        <f ca="1">IFERROR(__xludf.DUMMYFUNCTION("""COMPUTED_VALUE"""),23.76)</f>
        <v>23.76</v>
      </c>
    </row>
    <row r="2398" spans="1:2">
      <c r="A2398" s="3">
        <f ca="1">IFERROR(__xludf.DUMMYFUNCTION("""COMPUTED_VALUE"""),41831.6666666666)</f>
        <v>41831.666666666599</v>
      </c>
      <c r="B2398" s="1">
        <f ca="1">IFERROR(__xludf.DUMMYFUNCTION("""COMPUTED_VALUE"""),23.81)</f>
        <v>23.81</v>
      </c>
    </row>
    <row r="2399" spans="1:2">
      <c r="A2399" s="3">
        <f ca="1">IFERROR(__xludf.DUMMYFUNCTION("""COMPUTED_VALUE"""),41834.6666666666)</f>
        <v>41834.666666666599</v>
      </c>
      <c r="B2399" s="1">
        <f ca="1">IFERROR(__xludf.DUMMYFUNCTION("""COMPUTED_VALUE"""),24.11)</f>
        <v>24.11</v>
      </c>
    </row>
    <row r="2400" spans="1:2">
      <c r="A2400" s="3">
        <f ca="1">IFERROR(__xludf.DUMMYFUNCTION("""COMPUTED_VALUE"""),41835.6666666666)</f>
        <v>41835.666666666599</v>
      </c>
      <c r="B2400" s="1">
        <f ca="1">IFERROR(__xludf.DUMMYFUNCTION("""COMPUTED_VALUE"""),23.83)</f>
        <v>23.83</v>
      </c>
    </row>
    <row r="2401" spans="1:2">
      <c r="A2401" s="3">
        <f ca="1">IFERROR(__xludf.DUMMYFUNCTION("""COMPUTED_VALUE"""),41836.6666666666)</f>
        <v>41836.666666666599</v>
      </c>
      <c r="B2401" s="1">
        <f ca="1">IFERROR(__xludf.DUMMYFUNCTION("""COMPUTED_VALUE"""),23.7)</f>
        <v>23.7</v>
      </c>
    </row>
    <row r="2402" spans="1:2">
      <c r="A2402" s="3">
        <f ca="1">IFERROR(__xludf.DUMMYFUNCTION("""COMPUTED_VALUE"""),41837.6666666666)</f>
        <v>41837.666666666599</v>
      </c>
      <c r="B2402" s="1">
        <f ca="1">IFERROR(__xludf.DUMMYFUNCTION("""COMPUTED_VALUE"""),23.27)</f>
        <v>23.27</v>
      </c>
    </row>
    <row r="2403" spans="1:2">
      <c r="A2403" s="3">
        <f ca="1">IFERROR(__xludf.DUMMYFUNCTION("""COMPUTED_VALUE"""),41838.6666666666)</f>
        <v>41838.666666666599</v>
      </c>
      <c r="B2403" s="1">
        <f ca="1">IFERROR(__xludf.DUMMYFUNCTION("""COMPUTED_VALUE"""),23.61)</f>
        <v>23.61</v>
      </c>
    </row>
    <row r="2404" spans="1:2">
      <c r="A2404" s="3">
        <f ca="1">IFERROR(__xludf.DUMMYFUNCTION("""COMPUTED_VALUE"""),41841.6666666666)</f>
        <v>41841.666666666599</v>
      </c>
      <c r="B2404" s="1">
        <f ca="1">IFERROR(__xludf.DUMMYFUNCTION("""COMPUTED_VALUE"""),23.48)</f>
        <v>23.48</v>
      </c>
    </row>
    <row r="2405" spans="1:2">
      <c r="A2405" s="3">
        <f ca="1">IFERROR(__xludf.DUMMYFUNCTION("""COMPUTED_VALUE"""),41842.6666666666)</f>
        <v>41842.666666666599</v>
      </c>
      <c r="B2405" s="1">
        <f ca="1">IFERROR(__xludf.DUMMYFUNCTION("""COMPUTED_VALUE"""),23.68)</f>
        <v>23.68</v>
      </c>
    </row>
    <row r="2406" spans="1:2">
      <c r="A2406" s="3">
        <f ca="1">IFERROR(__xludf.DUMMYFUNCTION("""COMPUTED_VALUE"""),41843.6666666666)</f>
        <v>41843.666666666599</v>
      </c>
      <c r="B2406" s="1">
        <f ca="1">IFERROR(__xludf.DUMMYFUNCTION("""COMPUTED_VALUE"""),24.3)</f>
        <v>24.3</v>
      </c>
    </row>
    <row r="2407" spans="1:2">
      <c r="A2407" s="3">
        <f ca="1">IFERROR(__xludf.DUMMYFUNCTION("""COMPUTED_VALUE"""),41844.6666666666)</f>
        <v>41844.666666666599</v>
      </c>
      <c r="B2407" s="1">
        <f ca="1">IFERROR(__xludf.DUMMYFUNCTION("""COMPUTED_VALUE"""),24.26)</f>
        <v>24.26</v>
      </c>
    </row>
    <row r="2408" spans="1:2">
      <c r="A2408" s="3">
        <f ca="1">IFERROR(__xludf.DUMMYFUNCTION("""COMPUTED_VALUE"""),41845.6666666666)</f>
        <v>41845.666666666599</v>
      </c>
      <c r="B2408" s="1">
        <f ca="1">IFERROR(__xludf.DUMMYFUNCTION("""COMPUTED_VALUE"""),24.42)</f>
        <v>24.42</v>
      </c>
    </row>
    <row r="2409" spans="1:2">
      <c r="A2409" s="3">
        <f ca="1">IFERROR(__xludf.DUMMYFUNCTION("""COMPUTED_VALUE"""),41848.6666666666)</f>
        <v>41848.666666666599</v>
      </c>
      <c r="B2409" s="1">
        <f ca="1">IFERROR(__xludf.DUMMYFUNCTION("""COMPUTED_VALUE"""),24.76)</f>
        <v>24.76</v>
      </c>
    </row>
    <row r="2410" spans="1:2">
      <c r="A2410" s="3">
        <f ca="1">IFERROR(__xludf.DUMMYFUNCTION("""COMPUTED_VALUE"""),41849.6666666666)</f>
        <v>41849.666666666599</v>
      </c>
      <c r="B2410" s="1">
        <f ca="1">IFERROR(__xludf.DUMMYFUNCTION("""COMPUTED_VALUE"""),24.6)</f>
        <v>24.6</v>
      </c>
    </row>
    <row r="2411" spans="1:2">
      <c r="A2411" s="3">
        <f ca="1">IFERROR(__xludf.DUMMYFUNCTION("""COMPUTED_VALUE"""),41850.6666666666)</f>
        <v>41850.666666666599</v>
      </c>
      <c r="B2411" s="1">
        <f ca="1">IFERROR(__xludf.DUMMYFUNCTION("""COMPUTED_VALUE"""),24.54)</f>
        <v>24.54</v>
      </c>
    </row>
    <row r="2412" spans="1:2">
      <c r="A2412" s="3">
        <f ca="1">IFERROR(__xludf.DUMMYFUNCTION("""COMPUTED_VALUE"""),41851.6666666666)</f>
        <v>41851.666666666599</v>
      </c>
      <c r="B2412" s="1">
        <f ca="1">IFERROR(__xludf.DUMMYFUNCTION("""COMPUTED_VALUE"""),23.9)</f>
        <v>23.9</v>
      </c>
    </row>
    <row r="2413" spans="1:2">
      <c r="A2413" s="3">
        <f ca="1">IFERROR(__xludf.DUMMYFUNCTION("""COMPUTED_VALUE"""),41852.6666666666)</f>
        <v>41852.666666666599</v>
      </c>
      <c r="B2413" s="1">
        <f ca="1">IFERROR(__xludf.DUMMYFUNCTION("""COMPUTED_VALUE"""),24.03)</f>
        <v>24.03</v>
      </c>
    </row>
    <row r="2414" spans="1:2">
      <c r="A2414" s="3">
        <f ca="1">IFERROR(__xludf.DUMMYFUNCTION("""COMPUTED_VALUE"""),41855.6666666666)</f>
        <v>41855.666666666599</v>
      </c>
      <c r="B2414" s="1">
        <f ca="1">IFERROR(__xludf.DUMMYFUNCTION("""COMPUTED_VALUE"""),23.9)</f>
        <v>23.9</v>
      </c>
    </row>
    <row r="2415" spans="1:2">
      <c r="A2415" s="3">
        <f ca="1">IFERROR(__xludf.DUMMYFUNCTION("""COMPUTED_VALUE"""),41856.6666666666)</f>
        <v>41856.666666666599</v>
      </c>
      <c r="B2415" s="1">
        <f ca="1">IFERROR(__xludf.DUMMYFUNCTION("""COMPUTED_VALUE"""),23.78)</f>
        <v>23.78</v>
      </c>
    </row>
    <row r="2416" spans="1:2">
      <c r="A2416" s="3">
        <f ca="1">IFERROR(__xludf.DUMMYFUNCTION("""COMPUTED_VALUE"""),41857.6666666666)</f>
        <v>41857.666666666599</v>
      </c>
      <c r="B2416" s="1">
        <f ca="1">IFERROR(__xludf.DUMMYFUNCTION("""COMPUTED_VALUE"""),23.74)</f>
        <v>23.74</v>
      </c>
    </row>
    <row r="2417" spans="1:2">
      <c r="A2417" s="3">
        <f ca="1">IFERROR(__xludf.DUMMYFUNCTION("""COMPUTED_VALUE"""),41858.6666666666)</f>
        <v>41858.666666666599</v>
      </c>
      <c r="B2417" s="1">
        <f ca="1">IFERROR(__xludf.DUMMYFUNCTION("""COMPUTED_VALUE"""),23.62)</f>
        <v>23.62</v>
      </c>
    </row>
    <row r="2418" spans="1:2">
      <c r="A2418" s="3">
        <f ca="1">IFERROR(__xludf.DUMMYFUNCTION("""COMPUTED_VALUE"""),41859.6666666666)</f>
        <v>41859.666666666599</v>
      </c>
      <c r="B2418" s="1">
        <f ca="1">IFERROR(__xludf.DUMMYFUNCTION("""COMPUTED_VALUE"""),23.69)</f>
        <v>23.69</v>
      </c>
    </row>
    <row r="2419" spans="1:2">
      <c r="A2419" s="3">
        <f ca="1">IFERROR(__xludf.DUMMYFUNCTION("""COMPUTED_VALUE"""),41862.6666666666)</f>
        <v>41862.666666666599</v>
      </c>
      <c r="B2419" s="1">
        <f ca="1">IFERROR(__xludf.DUMMYFUNCTION("""COMPUTED_VALUE"""),24)</f>
        <v>24</v>
      </c>
    </row>
    <row r="2420" spans="1:2">
      <c r="A2420" s="3">
        <f ca="1">IFERROR(__xludf.DUMMYFUNCTION("""COMPUTED_VALUE"""),41863.6666666666)</f>
        <v>41863.666666666599</v>
      </c>
      <c r="B2420" s="1">
        <f ca="1">IFERROR(__xludf.DUMMYFUNCTION("""COMPUTED_VALUE"""),23.99)</f>
        <v>23.99</v>
      </c>
    </row>
    <row r="2421" spans="1:2">
      <c r="A2421" s="3">
        <f ca="1">IFERROR(__xludf.DUMMYFUNCTION("""COMPUTED_VALUE"""),41864.6666666666)</f>
        <v>41864.666666666599</v>
      </c>
      <c r="B2421" s="1">
        <f ca="1">IFERROR(__xludf.DUMMYFUNCTION("""COMPUTED_VALUE"""),24.31)</f>
        <v>24.31</v>
      </c>
    </row>
    <row r="2422" spans="1:2">
      <c r="A2422" s="3">
        <f ca="1">IFERROR(__xludf.DUMMYFUNCTION("""COMPUTED_VALUE"""),41865.6666666666)</f>
        <v>41865.666666666599</v>
      </c>
      <c r="B2422" s="1">
        <f ca="1">IFERROR(__xludf.DUMMYFUNCTION("""COMPUTED_VALUE"""),24.38)</f>
        <v>24.38</v>
      </c>
    </row>
    <row r="2423" spans="1:2">
      <c r="A2423" s="3">
        <f ca="1">IFERROR(__xludf.DUMMYFUNCTION("""COMPUTED_VALUE"""),41866.6666666666)</f>
        <v>41866.666666666599</v>
      </c>
      <c r="B2423" s="1">
        <f ca="1">IFERROR(__xludf.DUMMYFUNCTION("""COMPUTED_VALUE"""),24.5)</f>
        <v>24.5</v>
      </c>
    </row>
    <row r="2424" spans="1:2">
      <c r="A2424" s="3">
        <f ca="1">IFERROR(__xludf.DUMMYFUNCTION("""COMPUTED_VALUE"""),41869.6666666666)</f>
        <v>41869.666666666599</v>
      </c>
      <c r="B2424" s="1">
        <f ca="1">IFERROR(__xludf.DUMMYFUNCTION("""COMPUTED_VALUE"""),24.79)</f>
        <v>24.79</v>
      </c>
    </row>
    <row r="2425" spans="1:2">
      <c r="A2425" s="3">
        <f ca="1">IFERROR(__xludf.DUMMYFUNCTION("""COMPUTED_VALUE"""),41870.6666666666)</f>
        <v>41870.666666666599</v>
      </c>
      <c r="B2425" s="1">
        <f ca="1">IFERROR(__xludf.DUMMYFUNCTION("""COMPUTED_VALUE"""),25.13)</f>
        <v>25.13</v>
      </c>
    </row>
    <row r="2426" spans="1:2">
      <c r="A2426" s="3">
        <f ca="1">IFERROR(__xludf.DUMMYFUNCTION("""COMPUTED_VALUE"""),41871.6666666666)</f>
        <v>41871.666666666599</v>
      </c>
      <c r="B2426" s="1">
        <f ca="1">IFERROR(__xludf.DUMMYFUNCTION("""COMPUTED_VALUE"""),25.14)</f>
        <v>25.14</v>
      </c>
    </row>
    <row r="2427" spans="1:2">
      <c r="A2427" s="3">
        <f ca="1">IFERROR(__xludf.DUMMYFUNCTION("""COMPUTED_VALUE"""),41872.6666666666)</f>
        <v>41872.666666666599</v>
      </c>
      <c r="B2427" s="1">
        <f ca="1">IFERROR(__xludf.DUMMYFUNCTION("""COMPUTED_VALUE"""),25.15)</f>
        <v>25.15</v>
      </c>
    </row>
    <row r="2428" spans="1:2">
      <c r="A2428" s="3">
        <f ca="1">IFERROR(__xludf.DUMMYFUNCTION("""COMPUTED_VALUE"""),41873.6666666666)</f>
        <v>41873.666666666599</v>
      </c>
      <c r="B2428" s="1">
        <f ca="1">IFERROR(__xludf.DUMMYFUNCTION("""COMPUTED_VALUE"""),25.33)</f>
        <v>25.33</v>
      </c>
    </row>
    <row r="2429" spans="1:2">
      <c r="A2429" s="3">
        <f ca="1">IFERROR(__xludf.DUMMYFUNCTION("""COMPUTED_VALUE"""),41876.6666666666)</f>
        <v>41876.666666666599</v>
      </c>
      <c r="B2429" s="1">
        <f ca="1">IFERROR(__xludf.DUMMYFUNCTION("""COMPUTED_VALUE"""),25.39)</f>
        <v>25.39</v>
      </c>
    </row>
    <row r="2430" spans="1:2">
      <c r="A2430" s="3">
        <f ca="1">IFERROR(__xludf.DUMMYFUNCTION("""COMPUTED_VALUE"""),41877.6666666666)</f>
        <v>41877.666666666599</v>
      </c>
      <c r="B2430" s="1">
        <f ca="1">IFERROR(__xludf.DUMMYFUNCTION("""COMPUTED_VALUE"""),25.22)</f>
        <v>25.22</v>
      </c>
    </row>
    <row r="2431" spans="1:2">
      <c r="A2431" s="3">
        <f ca="1">IFERROR(__xludf.DUMMYFUNCTION("""COMPUTED_VALUE"""),41878.6666666666)</f>
        <v>41878.666666666599</v>
      </c>
      <c r="B2431" s="1">
        <f ca="1">IFERROR(__xludf.DUMMYFUNCTION("""COMPUTED_VALUE"""),25.53)</f>
        <v>25.53</v>
      </c>
    </row>
    <row r="2432" spans="1:2">
      <c r="A2432" s="3">
        <f ca="1">IFERROR(__xludf.DUMMYFUNCTION("""COMPUTED_VALUE"""),41879.6666666666)</f>
        <v>41879.666666666599</v>
      </c>
      <c r="B2432" s="1">
        <f ca="1">IFERROR(__xludf.DUMMYFUNCTION("""COMPUTED_VALUE"""),25.56)</f>
        <v>25.56</v>
      </c>
    </row>
    <row r="2433" spans="1:2">
      <c r="A2433" s="3">
        <f ca="1">IFERROR(__xludf.DUMMYFUNCTION("""COMPUTED_VALUE"""),41880.6666666666)</f>
        <v>41880.666666666599</v>
      </c>
      <c r="B2433" s="1">
        <f ca="1">IFERROR(__xludf.DUMMYFUNCTION("""COMPUTED_VALUE"""),25.63)</f>
        <v>25.63</v>
      </c>
    </row>
    <row r="2434" spans="1:2">
      <c r="A2434" s="3">
        <f ca="1">IFERROR(__xludf.DUMMYFUNCTION("""COMPUTED_VALUE"""),41884.6666666666)</f>
        <v>41884.666666666599</v>
      </c>
      <c r="B2434" s="1">
        <f ca="1">IFERROR(__xludf.DUMMYFUNCTION("""COMPUTED_VALUE"""),25.83)</f>
        <v>25.83</v>
      </c>
    </row>
    <row r="2435" spans="1:2">
      <c r="A2435" s="3">
        <f ca="1">IFERROR(__xludf.DUMMYFUNCTION("""COMPUTED_VALUE"""),41885.6666666666)</f>
        <v>41885.666666666599</v>
      </c>
      <c r="B2435" s="1">
        <f ca="1">IFERROR(__xludf.DUMMYFUNCTION("""COMPUTED_VALUE"""),24.74)</f>
        <v>24.74</v>
      </c>
    </row>
    <row r="2436" spans="1:2">
      <c r="A2436" s="3">
        <f ca="1">IFERROR(__xludf.DUMMYFUNCTION("""COMPUTED_VALUE"""),41886.6666666666)</f>
        <v>41886.666666666599</v>
      </c>
      <c r="B2436" s="1">
        <f ca="1">IFERROR(__xludf.DUMMYFUNCTION("""COMPUTED_VALUE"""),24.53)</f>
        <v>24.53</v>
      </c>
    </row>
    <row r="2437" spans="1:2">
      <c r="A2437" s="3">
        <f ca="1">IFERROR(__xludf.DUMMYFUNCTION("""COMPUTED_VALUE"""),41887.6666666666)</f>
        <v>41887.666666666599</v>
      </c>
      <c r="B2437" s="1">
        <f ca="1">IFERROR(__xludf.DUMMYFUNCTION("""COMPUTED_VALUE"""),24.74)</f>
        <v>24.74</v>
      </c>
    </row>
    <row r="2438" spans="1:2">
      <c r="A2438" s="3">
        <f ca="1">IFERROR(__xludf.DUMMYFUNCTION("""COMPUTED_VALUE"""),41890.6666666666)</f>
        <v>41890.666666666599</v>
      </c>
      <c r="B2438" s="1">
        <f ca="1">IFERROR(__xludf.DUMMYFUNCTION("""COMPUTED_VALUE"""),24.59)</f>
        <v>24.59</v>
      </c>
    </row>
    <row r="2439" spans="1:2">
      <c r="A2439" s="3">
        <f ca="1">IFERROR(__xludf.DUMMYFUNCTION("""COMPUTED_VALUE"""),41891.6666666666)</f>
        <v>41891.666666666599</v>
      </c>
      <c r="B2439" s="1">
        <f ca="1">IFERROR(__xludf.DUMMYFUNCTION("""COMPUTED_VALUE"""),24.5)</f>
        <v>24.5</v>
      </c>
    </row>
    <row r="2440" spans="1:2">
      <c r="A2440" s="3">
        <f ca="1">IFERROR(__xludf.DUMMYFUNCTION("""COMPUTED_VALUE"""),41892.6666666666)</f>
        <v>41892.666666666599</v>
      </c>
      <c r="B2440" s="1">
        <f ca="1">IFERROR(__xludf.DUMMYFUNCTION("""COMPUTED_VALUE"""),25.25)</f>
        <v>25.25</v>
      </c>
    </row>
    <row r="2441" spans="1:2">
      <c r="A2441" s="3">
        <f ca="1">IFERROR(__xludf.DUMMYFUNCTION("""COMPUTED_VALUE"""),41893.6666666666)</f>
        <v>41893.666666666599</v>
      </c>
      <c r="B2441" s="1">
        <f ca="1">IFERROR(__xludf.DUMMYFUNCTION("""COMPUTED_VALUE"""),25.36)</f>
        <v>25.36</v>
      </c>
    </row>
    <row r="2442" spans="1:2">
      <c r="A2442" s="3">
        <f ca="1">IFERROR(__xludf.DUMMYFUNCTION("""COMPUTED_VALUE"""),41894.6666666666)</f>
        <v>41894.666666666599</v>
      </c>
      <c r="B2442" s="1">
        <f ca="1">IFERROR(__xludf.DUMMYFUNCTION("""COMPUTED_VALUE"""),25.42)</f>
        <v>25.42</v>
      </c>
    </row>
    <row r="2443" spans="1:2">
      <c r="A2443" s="3">
        <f ca="1">IFERROR(__xludf.DUMMYFUNCTION("""COMPUTED_VALUE"""),41897.6666666666)</f>
        <v>41897.666666666599</v>
      </c>
      <c r="B2443" s="1">
        <f ca="1">IFERROR(__xludf.DUMMYFUNCTION("""COMPUTED_VALUE"""),25.41)</f>
        <v>25.41</v>
      </c>
    </row>
    <row r="2444" spans="1:2">
      <c r="A2444" s="3">
        <f ca="1">IFERROR(__xludf.DUMMYFUNCTION("""COMPUTED_VALUE"""),41898.6666666666)</f>
        <v>41898.666666666599</v>
      </c>
      <c r="B2444" s="1">
        <f ca="1">IFERROR(__xludf.DUMMYFUNCTION("""COMPUTED_VALUE"""),25.22)</f>
        <v>25.22</v>
      </c>
    </row>
    <row r="2445" spans="1:2">
      <c r="A2445" s="3">
        <f ca="1">IFERROR(__xludf.DUMMYFUNCTION("""COMPUTED_VALUE"""),41899.6666666666)</f>
        <v>41899.666666666599</v>
      </c>
      <c r="B2445" s="1">
        <f ca="1">IFERROR(__xludf.DUMMYFUNCTION("""COMPUTED_VALUE"""),25.4)</f>
        <v>25.4</v>
      </c>
    </row>
    <row r="2446" spans="1:2">
      <c r="A2446" s="3">
        <f ca="1">IFERROR(__xludf.DUMMYFUNCTION("""COMPUTED_VALUE"""),41900.6666666666)</f>
        <v>41900.666666666599</v>
      </c>
      <c r="B2446" s="1">
        <f ca="1">IFERROR(__xludf.DUMMYFUNCTION("""COMPUTED_VALUE"""),25.45)</f>
        <v>25.45</v>
      </c>
    </row>
    <row r="2447" spans="1:2">
      <c r="A2447" s="3">
        <f ca="1">IFERROR(__xludf.DUMMYFUNCTION("""COMPUTED_VALUE"""),41901.6666666666)</f>
        <v>41901.666666666599</v>
      </c>
      <c r="B2447" s="1">
        <f ca="1">IFERROR(__xludf.DUMMYFUNCTION("""COMPUTED_VALUE"""),25.24)</f>
        <v>25.24</v>
      </c>
    </row>
    <row r="2448" spans="1:2">
      <c r="A2448" s="3">
        <f ca="1">IFERROR(__xludf.DUMMYFUNCTION("""COMPUTED_VALUE"""),41904.6666666666)</f>
        <v>41904.666666666599</v>
      </c>
      <c r="B2448" s="1">
        <f ca="1">IFERROR(__xludf.DUMMYFUNCTION("""COMPUTED_VALUE"""),25.27)</f>
        <v>25.27</v>
      </c>
    </row>
    <row r="2449" spans="1:2">
      <c r="A2449" s="3">
        <f ca="1">IFERROR(__xludf.DUMMYFUNCTION("""COMPUTED_VALUE"""),41905.6666666666)</f>
        <v>41905.666666666599</v>
      </c>
      <c r="B2449" s="1">
        <f ca="1">IFERROR(__xludf.DUMMYFUNCTION("""COMPUTED_VALUE"""),25.66)</f>
        <v>25.66</v>
      </c>
    </row>
    <row r="2450" spans="1:2">
      <c r="A2450" s="3">
        <f ca="1">IFERROR(__xludf.DUMMYFUNCTION("""COMPUTED_VALUE"""),41906.6666666666)</f>
        <v>41906.666666666599</v>
      </c>
      <c r="B2450" s="1">
        <f ca="1">IFERROR(__xludf.DUMMYFUNCTION("""COMPUTED_VALUE"""),25.44)</f>
        <v>25.44</v>
      </c>
    </row>
    <row r="2451" spans="1:2">
      <c r="A2451" s="3">
        <f ca="1">IFERROR(__xludf.DUMMYFUNCTION("""COMPUTED_VALUE"""),41907.6666666666)</f>
        <v>41907.666666666599</v>
      </c>
      <c r="B2451" s="1">
        <f ca="1">IFERROR(__xludf.DUMMYFUNCTION("""COMPUTED_VALUE"""),24.47)</f>
        <v>24.47</v>
      </c>
    </row>
    <row r="2452" spans="1:2">
      <c r="A2452" s="3">
        <f ca="1">IFERROR(__xludf.DUMMYFUNCTION("""COMPUTED_VALUE"""),41908.6666666666)</f>
        <v>41908.666666666599</v>
      </c>
      <c r="B2452" s="1">
        <f ca="1">IFERROR(__xludf.DUMMYFUNCTION("""COMPUTED_VALUE"""),25.19)</f>
        <v>25.19</v>
      </c>
    </row>
    <row r="2453" spans="1:2">
      <c r="A2453" s="3">
        <f ca="1">IFERROR(__xludf.DUMMYFUNCTION("""COMPUTED_VALUE"""),41911.6666666666)</f>
        <v>41911.666666666599</v>
      </c>
      <c r="B2453" s="1">
        <f ca="1">IFERROR(__xludf.DUMMYFUNCTION("""COMPUTED_VALUE"""),25.03)</f>
        <v>25.03</v>
      </c>
    </row>
    <row r="2454" spans="1:2">
      <c r="A2454" s="3">
        <f ca="1">IFERROR(__xludf.DUMMYFUNCTION("""COMPUTED_VALUE"""),41912.6666666666)</f>
        <v>41912.666666666599</v>
      </c>
      <c r="B2454" s="1">
        <f ca="1">IFERROR(__xludf.DUMMYFUNCTION("""COMPUTED_VALUE"""),25.19)</f>
        <v>25.19</v>
      </c>
    </row>
    <row r="2455" spans="1:2">
      <c r="A2455" s="3">
        <f ca="1">IFERROR(__xludf.DUMMYFUNCTION("""COMPUTED_VALUE"""),41913.6666666666)</f>
        <v>41913.666666666599</v>
      </c>
      <c r="B2455" s="1">
        <f ca="1">IFERROR(__xludf.DUMMYFUNCTION("""COMPUTED_VALUE"""),24.8)</f>
        <v>24.8</v>
      </c>
    </row>
    <row r="2456" spans="1:2">
      <c r="A2456" s="3">
        <f ca="1">IFERROR(__xludf.DUMMYFUNCTION("""COMPUTED_VALUE"""),41914.6666666666)</f>
        <v>41914.666666666599</v>
      </c>
      <c r="B2456" s="1">
        <f ca="1">IFERROR(__xludf.DUMMYFUNCTION("""COMPUTED_VALUE"""),24.98)</f>
        <v>24.98</v>
      </c>
    </row>
    <row r="2457" spans="1:2">
      <c r="A2457" s="3">
        <f ca="1">IFERROR(__xludf.DUMMYFUNCTION("""COMPUTED_VALUE"""),41915.6666666666)</f>
        <v>41915.666666666599</v>
      </c>
      <c r="B2457" s="1">
        <f ca="1">IFERROR(__xludf.DUMMYFUNCTION("""COMPUTED_VALUE"""),24.91)</f>
        <v>24.91</v>
      </c>
    </row>
    <row r="2458" spans="1:2">
      <c r="A2458" s="3">
        <f ca="1">IFERROR(__xludf.DUMMYFUNCTION("""COMPUTED_VALUE"""),41918.6666666666)</f>
        <v>41918.666666666599</v>
      </c>
      <c r="B2458" s="1">
        <f ca="1">IFERROR(__xludf.DUMMYFUNCTION("""COMPUTED_VALUE"""),24.91)</f>
        <v>24.91</v>
      </c>
    </row>
    <row r="2459" spans="1:2">
      <c r="A2459" s="3">
        <f ca="1">IFERROR(__xludf.DUMMYFUNCTION("""COMPUTED_VALUE"""),41919.6666666666)</f>
        <v>41919.666666666599</v>
      </c>
      <c r="B2459" s="1">
        <f ca="1">IFERROR(__xludf.DUMMYFUNCTION("""COMPUTED_VALUE"""),24.69)</f>
        <v>24.69</v>
      </c>
    </row>
    <row r="2460" spans="1:2">
      <c r="A2460" s="3">
        <f ca="1">IFERROR(__xludf.DUMMYFUNCTION("""COMPUTED_VALUE"""),41920.6666666666)</f>
        <v>41920.666666666599</v>
      </c>
      <c r="B2460" s="1">
        <f ca="1">IFERROR(__xludf.DUMMYFUNCTION("""COMPUTED_VALUE"""),25.2)</f>
        <v>25.2</v>
      </c>
    </row>
    <row r="2461" spans="1:2">
      <c r="A2461" s="3">
        <f ca="1">IFERROR(__xludf.DUMMYFUNCTION("""COMPUTED_VALUE"""),41921.6666666666)</f>
        <v>41921.666666666599</v>
      </c>
      <c r="B2461" s="1">
        <f ca="1">IFERROR(__xludf.DUMMYFUNCTION("""COMPUTED_VALUE"""),25.26)</f>
        <v>25.26</v>
      </c>
    </row>
    <row r="2462" spans="1:2">
      <c r="A2462" s="3">
        <f ca="1">IFERROR(__xludf.DUMMYFUNCTION("""COMPUTED_VALUE"""),41922.6666666666)</f>
        <v>41922.666666666599</v>
      </c>
      <c r="B2462" s="1">
        <f ca="1">IFERROR(__xludf.DUMMYFUNCTION("""COMPUTED_VALUE"""),25.18)</f>
        <v>25.18</v>
      </c>
    </row>
    <row r="2463" spans="1:2">
      <c r="A2463" s="3">
        <f ca="1">IFERROR(__xludf.DUMMYFUNCTION("""COMPUTED_VALUE"""),41925.6666666666)</f>
        <v>41925.666666666599</v>
      </c>
      <c r="B2463" s="1">
        <f ca="1">IFERROR(__xludf.DUMMYFUNCTION("""COMPUTED_VALUE"""),24.95)</f>
        <v>24.95</v>
      </c>
    </row>
    <row r="2464" spans="1:2">
      <c r="A2464" s="3">
        <f ca="1">IFERROR(__xludf.DUMMYFUNCTION("""COMPUTED_VALUE"""),41926.6666666666)</f>
        <v>41926.666666666599</v>
      </c>
      <c r="B2464" s="1">
        <f ca="1">IFERROR(__xludf.DUMMYFUNCTION("""COMPUTED_VALUE"""),24.69)</f>
        <v>24.69</v>
      </c>
    </row>
    <row r="2465" spans="1:2">
      <c r="A2465" s="3">
        <f ca="1">IFERROR(__xludf.DUMMYFUNCTION("""COMPUTED_VALUE"""),41927.6666666666)</f>
        <v>41927.666666666599</v>
      </c>
      <c r="B2465" s="1">
        <f ca="1">IFERROR(__xludf.DUMMYFUNCTION("""COMPUTED_VALUE"""),24.39)</f>
        <v>24.39</v>
      </c>
    </row>
    <row r="2466" spans="1:2">
      <c r="A2466" s="3">
        <f ca="1">IFERROR(__xludf.DUMMYFUNCTION("""COMPUTED_VALUE"""),41928.6666666666)</f>
        <v>41928.666666666599</v>
      </c>
      <c r="B2466" s="1">
        <f ca="1">IFERROR(__xludf.DUMMYFUNCTION("""COMPUTED_VALUE"""),24.07)</f>
        <v>24.07</v>
      </c>
    </row>
    <row r="2467" spans="1:2">
      <c r="A2467" s="3">
        <f ca="1">IFERROR(__xludf.DUMMYFUNCTION("""COMPUTED_VALUE"""),41929.6666666666)</f>
        <v>41929.666666666599</v>
      </c>
      <c r="B2467" s="1">
        <f ca="1">IFERROR(__xludf.DUMMYFUNCTION("""COMPUTED_VALUE"""),24.42)</f>
        <v>24.42</v>
      </c>
    </row>
    <row r="2468" spans="1:2">
      <c r="A2468" s="3">
        <f ca="1">IFERROR(__xludf.DUMMYFUNCTION("""COMPUTED_VALUE"""),41932.6666666666)</f>
        <v>41932.666666666599</v>
      </c>
      <c r="B2468" s="1">
        <f ca="1">IFERROR(__xludf.DUMMYFUNCTION("""COMPUTED_VALUE"""),24.94)</f>
        <v>24.94</v>
      </c>
    </row>
    <row r="2469" spans="1:2">
      <c r="A2469" s="3">
        <f ca="1">IFERROR(__xludf.DUMMYFUNCTION("""COMPUTED_VALUE"""),41933.6666666666)</f>
        <v>41933.666666666599</v>
      </c>
      <c r="B2469" s="1">
        <f ca="1">IFERROR(__xludf.DUMMYFUNCTION("""COMPUTED_VALUE"""),25.62)</f>
        <v>25.62</v>
      </c>
    </row>
    <row r="2470" spans="1:2">
      <c r="A2470" s="3">
        <f ca="1">IFERROR(__xludf.DUMMYFUNCTION("""COMPUTED_VALUE"""),41934.6666666666)</f>
        <v>41934.666666666599</v>
      </c>
      <c r="B2470" s="1">
        <f ca="1">IFERROR(__xludf.DUMMYFUNCTION("""COMPUTED_VALUE"""),25.75)</f>
        <v>25.75</v>
      </c>
    </row>
    <row r="2471" spans="1:2">
      <c r="A2471" s="3">
        <f ca="1">IFERROR(__xludf.DUMMYFUNCTION("""COMPUTED_VALUE"""),41935.6666666666)</f>
        <v>41935.666666666599</v>
      </c>
      <c r="B2471" s="1">
        <f ca="1">IFERROR(__xludf.DUMMYFUNCTION("""COMPUTED_VALUE"""),26.21)</f>
        <v>26.21</v>
      </c>
    </row>
    <row r="2472" spans="1:2">
      <c r="A2472" s="3">
        <f ca="1">IFERROR(__xludf.DUMMYFUNCTION("""COMPUTED_VALUE"""),41936.6666666666)</f>
        <v>41936.666666666599</v>
      </c>
      <c r="B2472" s="1">
        <f ca="1">IFERROR(__xludf.DUMMYFUNCTION("""COMPUTED_VALUE"""),26.31)</f>
        <v>26.31</v>
      </c>
    </row>
    <row r="2473" spans="1:2">
      <c r="A2473" s="3">
        <f ca="1">IFERROR(__xludf.DUMMYFUNCTION("""COMPUTED_VALUE"""),41939.6666666666)</f>
        <v>41939.666666666599</v>
      </c>
      <c r="B2473" s="1">
        <f ca="1">IFERROR(__xludf.DUMMYFUNCTION("""COMPUTED_VALUE"""),26.28)</f>
        <v>26.28</v>
      </c>
    </row>
    <row r="2474" spans="1:2">
      <c r="A2474" s="3">
        <f ca="1">IFERROR(__xludf.DUMMYFUNCTION("""COMPUTED_VALUE"""),41940.6666666666)</f>
        <v>41940.666666666599</v>
      </c>
      <c r="B2474" s="1">
        <f ca="1">IFERROR(__xludf.DUMMYFUNCTION("""COMPUTED_VALUE"""),26.69)</f>
        <v>26.69</v>
      </c>
    </row>
    <row r="2475" spans="1:2">
      <c r="A2475" s="3">
        <f ca="1">IFERROR(__xludf.DUMMYFUNCTION("""COMPUTED_VALUE"""),41941.6666666666)</f>
        <v>41941.666666666599</v>
      </c>
      <c r="B2475" s="1">
        <f ca="1">IFERROR(__xludf.DUMMYFUNCTION("""COMPUTED_VALUE"""),26.84)</f>
        <v>26.84</v>
      </c>
    </row>
    <row r="2476" spans="1:2">
      <c r="A2476" s="3">
        <f ca="1">IFERROR(__xludf.DUMMYFUNCTION("""COMPUTED_VALUE"""),41942.6666666666)</f>
        <v>41942.666666666599</v>
      </c>
      <c r="B2476" s="1">
        <f ca="1">IFERROR(__xludf.DUMMYFUNCTION("""COMPUTED_VALUE"""),26.75)</f>
        <v>26.75</v>
      </c>
    </row>
    <row r="2477" spans="1:2">
      <c r="A2477" s="3">
        <f ca="1">IFERROR(__xludf.DUMMYFUNCTION("""COMPUTED_VALUE"""),41943.6666666666)</f>
        <v>41943.666666666599</v>
      </c>
      <c r="B2477" s="1">
        <f ca="1">IFERROR(__xludf.DUMMYFUNCTION("""COMPUTED_VALUE"""),27)</f>
        <v>27</v>
      </c>
    </row>
    <row r="2478" spans="1:2">
      <c r="A2478" s="3">
        <f ca="1">IFERROR(__xludf.DUMMYFUNCTION("""COMPUTED_VALUE"""),41946.6666666666)</f>
        <v>41946.666666666599</v>
      </c>
      <c r="B2478" s="1">
        <f ca="1">IFERROR(__xludf.DUMMYFUNCTION("""COMPUTED_VALUE"""),27.35)</f>
        <v>27.35</v>
      </c>
    </row>
    <row r="2479" spans="1:2">
      <c r="A2479" s="3">
        <f ca="1">IFERROR(__xludf.DUMMYFUNCTION("""COMPUTED_VALUE"""),41947.6666666666)</f>
        <v>41947.666666666599</v>
      </c>
      <c r="B2479" s="1">
        <f ca="1">IFERROR(__xludf.DUMMYFUNCTION("""COMPUTED_VALUE"""),27.15)</f>
        <v>27.15</v>
      </c>
    </row>
    <row r="2480" spans="1:2">
      <c r="A2480" s="3">
        <f ca="1">IFERROR(__xludf.DUMMYFUNCTION("""COMPUTED_VALUE"""),41948.6666666666)</f>
        <v>41948.666666666599</v>
      </c>
      <c r="B2480" s="1">
        <f ca="1">IFERROR(__xludf.DUMMYFUNCTION("""COMPUTED_VALUE"""),27.22)</f>
        <v>27.22</v>
      </c>
    </row>
    <row r="2481" spans="1:2">
      <c r="A2481" s="3">
        <f ca="1">IFERROR(__xludf.DUMMYFUNCTION("""COMPUTED_VALUE"""),41949.6666666666)</f>
        <v>41949.666666666599</v>
      </c>
      <c r="B2481" s="1">
        <f ca="1">IFERROR(__xludf.DUMMYFUNCTION("""COMPUTED_VALUE"""),27.18)</f>
        <v>27.18</v>
      </c>
    </row>
    <row r="2482" spans="1:2">
      <c r="A2482" s="3">
        <f ca="1">IFERROR(__xludf.DUMMYFUNCTION("""COMPUTED_VALUE"""),41950.6666666666)</f>
        <v>41950.666666666599</v>
      </c>
      <c r="B2482" s="1">
        <f ca="1">IFERROR(__xludf.DUMMYFUNCTION("""COMPUTED_VALUE"""),27.25)</f>
        <v>27.25</v>
      </c>
    </row>
    <row r="2483" spans="1:2">
      <c r="A2483" s="3">
        <f ca="1">IFERROR(__xludf.DUMMYFUNCTION("""COMPUTED_VALUE"""),41953.6666666666)</f>
        <v>41953.666666666599</v>
      </c>
      <c r="B2483" s="1">
        <f ca="1">IFERROR(__xludf.DUMMYFUNCTION("""COMPUTED_VALUE"""),27.21)</f>
        <v>27.21</v>
      </c>
    </row>
    <row r="2484" spans="1:2">
      <c r="A2484" s="3">
        <f ca="1">IFERROR(__xludf.DUMMYFUNCTION("""COMPUTED_VALUE"""),41954.6666666666)</f>
        <v>41954.666666666599</v>
      </c>
      <c r="B2484" s="1">
        <f ca="1">IFERROR(__xludf.DUMMYFUNCTION("""COMPUTED_VALUE"""),27.43)</f>
        <v>27.43</v>
      </c>
    </row>
    <row r="2485" spans="1:2">
      <c r="A2485" s="3">
        <f ca="1">IFERROR(__xludf.DUMMYFUNCTION("""COMPUTED_VALUE"""),41955.6666666666)</f>
        <v>41955.666666666599</v>
      </c>
      <c r="B2485" s="1">
        <f ca="1">IFERROR(__xludf.DUMMYFUNCTION("""COMPUTED_VALUE"""),27.81)</f>
        <v>27.81</v>
      </c>
    </row>
    <row r="2486" spans="1:2">
      <c r="A2486" s="3">
        <f ca="1">IFERROR(__xludf.DUMMYFUNCTION("""COMPUTED_VALUE"""),41956.6666666666)</f>
        <v>41956.666666666599</v>
      </c>
      <c r="B2486" s="1">
        <f ca="1">IFERROR(__xludf.DUMMYFUNCTION("""COMPUTED_VALUE"""),28.21)</f>
        <v>28.21</v>
      </c>
    </row>
    <row r="2487" spans="1:2">
      <c r="A2487" s="3">
        <f ca="1">IFERROR(__xludf.DUMMYFUNCTION("""COMPUTED_VALUE"""),41957.6666666666)</f>
        <v>41957.666666666599</v>
      </c>
      <c r="B2487" s="1">
        <f ca="1">IFERROR(__xludf.DUMMYFUNCTION("""COMPUTED_VALUE"""),28.55)</f>
        <v>28.55</v>
      </c>
    </row>
    <row r="2488" spans="1:2">
      <c r="A2488" s="3">
        <f ca="1">IFERROR(__xludf.DUMMYFUNCTION("""COMPUTED_VALUE"""),41960.6666666666)</f>
        <v>41960.666666666599</v>
      </c>
      <c r="B2488" s="1">
        <f ca="1">IFERROR(__xludf.DUMMYFUNCTION("""COMPUTED_VALUE"""),28.5)</f>
        <v>28.5</v>
      </c>
    </row>
    <row r="2489" spans="1:2">
      <c r="A2489" s="3">
        <f ca="1">IFERROR(__xludf.DUMMYFUNCTION("""COMPUTED_VALUE"""),41961.6666666666)</f>
        <v>41961.666666666599</v>
      </c>
      <c r="B2489" s="1">
        <f ca="1">IFERROR(__xludf.DUMMYFUNCTION("""COMPUTED_VALUE"""),28.87)</f>
        <v>28.87</v>
      </c>
    </row>
    <row r="2490" spans="1:2">
      <c r="A2490" s="3">
        <f ca="1">IFERROR(__xludf.DUMMYFUNCTION("""COMPUTED_VALUE"""),41962.6666666666)</f>
        <v>41962.666666666599</v>
      </c>
      <c r="B2490" s="1">
        <f ca="1">IFERROR(__xludf.DUMMYFUNCTION("""COMPUTED_VALUE"""),28.67)</f>
        <v>28.67</v>
      </c>
    </row>
    <row r="2491" spans="1:2">
      <c r="A2491" s="3">
        <f ca="1">IFERROR(__xludf.DUMMYFUNCTION("""COMPUTED_VALUE"""),41963.6666666666)</f>
        <v>41963.666666666599</v>
      </c>
      <c r="B2491" s="1">
        <f ca="1">IFERROR(__xludf.DUMMYFUNCTION("""COMPUTED_VALUE"""),29.08)</f>
        <v>29.08</v>
      </c>
    </row>
    <row r="2492" spans="1:2">
      <c r="A2492" s="3">
        <f ca="1">IFERROR(__xludf.DUMMYFUNCTION("""COMPUTED_VALUE"""),41964.6666666666)</f>
        <v>41964.666666666599</v>
      </c>
      <c r="B2492" s="1">
        <f ca="1">IFERROR(__xludf.DUMMYFUNCTION("""COMPUTED_VALUE"""),29.12)</f>
        <v>29.12</v>
      </c>
    </row>
    <row r="2493" spans="1:2">
      <c r="A2493" s="3">
        <f ca="1">IFERROR(__xludf.DUMMYFUNCTION("""COMPUTED_VALUE"""),41967.6666666666)</f>
        <v>41967.666666666599</v>
      </c>
      <c r="B2493" s="1">
        <f ca="1">IFERROR(__xludf.DUMMYFUNCTION("""COMPUTED_VALUE"""),29.66)</f>
        <v>29.66</v>
      </c>
    </row>
    <row r="2494" spans="1:2">
      <c r="A2494" s="3">
        <f ca="1">IFERROR(__xludf.DUMMYFUNCTION("""COMPUTED_VALUE"""),41968.6666666666)</f>
        <v>41968.666666666599</v>
      </c>
      <c r="B2494" s="1">
        <f ca="1">IFERROR(__xludf.DUMMYFUNCTION("""COMPUTED_VALUE"""),29.4)</f>
        <v>29.4</v>
      </c>
    </row>
    <row r="2495" spans="1:2">
      <c r="A2495" s="3">
        <f ca="1">IFERROR(__xludf.DUMMYFUNCTION("""COMPUTED_VALUE"""),41969.6666666666)</f>
        <v>41969.666666666599</v>
      </c>
      <c r="B2495" s="1">
        <f ca="1">IFERROR(__xludf.DUMMYFUNCTION("""COMPUTED_VALUE"""),29.75)</f>
        <v>29.75</v>
      </c>
    </row>
    <row r="2496" spans="1:2">
      <c r="A2496" s="3">
        <f ca="1">IFERROR(__xludf.DUMMYFUNCTION("""COMPUTED_VALUE"""),41971.6666666666)</f>
        <v>41971.666666666599</v>
      </c>
      <c r="B2496" s="1">
        <f ca="1">IFERROR(__xludf.DUMMYFUNCTION("""COMPUTED_VALUE"""),29.73)</f>
        <v>29.73</v>
      </c>
    </row>
    <row r="2497" spans="1:2">
      <c r="A2497" s="3">
        <f ca="1">IFERROR(__xludf.DUMMYFUNCTION("""COMPUTED_VALUE"""),41974.6666666666)</f>
        <v>41974.666666666599</v>
      </c>
      <c r="B2497" s="1">
        <f ca="1">IFERROR(__xludf.DUMMYFUNCTION("""COMPUTED_VALUE"""),28.77)</f>
        <v>28.77</v>
      </c>
    </row>
    <row r="2498" spans="1:2">
      <c r="A2498" s="3">
        <f ca="1">IFERROR(__xludf.DUMMYFUNCTION("""COMPUTED_VALUE"""),41975.6666666666)</f>
        <v>41975.666666666599</v>
      </c>
      <c r="B2498" s="1">
        <f ca="1">IFERROR(__xludf.DUMMYFUNCTION("""COMPUTED_VALUE"""),28.66)</f>
        <v>28.66</v>
      </c>
    </row>
    <row r="2499" spans="1:2">
      <c r="A2499" s="3">
        <f ca="1">IFERROR(__xludf.DUMMYFUNCTION("""COMPUTED_VALUE"""),41976.6666666666)</f>
        <v>41976.666666666599</v>
      </c>
      <c r="B2499" s="1">
        <f ca="1">IFERROR(__xludf.DUMMYFUNCTION("""COMPUTED_VALUE"""),28.98)</f>
        <v>28.98</v>
      </c>
    </row>
    <row r="2500" spans="1:2">
      <c r="A2500" s="3">
        <f ca="1">IFERROR(__xludf.DUMMYFUNCTION("""COMPUTED_VALUE"""),41977.6666666666)</f>
        <v>41977.666666666599</v>
      </c>
      <c r="B2500" s="1">
        <f ca="1">IFERROR(__xludf.DUMMYFUNCTION("""COMPUTED_VALUE"""),28.87)</f>
        <v>28.87</v>
      </c>
    </row>
    <row r="2501" spans="1:2">
      <c r="A2501" s="3">
        <f ca="1">IFERROR(__xludf.DUMMYFUNCTION("""COMPUTED_VALUE"""),41978.6666666666)</f>
        <v>41978.666666666599</v>
      </c>
      <c r="B2501" s="1">
        <f ca="1">IFERROR(__xludf.DUMMYFUNCTION("""COMPUTED_VALUE"""),28.75)</f>
        <v>28.75</v>
      </c>
    </row>
    <row r="2502" spans="1:2">
      <c r="A2502" s="3">
        <f ca="1">IFERROR(__xludf.DUMMYFUNCTION("""COMPUTED_VALUE"""),41981.6666666666)</f>
        <v>41981.666666666599</v>
      </c>
      <c r="B2502" s="1">
        <f ca="1">IFERROR(__xludf.DUMMYFUNCTION("""COMPUTED_VALUE"""),28.1)</f>
        <v>28.1</v>
      </c>
    </row>
    <row r="2503" spans="1:2">
      <c r="A2503" s="3">
        <f ca="1">IFERROR(__xludf.DUMMYFUNCTION("""COMPUTED_VALUE"""),41982.6666666666)</f>
        <v>41982.666666666599</v>
      </c>
      <c r="B2503" s="1">
        <f ca="1">IFERROR(__xludf.DUMMYFUNCTION("""COMPUTED_VALUE"""),28.53)</f>
        <v>28.53</v>
      </c>
    </row>
    <row r="2504" spans="1:2">
      <c r="A2504" s="3">
        <f ca="1">IFERROR(__xludf.DUMMYFUNCTION("""COMPUTED_VALUE"""),41983.6666666666)</f>
        <v>41983.666666666599</v>
      </c>
      <c r="B2504" s="1">
        <f ca="1">IFERROR(__xludf.DUMMYFUNCTION("""COMPUTED_VALUE"""),27.99)</f>
        <v>27.99</v>
      </c>
    </row>
    <row r="2505" spans="1:2">
      <c r="A2505" s="3">
        <f ca="1">IFERROR(__xludf.DUMMYFUNCTION("""COMPUTED_VALUE"""),41984.6666666666)</f>
        <v>41984.666666666599</v>
      </c>
      <c r="B2505" s="1">
        <f ca="1">IFERROR(__xludf.DUMMYFUNCTION("""COMPUTED_VALUE"""),27.91)</f>
        <v>27.91</v>
      </c>
    </row>
    <row r="2506" spans="1:2">
      <c r="A2506" s="3">
        <f ca="1">IFERROR(__xludf.DUMMYFUNCTION("""COMPUTED_VALUE"""),41985.6666666666)</f>
        <v>41985.666666666599</v>
      </c>
      <c r="B2506" s="1">
        <f ca="1">IFERROR(__xludf.DUMMYFUNCTION("""COMPUTED_VALUE"""),27.43)</f>
        <v>27.43</v>
      </c>
    </row>
    <row r="2507" spans="1:2">
      <c r="A2507" s="3">
        <f ca="1">IFERROR(__xludf.DUMMYFUNCTION("""COMPUTED_VALUE"""),41988.6666666666)</f>
        <v>41988.666666666599</v>
      </c>
      <c r="B2507" s="1">
        <f ca="1">IFERROR(__xludf.DUMMYFUNCTION("""COMPUTED_VALUE"""),27.06)</f>
        <v>27.06</v>
      </c>
    </row>
    <row r="2508" spans="1:2">
      <c r="A2508" s="3">
        <f ca="1">IFERROR(__xludf.DUMMYFUNCTION("""COMPUTED_VALUE"""),41989.6666666666)</f>
        <v>41989.666666666599</v>
      </c>
      <c r="B2508" s="1">
        <f ca="1">IFERROR(__xludf.DUMMYFUNCTION("""COMPUTED_VALUE"""),26.69)</f>
        <v>26.69</v>
      </c>
    </row>
    <row r="2509" spans="1:2">
      <c r="A2509" s="3">
        <f ca="1">IFERROR(__xludf.DUMMYFUNCTION("""COMPUTED_VALUE"""),41990.6666666666)</f>
        <v>41990.666666666599</v>
      </c>
      <c r="B2509" s="1">
        <f ca="1">IFERROR(__xludf.DUMMYFUNCTION("""COMPUTED_VALUE"""),27.35)</f>
        <v>27.35</v>
      </c>
    </row>
    <row r="2510" spans="1:2">
      <c r="A2510" s="3">
        <f ca="1">IFERROR(__xludf.DUMMYFUNCTION("""COMPUTED_VALUE"""),41991.6666666666)</f>
        <v>41991.666666666599</v>
      </c>
      <c r="B2510" s="1">
        <f ca="1">IFERROR(__xludf.DUMMYFUNCTION("""COMPUTED_VALUE"""),28.16)</f>
        <v>28.16</v>
      </c>
    </row>
    <row r="2511" spans="1:2">
      <c r="A2511" s="3">
        <f ca="1">IFERROR(__xludf.DUMMYFUNCTION("""COMPUTED_VALUE"""),41992.6666666666)</f>
        <v>41992.666666666599</v>
      </c>
      <c r="B2511" s="1">
        <f ca="1">IFERROR(__xludf.DUMMYFUNCTION("""COMPUTED_VALUE"""),27.95)</f>
        <v>27.95</v>
      </c>
    </row>
    <row r="2512" spans="1:2">
      <c r="A2512" s="3">
        <f ca="1">IFERROR(__xludf.DUMMYFUNCTION("""COMPUTED_VALUE"""),41995.6666666666)</f>
        <v>41995.666666666599</v>
      </c>
      <c r="B2512" s="1">
        <f ca="1">IFERROR(__xludf.DUMMYFUNCTION("""COMPUTED_VALUE"""),28.24)</f>
        <v>28.24</v>
      </c>
    </row>
    <row r="2513" spans="1:2">
      <c r="A2513" s="3">
        <f ca="1">IFERROR(__xludf.DUMMYFUNCTION("""COMPUTED_VALUE"""),41996.6666666666)</f>
        <v>41996.666666666599</v>
      </c>
      <c r="B2513" s="1">
        <f ca="1">IFERROR(__xludf.DUMMYFUNCTION("""COMPUTED_VALUE"""),28.14)</f>
        <v>28.14</v>
      </c>
    </row>
    <row r="2514" spans="1:2">
      <c r="A2514" s="3">
        <f ca="1">IFERROR(__xludf.DUMMYFUNCTION("""COMPUTED_VALUE"""),41997.6666666666)</f>
        <v>41997.666666666599</v>
      </c>
      <c r="B2514" s="1">
        <f ca="1">IFERROR(__xludf.DUMMYFUNCTION("""COMPUTED_VALUE"""),28)</f>
        <v>28</v>
      </c>
    </row>
    <row r="2515" spans="1:2">
      <c r="A2515" s="3">
        <f ca="1">IFERROR(__xludf.DUMMYFUNCTION("""COMPUTED_VALUE"""),41999.6666666666)</f>
        <v>41999.666666666599</v>
      </c>
      <c r="B2515" s="1">
        <f ca="1">IFERROR(__xludf.DUMMYFUNCTION("""COMPUTED_VALUE"""),28.5)</f>
        <v>28.5</v>
      </c>
    </row>
    <row r="2516" spans="1:2">
      <c r="A2516" s="3">
        <f ca="1">IFERROR(__xludf.DUMMYFUNCTION("""COMPUTED_VALUE"""),42002.6666666666)</f>
        <v>42002.666666666599</v>
      </c>
      <c r="B2516" s="1">
        <f ca="1">IFERROR(__xludf.DUMMYFUNCTION("""COMPUTED_VALUE"""),28.48)</f>
        <v>28.48</v>
      </c>
    </row>
    <row r="2517" spans="1:2">
      <c r="A2517" s="3">
        <f ca="1">IFERROR(__xludf.DUMMYFUNCTION("""COMPUTED_VALUE"""),42003.6666666666)</f>
        <v>42003.666666666599</v>
      </c>
      <c r="B2517" s="1">
        <f ca="1">IFERROR(__xludf.DUMMYFUNCTION("""COMPUTED_VALUE"""),28.13)</f>
        <v>28.13</v>
      </c>
    </row>
    <row r="2518" spans="1:2">
      <c r="A2518" s="3">
        <f ca="1">IFERROR(__xludf.DUMMYFUNCTION("""COMPUTED_VALUE"""),42004.6666666666)</f>
        <v>42004.666666666599</v>
      </c>
      <c r="B2518" s="1">
        <f ca="1">IFERROR(__xludf.DUMMYFUNCTION("""COMPUTED_VALUE"""),27.6)</f>
        <v>27.6</v>
      </c>
    </row>
    <row r="2519" spans="1:2">
      <c r="A2519" s="3">
        <f ca="1">IFERROR(__xludf.DUMMYFUNCTION("""COMPUTED_VALUE"""),42006.6666666666)</f>
        <v>42006.666666666599</v>
      </c>
      <c r="B2519" s="1">
        <f ca="1">IFERROR(__xludf.DUMMYFUNCTION("""COMPUTED_VALUE"""),27.33)</f>
        <v>27.33</v>
      </c>
    </row>
    <row r="2520" spans="1:2">
      <c r="A2520" s="3">
        <f ca="1">IFERROR(__xludf.DUMMYFUNCTION("""COMPUTED_VALUE"""),42009.6666666666)</f>
        <v>42009.666666666599</v>
      </c>
      <c r="B2520" s="1">
        <f ca="1">IFERROR(__xludf.DUMMYFUNCTION("""COMPUTED_VALUE"""),26.56)</f>
        <v>26.56</v>
      </c>
    </row>
    <row r="2521" spans="1:2">
      <c r="A2521" s="3">
        <f ca="1">IFERROR(__xludf.DUMMYFUNCTION("""COMPUTED_VALUE"""),42010.6666666666)</f>
        <v>42010.666666666599</v>
      </c>
      <c r="B2521" s="1">
        <f ca="1">IFERROR(__xludf.DUMMYFUNCTION("""COMPUTED_VALUE"""),26.57)</f>
        <v>26.57</v>
      </c>
    </row>
    <row r="2522" spans="1:2">
      <c r="A2522" s="3">
        <f ca="1">IFERROR(__xludf.DUMMYFUNCTION("""COMPUTED_VALUE"""),42011.6666666666)</f>
        <v>42011.666666666599</v>
      </c>
      <c r="B2522" s="1">
        <f ca="1">IFERROR(__xludf.DUMMYFUNCTION("""COMPUTED_VALUE"""),26.94)</f>
        <v>26.94</v>
      </c>
    </row>
    <row r="2523" spans="1:2">
      <c r="A2523" s="3">
        <f ca="1">IFERROR(__xludf.DUMMYFUNCTION("""COMPUTED_VALUE"""),42012.6666666666)</f>
        <v>42012.666666666599</v>
      </c>
      <c r="B2523" s="1">
        <f ca="1">IFERROR(__xludf.DUMMYFUNCTION("""COMPUTED_VALUE"""),27.97)</f>
        <v>27.97</v>
      </c>
    </row>
    <row r="2524" spans="1:2">
      <c r="A2524" s="3">
        <f ca="1">IFERROR(__xludf.DUMMYFUNCTION("""COMPUTED_VALUE"""),42013.6666666666)</f>
        <v>42013.666666666599</v>
      </c>
      <c r="B2524" s="1">
        <f ca="1">IFERROR(__xludf.DUMMYFUNCTION("""COMPUTED_VALUE"""),28)</f>
        <v>28</v>
      </c>
    </row>
    <row r="2525" spans="1:2">
      <c r="A2525" s="3">
        <f ca="1">IFERROR(__xludf.DUMMYFUNCTION("""COMPUTED_VALUE"""),42016.6666666666)</f>
        <v>42016.666666666599</v>
      </c>
      <c r="B2525" s="1">
        <f ca="1">IFERROR(__xludf.DUMMYFUNCTION("""COMPUTED_VALUE"""),27.31)</f>
        <v>27.31</v>
      </c>
    </row>
    <row r="2526" spans="1:2">
      <c r="A2526" s="3">
        <f ca="1">IFERROR(__xludf.DUMMYFUNCTION("""COMPUTED_VALUE"""),42017.6666666666)</f>
        <v>42017.666666666599</v>
      </c>
      <c r="B2526" s="1">
        <f ca="1">IFERROR(__xludf.DUMMYFUNCTION("""COMPUTED_VALUE"""),27.56)</f>
        <v>27.56</v>
      </c>
    </row>
    <row r="2527" spans="1:2">
      <c r="A2527" s="3">
        <f ca="1">IFERROR(__xludf.DUMMYFUNCTION("""COMPUTED_VALUE"""),42018.6666666666)</f>
        <v>42018.666666666599</v>
      </c>
      <c r="B2527" s="1">
        <f ca="1">IFERROR(__xludf.DUMMYFUNCTION("""COMPUTED_VALUE"""),27.45)</f>
        <v>27.45</v>
      </c>
    </row>
    <row r="2528" spans="1:2">
      <c r="A2528" s="3">
        <f ca="1">IFERROR(__xludf.DUMMYFUNCTION("""COMPUTED_VALUE"""),42019.6666666666)</f>
        <v>42019.666666666599</v>
      </c>
      <c r="B2528" s="1">
        <f ca="1">IFERROR(__xludf.DUMMYFUNCTION("""COMPUTED_VALUE"""),26.71)</f>
        <v>26.71</v>
      </c>
    </row>
    <row r="2529" spans="1:2">
      <c r="A2529" s="3">
        <f ca="1">IFERROR(__xludf.DUMMYFUNCTION("""COMPUTED_VALUE"""),42020.6666666666)</f>
        <v>42020.666666666599</v>
      </c>
      <c r="B2529" s="1">
        <f ca="1">IFERROR(__xludf.DUMMYFUNCTION("""COMPUTED_VALUE"""),26.5)</f>
        <v>26.5</v>
      </c>
    </row>
    <row r="2530" spans="1:2">
      <c r="A2530" s="3">
        <f ca="1">IFERROR(__xludf.DUMMYFUNCTION("""COMPUTED_VALUE"""),42024.6666666666)</f>
        <v>42024.666666666599</v>
      </c>
      <c r="B2530" s="1">
        <f ca="1">IFERROR(__xludf.DUMMYFUNCTION("""COMPUTED_VALUE"""),27.18)</f>
        <v>27.18</v>
      </c>
    </row>
    <row r="2531" spans="1:2">
      <c r="A2531" s="3">
        <f ca="1">IFERROR(__xludf.DUMMYFUNCTION("""COMPUTED_VALUE"""),42025.6666666666)</f>
        <v>42025.666666666599</v>
      </c>
      <c r="B2531" s="1">
        <f ca="1">IFERROR(__xludf.DUMMYFUNCTION("""COMPUTED_VALUE"""),27.39)</f>
        <v>27.39</v>
      </c>
    </row>
    <row r="2532" spans="1:2">
      <c r="A2532" s="3">
        <f ca="1">IFERROR(__xludf.DUMMYFUNCTION("""COMPUTED_VALUE"""),42026.6666666666)</f>
        <v>42026.666666666599</v>
      </c>
      <c r="B2532" s="1">
        <f ca="1">IFERROR(__xludf.DUMMYFUNCTION("""COMPUTED_VALUE"""),28.1)</f>
        <v>28.1</v>
      </c>
    </row>
    <row r="2533" spans="1:2">
      <c r="A2533" s="3">
        <f ca="1">IFERROR(__xludf.DUMMYFUNCTION("""COMPUTED_VALUE"""),42027.6666666666)</f>
        <v>42027.666666666599</v>
      </c>
      <c r="B2533" s="1">
        <f ca="1">IFERROR(__xludf.DUMMYFUNCTION("""COMPUTED_VALUE"""),28.25)</f>
        <v>28.25</v>
      </c>
    </row>
    <row r="2534" spans="1:2">
      <c r="A2534" s="3">
        <f ca="1">IFERROR(__xludf.DUMMYFUNCTION("""COMPUTED_VALUE"""),42030.6666666666)</f>
        <v>42030.666666666599</v>
      </c>
      <c r="B2534" s="1">
        <f ca="1">IFERROR(__xludf.DUMMYFUNCTION("""COMPUTED_VALUE"""),28.28)</f>
        <v>28.28</v>
      </c>
    </row>
    <row r="2535" spans="1:2">
      <c r="A2535" s="3">
        <f ca="1">IFERROR(__xludf.DUMMYFUNCTION("""COMPUTED_VALUE"""),42031.6666666666)</f>
        <v>42031.666666666599</v>
      </c>
      <c r="B2535" s="1">
        <f ca="1">IFERROR(__xludf.DUMMYFUNCTION("""COMPUTED_VALUE"""),27.29)</f>
        <v>27.29</v>
      </c>
    </row>
    <row r="2536" spans="1:2">
      <c r="A2536" s="3">
        <f ca="1">IFERROR(__xludf.DUMMYFUNCTION("""COMPUTED_VALUE"""),42032.6666666666)</f>
        <v>42032.666666666599</v>
      </c>
      <c r="B2536" s="1">
        <f ca="1">IFERROR(__xludf.DUMMYFUNCTION("""COMPUTED_VALUE"""),28.83)</f>
        <v>28.83</v>
      </c>
    </row>
    <row r="2537" spans="1:2">
      <c r="A2537" s="3">
        <f ca="1">IFERROR(__xludf.DUMMYFUNCTION("""COMPUTED_VALUE"""),42033.6666666666)</f>
        <v>42033.666666666599</v>
      </c>
      <c r="B2537" s="1">
        <f ca="1">IFERROR(__xludf.DUMMYFUNCTION("""COMPUTED_VALUE"""),29.73)</f>
        <v>29.73</v>
      </c>
    </row>
    <row r="2538" spans="1:2">
      <c r="A2538" s="3">
        <f ca="1">IFERROR(__xludf.DUMMYFUNCTION("""COMPUTED_VALUE"""),42034.6666666666)</f>
        <v>42034.666666666599</v>
      </c>
      <c r="B2538" s="1">
        <f ca="1">IFERROR(__xludf.DUMMYFUNCTION("""COMPUTED_VALUE"""),29.29)</f>
        <v>29.29</v>
      </c>
    </row>
    <row r="2539" spans="1:2">
      <c r="A2539" s="3">
        <f ca="1">IFERROR(__xludf.DUMMYFUNCTION("""COMPUTED_VALUE"""),42037.6666666666)</f>
        <v>42037.666666666599</v>
      </c>
      <c r="B2539" s="1">
        <f ca="1">IFERROR(__xludf.DUMMYFUNCTION("""COMPUTED_VALUE"""),29.66)</f>
        <v>29.66</v>
      </c>
    </row>
    <row r="2540" spans="1:2">
      <c r="A2540" s="3">
        <f ca="1">IFERROR(__xludf.DUMMYFUNCTION("""COMPUTED_VALUE"""),42038.6666666666)</f>
        <v>42038.666666666599</v>
      </c>
      <c r="B2540" s="1">
        <f ca="1">IFERROR(__xludf.DUMMYFUNCTION("""COMPUTED_VALUE"""),29.66)</f>
        <v>29.66</v>
      </c>
    </row>
    <row r="2541" spans="1:2">
      <c r="A2541" s="3">
        <f ca="1">IFERROR(__xludf.DUMMYFUNCTION("""COMPUTED_VALUE"""),42039.6666666666)</f>
        <v>42039.666666666599</v>
      </c>
      <c r="B2541" s="1">
        <f ca="1">IFERROR(__xludf.DUMMYFUNCTION("""COMPUTED_VALUE"""),29.89)</f>
        <v>29.89</v>
      </c>
    </row>
    <row r="2542" spans="1:2">
      <c r="A2542" s="3">
        <f ca="1">IFERROR(__xludf.DUMMYFUNCTION("""COMPUTED_VALUE"""),42040.6666666666)</f>
        <v>42040.666666666599</v>
      </c>
      <c r="B2542" s="1">
        <f ca="1">IFERROR(__xludf.DUMMYFUNCTION("""COMPUTED_VALUE"""),29.99)</f>
        <v>29.99</v>
      </c>
    </row>
    <row r="2543" spans="1:2">
      <c r="A2543" s="3">
        <f ca="1">IFERROR(__xludf.DUMMYFUNCTION("""COMPUTED_VALUE"""),42041.6666666666)</f>
        <v>42041.666666666599</v>
      </c>
      <c r="B2543" s="1">
        <f ca="1">IFERROR(__xludf.DUMMYFUNCTION("""COMPUTED_VALUE"""),29.73)</f>
        <v>29.73</v>
      </c>
    </row>
    <row r="2544" spans="1:2">
      <c r="A2544" s="3">
        <f ca="1">IFERROR(__xludf.DUMMYFUNCTION("""COMPUTED_VALUE"""),42044.6666666666)</f>
        <v>42044.666666666599</v>
      </c>
      <c r="B2544" s="1">
        <f ca="1">IFERROR(__xludf.DUMMYFUNCTION("""COMPUTED_VALUE"""),29.93)</f>
        <v>29.93</v>
      </c>
    </row>
    <row r="2545" spans="1:2">
      <c r="A2545" s="3">
        <f ca="1">IFERROR(__xludf.DUMMYFUNCTION("""COMPUTED_VALUE"""),42045.6666666666)</f>
        <v>42045.666666666599</v>
      </c>
      <c r="B2545" s="1">
        <f ca="1">IFERROR(__xludf.DUMMYFUNCTION("""COMPUTED_VALUE"""),30.51)</f>
        <v>30.51</v>
      </c>
    </row>
    <row r="2546" spans="1:2">
      <c r="A2546" s="3">
        <f ca="1">IFERROR(__xludf.DUMMYFUNCTION("""COMPUTED_VALUE"""),42046.6666666666)</f>
        <v>42046.666666666599</v>
      </c>
      <c r="B2546" s="1">
        <f ca="1">IFERROR(__xludf.DUMMYFUNCTION("""COMPUTED_VALUE"""),31.22)</f>
        <v>31.22</v>
      </c>
    </row>
    <row r="2547" spans="1:2">
      <c r="A2547" s="3">
        <f ca="1">IFERROR(__xludf.DUMMYFUNCTION("""COMPUTED_VALUE"""),42047.6666666666)</f>
        <v>42047.666666666599</v>
      </c>
      <c r="B2547" s="1">
        <f ca="1">IFERROR(__xludf.DUMMYFUNCTION("""COMPUTED_VALUE"""),31.62)</f>
        <v>31.62</v>
      </c>
    </row>
    <row r="2548" spans="1:2">
      <c r="A2548" s="3">
        <f ca="1">IFERROR(__xludf.DUMMYFUNCTION("""COMPUTED_VALUE"""),42048.6666666666)</f>
        <v>42048.666666666599</v>
      </c>
      <c r="B2548" s="1">
        <f ca="1">IFERROR(__xludf.DUMMYFUNCTION("""COMPUTED_VALUE"""),31.77)</f>
        <v>31.77</v>
      </c>
    </row>
    <row r="2549" spans="1:2">
      <c r="A2549" s="3">
        <f ca="1">IFERROR(__xludf.DUMMYFUNCTION("""COMPUTED_VALUE"""),42052.6666666666)</f>
        <v>42052.666666666599</v>
      </c>
      <c r="B2549" s="1">
        <f ca="1">IFERROR(__xludf.DUMMYFUNCTION("""COMPUTED_VALUE"""),31.96)</f>
        <v>31.96</v>
      </c>
    </row>
    <row r="2550" spans="1:2">
      <c r="A2550" s="3">
        <f ca="1">IFERROR(__xludf.DUMMYFUNCTION("""COMPUTED_VALUE"""),42053.6666666666)</f>
        <v>42053.666666666599</v>
      </c>
      <c r="B2550" s="1">
        <f ca="1">IFERROR(__xludf.DUMMYFUNCTION("""COMPUTED_VALUE"""),32.18)</f>
        <v>32.18</v>
      </c>
    </row>
    <row r="2551" spans="1:2">
      <c r="A2551" s="3">
        <f ca="1">IFERROR(__xludf.DUMMYFUNCTION("""COMPUTED_VALUE"""),42054.6666666666)</f>
        <v>42054.666666666599</v>
      </c>
      <c r="B2551" s="1">
        <f ca="1">IFERROR(__xludf.DUMMYFUNCTION("""COMPUTED_VALUE"""),32.11)</f>
        <v>32.11</v>
      </c>
    </row>
    <row r="2552" spans="1:2">
      <c r="A2552" s="3">
        <f ca="1">IFERROR(__xludf.DUMMYFUNCTION("""COMPUTED_VALUE"""),42055.6666666666)</f>
        <v>42055.666666666599</v>
      </c>
      <c r="B2552" s="1">
        <f ca="1">IFERROR(__xludf.DUMMYFUNCTION("""COMPUTED_VALUE"""),32.37)</f>
        <v>32.369999999999997</v>
      </c>
    </row>
    <row r="2553" spans="1:2">
      <c r="A2553" s="3">
        <f ca="1">IFERROR(__xludf.DUMMYFUNCTION("""COMPUTED_VALUE"""),42058.6666666666)</f>
        <v>42058.666666666599</v>
      </c>
      <c r="B2553" s="1">
        <f ca="1">IFERROR(__xludf.DUMMYFUNCTION("""COMPUTED_VALUE"""),33.25)</f>
        <v>33.25</v>
      </c>
    </row>
    <row r="2554" spans="1:2">
      <c r="A2554" s="3">
        <f ca="1">IFERROR(__xludf.DUMMYFUNCTION("""COMPUTED_VALUE"""),42059.6666666666)</f>
        <v>42059.666666666599</v>
      </c>
      <c r="B2554" s="1">
        <f ca="1">IFERROR(__xludf.DUMMYFUNCTION("""COMPUTED_VALUE"""),33.04)</f>
        <v>33.04</v>
      </c>
    </row>
    <row r="2555" spans="1:2">
      <c r="A2555" s="3">
        <f ca="1">IFERROR(__xludf.DUMMYFUNCTION("""COMPUTED_VALUE"""),42060.6666666666)</f>
        <v>42060.666666666599</v>
      </c>
      <c r="B2555" s="1">
        <f ca="1">IFERROR(__xludf.DUMMYFUNCTION("""COMPUTED_VALUE"""),32.2)</f>
        <v>32.200000000000003</v>
      </c>
    </row>
    <row r="2556" spans="1:2">
      <c r="A2556" s="3">
        <f ca="1">IFERROR(__xludf.DUMMYFUNCTION("""COMPUTED_VALUE"""),42061.6666666666)</f>
        <v>42061.666666666599</v>
      </c>
      <c r="B2556" s="1">
        <f ca="1">IFERROR(__xludf.DUMMYFUNCTION("""COMPUTED_VALUE"""),32.6)</f>
        <v>32.6</v>
      </c>
    </row>
    <row r="2557" spans="1:2">
      <c r="A2557" s="3">
        <f ca="1">IFERROR(__xludf.DUMMYFUNCTION("""COMPUTED_VALUE"""),42062.6666666666)</f>
        <v>42062.666666666599</v>
      </c>
      <c r="B2557" s="1">
        <f ca="1">IFERROR(__xludf.DUMMYFUNCTION("""COMPUTED_VALUE"""),32.12)</f>
        <v>32.119999999999997</v>
      </c>
    </row>
    <row r="2558" spans="1:2">
      <c r="A2558" s="3">
        <f ca="1">IFERROR(__xludf.DUMMYFUNCTION("""COMPUTED_VALUE"""),42065.6666666666)</f>
        <v>42065.666666666599</v>
      </c>
      <c r="B2558" s="1">
        <f ca="1">IFERROR(__xludf.DUMMYFUNCTION("""COMPUTED_VALUE"""),32.27)</f>
        <v>32.270000000000003</v>
      </c>
    </row>
    <row r="2559" spans="1:2">
      <c r="A2559" s="3">
        <f ca="1">IFERROR(__xludf.DUMMYFUNCTION("""COMPUTED_VALUE"""),42066.6666666666)</f>
        <v>42066.666666666599</v>
      </c>
      <c r="B2559" s="1">
        <f ca="1">IFERROR(__xludf.DUMMYFUNCTION("""COMPUTED_VALUE"""),32.34)</f>
        <v>32.340000000000003</v>
      </c>
    </row>
    <row r="2560" spans="1:2">
      <c r="A2560" s="3">
        <f ca="1">IFERROR(__xludf.DUMMYFUNCTION("""COMPUTED_VALUE"""),42067.6666666666)</f>
        <v>42067.666666666599</v>
      </c>
      <c r="B2560" s="1">
        <f ca="1">IFERROR(__xludf.DUMMYFUNCTION("""COMPUTED_VALUE"""),32.14)</f>
        <v>32.14</v>
      </c>
    </row>
    <row r="2561" spans="1:2">
      <c r="A2561" s="3">
        <f ca="1">IFERROR(__xludf.DUMMYFUNCTION("""COMPUTED_VALUE"""),42068.6666666666)</f>
        <v>42068.666666666599</v>
      </c>
      <c r="B2561" s="1">
        <f ca="1">IFERROR(__xludf.DUMMYFUNCTION("""COMPUTED_VALUE"""),31.6)</f>
        <v>31.6</v>
      </c>
    </row>
    <row r="2562" spans="1:2">
      <c r="A2562" s="3">
        <f ca="1">IFERROR(__xludf.DUMMYFUNCTION("""COMPUTED_VALUE"""),42069.6666666666)</f>
        <v>42069.666666666599</v>
      </c>
      <c r="B2562" s="1">
        <f ca="1">IFERROR(__xludf.DUMMYFUNCTION("""COMPUTED_VALUE"""),31.65)</f>
        <v>31.65</v>
      </c>
    </row>
    <row r="2563" spans="1:2">
      <c r="A2563" s="3">
        <f ca="1">IFERROR(__xludf.DUMMYFUNCTION("""COMPUTED_VALUE"""),42072.6666666666)</f>
        <v>42072.666666666599</v>
      </c>
      <c r="B2563" s="1">
        <f ca="1">IFERROR(__xludf.DUMMYFUNCTION("""COMPUTED_VALUE"""),31.79)</f>
        <v>31.79</v>
      </c>
    </row>
    <row r="2564" spans="1:2">
      <c r="A2564" s="3">
        <f ca="1">IFERROR(__xludf.DUMMYFUNCTION("""COMPUTED_VALUE"""),42073.6666666666)</f>
        <v>42073.666666666599</v>
      </c>
      <c r="B2564" s="1">
        <f ca="1">IFERROR(__xludf.DUMMYFUNCTION("""COMPUTED_VALUE"""),31.13)</f>
        <v>31.13</v>
      </c>
    </row>
    <row r="2565" spans="1:2">
      <c r="A2565" s="3">
        <f ca="1">IFERROR(__xludf.DUMMYFUNCTION("""COMPUTED_VALUE"""),42074.6666666666)</f>
        <v>42074.666666666599</v>
      </c>
      <c r="B2565" s="1">
        <f ca="1">IFERROR(__xludf.DUMMYFUNCTION("""COMPUTED_VALUE"""),30.56)</f>
        <v>30.56</v>
      </c>
    </row>
    <row r="2566" spans="1:2">
      <c r="A2566" s="3">
        <f ca="1">IFERROR(__xludf.DUMMYFUNCTION("""COMPUTED_VALUE"""),42075.6666666666)</f>
        <v>42075.666666666599</v>
      </c>
      <c r="B2566" s="1">
        <f ca="1">IFERROR(__xludf.DUMMYFUNCTION("""COMPUTED_VALUE"""),31.11)</f>
        <v>31.11</v>
      </c>
    </row>
    <row r="2567" spans="1:2">
      <c r="A2567" s="3">
        <f ca="1">IFERROR(__xludf.DUMMYFUNCTION("""COMPUTED_VALUE"""),42076.6666666666)</f>
        <v>42076.666666666599</v>
      </c>
      <c r="B2567" s="1">
        <f ca="1">IFERROR(__xludf.DUMMYFUNCTION("""COMPUTED_VALUE"""),30.9)</f>
        <v>30.9</v>
      </c>
    </row>
    <row r="2568" spans="1:2">
      <c r="A2568" s="3">
        <f ca="1">IFERROR(__xludf.DUMMYFUNCTION("""COMPUTED_VALUE"""),42079.6666666666)</f>
        <v>42079.666666666599</v>
      </c>
      <c r="B2568" s="1">
        <f ca="1">IFERROR(__xludf.DUMMYFUNCTION("""COMPUTED_VALUE"""),31.24)</f>
        <v>31.24</v>
      </c>
    </row>
    <row r="2569" spans="1:2">
      <c r="A2569" s="3">
        <f ca="1">IFERROR(__xludf.DUMMYFUNCTION("""COMPUTED_VALUE"""),42080.6666666666)</f>
        <v>42080.666666666599</v>
      </c>
      <c r="B2569" s="1">
        <f ca="1">IFERROR(__xludf.DUMMYFUNCTION("""COMPUTED_VALUE"""),31.76)</f>
        <v>31.76</v>
      </c>
    </row>
    <row r="2570" spans="1:2">
      <c r="A2570" s="3">
        <f ca="1">IFERROR(__xludf.DUMMYFUNCTION("""COMPUTED_VALUE"""),42081.6666666666)</f>
        <v>42081.666666666599</v>
      </c>
      <c r="B2570" s="1">
        <f ca="1">IFERROR(__xludf.DUMMYFUNCTION("""COMPUTED_VALUE"""),32.12)</f>
        <v>32.119999999999997</v>
      </c>
    </row>
    <row r="2571" spans="1:2">
      <c r="A2571" s="3">
        <f ca="1">IFERROR(__xludf.DUMMYFUNCTION("""COMPUTED_VALUE"""),42082.6666666666)</f>
        <v>42082.666666666599</v>
      </c>
      <c r="B2571" s="1">
        <f ca="1">IFERROR(__xludf.DUMMYFUNCTION("""COMPUTED_VALUE"""),31.87)</f>
        <v>31.87</v>
      </c>
    </row>
    <row r="2572" spans="1:2">
      <c r="A2572" s="3">
        <f ca="1">IFERROR(__xludf.DUMMYFUNCTION("""COMPUTED_VALUE"""),42083.6666666666)</f>
        <v>42083.666666666599</v>
      </c>
      <c r="B2572" s="1">
        <f ca="1">IFERROR(__xludf.DUMMYFUNCTION("""COMPUTED_VALUE"""),31.48)</f>
        <v>31.48</v>
      </c>
    </row>
    <row r="2573" spans="1:2">
      <c r="A2573" s="3">
        <f ca="1">IFERROR(__xludf.DUMMYFUNCTION("""COMPUTED_VALUE"""),42086.6666666666)</f>
        <v>42086.666666666599</v>
      </c>
      <c r="B2573" s="1">
        <f ca="1">IFERROR(__xludf.DUMMYFUNCTION("""COMPUTED_VALUE"""),31.8)</f>
        <v>31.8</v>
      </c>
    </row>
    <row r="2574" spans="1:2">
      <c r="A2574" s="3">
        <f ca="1">IFERROR(__xludf.DUMMYFUNCTION("""COMPUTED_VALUE"""),42087.6666666666)</f>
        <v>42087.666666666599</v>
      </c>
      <c r="B2574" s="1">
        <f ca="1">IFERROR(__xludf.DUMMYFUNCTION("""COMPUTED_VALUE"""),31.67)</f>
        <v>31.67</v>
      </c>
    </row>
    <row r="2575" spans="1:2">
      <c r="A2575" s="3">
        <f ca="1">IFERROR(__xludf.DUMMYFUNCTION("""COMPUTED_VALUE"""),42088.6666666666)</f>
        <v>42088.666666666599</v>
      </c>
      <c r="B2575" s="1">
        <f ca="1">IFERROR(__xludf.DUMMYFUNCTION("""COMPUTED_VALUE"""),30.85)</f>
        <v>30.85</v>
      </c>
    </row>
    <row r="2576" spans="1:2">
      <c r="A2576" s="3">
        <f ca="1">IFERROR(__xludf.DUMMYFUNCTION("""COMPUTED_VALUE"""),42089.6666666666)</f>
        <v>42089.666666666599</v>
      </c>
      <c r="B2576" s="1">
        <f ca="1">IFERROR(__xludf.DUMMYFUNCTION("""COMPUTED_VALUE"""),31.06)</f>
        <v>31.06</v>
      </c>
    </row>
    <row r="2577" spans="1:2">
      <c r="A2577" s="3">
        <f ca="1">IFERROR(__xludf.DUMMYFUNCTION("""COMPUTED_VALUE"""),42090.6666666666)</f>
        <v>42090.666666666599</v>
      </c>
      <c r="B2577" s="1">
        <f ca="1">IFERROR(__xludf.DUMMYFUNCTION("""COMPUTED_VALUE"""),30.81)</f>
        <v>30.81</v>
      </c>
    </row>
    <row r="2578" spans="1:2">
      <c r="A2578" s="3">
        <f ca="1">IFERROR(__xludf.DUMMYFUNCTION("""COMPUTED_VALUE"""),42093.6666666666)</f>
        <v>42093.666666666599</v>
      </c>
      <c r="B2578" s="1">
        <f ca="1">IFERROR(__xludf.DUMMYFUNCTION("""COMPUTED_VALUE"""),31.59)</f>
        <v>31.59</v>
      </c>
    </row>
    <row r="2579" spans="1:2">
      <c r="A2579" s="3">
        <f ca="1">IFERROR(__xludf.DUMMYFUNCTION("""COMPUTED_VALUE"""),42094.6666666666)</f>
        <v>42094.666666666599</v>
      </c>
      <c r="B2579" s="1">
        <f ca="1">IFERROR(__xludf.DUMMYFUNCTION("""COMPUTED_VALUE"""),31.11)</f>
        <v>31.11</v>
      </c>
    </row>
    <row r="2580" spans="1:2">
      <c r="A2580" s="3">
        <f ca="1">IFERROR(__xludf.DUMMYFUNCTION("""COMPUTED_VALUE"""),42095.6666666666)</f>
        <v>42095.666666666599</v>
      </c>
      <c r="B2580" s="1">
        <f ca="1">IFERROR(__xludf.DUMMYFUNCTION("""COMPUTED_VALUE"""),31.06)</f>
        <v>31.06</v>
      </c>
    </row>
    <row r="2581" spans="1:2">
      <c r="A2581" s="3">
        <f ca="1">IFERROR(__xludf.DUMMYFUNCTION("""COMPUTED_VALUE"""),42096.6666666666)</f>
        <v>42096.666666666599</v>
      </c>
      <c r="B2581" s="1">
        <f ca="1">IFERROR(__xludf.DUMMYFUNCTION("""COMPUTED_VALUE"""),31.33)</f>
        <v>31.33</v>
      </c>
    </row>
    <row r="2582" spans="1:2">
      <c r="A2582" s="3">
        <f ca="1">IFERROR(__xludf.DUMMYFUNCTION("""COMPUTED_VALUE"""),42100.6666666666)</f>
        <v>42100.666666666599</v>
      </c>
      <c r="B2582" s="1">
        <f ca="1">IFERROR(__xludf.DUMMYFUNCTION("""COMPUTED_VALUE"""),31.84)</f>
        <v>31.84</v>
      </c>
    </row>
    <row r="2583" spans="1:2">
      <c r="A2583" s="3">
        <f ca="1">IFERROR(__xludf.DUMMYFUNCTION("""COMPUTED_VALUE"""),42101.6666666666)</f>
        <v>42101.666666666599</v>
      </c>
      <c r="B2583" s="1">
        <f ca="1">IFERROR(__xludf.DUMMYFUNCTION("""COMPUTED_VALUE"""),31.5)</f>
        <v>31.5</v>
      </c>
    </row>
    <row r="2584" spans="1:2">
      <c r="A2584" s="3">
        <f ca="1">IFERROR(__xludf.DUMMYFUNCTION("""COMPUTED_VALUE"""),42102.6666666666)</f>
        <v>42102.666666666599</v>
      </c>
      <c r="B2584" s="1">
        <f ca="1">IFERROR(__xludf.DUMMYFUNCTION("""COMPUTED_VALUE"""),31.4)</f>
        <v>31.4</v>
      </c>
    </row>
    <row r="2585" spans="1:2">
      <c r="A2585" s="3">
        <f ca="1">IFERROR(__xludf.DUMMYFUNCTION("""COMPUTED_VALUE"""),42103.6666666666)</f>
        <v>42103.666666666599</v>
      </c>
      <c r="B2585" s="1">
        <f ca="1">IFERROR(__xludf.DUMMYFUNCTION("""COMPUTED_VALUE"""),31.64)</f>
        <v>31.64</v>
      </c>
    </row>
    <row r="2586" spans="1:2">
      <c r="A2586" s="3">
        <f ca="1">IFERROR(__xludf.DUMMYFUNCTION("""COMPUTED_VALUE"""),42104.6666666666)</f>
        <v>42104.666666666599</v>
      </c>
      <c r="B2586" s="1">
        <f ca="1">IFERROR(__xludf.DUMMYFUNCTION("""COMPUTED_VALUE"""),31.78)</f>
        <v>31.78</v>
      </c>
    </row>
    <row r="2587" spans="1:2">
      <c r="A2587" s="3">
        <f ca="1">IFERROR(__xludf.DUMMYFUNCTION("""COMPUTED_VALUE"""),42107.6666666666)</f>
        <v>42107.666666666599</v>
      </c>
      <c r="B2587" s="1">
        <f ca="1">IFERROR(__xludf.DUMMYFUNCTION("""COMPUTED_VALUE"""),31.71)</f>
        <v>31.71</v>
      </c>
    </row>
    <row r="2588" spans="1:2">
      <c r="A2588" s="3">
        <f ca="1">IFERROR(__xludf.DUMMYFUNCTION("""COMPUTED_VALUE"""),42108.6666666666)</f>
        <v>42108.666666666599</v>
      </c>
      <c r="B2588" s="1">
        <f ca="1">IFERROR(__xludf.DUMMYFUNCTION("""COMPUTED_VALUE"""),31.58)</f>
        <v>31.58</v>
      </c>
    </row>
    <row r="2589" spans="1:2">
      <c r="A2589" s="3">
        <f ca="1">IFERROR(__xludf.DUMMYFUNCTION("""COMPUTED_VALUE"""),42109.6666666666)</f>
        <v>42109.666666666599</v>
      </c>
      <c r="B2589" s="1">
        <f ca="1">IFERROR(__xludf.DUMMYFUNCTION("""COMPUTED_VALUE"""),31.7)</f>
        <v>31.7</v>
      </c>
    </row>
    <row r="2590" spans="1:2">
      <c r="A2590" s="3">
        <f ca="1">IFERROR(__xludf.DUMMYFUNCTION("""COMPUTED_VALUE"""),42110.6666666666)</f>
        <v>42110.666666666599</v>
      </c>
      <c r="B2590" s="1">
        <f ca="1">IFERROR(__xludf.DUMMYFUNCTION("""COMPUTED_VALUE"""),31.54)</f>
        <v>31.54</v>
      </c>
    </row>
    <row r="2591" spans="1:2">
      <c r="A2591" s="3">
        <f ca="1">IFERROR(__xludf.DUMMYFUNCTION("""COMPUTED_VALUE"""),42111.6666666666)</f>
        <v>42111.666666666599</v>
      </c>
      <c r="B2591" s="1">
        <f ca="1">IFERROR(__xludf.DUMMYFUNCTION("""COMPUTED_VALUE"""),31.19)</f>
        <v>31.19</v>
      </c>
    </row>
    <row r="2592" spans="1:2">
      <c r="A2592" s="3">
        <f ca="1">IFERROR(__xludf.DUMMYFUNCTION("""COMPUTED_VALUE"""),42114.6666666666)</f>
        <v>42114.666666666599</v>
      </c>
      <c r="B2592" s="1">
        <f ca="1">IFERROR(__xludf.DUMMYFUNCTION("""COMPUTED_VALUE"""),31.9)</f>
        <v>31.9</v>
      </c>
    </row>
    <row r="2593" spans="1:2">
      <c r="A2593" s="3">
        <f ca="1">IFERROR(__xludf.DUMMYFUNCTION("""COMPUTED_VALUE"""),42115.6666666666)</f>
        <v>42115.666666666599</v>
      </c>
      <c r="B2593" s="1">
        <f ca="1">IFERROR(__xludf.DUMMYFUNCTION("""COMPUTED_VALUE"""),31.73)</f>
        <v>31.73</v>
      </c>
    </row>
    <row r="2594" spans="1:2">
      <c r="A2594" s="3">
        <f ca="1">IFERROR(__xludf.DUMMYFUNCTION("""COMPUTED_VALUE"""),42116.6666666666)</f>
        <v>42116.666666666599</v>
      </c>
      <c r="B2594" s="1">
        <f ca="1">IFERROR(__xludf.DUMMYFUNCTION("""COMPUTED_VALUE"""),32.16)</f>
        <v>32.159999999999997</v>
      </c>
    </row>
    <row r="2595" spans="1:2">
      <c r="A2595" s="3">
        <f ca="1">IFERROR(__xludf.DUMMYFUNCTION("""COMPUTED_VALUE"""),42117.6666666666)</f>
        <v>42117.666666666599</v>
      </c>
      <c r="B2595" s="1">
        <f ca="1">IFERROR(__xludf.DUMMYFUNCTION("""COMPUTED_VALUE"""),32.42)</f>
        <v>32.42</v>
      </c>
    </row>
    <row r="2596" spans="1:2">
      <c r="A2596" s="3">
        <f ca="1">IFERROR(__xludf.DUMMYFUNCTION("""COMPUTED_VALUE"""),42118.6666666666)</f>
        <v>42118.666666666599</v>
      </c>
      <c r="B2596" s="1">
        <f ca="1">IFERROR(__xludf.DUMMYFUNCTION("""COMPUTED_VALUE"""),32.57)</f>
        <v>32.57</v>
      </c>
    </row>
    <row r="2597" spans="1:2">
      <c r="A2597" s="3">
        <f ca="1">IFERROR(__xludf.DUMMYFUNCTION("""COMPUTED_VALUE"""),42121.6666666666)</f>
        <v>42121.666666666599</v>
      </c>
      <c r="B2597" s="1">
        <f ca="1">IFERROR(__xludf.DUMMYFUNCTION("""COMPUTED_VALUE"""),33.16)</f>
        <v>33.159999999999997</v>
      </c>
    </row>
    <row r="2598" spans="1:2">
      <c r="A2598" s="3">
        <f ca="1">IFERROR(__xludf.DUMMYFUNCTION("""COMPUTED_VALUE"""),42122.6666666666)</f>
        <v>42122.666666666599</v>
      </c>
      <c r="B2598" s="1">
        <f ca="1">IFERROR(__xludf.DUMMYFUNCTION("""COMPUTED_VALUE"""),32.64)</f>
        <v>32.64</v>
      </c>
    </row>
    <row r="2599" spans="1:2">
      <c r="A2599" s="3">
        <f ca="1">IFERROR(__xludf.DUMMYFUNCTION("""COMPUTED_VALUE"""),42123.6666666666)</f>
        <v>42123.666666666599</v>
      </c>
      <c r="B2599" s="1">
        <f ca="1">IFERROR(__xludf.DUMMYFUNCTION("""COMPUTED_VALUE"""),32.16)</f>
        <v>32.159999999999997</v>
      </c>
    </row>
    <row r="2600" spans="1:2">
      <c r="A2600" s="3">
        <f ca="1">IFERROR(__xludf.DUMMYFUNCTION("""COMPUTED_VALUE"""),42124.6666666666)</f>
        <v>42124.666666666599</v>
      </c>
      <c r="B2600" s="1">
        <f ca="1">IFERROR(__xludf.DUMMYFUNCTION("""COMPUTED_VALUE"""),31.29)</f>
        <v>31.29</v>
      </c>
    </row>
    <row r="2601" spans="1:2">
      <c r="A2601" s="3">
        <f ca="1">IFERROR(__xludf.DUMMYFUNCTION("""COMPUTED_VALUE"""),42125.6666666666)</f>
        <v>42125.666666666599</v>
      </c>
      <c r="B2601" s="1">
        <f ca="1">IFERROR(__xludf.DUMMYFUNCTION("""COMPUTED_VALUE"""),32.24)</f>
        <v>32.24</v>
      </c>
    </row>
    <row r="2602" spans="1:2">
      <c r="A2602" s="3">
        <f ca="1">IFERROR(__xludf.DUMMYFUNCTION("""COMPUTED_VALUE"""),42128.6666666666)</f>
        <v>42128.666666666599</v>
      </c>
      <c r="B2602" s="1">
        <f ca="1">IFERROR(__xludf.DUMMYFUNCTION("""COMPUTED_VALUE"""),32.17)</f>
        <v>32.17</v>
      </c>
    </row>
    <row r="2603" spans="1:2">
      <c r="A2603" s="3">
        <f ca="1">IFERROR(__xludf.DUMMYFUNCTION("""COMPUTED_VALUE"""),42129.6666666666)</f>
        <v>42129.666666666599</v>
      </c>
      <c r="B2603" s="1">
        <f ca="1">IFERROR(__xludf.DUMMYFUNCTION("""COMPUTED_VALUE"""),31.45)</f>
        <v>31.45</v>
      </c>
    </row>
    <row r="2604" spans="1:2">
      <c r="A2604" s="3">
        <f ca="1">IFERROR(__xludf.DUMMYFUNCTION("""COMPUTED_VALUE"""),42130.6666666666)</f>
        <v>42130.666666666599</v>
      </c>
      <c r="B2604" s="1">
        <f ca="1">IFERROR(__xludf.DUMMYFUNCTION("""COMPUTED_VALUE"""),31.25)</f>
        <v>31.25</v>
      </c>
    </row>
    <row r="2605" spans="1:2">
      <c r="A2605" s="3">
        <f ca="1">IFERROR(__xludf.DUMMYFUNCTION("""COMPUTED_VALUE"""),42131.6666666666)</f>
        <v>42131.666666666599</v>
      </c>
      <c r="B2605" s="1">
        <f ca="1">IFERROR(__xludf.DUMMYFUNCTION("""COMPUTED_VALUE"""),31.32)</f>
        <v>31.32</v>
      </c>
    </row>
    <row r="2606" spans="1:2">
      <c r="A2606" s="3">
        <f ca="1">IFERROR(__xludf.DUMMYFUNCTION("""COMPUTED_VALUE"""),42132.6666666666)</f>
        <v>42132.666666666599</v>
      </c>
      <c r="B2606" s="1">
        <f ca="1">IFERROR(__xludf.DUMMYFUNCTION("""COMPUTED_VALUE"""),31.91)</f>
        <v>31.91</v>
      </c>
    </row>
    <row r="2607" spans="1:2">
      <c r="A2607" s="3">
        <f ca="1">IFERROR(__xludf.DUMMYFUNCTION("""COMPUTED_VALUE"""),42135.6666666666)</f>
        <v>42135.666666666599</v>
      </c>
      <c r="B2607" s="1">
        <f ca="1">IFERROR(__xludf.DUMMYFUNCTION("""COMPUTED_VALUE"""),31.58)</f>
        <v>31.58</v>
      </c>
    </row>
    <row r="2608" spans="1:2">
      <c r="A2608" s="3">
        <f ca="1">IFERROR(__xludf.DUMMYFUNCTION("""COMPUTED_VALUE"""),42136.6666666666)</f>
        <v>42136.666666666599</v>
      </c>
      <c r="B2608" s="1">
        <f ca="1">IFERROR(__xludf.DUMMYFUNCTION("""COMPUTED_VALUE"""),31.47)</f>
        <v>31.47</v>
      </c>
    </row>
    <row r="2609" spans="1:2">
      <c r="A2609" s="3">
        <f ca="1">IFERROR(__xludf.DUMMYFUNCTION("""COMPUTED_VALUE"""),42137.6666666666)</f>
        <v>42137.666666666599</v>
      </c>
      <c r="B2609" s="1">
        <f ca="1">IFERROR(__xludf.DUMMYFUNCTION("""COMPUTED_VALUE"""),31.5)</f>
        <v>31.5</v>
      </c>
    </row>
    <row r="2610" spans="1:2">
      <c r="A2610" s="3">
        <f ca="1">IFERROR(__xludf.DUMMYFUNCTION("""COMPUTED_VALUE"""),42138.6666666666)</f>
        <v>42138.666666666599</v>
      </c>
      <c r="B2610" s="1">
        <f ca="1">IFERROR(__xludf.DUMMYFUNCTION("""COMPUTED_VALUE"""),32.24)</f>
        <v>32.24</v>
      </c>
    </row>
    <row r="2611" spans="1:2">
      <c r="A2611" s="3">
        <f ca="1">IFERROR(__xludf.DUMMYFUNCTION("""COMPUTED_VALUE"""),42139.6666666666)</f>
        <v>42139.666666666599</v>
      </c>
      <c r="B2611" s="1">
        <f ca="1">IFERROR(__xludf.DUMMYFUNCTION("""COMPUTED_VALUE"""),32.19)</f>
        <v>32.19</v>
      </c>
    </row>
    <row r="2612" spans="1:2">
      <c r="A2612" s="3">
        <f ca="1">IFERROR(__xludf.DUMMYFUNCTION("""COMPUTED_VALUE"""),42142.6666666666)</f>
        <v>42142.666666666599</v>
      </c>
      <c r="B2612" s="1">
        <f ca="1">IFERROR(__xludf.DUMMYFUNCTION("""COMPUTED_VALUE"""),32.55)</f>
        <v>32.549999999999997</v>
      </c>
    </row>
    <row r="2613" spans="1:2">
      <c r="A2613" s="3">
        <f ca="1">IFERROR(__xludf.DUMMYFUNCTION("""COMPUTED_VALUE"""),42143.6666666666)</f>
        <v>42143.666666666599</v>
      </c>
      <c r="B2613" s="1">
        <f ca="1">IFERROR(__xludf.DUMMYFUNCTION("""COMPUTED_VALUE"""),32.52)</f>
        <v>32.520000000000003</v>
      </c>
    </row>
    <row r="2614" spans="1:2">
      <c r="A2614" s="3">
        <f ca="1">IFERROR(__xludf.DUMMYFUNCTION("""COMPUTED_VALUE"""),42144.6666666666)</f>
        <v>42144.666666666599</v>
      </c>
      <c r="B2614" s="1">
        <f ca="1">IFERROR(__xludf.DUMMYFUNCTION("""COMPUTED_VALUE"""),32.52)</f>
        <v>32.520000000000003</v>
      </c>
    </row>
    <row r="2615" spans="1:2">
      <c r="A2615" s="3">
        <f ca="1">IFERROR(__xludf.DUMMYFUNCTION("""COMPUTED_VALUE"""),42145.6666666666)</f>
        <v>42145.666666666599</v>
      </c>
      <c r="B2615" s="1">
        <f ca="1">IFERROR(__xludf.DUMMYFUNCTION("""COMPUTED_VALUE"""),32.85)</f>
        <v>32.85</v>
      </c>
    </row>
    <row r="2616" spans="1:2">
      <c r="A2616" s="3">
        <f ca="1">IFERROR(__xludf.DUMMYFUNCTION("""COMPUTED_VALUE"""),42146.6666666666)</f>
        <v>42146.666666666599</v>
      </c>
      <c r="B2616" s="1">
        <f ca="1">IFERROR(__xludf.DUMMYFUNCTION("""COMPUTED_VALUE"""),33.14)</f>
        <v>33.14</v>
      </c>
    </row>
    <row r="2617" spans="1:2">
      <c r="A2617" s="3">
        <f ca="1">IFERROR(__xludf.DUMMYFUNCTION("""COMPUTED_VALUE"""),42150.6666666666)</f>
        <v>42150.666666666599</v>
      </c>
      <c r="B2617" s="1">
        <f ca="1">IFERROR(__xludf.DUMMYFUNCTION("""COMPUTED_VALUE"""),32.41)</f>
        <v>32.409999999999997</v>
      </c>
    </row>
    <row r="2618" spans="1:2">
      <c r="A2618" s="3">
        <f ca="1">IFERROR(__xludf.DUMMYFUNCTION("""COMPUTED_VALUE"""),42151.6666666666)</f>
        <v>42151.666666666599</v>
      </c>
      <c r="B2618" s="1">
        <f ca="1">IFERROR(__xludf.DUMMYFUNCTION("""COMPUTED_VALUE"""),33.01)</f>
        <v>33.01</v>
      </c>
    </row>
    <row r="2619" spans="1:2">
      <c r="A2619" s="3">
        <f ca="1">IFERROR(__xludf.DUMMYFUNCTION("""COMPUTED_VALUE"""),42152.6666666666)</f>
        <v>42152.666666666599</v>
      </c>
      <c r="B2619" s="1">
        <f ca="1">IFERROR(__xludf.DUMMYFUNCTION("""COMPUTED_VALUE"""),32.95)</f>
        <v>32.950000000000003</v>
      </c>
    </row>
    <row r="2620" spans="1:2">
      <c r="A2620" s="3">
        <f ca="1">IFERROR(__xludf.DUMMYFUNCTION("""COMPUTED_VALUE"""),42153.6666666666)</f>
        <v>42153.666666666599</v>
      </c>
      <c r="B2620" s="1">
        <f ca="1">IFERROR(__xludf.DUMMYFUNCTION("""COMPUTED_VALUE"""),32.57)</f>
        <v>32.57</v>
      </c>
    </row>
    <row r="2621" spans="1:2">
      <c r="A2621" s="3">
        <f ca="1">IFERROR(__xludf.DUMMYFUNCTION("""COMPUTED_VALUE"""),42156.6666666666)</f>
        <v>42156.666666666599</v>
      </c>
      <c r="B2621" s="1">
        <f ca="1">IFERROR(__xludf.DUMMYFUNCTION("""COMPUTED_VALUE"""),32.63)</f>
        <v>32.630000000000003</v>
      </c>
    </row>
    <row r="2622" spans="1:2">
      <c r="A2622" s="3">
        <f ca="1">IFERROR(__xludf.DUMMYFUNCTION("""COMPUTED_VALUE"""),42157.6666666666)</f>
        <v>42157.666666666599</v>
      </c>
      <c r="B2622" s="1">
        <f ca="1">IFERROR(__xludf.DUMMYFUNCTION("""COMPUTED_VALUE"""),32.49)</f>
        <v>32.49</v>
      </c>
    </row>
    <row r="2623" spans="1:2">
      <c r="A2623" s="3">
        <f ca="1">IFERROR(__xludf.DUMMYFUNCTION("""COMPUTED_VALUE"""),42158.6666666666)</f>
        <v>42158.666666666599</v>
      </c>
      <c r="B2623" s="1">
        <f ca="1">IFERROR(__xludf.DUMMYFUNCTION("""COMPUTED_VALUE"""),32.53)</f>
        <v>32.53</v>
      </c>
    </row>
    <row r="2624" spans="1:2">
      <c r="A2624" s="3">
        <f ca="1">IFERROR(__xludf.DUMMYFUNCTION("""COMPUTED_VALUE"""),42159.6666666666)</f>
        <v>42159.666666666599</v>
      </c>
      <c r="B2624" s="1">
        <f ca="1">IFERROR(__xludf.DUMMYFUNCTION("""COMPUTED_VALUE"""),32.34)</f>
        <v>32.340000000000003</v>
      </c>
    </row>
    <row r="2625" spans="1:2">
      <c r="A2625" s="3">
        <f ca="1">IFERROR(__xludf.DUMMYFUNCTION("""COMPUTED_VALUE"""),42160.6666666666)</f>
        <v>42160.666666666599</v>
      </c>
      <c r="B2625" s="1">
        <f ca="1">IFERROR(__xludf.DUMMYFUNCTION("""COMPUTED_VALUE"""),32.16)</f>
        <v>32.159999999999997</v>
      </c>
    </row>
    <row r="2626" spans="1:2">
      <c r="A2626" s="3">
        <f ca="1">IFERROR(__xludf.DUMMYFUNCTION("""COMPUTED_VALUE"""),42163.6666666666)</f>
        <v>42163.666666666599</v>
      </c>
      <c r="B2626" s="1">
        <f ca="1">IFERROR(__xludf.DUMMYFUNCTION("""COMPUTED_VALUE"""),31.95)</f>
        <v>31.95</v>
      </c>
    </row>
    <row r="2627" spans="1:2">
      <c r="A2627" s="3">
        <f ca="1">IFERROR(__xludf.DUMMYFUNCTION("""COMPUTED_VALUE"""),42164.6666666666)</f>
        <v>42164.666666666599</v>
      </c>
      <c r="B2627" s="1">
        <f ca="1">IFERROR(__xludf.DUMMYFUNCTION("""COMPUTED_VALUE"""),31.86)</f>
        <v>31.86</v>
      </c>
    </row>
    <row r="2628" spans="1:2">
      <c r="A2628" s="3">
        <f ca="1">IFERROR(__xludf.DUMMYFUNCTION("""COMPUTED_VALUE"""),42165.6666666666)</f>
        <v>42165.666666666599</v>
      </c>
      <c r="B2628" s="1">
        <f ca="1">IFERROR(__xludf.DUMMYFUNCTION("""COMPUTED_VALUE"""),32.22)</f>
        <v>32.22</v>
      </c>
    </row>
    <row r="2629" spans="1:2">
      <c r="A2629" s="3">
        <f ca="1">IFERROR(__xludf.DUMMYFUNCTION("""COMPUTED_VALUE"""),42166.6666666666)</f>
        <v>42166.666666666599</v>
      </c>
      <c r="B2629" s="1">
        <f ca="1">IFERROR(__xludf.DUMMYFUNCTION("""COMPUTED_VALUE"""),32.15)</f>
        <v>32.15</v>
      </c>
    </row>
    <row r="2630" spans="1:2">
      <c r="A2630" s="3">
        <f ca="1">IFERROR(__xludf.DUMMYFUNCTION("""COMPUTED_VALUE"""),42167.6666666666)</f>
        <v>42167.666666666599</v>
      </c>
      <c r="B2630" s="1">
        <f ca="1">IFERROR(__xludf.DUMMYFUNCTION("""COMPUTED_VALUE"""),31.79)</f>
        <v>31.79</v>
      </c>
    </row>
    <row r="2631" spans="1:2">
      <c r="A2631" s="3">
        <f ca="1">IFERROR(__xludf.DUMMYFUNCTION("""COMPUTED_VALUE"""),42170.6666666666)</f>
        <v>42170.666666666599</v>
      </c>
      <c r="B2631" s="1">
        <f ca="1">IFERROR(__xludf.DUMMYFUNCTION("""COMPUTED_VALUE"""),31.73)</f>
        <v>31.73</v>
      </c>
    </row>
    <row r="2632" spans="1:2">
      <c r="A2632" s="3">
        <f ca="1">IFERROR(__xludf.DUMMYFUNCTION("""COMPUTED_VALUE"""),42171.6666666666)</f>
        <v>42171.666666666599</v>
      </c>
      <c r="B2632" s="1">
        <f ca="1">IFERROR(__xludf.DUMMYFUNCTION("""COMPUTED_VALUE"""),31.9)</f>
        <v>31.9</v>
      </c>
    </row>
    <row r="2633" spans="1:2">
      <c r="A2633" s="3">
        <f ca="1">IFERROR(__xludf.DUMMYFUNCTION("""COMPUTED_VALUE"""),42172.6666666666)</f>
        <v>42172.666666666599</v>
      </c>
      <c r="B2633" s="1">
        <f ca="1">IFERROR(__xludf.DUMMYFUNCTION("""COMPUTED_VALUE"""),31.83)</f>
        <v>31.83</v>
      </c>
    </row>
    <row r="2634" spans="1:2">
      <c r="A2634" s="3">
        <f ca="1">IFERROR(__xludf.DUMMYFUNCTION("""COMPUTED_VALUE"""),42173.6666666666)</f>
        <v>42173.666666666599</v>
      </c>
      <c r="B2634" s="1">
        <f ca="1">IFERROR(__xludf.DUMMYFUNCTION("""COMPUTED_VALUE"""),31.97)</f>
        <v>31.97</v>
      </c>
    </row>
    <row r="2635" spans="1:2">
      <c r="A2635" s="3">
        <f ca="1">IFERROR(__xludf.DUMMYFUNCTION("""COMPUTED_VALUE"""),42174.6666666666)</f>
        <v>42174.666666666599</v>
      </c>
      <c r="B2635" s="1">
        <f ca="1">IFERROR(__xludf.DUMMYFUNCTION("""COMPUTED_VALUE"""),31.65)</f>
        <v>31.65</v>
      </c>
    </row>
    <row r="2636" spans="1:2">
      <c r="A2636" s="3">
        <f ca="1">IFERROR(__xludf.DUMMYFUNCTION("""COMPUTED_VALUE"""),42177.6666666666)</f>
        <v>42177.666666666599</v>
      </c>
      <c r="B2636" s="1">
        <f ca="1">IFERROR(__xludf.DUMMYFUNCTION("""COMPUTED_VALUE"""),31.9)</f>
        <v>31.9</v>
      </c>
    </row>
    <row r="2637" spans="1:2">
      <c r="A2637" s="3">
        <f ca="1">IFERROR(__xludf.DUMMYFUNCTION("""COMPUTED_VALUE"""),42178.6666666666)</f>
        <v>42178.666666666599</v>
      </c>
      <c r="B2637" s="1">
        <f ca="1">IFERROR(__xludf.DUMMYFUNCTION("""COMPUTED_VALUE"""),31.76)</f>
        <v>31.76</v>
      </c>
    </row>
    <row r="2638" spans="1:2">
      <c r="A2638" s="3">
        <f ca="1">IFERROR(__xludf.DUMMYFUNCTION("""COMPUTED_VALUE"""),42179.6666666666)</f>
        <v>42179.666666666599</v>
      </c>
      <c r="B2638" s="1">
        <f ca="1">IFERROR(__xludf.DUMMYFUNCTION("""COMPUTED_VALUE"""),32.03)</f>
        <v>32.03</v>
      </c>
    </row>
    <row r="2639" spans="1:2">
      <c r="A2639" s="3">
        <f ca="1">IFERROR(__xludf.DUMMYFUNCTION("""COMPUTED_VALUE"""),42180.6666666666)</f>
        <v>42180.666666666599</v>
      </c>
      <c r="B2639" s="1">
        <f ca="1">IFERROR(__xludf.DUMMYFUNCTION("""COMPUTED_VALUE"""),31.88)</f>
        <v>31.88</v>
      </c>
    </row>
    <row r="2640" spans="1:2">
      <c r="A2640" s="3">
        <f ca="1">IFERROR(__xludf.DUMMYFUNCTION("""COMPUTED_VALUE"""),42181.6666666666)</f>
        <v>42181.666666666599</v>
      </c>
      <c r="B2640" s="1">
        <f ca="1">IFERROR(__xludf.DUMMYFUNCTION("""COMPUTED_VALUE"""),31.69)</f>
        <v>31.69</v>
      </c>
    </row>
    <row r="2641" spans="1:2">
      <c r="A2641" s="3">
        <f ca="1">IFERROR(__xludf.DUMMYFUNCTION("""COMPUTED_VALUE"""),42184.6666666666)</f>
        <v>42184.666666666599</v>
      </c>
      <c r="B2641" s="1">
        <f ca="1">IFERROR(__xludf.DUMMYFUNCTION("""COMPUTED_VALUE"""),31.13)</f>
        <v>31.13</v>
      </c>
    </row>
    <row r="2642" spans="1:2">
      <c r="A2642" s="3">
        <f ca="1">IFERROR(__xludf.DUMMYFUNCTION("""COMPUTED_VALUE"""),42185.6666666666)</f>
        <v>42185.666666666599</v>
      </c>
      <c r="B2642" s="1">
        <f ca="1">IFERROR(__xludf.DUMMYFUNCTION("""COMPUTED_VALUE"""),31.36)</f>
        <v>31.36</v>
      </c>
    </row>
    <row r="2643" spans="1:2">
      <c r="A2643" s="3">
        <f ca="1">IFERROR(__xludf.DUMMYFUNCTION("""COMPUTED_VALUE"""),42186.6666666666)</f>
        <v>42186.666666666599</v>
      </c>
      <c r="B2643" s="1">
        <f ca="1">IFERROR(__xludf.DUMMYFUNCTION("""COMPUTED_VALUE"""),31.65)</f>
        <v>31.65</v>
      </c>
    </row>
    <row r="2644" spans="1:2">
      <c r="A2644" s="3">
        <f ca="1">IFERROR(__xludf.DUMMYFUNCTION("""COMPUTED_VALUE"""),42187.6666666666)</f>
        <v>42187.666666666599</v>
      </c>
      <c r="B2644" s="1">
        <f ca="1">IFERROR(__xludf.DUMMYFUNCTION("""COMPUTED_VALUE"""),31.61)</f>
        <v>31.61</v>
      </c>
    </row>
    <row r="2645" spans="1:2">
      <c r="A2645" s="3">
        <f ca="1">IFERROR(__xludf.DUMMYFUNCTION("""COMPUTED_VALUE"""),42191.6666666666)</f>
        <v>42191.666666666599</v>
      </c>
      <c r="B2645" s="1">
        <f ca="1">IFERROR(__xludf.DUMMYFUNCTION("""COMPUTED_VALUE"""),31.5)</f>
        <v>31.5</v>
      </c>
    </row>
    <row r="2646" spans="1:2">
      <c r="A2646" s="3">
        <f ca="1">IFERROR(__xludf.DUMMYFUNCTION("""COMPUTED_VALUE"""),42192.6666666666)</f>
        <v>42192.666666666599</v>
      </c>
      <c r="B2646" s="1">
        <f ca="1">IFERROR(__xludf.DUMMYFUNCTION("""COMPUTED_VALUE"""),31.42)</f>
        <v>31.42</v>
      </c>
    </row>
    <row r="2647" spans="1:2">
      <c r="A2647" s="3">
        <f ca="1">IFERROR(__xludf.DUMMYFUNCTION("""COMPUTED_VALUE"""),42193.6666666666)</f>
        <v>42193.666666666599</v>
      </c>
      <c r="B2647" s="1">
        <f ca="1">IFERROR(__xludf.DUMMYFUNCTION("""COMPUTED_VALUE"""),30.64)</f>
        <v>30.64</v>
      </c>
    </row>
    <row r="2648" spans="1:2">
      <c r="A2648" s="3">
        <f ca="1">IFERROR(__xludf.DUMMYFUNCTION("""COMPUTED_VALUE"""),42194.6666666666)</f>
        <v>42194.666666666599</v>
      </c>
      <c r="B2648" s="1">
        <f ca="1">IFERROR(__xludf.DUMMYFUNCTION("""COMPUTED_VALUE"""),30.02)</f>
        <v>30.02</v>
      </c>
    </row>
    <row r="2649" spans="1:2">
      <c r="A2649" s="3">
        <f ca="1">IFERROR(__xludf.DUMMYFUNCTION("""COMPUTED_VALUE"""),42195.6666666666)</f>
        <v>42195.666666666599</v>
      </c>
      <c r="B2649" s="1">
        <f ca="1">IFERROR(__xludf.DUMMYFUNCTION("""COMPUTED_VALUE"""),30.82)</f>
        <v>30.82</v>
      </c>
    </row>
    <row r="2650" spans="1:2">
      <c r="A2650" s="3">
        <f ca="1">IFERROR(__xludf.DUMMYFUNCTION("""COMPUTED_VALUE"""),42198.6666666666)</f>
        <v>42198.666666666599</v>
      </c>
      <c r="B2650" s="1">
        <f ca="1">IFERROR(__xludf.DUMMYFUNCTION("""COMPUTED_VALUE"""),31.42)</f>
        <v>31.42</v>
      </c>
    </row>
    <row r="2651" spans="1:2">
      <c r="A2651" s="3">
        <f ca="1">IFERROR(__xludf.DUMMYFUNCTION("""COMPUTED_VALUE"""),42199.6666666666)</f>
        <v>42199.666666666599</v>
      </c>
      <c r="B2651" s="1">
        <f ca="1">IFERROR(__xludf.DUMMYFUNCTION("""COMPUTED_VALUE"""),31.4)</f>
        <v>31.4</v>
      </c>
    </row>
    <row r="2652" spans="1:2">
      <c r="A2652" s="3">
        <f ca="1">IFERROR(__xludf.DUMMYFUNCTION("""COMPUTED_VALUE"""),42200.6666666666)</f>
        <v>42200.666666666599</v>
      </c>
      <c r="B2652" s="1">
        <f ca="1">IFERROR(__xludf.DUMMYFUNCTION("""COMPUTED_VALUE"""),31.71)</f>
        <v>31.71</v>
      </c>
    </row>
    <row r="2653" spans="1:2">
      <c r="A2653" s="3">
        <f ca="1">IFERROR(__xludf.DUMMYFUNCTION("""COMPUTED_VALUE"""),42201.6666666666)</f>
        <v>42201.666666666599</v>
      </c>
      <c r="B2653" s="1">
        <f ca="1">IFERROR(__xludf.DUMMYFUNCTION("""COMPUTED_VALUE"""),32.13)</f>
        <v>32.130000000000003</v>
      </c>
    </row>
    <row r="2654" spans="1:2">
      <c r="A2654" s="3">
        <f ca="1">IFERROR(__xludf.DUMMYFUNCTION("""COMPUTED_VALUE"""),42202.6666666666)</f>
        <v>42202.666666666599</v>
      </c>
      <c r="B2654" s="1">
        <f ca="1">IFERROR(__xludf.DUMMYFUNCTION("""COMPUTED_VALUE"""),32.41)</f>
        <v>32.409999999999997</v>
      </c>
    </row>
    <row r="2655" spans="1:2">
      <c r="A2655" s="3">
        <f ca="1">IFERROR(__xludf.DUMMYFUNCTION("""COMPUTED_VALUE"""),42205.6666666666)</f>
        <v>42205.666666666599</v>
      </c>
      <c r="B2655" s="1">
        <f ca="1">IFERROR(__xludf.DUMMYFUNCTION("""COMPUTED_VALUE"""),33.02)</f>
        <v>33.020000000000003</v>
      </c>
    </row>
    <row r="2656" spans="1:2">
      <c r="A2656" s="3">
        <f ca="1">IFERROR(__xludf.DUMMYFUNCTION("""COMPUTED_VALUE"""),42206.6666666666)</f>
        <v>42206.666666666599</v>
      </c>
      <c r="B2656" s="1">
        <f ca="1">IFERROR(__xludf.DUMMYFUNCTION("""COMPUTED_VALUE"""),32.69)</f>
        <v>32.69</v>
      </c>
    </row>
    <row r="2657" spans="1:2">
      <c r="A2657" s="3">
        <f ca="1">IFERROR(__xludf.DUMMYFUNCTION("""COMPUTED_VALUE"""),42207.6666666666)</f>
        <v>42207.666666666599</v>
      </c>
      <c r="B2657" s="1">
        <f ca="1">IFERROR(__xludf.DUMMYFUNCTION("""COMPUTED_VALUE"""),31.31)</f>
        <v>31.31</v>
      </c>
    </row>
    <row r="2658" spans="1:2">
      <c r="A2658" s="3">
        <f ca="1">IFERROR(__xludf.DUMMYFUNCTION("""COMPUTED_VALUE"""),42208.6666666666)</f>
        <v>42208.666666666599</v>
      </c>
      <c r="B2658" s="1">
        <f ca="1">IFERROR(__xludf.DUMMYFUNCTION("""COMPUTED_VALUE"""),31.29)</f>
        <v>31.29</v>
      </c>
    </row>
    <row r="2659" spans="1:2">
      <c r="A2659" s="3">
        <f ca="1">IFERROR(__xludf.DUMMYFUNCTION("""COMPUTED_VALUE"""),42209.6666666666)</f>
        <v>42209.666666666599</v>
      </c>
      <c r="B2659" s="1">
        <f ca="1">IFERROR(__xludf.DUMMYFUNCTION("""COMPUTED_VALUE"""),31.13)</f>
        <v>31.13</v>
      </c>
    </row>
    <row r="2660" spans="1:2">
      <c r="A2660" s="3">
        <f ca="1">IFERROR(__xludf.DUMMYFUNCTION("""COMPUTED_VALUE"""),42212.6666666666)</f>
        <v>42212.666666666599</v>
      </c>
      <c r="B2660" s="1">
        <f ca="1">IFERROR(__xludf.DUMMYFUNCTION("""COMPUTED_VALUE"""),30.69)</f>
        <v>30.69</v>
      </c>
    </row>
    <row r="2661" spans="1:2">
      <c r="A2661" s="3">
        <f ca="1">IFERROR(__xludf.DUMMYFUNCTION("""COMPUTED_VALUE"""),42213.6666666666)</f>
        <v>42213.666666666599</v>
      </c>
      <c r="B2661" s="1">
        <f ca="1">IFERROR(__xludf.DUMMYFUNCTION("""COMPUTED_VALUE"""),30.85)</f>
        <v>30.85</v>
      </c>
    </row>
    <row r="2662" spans="1:2">
      <c r="A2662" s="3">
        <f ca="1">IFERROR(__xludf.DUMMYFUNCTION("""COMPUTED_VALUE"""),42214.6666666666)</f>
        <v>42214.666666666599</v>
      </c>
      <c r="B2662" s="1">
        <f ca="1">IFERROR(__xludf.DUMMYFUNCTION("""COMPUTED_VALUE"""),30.75)</f>
        <v>30.75</v>
      </c>
    </row>
    <row r="2663" spans="1:2">
      <c r="A2663" s="3">
        <f ca="1">IFERROR(__xludf.DUMMYFUNCTION("""COMPUTED_VALUE"""),42215.6666666666)</f>
        <v>42215.666666666599</v>
      </c>
      <c r="B2663" s="1">
        <f ca="1">IFERROR(__xludf.DUMMYFUNCTION("""COMPUTED_VALUE"""),30.59)</f>
        <v>30.59</v>
      </c>
    </row>
    <row r="2664" spans="1:2">
      <c r="A2664" s="3">
        <f ca="1">IFERROR(__xludf.DUMMYFUNCTION("""COMPUTED_VALUE"""),42216.6666666666)</f>
        <v>42216.666666666599</v>
      </c>
      <c r="B2664" s="1">
        <f ca="1">IFERROR(__xludf.DUMMYFUNCTION("""COMPUTED_VALUE"""),30.33)</f>
        <v>30.33</v>
      </c>
    </row>
    <row r="2665" spans="1:2">
      <c r="A2665" s="3">
        <f ca="1">IFERROR(__xludf.DUMMYFUNCTION("""COMPUTED_VALUE"""),42219.6666666666)</f>
        <v>42219.666666666599</v>
      </c>
      <c r="B2665" s="1">
        <f ca="1">IFERROR(__xludf.DUMMYFUNCTION("""COMPUTED_VALUE"""),29.61)</f>
        <v>29.61</v>
      </c>
    </row>
    <row r="2666" spans="1:2">
      <c r="A2666" s="3">
        <f ca="1">IFERROR(__xludf.DUMMYFUNCTION("""COMPUTED_VALUE"""),42220.6666666666)</f>
        <v>42220.666666666599</v>
      </c>
      <c r="B2666" s="1">
        <f ca="1">IFERROR(__xludf.DUMMYFUNCTION("""COMPUTED_VALUE"""),28.66)</f>
        <v>28.66</v>
      </c>
    </row>
    <row r="2667" spans="1:2">
      <c r="A2667" s="3">
        <f ca="1">IFERROR(__xludf.DUMMYFUNCTION("""COMPUTED_VALUE"""),42221.6666666666)</f>
        <v>42221.666666666599</v>
      </c>
      <c r="B2667" s="1">
        <f ca="1">IFERROR(__xludf.DUMMYFUNCTION("""COMPUTED_VALUE"""),28.85)</f>
        <v>28.85</v>
      </c>
    </row>
    <row r="2668" spans="1:2">
      <c r="A2668" s="3">
        <f ca="1">IFERROR(__xludf.DUMMYFUNCTION("""COMPUTED_VALUE"""),42222.6666666666)</f>
        <v>42222.666666666599</v>
      </c>
      <c r="B2668" s="1">
        <f ca="1">IFERROR(__xludf.DUMMYFUNCTION("""COMPUTED_VALUE"""),28.78)</f>
        <v>28.78</v>
      </c>
    </row>
    <row r="2669" spans="1:2">
      <c r="A2669" s="3">
        <f ca="1">IFERROR(__xludf.DUMMYFUNCTION("""COMPUTED_VALUE"""),42223.6666666666)</f>
        <v>42223.666666666599</v>
      </c>
      <c r="B2669" s="1">
        <f ca="1">IFERROR(__xludf.DUMMYFUNCTION("""COMPUTED_VALUE"""),28.88)</f>
        <v>28.88</v>
      </c>
    </row>
    <row r="2670" spans="1:2">
      <c r="A2670" s="3">
        <f ca="1">IFERROR(__xludf.DUMMYFUNCTION("""COMPUTED_VALUE"""),42226.6666666666)</f>
        <v>42226.666666666599</v>
      </c>
      <c r="B2670" s="1">
        <f ca="1">IFERROR(__xludf.DUMMYFUNCTION("""COMPUTED_VALUE"""),29.93)</f>
        <v>29.93</v>
      </c>
    </row>
    <row r="2671" spans="1:2">
      <c r="A2671" s="3">
        <f ca="1">IFERROR(__xludf.DUMMYFUNCTION("""COMPUTED_VALUE"""),42227.6666666666)</f>
        <v>42227.666666666599</v>
      </c>
      <c r="B2671" s="1">
        <f ca="1">IFERROR(__xludf.DUMMYFUNCTION("""COMPUTED_VALUE"""),28.37)</f>
        <v>28.37</v>
      </c>
    </row>
    <row r="2672" spans="1:2">
      <c r="A2672" s="3">
        <f ca="1">IFERROR(__xludf.DUMMYFUNCTION("""COMPUTED_VALUE"""),42228.6666666666)</f>
        <v>42228.666666666599</v>
      </c>
      <c r="B2672" s="1">
        <f ca="1">IFERROR(__xludf.DUMMYFUNCTION("""COMPUTED_VALUE"""),28.81)</f>
        <v>28.81</v>
      </c>
    </row>
    <row r="2673" spans="1:2">
      <c r="A2673" s="3">
        <f ca="1">IFERROR(__xludf.DUMMYFUNCTION("""COMPUTED_VALUE"""),42229.6666666666)</f>
        <v>42229.666666666599</v>
      </c>
      <c r="B2673" s="1">
        <f ca="1">IFERROR(__xludf.DUMMYFUNCTION("""COMPUTED_VALUE"""),28.79)</f>
        <v>28.79</v>
      </c>
    </row>
    <row r="2674" spans="1:2">
      <c r="A2674" s="3">
        <f ca="1">IFERROR(__xludf.DUMMYFUNCTION("""COMPUTED_VALUE"""),42230.6666666666)</f>
        <v>42230.666666666599</v>
      </c>
      <c r="B2674" s="1">
        <f ca="1">IFERROR(__xludf.DUMMYFUNCTION("""COMPUTED_VALUE"""),28.99)</f>
        <v>28.99</v>
      </c>
    </row>
    <row r="2675" spans="1:2">
      <c r="A2675" s="3">
        <f ca="1">IFERROR(__xludf.DUMMYFUNCTION("""COMPUTED_VALUE"""),42233.6666666666)</f>
        <v>42233.666666666599</v>
      </c>
      <c r="B2675" s="1">
        <f ca="1">IFERROR(__xludf.DUMMYFUNCTION("""COMPUTED_VALUE"""),29.29)</f>
        <v>29.29</v>
      </c>
    </row>
    <row r="2676" spans="1:2">
      <c r="A2676" s="3">
        <f ca="1">IFERROR(__xludf.DUMMYFUNCTION("""COMPUTED_VALUE"""),42234.6666666666)</f>
        <v>42234.666666666599</v>
      </c>
      <c r="B2676" s="1">
        <f ca="1">IFERROR(__xludf.DUMMYFUNCTION("""COMPUTED_VALUE"""),29.13)</f>
        <v>29.13</v>
      </c>
    </row>
    <row r="2677" spans="1:2">
      <c r="A2677" s="3">
        <f ca="1">IFERROR(__xludf.DUMMYFUNCTION("""COMPUTED_VALUE"""),42235.6666666666)</f>
        <v>42235.666666666599</v>
      </c>
      <c r="B2677" s="1">
        <f ca="1">IFERROR(__xludf.DUMMYFUNCTION("""COMPUTED_VALUE"""),28.75)</f>
        <v>28.75</v>
      </c>
    </row>
    <row r="2678" spans="1:2">
      <c r="A2678" s="3">
        <f ca="1">IFERROR(__xludf.DUMMYFUNCTION("""COMPUTED_VALUE"""),42236.6666666666)</f>
        <v>42236.666666666599</v>
      </c>
      <c r="B2678" s="1">
        <f ca="1">IFERROR(__xludf.DUMMYFUNCTION("""COMPUTED_VALUE"""),28.16)</f>
        <v>28.16</v>
      </c>
    </row>
    <row r="2679" spans="1:2">
      <c r="A2679" s="3">
        <f ca="1">IFERROR(__xludf.DUMMYFUNCTION("""COMPUTED_VALUE"""),42237.6666666666)</f>
        <v>42237.666666666599</v>
      </c>
      <c r="B2679" s="1">
        <f ca="1">IFERROR(__xludf.DUMMYFUNCTION("""COMPUTED_VALUE"""),26.44)</f>
        <v>26.44</v>
      </c>
    </row>
    <row r="2680" spans="1:2">
      <c r="A2680" s="3">
        <f ca="1">IFERROR(__xludf.DUMMYFUNCTION("""COMPUTED_VALUE"""),42240.6666666666)</f>
        <v>42240.666666666599</v>
      </c>
      <c r="B2680" s="1">
        <f ca="1">IFERROR(__xludf.DUMMYFUNCTION("""COMPUTED_VALUE"""),25.78)</f>
        <v>25.78</v>
      </c>
    </row>
    <row r="2681" spans="1:2">
      <c r="A2681" s="3">
        <f ca="1">IFERROR(__xludf.DUMMYFUNCTION("""COMPUTED_VALUE"""),42241.6666666666)</f>
        <v>42241.666666666599</v>
      </c>
      <c r="B2681" s="1">
        <f ca="1">IFERROR(__xludf.DUMMYFUNCTION("""COMPUTED_VALUE"""),25.94)</f>
        <v>25.94</v>
      </c>
    </row>
    <row r="2682" spans="1:2">
      <c r="A2682" s="3">
        <f ca="1">IFERROR(__xludf.DUMMYFUNCTION("""COMPUTED_VALUE"""),42242.6666666666)</f>
        <v>42242.666666666599</v>
      </c>
      <c r="B2682" s="1">
        <f ca="1">IFERROR(__xludf.DUMMYFUNCTION("""COMPUTED_VALUE"""),27.42)</f>
        <v>27.42</v>
      </c>
    </row>
    <row r="2683" spans="1:2">
      <c r="A2683" s="3">
        <f ca="1">IFERROR(__xludf.DUMMYFUNCTION("""COMPUTED_VALUE"""),42243.6666666666)</f>
        <v>42243.666666666599</v>
      </c>
      <c r="B2683" s="1">
        <f ca="1">IFERROR(__xludf.DUMMYFUNCTION("""COMPUTED_VALUE"""),28.23)</f>
        <v>28.23</v>
      </c>
    </row>
    <row r="2684" spans="1:2">
      <c r="A2684" s="3">
        <f ca="1">IFERROR(__xludf.DUMMYFUNCTION("""COMPUTED_VALUE"""),42244.6666666666)</f>
        <v>42244.666666666599</v>
      </c>
      <c r="B2684" s="1">
        <f ca="1">IFERROR(__xludf.DUMMYFUNCTION("""COMPUTED_VALUE"""),28.32)</f>
        <v>28.32</v>
      </c>
    </row>
    <row r="2685" spans="1:2">
      <c r="A2685" s="3">
        <f ca="1">IFERROR(__xludf.DUMMYFUNCTION("""COMPUTED_VALUE"""),42247.6666666666)</f>
        <v>42247.666666666599</v>
      </c>
      <c r="B2685" s="1">
        <f ca="1">IFERROR(__xludf.DUMMYFUNCTION("""COMPUTED_VALUE"""),28.19)</f>
        <v>28.19</v>
      </c>
    </row>
    <row r="2686" spans="1:2">
      <c r="A2686" s="3">
        <f ca="1">IFERROR(__xludf.DUMMYFUNCTION("""COMPUTED_VALUE"""),42248.6666666666)</f>
        <v>42248.666666666599</v>
      </c>
      <c r="B2686" s="1">
        <f ca="1">IFERROR(__xludf.DUMMYFUNCTION("""COMPUTED_VALUE"""),26.93)</f>
        <v>26.93</v>
      </c>
    </row>
    <row r="2687" spans="1:2">
      <c r="A2687" s="3">
        <f ca="1">IFERROR(__xludf.DUMMYFUNCTION("""COMPUTED_VALUE"""),42249.6666666666)</f>
        <v>42249.666666666599</v>
      </c>
      <c r="B2687" s="1">
        <f ca="1">IFERROR(__xludf.DUMMYFUNCTION("""COMPUTED_VALUE"""),28.09)</f>
        <v>28.09</v>
      </c>
    </row>
    <row r="2688" spans="1:2">
      <c r="A2688" s="3">
        <f ca="1">IFERROR(__xludf.DUMMYFUNCTION("""COMPUTED_VALUE"""),42250.6666666666)</f>
        <v>42250.666666666599</v>
      </c>
      <c r="B2688" s="1">
        <f ca="1">IFERROR(__xludf.DUMMYFUNCTION("""COMPUTED_VALUE"""),27.59)</f>
        <v>27.59</v>
      </c>
    </row>
    <row r="2689" spans="1:2">
      <c r="A2689" s="3">
        <f ca="1">IFERROR(__xludf.DUMMYFUNCTION("""COMPUTED_VALUE"""),42251.6666666666)</f>
        <v>42251.666666666599</v>
      </c>
      <c r="B2689" s="1">
        <f ca="1">IFERROR(__xludf.DUMMYFUNCTION("""COMPUTED_VALUE"""),27.32)</f>
        <v>27.32</v>
      </c>
    </row>
    <row r="2690" spans="1:2">
      <c r="A2690" s="3">
        <f ca="1">IFERROR(__xludf.DUMMYFUNCTION("""COMPUTED_VALUE"""),42255.6666666666)</f>
        <v>42255.666666666599</v>
      </c>
      <c r="B2690" s="1">
        <f ca="1">IFERROR(__xludf.DUMMYFUNCTION("""COMPUTED_VALUE"""),28.08)</f>
        <v>28.08</v>
      </c>
    </row>
    <row r="2691" spans="1:2">
      <c r="A2691" s="3">
        <f ca="1">IFERROR(__xludf.DUMMYFUNCTION("""COMPUTED_VALUE"""),42256.6666666666)</f>
        <v>42256.666666666599</v>
      </c>
      <c r="B2691" s="1">
        <f ca="1">IFERROR(__xludf.DUMMYFUNCTION("""COMPUTED_VALUE"""),27.54)</f>
        <v>27.54</v>
      </c>
    </row>
    <row r="2692" spans="1:2">
      <c r="A2692" s="3">
        <f ca="1">IFERROR(__xludf.DUMMYFUNCTION("""COMPUTED_VALUE"""),42257.6666666666)</f>
        <v>42257.666666666599</v>
      </c>
      <c r="B2692" s="1">
        <f ca="1">IFERROR(__xludf.DUMMYFUNCTION("""COMPUTED_VALUE"""),28.14)</f>
        <v>28.14</v>
      </c>
    </row>
    <row r="2693" spans="1:2">
      <c r="A2693" s="3">
        <f ca="1">IFERROR(__xludf.DUMMYFUNCTION("""COMPUTED_VALUE"""),42258.6666666666)</f>
        <v>42258.666666666599</v>
      </c>
      <c r="B2693" s="1">
        <f ca="1">IFERROR(__xludf.DUMMYFUNCTION("""COMPUTED_VALUE"""),28.55)</f>
        <v>28.55</v>
      </c>
    </row>
    <row r="2694" spans="1:2">
      <c r="A2694" s="3">
        <f ca="1">IFERROR(__xludf.DUMMYFUNCTION("""COMPUTED_VALUE"""),42261.6666666666)</f>
        <v>42261.666666666599</v>
      </c>
      <c r="B2694" s="1">
        <f ca="1">IFERROR(__xludf.DUMMYFUNCTION("""COMPUTED_VALUE"""),28.83)</f>
        <v>28.83</v>
      </c>
    </row>
    <row r="2695" spans="1:2">
      <c r="A2695" s="3">
        <f ca="1">IFERROR(__xludf.DUMMYFUNCTION("""COMPUTED_VALUE"""),42262.6666666666)</f>
        <v>42262.666666666599</v>
      </c>
      <c r="B2695" s="1">
        <f ca="1">IFERROR(__xludf.DUMMYFUNCTION("""COMPUTED_VALUE"""),29.07)</f>
        <v>29.07</v>
      </c>
    </row>
    <row r="2696" spans="1:2">
      <c r="A2696" s="3">
        <f ca="1">IFERROR(__xludf.DUMMYFUNCTION("""COMPUTED_VALUE"""),42263.6666666666)</f>
        <v>42263.666666666599</v>
      </c>
      <c r="B2696" s="1">
        <f ca="1">IFERROR(__xludf.DUMMYFUNCTION("""COMPUTED_VALUE"""),29.1)</f>
        <v>29.1</v>
      </c>
    </row>
    <row r="2697" spans="1:2">
      <c r="A2697" s="3">
        <f ca="1">IFERROR(__xludf.DUMMYFUNCTION("""COMPUTED_VALUE"""),42264.6666666666)</f>
        <v>42264.666666666599</v>
      </c>
      <c r="B2697" s="1">
        <f ca="1">IFERROR(__xludf.DUMMYFUNCTION("""COMPUTED_VALUE"""),28.48)</f>
        <v>28.48</v>
      </c>
    </row>
    <row r="2698" spans="1:2">
      <c r="A2698" s="3">
        <f ca="1">IFERROR(__xludf.DUMMYFUNCTION("""COMPUTED_VALUE"""),42265.6666666666)</f>
        <v>42265.666666666599</v>
      </c>
      <c r="B2698" s="1">
        <f ca="1">IFERROR(__xludf.DUMMYFUNCTION("""COMPUTED_VALUE"""),28.36)</f>
        <v>28.36</v>
      </c>
    </row>
    <row r="2699" spans="1:2">
      <c r="A2699" s="3">
        <f ca="1">IFERROR(__xludf.DUMMYFUNCTION("""COMPUTED_VALUE"""),42268.6666666666)</f>
        <v>42268.666666666599</v>
      </c>
      <c r="B2699" s="1">
        <f ca="1">IFERROR(__xludf.DUMMYFUNCTION("""COMPUTED_VALUE"""),28.8)</f>
        <v>28.8</v>
      </c>
    </row>
    <row r="2700" spans="1:2">
      <c r="A2700" s="3">
        <f ca="1">IFERROR(__xludf.DUMMYFUNCTION("""COMPUTED_VALUE"""),42269.6666666666)</f>
        <v>42269.666666666599</v>
      </c>
      <c r="B2700" s="1">
        <f ca="1">IFERROR(__xludf.DUMMYFUNCTION("""COMPUTED_VALUE"""),28.35)</f>
        <v>28.35</v>
      </c>
    </row>
    <row r="2701" spans="1:2">
      <c r="A2701" s="3">
        <f ca="1">IFERROR(__xludf.DUMMYFUNCTION("""COMPUTED_VALUE"""),42270.6666666666)</f>
        <v>42270.666666666599</v>
      </c>
      <c r="B2701" s="1">
        <f ca="1">IFERROR(__xludf.DUMMYFUNCTION("""COMPUTED_VALUE"""),28.58)</f>
        <v>28.58</v>
      </c>
    </row>
    <row r="2702" spans="1:2">
      <c r="A2702" s="3">
        <f ca="1">IFERROR(__xludf.DUMMYFUNCTION("""COMPUTED_VALUE"""),42271.6666666666)</f>
        <v>42271.666666666599</v>
      </c>
      <c r="B2702" s="1">
        <f ca="1">IFERROR(__xludf.DUMMYFUNCTION("""COMPUTED_VALUE"""),28.75)</f>
        <v>28.75</v>
      </c>
    </row>
    <row r="2703" spans="1:2">
      <c r="A2703" s="3">
        <f ca="1">IFERROR(__xludf.DUMMYFUNCTION("""COMPUTED_VALUE"""),42272.6666666666)</f>
        <v>42272.666666666599</v>
      </c>
      <c r="B2703" s="1">
        <f ca="1">IFERROR(__xludf.DUMMYFUNCTION("""COMPUTED_VALUE"""),28.68)</f>
        <v>28.68</v>
      </c>
    </row>
    <row r="2704" spans="1:2">
      <c r="A2704" s="3">
        <f ca="1">IFERROR(__xludf.DUMMYFUNCTION("""COMPUTED_VALUE"""),42275.6666666666)</f>
        <v>42275.666666666599</v>
      </c>
      <c r="B2704" s="1">
        <f ca="1">IFERROR(__xludf.DUMMYFUNCTION("""COMPUTED_VALUE"""),28.11)</f>
        <v>28.11</v>
      </c>
    </row>
    <row r="2705" spans="1:2">
      <c r="A2705" s="3">
        <f ca="1">IFERROR(__xludf.DUMMYFUNCTION("""COMPUTED_VALUE"""),42276.6666666666)</f>
        <v>42276.666666666599</v>
      </c>
      <c r="B2705" s="1">
        <f ca="1">IFERROR(__xludf.DUMMYFUNCTION("""COMPUTED_VALUE"""),27.27)</f>
        <v>27.27</v>
      </c>
    </row>
    <row r="2706" spans="1:2">
      <c r="A2706" s="3">
        <f ca="1">IFERROR(__xludf.DUMMYFUNCTION("""COMPUTED_VALUE"""),42277.6666666666)</f>
        <v>42277.666666666599</v>
      </c>
      <c r="B2706" s="1">
        <f ca="1">IFERROR(__xludf.DUMMYFUNCTION("""COMPUTED_VALUE"""),27.58)</f>
        <v>27.58</v>
      </c>
    </row>
    <row r="2707" spans="1:2">
      <c r="A2707" s="3">
        <f ca="1">IFERROR(__xludf.DUMMYFUNCTION("""COMPUTED_VALUE"""),42278.6666666666)</f>
        <v>42278.666666666599</v>
      </c>
      <c r="B2707" s="1">
        <f ca="1">IFERROR(__xludf.DUMMYFUNCTION("""COMPUTED_VALUE"""),27.4)</f>
        <v>27.4</v>
      </c>
    </row>
    <row r="2708" spans="1:2">
      <c r="A2708" s="3">
        <f ca="1">IFERROR(__xludf.DUMMYFUNCTION("""COMPUTED_VALUE"""),42279.6666666666)</f>
        <v>42279.666666666599</v>
      </c>
      <c r="B2708" s="1">
        <f ca="1">IFERROR(__xludf.DUMMYFUNCTION("""COMPUTED_VALUE"""),27.6)</f>
        <v>27.6</v>
      </c>
    </row>
    <row r="2709" spans="1:2">
      <c r="A2709" s="3">
        <f ca="1">IFERROR(__xludf.DUMMYFUNCTION("""COMPUTED_VALUE"""),42282.6666666666)</f>
        <v>42282.666666666599</v>
      </c>
      <c r="B2709" s="1">
        <f ca="1">IFERROR(__xludf.DUMMYFUNCTION("""COMPUTED_VALUE"""),27.7)</f>
        <v>27.7</v>
      </c>
    </row>
    <row r="2710" spans="1:2">
      <c r="A2710" s="3">
        <f ca="1">IFERROR(__xludf.DUMMYFUNCTION("""COMPUTED_VALUE"""),42283.6666666666)</f>
        <v>42283.666666666599</v>
      </c>
      <c r="B2710" s="1">
        <f ca="1">IFERROR(__xludf.DUMMYFUNCTION("""COMPUTED_VALUE"""),27.83)</f>
        <v>27.83</v>
      </c>
    </row>
    <row r="2711" spans="1:2">
      <c r="A2711" s="3">
        <f ca="1">IFERROR(__xludf.DUMMYFUNCTION("""COMPUTED_VALUE"""),42284.6666666666)</f>
        <v>42284.666666666599</v>
      </c>
      <c r="B2711" s="1">
        <f ca="1">IFERROR(__xludf.DUMMYFUNCTION("""COMPUTED_VALUE"""),27.7)</f>
        <v>27.7</v>
      </c>
    </row>
    <row r="2712" spans="1:2">
      <c r="A2712" s="3">
        <f ca="1">IFERROR(__xludf.DUMMYFUNCTION("""COMPUTED_VALUE"""),42285.6666666666)</f>
        <v>42285.666666666599</v>
      </c>
      <c r="B2712" s="1">
        <f ca="1">IFERROR(__xludf.DUMMYFUNCTION("""COMPUTED_VALUE"""),27.38)</f>
        <v>27.38</v>
      </c>
    </row>
    <row r="2713" spans="1:2">
      <c r="A2713" s="3">
        <f ca="1">IFERROR(__xludf.DUMMYFUNCTION("""COMPUTED_VALUE"""),42286.6666666666)</f>
        <v>42286.666666666599</v>
      </c>
      <c r="B2713" s="1">
        <f ca="1">IFERROR(__xludf.DUMMYFUNCTION("""COMPUTED_VALUE"""),28.03)</f>
        <v>28.03</v>
      </c>
    </row>
    <row r="2714" spans="1:2">
      <c r="A2714" s="3">
        <f ca="1">IFERROR(__xludf.DUMMYFUNCTION("""COMPUTED_VALUE"""),42289.6666666666)</f>
        <v>42289.666666666599</v>
      </c>
      <c r="B2714" s="1">
        <f ca="1">IFERROR(__xludf.DUMMYFUNCTION("""COMPUTED_VALUE"""),27.9)</f>
        <v>27.9</v>
      </c>
    </row>
    <row r="2715" spans="1:2">
      <c r="A2715" s="3">
        <f ca="1">IFERROR(__xludf.DUMMYFUNCTION("""COMPUTED_VALUE"""),42290.6666666666)</f>
        <v>42290.666666666599</v>
      </c>
      <c r="B2715" s="1">
        <f ca="1">IFERROR(__xludf.DUMMYFUNCTION("""COMPUTED_VALUE"""),27.95)</f>
        <v>27.95</v>
      </c>
    </row>
    <row r="2716" spans="1:2">
      <c r="A2716" s="3">
        <f ca="1">IFERROR(__xludf.DUMMYFUNCTION("""COMPUTED_VALUE"""),42291.6666666666)</f>
        <v>42291.666666666599</v>
      </c>
      <c r="B2716" s="1">
        <f ca="1">IFERROR(__xludf.DUMMYFUNCTION("""COMPUTED_VALUE"""),27.55)</f>
        <v>27.55</v>
      </c>
    </row>
    <row r="2717" spans="1:2">
      <c r="A2717" s="3">
        <f ca="1">IFERROR(__xludf.DUMMYFUNCTION("""COMPUTED_VALUE"""),42292.6666666666)</f>
        <v>42292.666666666599</v>
      </c>
      <c r="B2717" s="1">
        <f ca="1">IFERROR(__xludf.DUMMYFUNCTION("""COMPUTED_VALUE"""),27.97)</f>
        <v>27.97</v>
      </c>
    </row>
    <row r="2718" spans="1:2">
      <c r="A2718" s="3">
        <f ca="1">IFERROR(__xludf.DUMMYFUNCTION("""COMPUTED_VALUE"""),42293.6666666666)</f>
        <v>42293.666666666599</v>
      </c>
      <c r="B2718" s="1">
        <f ca="1">IFERROR(__xludf.DUMMYFUNCTION("""COMPUTED_VALUE"""),27.76)</f>
        <v>27.76</v>
      </c>
    </row>
    <row r="2719" spans="1:2">
      <c r="A2719" s="3">
        <f ca="1">IFERROR(__xludf.DUMMYFUNCTION("""COMPUTED_VALUE"""),42296.6666666666)</f>
        <v>42296.666666666599</v>
      </c>
      <c r="B2719" s="1">
        <f ca="1">IFERROR(__xludf.DUMMYFUNCTION("""COMPUTED_VALUE"""),27.93)</f>
        <v>27.93</v>
      </c>
    </row>
    <row r="2720" spans="1:2">
      <c r="A2720" s="3">
        <f ca="1">IFERROR(__xludf.DUMMYFUNCTION("""COMPUTED_VALUE"""),42297.6666666666)</f>
        <v>42297.666666666599</v>
      </c>
      <c r="B2720" s="1">
        <f ca="1">IFERROR(__xludf.DUMMYFUNCTION("""COMPUTED_VALUE"""),28.44)</f>
        <v>28.44</v>
      </c>
    </row>
    <row r="2721" spans="1:2">
      <c r="A2721" s="3">
        <f ca="1">IFERROR(__xludf.DUMMYFUNCTION("""COMPUTED_VALUE"""),42298.6666666666)</f>
        <v>42298.666666666599</v>
      </c>
      <c r="B2721" s="1">
        <f ca="1">IFERROR(__xludf.DUMMYFUNCTION("""COMPUTED_VALUE"""),28.44)</f>
        <v>28.44</v>
      </c>
    </row>
    <row r="2722" spans="1:2">
      <c r="A2722" s="3">
        <f ca="1">IFERROR(__xludf.DUMMYFUNCTION("""COMPUTED_VALUE"""),42299.6666666666)</f>
        <v>42299.666666666599</v>
      </c>
      <c r="B2722" s="1">
        <f ca="1">IFERROR(__xludf.DUMMYFUNCTION("""COMPUTED_VALUE"""),28.88)</f>
        <v>28.88</v>
      </c>
    </row>
    <row r="2723" spans="1:2">
      <c r="A2723" s="3">
        <f ca="1">IFERROR(__xludf.DUMMYFUNCTION("""COMPUTED_VALUE"""),42300.6666666666)</f>
        <v>42300.666666666599</v>
      </c>
      <c r="B2723" s="1">
        <f ca="1">IFERROR(__xludf.DUMMYFUNCTION("""COMPUTED_VALUE"""),29.77)</f>
        <v>29.77</v>
      </c>
    </row>
    <row r="2724" spans="1:2">
      <c r="A2724" s="3">
        <f ca="1">IFERROR(__xludf.DUMMYFUNCTION("""COMPUTED_VALUE"""),42303.6666666666)</f>
        <v>42303.666666666599</v>
      </c>
      <c r="B2724" s="1">
        <f ca="1">IFERROR(__xludf.DUMMYFUNCTION("""COMPUTED_VALUE"""),28.82)</f>
        <v>28.82</v>
      </c>
    </row>
    <row r="2725" spans="1:2">
      <c r="A2725" s="3">
        <f ca="1">IFERROR(__xludf.DUMMYFUNCTION("""COMPUTED_VALUE"""),42304.6666666666)</f>
        <v>42304.666666666599</v>
      </c>
      <c r="B2725" s="1">
        <f ca="1">IFERROR(__xludf.DUMMYFUNCTION("""COMPUTED_VALUE"""),28.64)</f>
        <v>28.64</v>
      </c>
    </row>
    <row r="2726" spans="1:2">
      <c r="A2726" s="3">
        <f ca="1">IFERROR(__xludf.DUMMYFUNCTION("""COMPUTED_VALUE"""),42305.6666666666)</f>
        <v>42305.666666666599</v>
      </c>
      <c r="B2726" s="1">
        <f ca="1">IFERROR(__xludf.DUMMYFUNCTION("""COMPUTED_VALUE"""),29.82)</f>
        <v>29.82</v>
      </c>
    </row>
    <row r="2727" spans="1:2">
      <c r="A2727" s="3">
        <f ca="1">IFERROR(__xludf.DUMMYFUNCTION("""COMPUTED_VALUE"""),42306.6666666666)</f>
        <v>42306.666666666599</v>
      </c>
      <c r="B2727" s="1">
        <f ca="1">IFERROR(__xludf.DUMMYFUNCTION("""COMPUTED_VALUE"""),30.13)</f>
        <v>30.13</v>
      </c>
    </row>
    <row r="2728" spans="1:2">
      <c r="A2728" s="3">
        <f ca="1">IFERROR(__xludf.DUMMYFUNCTION("""COMPUTED_VALUE"""),42307.6666666666)</f>
        <v>42307.666666666599</v>
      </c>
      <c r="B2728" s="1">
        <f ca="1">IFERROR(__xludf.DUMMYFUNCTION("""COMPUTED_VALUE"""),29.88)</f>
        <v>29.88</v>
      </c>
    </row>
    <row r="2729" spans="1:2">
      <c r="A2729" s="3">
        <f ca="1">IFERROR(__xludf.DUMMYFUNCTION("""COMPUTED_VALUE"""),42310.6666666666)</f>
        <v>42310.666666666599</v>
      </c>
      <c r="B2729" s="1">
        <f ca="1">IFERROR(__xludf.DUMMYFUNCTION("""COMPUTED_VALUE"""),30.3)</f>
        <v>30.3</v>
      </c>
    </row>
    <row r="2730" spans="1:2">
      <c r="A2730" s="3">
        <f ca="1">IFERROR(__xludf.DUMMYFUNCTION("""COMPUTED_VALUE"""),42311.6666666666)</f>
        <v>42311.666666666599</v>
      </c>
      <c r="B2730" s="1">
        <f ca="1">IFERROR(__xludf.DUMMYFUNCTION("""COMPUTED_VALUE"""),30.64)</f>
        <v>30.64</v>
      </c>
    </row>
    <row r="2731" spans="1:2">
      <c r="A2731" s="3">
        <f ca="1">IFERROR(__xludf.DUMMYFUNCTION("""COMPUTED_VALUE"""),42312.6666666666)</f>
        <v>42312.666666666599</v>
      </c>
      <c r="B2731" s="1">
        <f ca="1">IFERROR(__xludf.DUMMYFUNCTION("""COMPUTED_VALUE"""),30.5)</f>
        <v>30.5</v>
      </c>
    </row>
    <row r="2732" spans="1:2">
      <c r="A2732" s="3">
        <f ca="1">IFERROR(__xludf.DUMMYFUNCTION("""COMPUTED_VALUE"""),42313.6666666666)</f>
        <v>42313.666666666599</v>
      </c>
      <c r="B2732" s="1">
        <f ca="1">IFERROR(__xludf.DUMMYFUNCTION("""COMPUTED_VALUE"""),30.23)</f>
        <v>30.23</v>
      </c>
    </row>
    <row r="2733" spans="1:2">
      <c r="A2733" s="3">
        <f ca="1">IFERROR(__xludf.DUMMYFUNCTION("""COMPUTED_VALUE"""),42314.6666666666)</f>
        <v>42314.666666666599</v>
      </c>
      <c r="B2733" s="1">
        <f ca="1">IFERROR(__xludf.DUMMYFUNCTION("""COMPUTED_VALUE"""),30.27)</f>
        <v>30.27</v>
      </c>
    </row>
    <row r="2734" spans="1:2">
      <c r="A2734" s="3">
        <f ca="1">IFERROR(__xludf.DUMMYFUNCTION("""COMPUTED_VALUE"""),42317.6666666666)</f>
        <v>42317.666666666599</v>
      </c>
      <c r="B2734" s="1">
        <f ca="1">IFERROR(__xludf.DUMMYFUNCTION("""COMPUTED_VALUE"""),30.14)</f>
        <v>30.14</v>
      </c>
    </row>
    <row r="2735" spans="1:2">
      <c r="A2735" s="3">
        <f ca="1">IFERROR(__xludf.DUMMYFUNCTION("""COMPUTED_VALUE"""),42318.6666666666)</f>
        <v>42318.666666666599</v>
      </c>
      <c r="B2735" s="1">
        <f ca="1">IFERROR(__xludf.DUMMYFUNCTION("""COMPUTED_VALUE"""),29.19)</f>
        <v>29.19</v>
      </c>
    </row>
    <row r="2736" spans="1:2">
      <c r="A2736" s="3">
        <f ca="1">IFERROR(__xludf.DUMMYFUNCTION("""COMPUTED_VALUE"""),42319.6666666666)</f>
        <v>42319.666666666599</v>
      </c>
      <c r="B2736" s="1">
        <f ca="1">IFERROR(__xludf.DUMMYFUNCTION("""COMPUTED_VALUE"""),29.03)</f>
        <v>29.03</v>
      </c>
    </row>
    <row r="2737" spans="1:2">
      <c r="A2737" s="3">
        <f ca="1">IFERROR(__xludf.DUMMYFUNCTION("""COMPUTED_VALUE"""),42320.6666666666)</f>
        <v>42320.666666666599</v>
      </c>
      <c r="B2737" s="1">
        <f ca="1">IFERROR(__xludf.DUMMYFUNCTION("""COMPUTED_VALUE"""),28.93)</f>
        <v>28.93</v>
      </c>
    </row>
    <row r="2738" spans="1:2">
      <c r="A2738" s="3">
        <f ca="1">IFERROR(__xludf.DUMMYFUNCTION("""COMPUTED_VALUE"""),42321.6666666666)</f>
        <v>42321.666666666599</v>
      </c>
      <c r="B2738" s="1">
        <f ca="1">IFERROR(__xludf.DUMMYFUNCTION("""COMPUTED_VALUE"""),28.09)</f>
        <v>28.09</v>
      </c>
    </row>
    <row r="2739" spans="1:2">
      <c r="A2739" s="3">
        <f ca="1">IFERROR(__xludf.DUMMYFUNCTION("""COMPUTED_VALUE"""),42324.6666666666)</f>
        <v>42324.666666666599</v>
      </c>
      <c r="B2739" s="1">
        <f ca="1">IFERROR(__xludf.DUMMYFUNCTION("""COMPUTED_VALUE"""),28.54)</f>
        <v>28.54</v>
      </c>
    </row>
    <row r="2740" spans="1:2">
      <c r="A2740" s="3">
        <f ca="1">IFERROR(__xludf.DUMMYFUNCTION("""COMPUTED_VALUE"""),42325.6666666666)</f>
        <v>42325.666666666599</v>
      </c>
      <c r="B2740" s="1">
        <f ca="1">IFERROR(__xludf.DUMMYFUNCTION("""COMPUTED_VALUE"""),28.42)</f>
        <v>28.42</v>
      </c>
    </row>
    <row r="2741" spans="1:2">
      <c r="A2741" s="3">
        <f ca="1">IFERROR(__xludf.DUMMYFUNCTION("""COMPUTED_VALUE"""),42326.6666666666)</f>
        <v>42326.666666666599</v>
      </c>
      <c r="B2741" s="1">
        <f ca="1">IFERROR(__xludf.DUMMYFUNCTION("""COMPUTED_VALUE"""),29.32)</f>
        <v>29.32</v>
      </c>
    </row>
    <row r="2742" spans="1:2">
      <c r="A2742" s="3">
        <f ca="1">IFERROR(__xludf.DUMMYFUNCTION("""COMPUTED_VALUE"""),42327.6666666666)</f>
        <v>42327.666666666599</v>
      </c>
      <c r="B2742" s="1">
        <f ca="1">IFERROR(__xludf.DUMMYFUNCTION("""COMPUTED_VALUE"""),29.7)</f>
        <v>29.7</v>
      </c>
    </row>
    <row r="2743" spans="1:2">
      <c r="A2743" s="3">
        <f ca="1">IFERROR(__xludf.DUMMYFUNCTION("""COMPUTED_VALUE"""),42328.6666666666)</f>
        <v>42328.666666666599</v>
      </c>
      <c r="B2743" s="1">
        <f ca="1">IFERROR(__xludf.DUMMYFUNCTION("""COMPUTED_VALUE"""),29.83)</f>
        <v>29.83</v>
      </c>
    </row>
    <row r="2744" spans="1:2">
      <c r="A2744" s="3">
        <f ca="1">IFERROR(__xludf.DUMMYFUNCTION("""COMPUTED_VALUE"""),42331.6666666666)</f>
        <v>42331.666666666599</v>
      </c>
      <c r="B2744" s="1">
        <f ca="1">IFERROR(__xludf.DUMMYFUNCTION("""COMPUTED_VALUE"""),29.44)</f>
        <v>29.44</v>
      </c>
    </row>
    <row r="2745" spans="1:2">
      <c r="A2745" s="3">
        <f ca="1">IFERROR(__xludf.DUMMYFUNCTION("""COMPUTED_VALUE"""),42332.6666666666)</f>
        <v>42332.666666666599</v>
      </c>
      <c r="B2745" s="1">
        <f ca="1">IFERROR(__xludf.DUMMYFUNCTION("""COMPUTED_VALUE"""),29.72)</f>
        <v>29.72</v>
      </c>
    </row>
    <row r="2746" spans="1:2">
      <c r="A2746" s="3">
        <f ca="1">IFERROR(__xludf.DUMMYFUNCTION("""COMPUTED_VALUE"""),42333.6666666666)</f>
        <v>42333.666666666599</v>
      </c>
      <c r="B2746" s="1">
        <f ca="1">IFERROR(__xludf.DUMMYFUNCTION("""COMPUTED_VALUE"""),29.51)</f>
        <v>29.51</v>
      </c>
    </row>
    <row r="2747" spans="1:2">
      <c r="A2747" s="3">
        <f ca="1">IFERROR(__xludf.DUMMYFUNCTION("""COMPUTED_VALUE"""),42335.6666666666)</f>
        <v>42335.666666666599</v>
      </c>
      <c r="B2747" s="1">
        <f ca="1">IFERROR(__xludf.DUMMYFUNCTION("""COMPUTED_VALUE"""),29.45)</f>
        <v>29.45</v>
      </c>
    </row>
    <row r="2748" spans="1:2">
      <c r="A2748" s="3">
        <f ca="1">IFERROR(__xludf.DUMMYFUNCTION("""COMPUTED_VALUE"""),42338.6666666666)</f>
        <v>42338.666666666599</v>
      </c>
      <c r="B2748" s="1">
        <f ca="1">IFERROR(__xludf.DUMMYFUNCTION("""COMPUTED_VALUE"""),29.58)</f>
        <v>29.58</v>
      </c>
    </row>
    <row r="2749" spans="1:2">
      <c r="A2749" s="3">
        <f ca="1">IFERROR(__xludf.DUMMYFUNCTION("""COMPUTED_VALUE"""),42339.6666666666)</f>
        <v>42339.666666666599</v>
      </c>
      <c r="B2749" s="1">
        <f ca="1">IFERROR(__xludf.DUMMYFUNCTION("""COMPUTED_VALUE"""),29.34)</f>
        <v>29.34</v>
      </c>
    </row>
    <row r="2750" spans="1:2">
      <c r="A2750" s="3">
        <f ca="1">IFERROR(__xludf.DUMMYFUNCTION("""COMPUTED_VALUE"""),42340.6666666666)</f>
        <v>42340.666666666599</v>
      </c>
      <c r="B2750" s="1">
        <f ca="1">IFERROR(__xludf.DUMMYFUNCTION("""COMPUTED_VALUE"""),29.07)</f>
        <v>29.07</v>
      </c>
    </row>
    <row r="2751" spans="1:2">
      <c r="A2751" s="3">
        <f ca="1">IFERROR(__xludf.DUMMYFUNCTION("""COMPUTED_VALUE"""),42341.6666666666)</f>
        <v>42341.666666666599</v>
      </c>
      <c r="B2751" s="1">
        <f ca="1">IFERROR(__xludf.DUMMYFUNCTION("""COMPUTED_VALUE"""),28.8)</f>
        <v>28.8</v>
      </c>
    </row>
    <row r="2752" spans="1:2">
      <c r="A2752" s="3">
        <f ca="1">IFERROR(__xludf.DUMMYFUNCTION("""COMPUTED_VALUE"""),42342.6666666666)</f>
        <v>42342.666666666599</v>
      </c>
      <c r="B2752" s="1">
        <f ca="1">IFERROR(__xludf.DUMMYFUNCTION("""COMPUTED_VALUE"""),29.76)</f>
        <v>29.76</v>
      </c>
    </row>
    <row r="2753" spans="1:2">
      <c r="A2753" s="3">
        <f ca="1">IFERROR(__xludf.DUMMYFUNCTION("""COMPUTED_VALUE"""),42345.6666666666)</f>
        <v>42345.666666666599</v>
      </c>
      <c r="B2753" s="1">
        <f ca="1">IFERROR(__xludf.DUMMYFUNCTION("""COMPUTED_VALUE"""),29.57)</f>
        <v>29.57</v>
      </c>
    </row>
    <row r="2754" spans="1:2">
      <c r="A2754" s="3">
        <f ca="1">IFERROR(__xludf.DUMMYFUNCTION("""COMPUTED_VALUE"""),42346.6666666666)</f>
        <v>42346.666666666599</v>
      </c>
      <c r="B2754" s="1">
        <f ca="1">IFERROR(__xludf.DUMMYFUNCTION("""COMPUTED_VALUE"""),29.56)</f>
        <v>29.56</v>
      </c>
    </row>
    <row r="2755" spans="1:2">
      <c r="A2755" s="3">
        <f ca="1">IFERROR(__xludf.DUMMYFUNCTION("""COMPUTED_VALUE"""),42347.6666666666)</f>
        <v>42347.666666666599</v>
      </c>
      <c r="B2755" s="1">
        <f ca="1">IFERROR(__xludf.DUMMYFUNCTION("""COMPUTED_VALUE"""),28.91)</f>
        <v>28.91</v>
      </c>
    </row>
    <row r="2756" spans="1:2">
      <c r="A2756" s="3">
        <f ca="1">IFERROR(__xludf.DUMMYFUNCTION("""COMPUTED_VALUE"""),42348.6666666666)</f>
        <v>42348.666666666599</v>
      </c>
      <c r="B2756" s="1">
        <f ca="1">IFERROR(__xludf.DUMMYFUNCTION("""COMPUTED_VALUE"""),29.04)</f>
        <v>29.04</v>
      </c>
    </row>
    <row r="2757" spans="1:2">
      <c r="A2757" s="3">
        <f ca="1">IFERROR(__xludf.DUMMYFUNCTION("""COMPUTED_VALUE"""),42349.6666666666)</f>
        <v>42349.666666666599</v>
      </c>
      <c r="B2757" s="1">
        <f ca="1">IFERROR(__xludf.DUMMYFUNCTION("""COMPUTED_VALUE"""),28.3)</f>
        <v>28.3</v>
      </c>
    </row>
    <row r="2758" spans="1:2">
      <c r="A2758" s="3">
        <f ca="1">IFERROR(__xludf.DUMMYFUNCTION("""COMPUTED_VALUE"""),42352.6666666666)</f>
        <v>42352.666666666599</v>
      </c>
      <c r="B2758" s="1">
        <f ca="1">IFERROR(__xludf.DUMMYFUNCTION("""COMPUTED_VALUE"""),28.12)</f>
        <v>28.12</v>
      </c>
    </row>
    <row r="2759" spans="1:2">
      <c r="A2759" s="3">
        <f ca="1">IFERROR(__xludf.DUMMYFUNCTION("""COMPUTED_VALUE"""),42353.6666666666)</f>
        <v>42353.666666666599</v>
      </c>
      <c r="B2759" s="1">
        <f ca="1">IFERROR(__xludf.DUMMYFUNCTION("""COMPUTED_VALUE"""),27.62)</f>
        <v>27.62</v>
      </c>
    </row>
    <row r="2760" spans="1:2">
      <c r="A2760" s="3">
        <f ca="1">IFERROR(__xludf.DUMMYFUNCTION("""COMPUTED_VALUE"""),42354.6666666666)</f>
        <v>42354.666666666599</v>
      </c>
      <c r="B2760" s="1">
        <f ca="1">IFERROR(__xludf.DUMMYFUNCTION("""COMPUTED_VALUE"""),27.84)</f>
        <v>27.84</v>
      </c>
    </row>
    <row r="2761" spans="1:2">
      <c r="A2761" s="3">
        <f ca="1">IFERROR(__xludf.DUMMYFUNCTION("""COMPUTED_VALUE"""),42355.6666666666)</f>
        <v>42355.666666666599</v>
      </c>
      <c r="B2761" s="1">
        <f ca="1">IFERROR(__xludf.DUMMYFUNCTION("""COMPUTED_VALUE"""),27.25)</f>
        <v>27.25</v>
      </c>
    </row>
    <row r="2762" spans="1:2">
      <c r="A2762" s="3">
        <f ca="1">IFERROR(__xludf.DUMMYFUNCTION("""COMPUTED_VALUE"""),42356.6666666666)</f>
        <v>42356.666666666599</v>
      </c>
      <c r="B2762" s="1">
        <f ca="1">IFERROR(__xludf.DUMMYFUNCTION("""COMPUTED_VALUE"""),26.51)</f>
        <v>26.51</v>
      </c>
    </row>
    <row r="2763" spans="1:2">
      <c r="A2763" s="3">
        <f ca="1">IFERROR(__xludf.DUMMYFUNCTION("""COMPUTED_VALUE"""),42359.6666666666)</f>
        <v>42359.666666666599</v>
      </c>
      <c r="B2763" s="1">
        <f ca="1">IFERROR(__xludf.DUMMYFUNCTION("""COMPUTED_VALUE"""),26.83)</f>
        <v>26.83</v>
      </c>
    </row>
    <row r="2764" spans="1:2">
      <c r="A2764" s="3">
        <f ca="1">IFERROR(__xludf.DUMMYFUNCTION("""COMPUTED_VALUE"""),42360.6666666666)</f>
        <v>42360.666666666599</v>
      </c>
      <c r="B2764" s="1">
        <f ca="1">IFERROR(__xludf.DUMMYFUNCTION("""COMPUTED_VALUE"""),26.81)</f>
        <v>26.81</v>
      </c>
    </row>
    <row r="2765" spans="1:2">
      <c r="A2765" s="3">
        <f ca="1">IFERROR(__xludf.DUMMYFUNCTION("""COMPUTED_VALUE"""),42361.6666666666)</f>
        <v>42361.666666666599</v>
      </c>
      <c r="B2765" s="1">
        <f ca="1">IFERROR(__xludf.DUMMYFUNCTION("""COMPUTED_VALUE"""),27.15)</f>
        <v>27.15</v>
      </c>
    </row>
    <row r="2766" spans="1:2">
      <c r="A2766" s="3">
        <f ca="1">IFERROR(__xludf.DUMMYFUNCTION("""COMPUTED_VALUE"""),42362.6666666666)</f>
        <v>42362.666666666599</v>
      </c>
      <c r="B2766" s="1">
        <f ca="1">IFERROR(__xludf.DUMMYFUNCTION("""COMPUTED_VALUE"""),27.01)</f>
        <v>27.01</v>
      </c>
    </row>
    <row r="2767" spans="1:2">
      <c r="A2767" s="3">
        <f ca="1">IFERROR(__xludf.DUMMYFUNCTION("""COMPUTED_VALUE"""),42366.6666666666)</f>
        <v>42366.666666666599</v>
      </c>
      <c r="B2767" s="1">
        <f ca="1">IFERROR(__xludf.DUMMYFUNCTION("""COMPUTED_VALUE"""),26.71)</f>
        <v>26.71</v>
      </c>
    </row>
    <row r="2768" spans="1:2">
      <c r="A2768" s="3">
        <f ca="1">IFERROR(__xludf.DUMMYFUNCTION("""COMPUTED_VALUE"""),42367.6666666666)</f>
        <v>42367.666666666599</v>
      </c>
      <c r="B2768" s="1">
        <f ca="1">IFERROR(__xludf.DUMMYFUNCTION("""COMPUTED_VALUE"""),27.19)</f>
        <v>27.19</v>
      </c>
    </row>
    <row r="2769" spans="1:2">
      <c r="A2769" s="3">
        <f ca="1">IFERROR(__xludf.DUMMYFUNCTION("""COMPUTED_VALUE"""),42368.6666666666)</f>
        <v>42368.666666666599</v>
      </c>
      <c r="B2769" s="1">
        <f ca="1">IFERROR(__xludf.DUMMYFUNCTION("""COMPUTED_VALUE"""),26.83)</f>
        <v>26.83</v>
      </c>
    </row>
    <row r="2770" spans="1:2">
      <c r="A2770" s="3">
        <f ca="1">IFERROR(__xludf.DUMMYFUNCTION("""COMPUTED_VALUE"""),42369.6666666666)</f>
        <v>42369.666666666599</v>
      </c>
      <c r="B2770" s="1">
        <f ca="1">IFERROR(__xludf.DUMMYFUNCTION("""COMPUTED_VALUE"""),26.32)</f>
        <v>26.32</v>
      </c>
    </row>
    <row r="2771" spans="1:2">
      <c r="A2771" s="3">
        <f ca="1">IFERROR(__xludf.DUMMYFUNCTION("""COMPUTED_VALUE"""),42373.6666666666)</f>
        <v>42373.666666666599</v>
      </c>
      <c r="B2771" s="1">
        <f ca="1">IFERROR(__xludf.DUMMYFUNCTION("""COMPUTED_VALUE"""),26.34)</f>
        <v>26.34</v>
      </c>
    </row>
    <row r="2772" spans="1:2">
      <c r="A2772" s="3">
        <f ca="1">IFERROR(__xludf.DUMMYFUNCTION("""COMPUTED_VALUE"""),42374.6666666666)</f>
        <v>42374.666666666599</v>
      </c>
      <c r="B2772" s="1">
        <f ca="1">IFERROR(__xludf.DUMMYFUNCTION("""COMPUTED_VALUE"""),25.68)</f>
        <v>25.68</v>
      </c>
    </row>
    <row r="2773" spans="1:2">
      <c r="A2773" s="3">
        <f ca="1">IFERROR(__xludf.DUMMYFUNCTION("""COMPUTED_VALUE"""),42375.6666666666)</f>
        <v>42375.666666666599</v>
      </c>
      <c r="B2773" s="1">
        <f ca="1">IFERROR(__xludf.DUMMYFUNCTION("""COMPUTED_VALUE"""),25.18)</f>
        <v>25.18</v>
      </c>
    </row>
    <row r="2774" spans="1:2">
      <c r="A2774" s="3">
        <f ca="1">IFERROR(__xludf.DUMMYFUNCTION("""COMPUTED_VALUE"""),42376.6666666666)</f>
        <v>42376.666666666599</v>
      </c>
      <c r="B2774" s="1">
        <f ca="1">IFERROR(__xludf.DUMMYFUNCTION("""COMPUTED_VALUE"""),24.11)</f>
        <v>24.11</v>
      </c>
    </row>
    <row r="2775" spans="1:2">
      <c r="A2775" s="3">
        <f ca="1">IFERROR(__xludf.DUMMYFUNCTION("""COMPUTED_VALUE"""),42377.6666666666)</f>
        <v>42377.666666666599</v>
      </c>
      <c r="B2775" s="1">
        <f ca="1">IFERROR(__xludf.DUMMYFUNCTION("""COMPUTED_VALUE"""),24.24)</f>
        <v>24.24</v>
      </c>
    </row>
    <row r="2776" spans="1:2">
      <c r="A2776" s="3">
        <f ca="1">IFERROR(__xludf.DUMMYFUNCTION("""COMPUTED_VALUE"""),42380.6666666666)</f>
        <v>42380.666666666599</v>
      </c>
      <c r="B2776" s="1">
        <f ca="1">IFERROR(__xludf.DUMMYFUNCTION("""COMPUTED_VALUE"""),24.63)</f>
        <v>24.63</v>
      </c>
    </row>
    <row r="2777" spans="1:2">
      <c r="A2777" s="3">
        <f ca="1">IFERROR(__xludf.DUMMYFUNCTION("""COMPUTED_VALUE"""),42381.6666666666)</f>
        <v>42381.666666666599</v>
      </c>
      <c r="B2777" s="1">
        <f ca="1">IFERROR(__xludf.DUMMYFUNCTION("""COMPUTED_VALUE"""),24.99)</f>
        <v>24.99</v>
      </c>
    </row>
    <row r="2778" spans="1:2">
      <c r="A2778" s="3">
        <f ca="1">IFERROR(__xludf.DUMMYFUNCTION("""COMPUTED_VALUE"""),42382.6666666666)</f>
        <v>42382.666666666599</v>
      </c>
      <c r="B2778" s="1">
        <f ca="1">IFERROR(__xludf.DUMMYFUNCTION("""COMPUTED_VALUE"""),24.35)</f>
        <v>24.35</v>
      </c>
    </row>
    <row r="2779" spans="1:2">
      <c r="A2779" s="3">
        <f ca="1">IFERROR(__xludf.DUMMYFUNCTION("""COMPUTED_VALUE"""),42383.6666666666)</f>
        <v>42383.666666666599</v>
      </c>
      <c r="B2779" s="1">
        <f ca="1">IFERROR(__xludf.DUMMYFUNCTION("""COMPUTED_VALUE"""),24.88)</f>
        <v>24.88</v>
      </c>
    </row>
    <row r="2780" spans="1:2">
      <c r="A2780" s="3">
        <f ca="1">IFERROR(__xludf.DUMMYFUNCTION("""COMPUTED_VALUE"""),42384.6666666666)</f>
        <v>42384.666666666599</v>
      </c>
      <c r="B2780" s="1">
        <f ca="1">IFERROR(__xludf.DUMMYFUNCTION("""COMPUTED_VALUE"""),24.28)</f>
        <v>24.28</v>
      </c>
    </row>
    <row r="2781" spans="1:2">
      <c r="A2781" s="3">
        <f ca="1">IFERROR(__xludf.DUMMYFUNCTION("""COMPUTED_VALUE"""),42388.6666666666)</f>
        <v>42388.666666666599</v>
      </c>
      <c r="B2781" s="1">
        <f ca="1">IFERROR(__xludf.DUMMYFUNCTION("""COMPUTED_VALUE"""),24.17)</f>
        <v>24.17</v>
      </c>
    </row>
    <row r="2782" spans="1:2">
      <c r="A2782" s="3">
        <f ca="1">IFERROR(__xludf.DUMMYFUNCTION("""COMPUTED_VALUE"""),42389.6666666666)</f>
        <v>42389.666666666599</v>
      </c>
      <c r="B2782" s="1">
        <f ca="1">IFERROR(__xludf.DUMMYFUNCTION("""COMPUTED_VALUE"""),24.2)</f>
        <v>24.2</v>
      </c>
    </row>
    <row r="2783" spans="1:2">
      <c r="A2783" s="3">
        <f ca="1">IFERROR(__xludf.DUMMYFUNCTION("""COMPUTED_VALUE"""),42390.6666666666)</f>
        <v>42390.666666666599</v>
      </c>
      <c r="B2783" s="1">
        <f ca="1">IFERROR(__xludf.DUMMYFUNCTION("""COMPUTED_VALUE"""),24.08)</f>
        <v>24.08</v>
      </c>
    </row>
    <row r="2784" spans="1:2">
      <c r="A2784" s="3">
        <f ca="1">IFERROR(__xludf.DUMMYFUNCTION("""COMPUTED_VALUE"""),42391.6666666666)</f>
        <v>42391.666666666599</v>
      </c>
      <c r="B2784" s="1">
        <f ca="1">IFERROR(__xludf.DUMMYFUNCTION("""COMPUTED_VALUE"""),25.36)</f>
        <v>25.36</v>
      </c>
    </row>
    <row r="2785" spans="1:2">
      <c r="A2785" s="3">
        <f ca="1">IFERROR(__xludf.DUMMYFUNCTION("""COMPUTED_VALUE"""),42394.6666666666)</f>
        <v>42394.666666666599</v>
      </c>
      <c r="B2785" s="1">
        <f ca="1">IFERROR(__xludf.DUMMYFUNCTION("""COMPUTED_VALUE"""),24.86)</f>
        <v>24.86</v>
      </c>
    </row>
    <row r="2786" spans="1:2">
      <c r="A2786" s="3">
        <f ca="1">IFERROR(__xludf.DUMMYFUNCTION("""COMPUTED_VALUE"""),42395.6666666666)</f>
        <v>42395.666666666599</v>
      </c>
      <c r="B2786" s="1">
        <f ca="1">IFERROR(__xludf.DUMMYFUNCTION("""COMPUTED_VALUE"""),25)</f>
        <v>25</v>
      </c>
    </row>
    <row r="2787" spans="1:2">
      <c r="A2787" s="3">
        <f ca="1">IFERROR(__xludf.DUMMYFUNCTION("""COMPUTED_VALUE"""),42396.6666666666)</f>
        <v>42396.666666666599</v>
      </c>
      <c r="B2787" s="1">
        <f ca="1">IFERROR(__xludf.DUMMYFUNCTION("""COMPUTED_VALUE"""),23.36)</f>
        <v>23.36</v>
      </c>
    </row>
    <row r="2788" spans="1:2">
      <c r="A2788" s="3">
        <f ca="1">IFERROR(__xludf.DUMMYFUNCTION("""COMPUTED_VALUE"""),42397.6666666666)</f>
        <v>42397.666666666599</v>
      </c>
      <c r="B2788" s="1">
        <f ca="1">IFERROR(__xludf.DUMMYFUNCTION("""COMPUTED_VALUE"""),23.52)</f>
        <v>23.52</v>
      </c>
    </row>
    <row r="2789" spans="1:2">
      <c r="A2789" s="3">
        <f ca="1">IFERROR(__xludf.DUMMYFUNCTION("""COMPUTED_VALUE"""),42398.6666666666)</f>
        <v>42398.666666666599</v>
      </c>
      <c r="B2789" s="1">
        <f ca="1">IFERROR(__xludf.DUMMYFUNCTION("""COMPUTED_VALUE"""),24.34)</f>
        <v>24.34</v>
      </c>
    </row>
    <row r="2790" spans="1:2">
      <c r="A2790" s="3">
        <f ca="1">IFERROR(__xludf.DUMMYFUNCTION("""COMPUTED_VALUE"""),42401.6666666666)</f>
        <v>42401.666666666599</v>
      </c>
      <c r="B2790" s="1">
        <f ca="1">IFERROR(__xludf.DUMMYFUNCTION("""COMPUTED_VALUE"""),24.11)</f>
        <v>24.11</v>
      </c>
    </row>
    <row r="2791" spans="1:2">
      <c r="A2791" s="3">
        <f ca="1">IFERROR(__xludf.DUMMYFUNCTION("""COMPUTED_VALUE"""),42402.6666666666)</f>
        <v>42402.666666666599</v>
      </c>
      <c r="B2791" s="1">
        <f ca="1">IFERROR(__xludf.DUMMYFUNCTION("""COMPUTED_VALUE"""),23.62)</f>
        <v>23.62</v>
      </c>
    </row>
    <row r="2792" spans="1:2">
      <c r="A2792" s="3">
        <f ca="1">IFERROR(__xludf.DUMMYFUNCTION("""COMPUTED_VALUE"""),42403.6666666666)</f>
        <v>42403.666666666599</v>
      </c>
      <c r="B2792" s="1">
        <f ca="1">IFERROR(__xludf.DUMMYFUNCTION("""COMPUTED_VALUE"""),24.09)</f>
        <v>24.09</v>
      </c>
    </row>
    <row r="2793" spans="1:2">
      <c r="A2793" s="3">
        <f ca="1">IFERROR(__xludf.DUMMYFUNCTION("""COMPUTED_VALUE"""),42404.6666666666)</f>
        <v>42404.666666666599</v>
      </c>
      <c r="B2793" s="1">
        <f ca="1">IFERROR(__xludf.DUMMYFUNCTION("""COMPUTED_VALUE"""),24.15)</f>
        <v>24.15</v>
      </c>
    </row>
    <row r="2794" spans="1:2">
      <c r="A2794" s="3">
        <f ca="1">IFERROR(__xludf.DUMMYFUNCTION("""COMPUTED_VALUE"""),42405.6666666666)</f>
        <v>42405.666666666599</v>
      </c>
      <c r="B2794" s="1">
        <f ca="1">IFERROR(__xludf.DUMMYFUNCTION("""COMPUTED_VALUE"""),23.51)</f>
        <v>23.51</v>
      </c>
    </row>
    <row r="2795" spans="1:2">
      <c r="A2795" s="3">
        <f ca="1">IFERROR(__xludf.DUMMYFUNCTION("""COMPUTED_VALUE"""),42408.6666666666)</f>
        <v>42408.666666666599</v>
      </c>
      <c r="B2795" s="1">
        <f ca="1">IFERROR(__xludf.DUMMYFUNCTION("""COMPUTED_VALUE"""),23.75)</f>
        <v>23.75</v>
      </c>
    </row>
    <row r="2796" spans="1:2">
      <c r="A2796" s="3">
        <f ca="1">IFERROR(__xludf.DUMMYFUNCTION("""COMPUTED_VALUE"""),42409.6666666666)</f>
        <v>42409.666666666599</v>
      </c>
      <c r="B2796" s="1">
        <f ca="1">IFERROR(__xludf.DUMMYFUNCTION("""COMPUTED_VALUE"""),23.75)</f>
        <v>23.75</v>
      </c>
    </row>
    <row r="2797" spans="1:2">
      <c r="A2797" s="3">
        <f ca="1">IFERROR(__xludf.DUMMYFUNCTION("""COMPUTED_VALUE"""),42410.6666666666)</f>
        <v>42410.666666666599</v>
      </c>
      <c r="B2797" s="1">
        <f ca="1">IFERROR(__xludf.DUMMYFUNCTION("""COMPUTED_VALUE"""),23.57)</f>
        <v>23.57</v>
      </c>
    </row>
    <row r="2798" spans="1:2">
      <c r="A2798" s="3">
        <f ca="1">IFERROR(__xludf.DUMMYFUNCTION("""COMPUTED_VALUE"""),42411.6666666666)</f>
        <v>42411.666666666599</v>
      </c>
      <c r="B2798" s="1">
        <f ca="1">IFERROR(__xludf.DUMMYFUNCTION("""COMPUTED_VALUE"""),23.43)</f>
        <v>23.43</v>
      </c>
    </row>
    <row r="2799" spans="1:2">
      <c r="A2799" s="3">
        <f ca="1">IFERROR(__xludf.DUMMYFUNCTION("""COMPUTED_VALUE"""),42412.6666666666)</f>
        <v>42412.666666666599</v>
      </c>
      <c r="B2799" s="1">
        <f ca="1">IFERROR(__xludf.DUMMYFUNCTION("""COMPUTED_VALUE"""),23.5)</f>
        <v>23.5</v>
      </c>
    </row>
    <row r="2800" spans="1:2">
      <c r="A2800" s="3">
        <f ca="1">IFERROR(__xludf.DUMMYFUNCTION("""COMPUTED_VALUE"""),42416.6666666666)</f>
        <v>42416.666666666599</v>
      </c>
      <c r="B2800" s="1">
        <f ca="1">IFERROR(__xludf.DUMMYFUNCTION("""COMPUTED_VALUE"""),24.16)</f>
        <v>24.16</v>
      </c>
    </row>
    <row r="2801" spans="1:2">
      <c r="A2801" s="3">
        <f ca="1">IFERROR(__xludf.DUMMYFUNCTION("""COMPUTED_VALUE"""),42417.6666666666)</f>
        <v>42417.666666666599</v>
      </c>
      <c r="B2801" s="1">
        <f ca="1">IFERROR(__xludf.DUMMYFUNCTION("""COMPUTED_VALUE"""),24.53)</f>
        <v>24.53</v>
      </c>
    </row>
    <row r="2802" spans="1:2">
      <c r="A2802" s="3">
        <f ca="1">IFERROR(__xludf.DUMMYFUNCTION("""COMPUTED_VALUE"""),42418.6666666666)</f>
        <v>42418.666666666599</v>
      </c>
      <c r="B2802" s="1">
        <f ca="1">IFERROR(__xludf.DUMMYFUNCTION("""COMPUTED_VALUE"""),24.07)</f>
        <v>24.07</v>
      </c>
    </row>
    <row r="2803" spans="1:2">
      <c r="A2803" s="3">
        <f ca="1">IFERROR(__xludf.DUMMYFUNCTION("""COMPUTED_VALUE"""),42419.6666666666)</f>
        <v>42419.666666666599</v>
      </c>
      <c r="B2803" s="1">
        <f ca="1">IFERROR(__xludf.DUMMYFUNCTION("""COMPUTED_VALUE"""),24.01)</f>
        <v>24.01</v>
      </c>
    </row>
    <row r="2804" spans="1:2">
      <c r="A2804" s="3">
        <f ca="1">IFERROR(__xludf.DUMMYFUNCTION("""COMPUTED_VALUE"""),42422.6666666666)</f>
        <v>42422.666666666599</v>
      </c>
      <c r="B2804" s="1">
        <f ca="1">IFERROR(__xludf.DUMMYFUNCTION("""COMPUTED_VALUE"""),24.22)</f>
        <v>24.22</v>
      </c>
    </row>
    <row r="2805" spans="1:2">
      <c r="A2805" s="3">
        <f ca="1">IFERROR(__xludf.DUMMYFUNCTION("""COMPUTED_VALUE"""),42423.6666666666)</f>
        <v>42423.666666666599</v>
      </c>
      <c r="B2805" s="1">
        <f ca="1">IFERROR(__xludf.DUMMYFUNCTION("""COMPUTED_VALUE"""),23.67)</f>
        <v>23.67</v>
      </c>
    </row>
    <row r="2806" spans="1:2">
      <c r="A2806" s="3">
        <f ca="1">IFERROR(__xludf.DUMMYFUNCTION("""COMPUTED_VALUE"""),42424.6666666666)</f>
        <v>42424.666666666599</v>
      </c>
      <c r="B2806" s="1">
        <f ca="1">IFERROR(__xludf.DUMMYFUNCTION("""COMPUTED_VALUE"""),24.03)</f>
        <v>24.03</v>
      </c>
    </row>
    <row r="2807" spans="1:2">
      <c r="A2807" s="3">
        <f ca="1">IFERROR(__xludf.DUMMYFUNCTION("""COMPUTED_VALUE"""),42425.6666666666)</f>
        <v>42425.666666666599</v>
      </c>
      <c r="B2807" s="1">
        <f ca="1">IFERROR(__xludf.DUMMYFUNCTION("""COMPUTED_VALUE"""),24.19)</f>
        <v>24.19</v>
      </c>
    </row>
    <row r="2808" spans="1:2">
      <c r="A2808" s="3">
        <f ca="1">IFERROR(__xludf.DUMMYFUNCTION("""COMPUTED_VALUE"""),42426.6666666666)</f>
        <v>42426.666666666599</v>
      </c>
      <c r="B2808" s="1">
        <f ca="1">IFERROR(__xludf.DUMMYFUNCTION("""COMPUTED_VALUE"""),24.23)</f>
        <v>24.23</v>
      </c>
    </row>
    <row r="2809" spans="1:2">
      <c r="A2809" s="3">
        <f ca="1">IFERROR(__xludf.DUMMYFUNCTION("""COMPUTED_VALUE"""),42429.6666666666)</f>
        <v>42429.666666666599</v>
      </c>
      <c r="B2809" s="1">
        <f ca="1">IFERROR(__xludf.DUMMYFUNCTION("""COMPUTED_VALUE"""),24.17)</f>
        <v>24.17</v>
      </c>
    </row>
    <row r="2810" spans="1:2">
      <c r="A2810" s="3">
        <f ca="1">IFERROR(__xludf.DUMMYFUNCTION("""COMPUTED_VALUE"""),42430.6666666666)</f>
        <v>42430.666666666599</v>
      </c>
      <c r="B2810" s="1">
        <f ca="1">IFERROR(__xludf.DUMMYFUNCTION("""COMPUTED_VALUE"""),25.13)</f>
        <v>25.13</v>
      </c>
    </row>
    <row r="2811" spans="1:2">
      <c r="A2811" s="3">
        <f ca="1">IFERROR(__xludf.DUMMYFUNCTION("""COMPUTED_VALUE"""),42431.6666666666)</f>
        <v>42431.666666666599</v>
      </c>
      <c r="B2811" s="1">
        <f ca="1">IFERROR(__xludf.DUMMYFUNCTION("""COMPUTED_VALUE"""),25.19)</f>
        <v>25.19</v>
      </c>
    </row>
    <row r="2812" spans="1:2">
      <c r="A2812" s="3">
        <f ca="1">IFERROR(__xludf.DUMMYFUNCTION("""COMPUTED_VALUE"""),42432.6666666666)</f>
        <v>42432.666666666599</v>
      </c>
      <c r="B2812" s="1">
        <f ca="1">IFERROR(__xludf.DUMMYFUNCTION("""COMPUTED_VALUE"""),25.38)</f>
        <v>25.38</v>
      </c>
    </row>
    <row r="2813" spans="1:2">
      <c r="A2813" s="3">
        <f ca="1">IFERROR(__xludf.DUMMYFUNCTION("""COMPUTED_VALUE"""),42433.6666666666)</f>
        <v>42433.666666666599</v>
      </c>
      <c r="B2813" s="1">
        <f ca="1">IFERROR(__xludf.DUMMYFUNCTION("""COMPUTED_VALUE"""),25.75)</f>
        <v>25.75</v>
      </c>
    </row>
    <row r="2814" spans="1:2">
      <c r="A2814" s="3">
        <f ca="1">IFERROR(__xludf.DUMMYFUNCTION("""COMPUTED_VALUE"""),42436.6666666666)</f>
        <v>42436.666666666599</v>
      </c>
      <c r="B2814" s="1">
        <f ca="1">IFERROR(__xludf.DUMMYFUNCTION("""COMPUTED_VALUE"""),25.47)</f>
        <v>25.47</v>
      </c>
    </row>
    <row r="2815" spans="1:2">
      <c r="A2815" s="3">
        <f ca="1">IFERROR(__xludf.DUMMYFUNCTION("""COMPUTED_VALUE"""),42437.6666666666)</f>
        <v>42437.666666666599</v>
      </c>
      <c r="B2815" s="1">
        <f ca="1">IFERROR(__xludf.DUMMYFUNCTION("""COMPUTED_VALUE"""),25.26)</f>
        <v>25.26</v>
      </c>
    </row>
    <row r="2816" spans="1:2">
      <c r="A2816" s="3">
        <f ca="1">IFERROR(__xludf.DUMMYFUNCTION("""COMPUTED_VALUE"""),42438.6666666666)</f>
        <v>42438.666666666599</v>
      </c>
      <c r="B2816" s="1">
        <f ca="1">IFERROR(__xludf.DUMMYFUNCTION("""COMPUTED_VALUE"""),25.28)</f>
        <v>25.28</v>
      </c>
    </row>
    <row r="2817" spans="1:2">
      <c r="A2817" s="3">
        <f ca="1">IFERROR(__xludf.DUMMYFUNCTION("""COMPUTED_VALUE"""),42439.6666666666)</f>
        <v>42439.666666666599</v>
      </c>
      <c r="B2817" s="1">
        <f ca="1">IFERROR(__xludf.DUMMYFUNCTION("""COMPUTED_VALUE"""),25.29)</f>
        <v>25.29</v>
      </c>
    </row>
    <row r="2818" spans="1:2">
      <c r="A2818" s="3">
        <f ca="1">IFERROR(__xludf.DUMMYFUNCTION("""COMPUTED_VALUE"""),42440.6666666666)</f>
        <v>42440.666666666599</v>
      </c>
      <c r="B2818" s="1">
        <f ca="1">IFERROR(__xludf.DUMMYFUNCTION("""COMPUTED_VALUE"""),25.57)</f>
        <v>25.57</v>
      </c>
    </row>
    <row r="2819" spans="1:2">
      <c r="A2819" s="3">
        <f ca="1">IFERROR(__xludf.DUMMYFUNCTION("""COMPUTED_VALUE"""),42443.6666666666)</f>
        <v>42443.666666666599</v>
      </c>
      <c r="B2819" s="1">
        <f ca="1">IFERROR(__xludf.DUMMYFUNCTION("""COMPUTED_VALUE"""),25.63)</f>
        <v>25.63</v>
      </c>
    </row>
    <row r="2820" spans="1:2">
      <c r="A2820" s="3">
        <f ca="1">IFERROR(__xludf.DUMMYFUNCTION("""COMPUTED_VALUE"""),42444.6666666666)</f>
        <v>42444.666666666599</v>
      </c>
      <c r="B2820" s="1">
        <f ca="1">IFERROR(__xludf.DUMMYFUNCTION("""COMPUTED_VALUE"""),26.15)</f>
        <v>26.15</v>
      </c>
    </row>
    <row r="2821" spans="1:2">
      <c r="A2821" s="3">
        <f ca="1">IFERROR(__xludf.DUMMYFUNCTION("""COMPUTED_VALUE"""),42445.6666666666)</f>
        <v>42445.666666666599</v>
      </c>
      <c r="B2821" s="1">
        <f ca="1">IFERROR(__xludf.DUMMYFUNCTION("""COMPUTED_VALUE"""),26.49)</f>
        <v>26.49</v>
      </c>
    </row>
    <row r="2822" spans="1:2">
      <c r="A2822" s="3">
        <f ca="1">IFERROR(__xludf.DUMMYFUNCTION("""COMPUTED_VALUE"""),42446.6666666666)</f>
        <v>42446.666666666599</v>
      </c>
      <c r="B2822" s="1">
        <f ca="1">IFERROR(__xludf.DUMMYFUNCTION("""COMPUTED_VALUE"""),26.45)</f>
        <v>26.45</v>
      </c>
    </row>
    <row r="2823" spans="1:2">
      <c r="A2823" s="3">
        <f ca="1">IFERROR(__xludf.DUMMYFUNCTION("""COMPUTED_VALUE"""),42447.6666666666)</f>
        <v>42447.666666666599</v>
      </c>
      <c r="B2823" s="1">
        <f ca="1">IFERROR(__xludf.DUMMYFUNCTION("""COMPUTED_VALUE"""),26.48)</f>
        <v>26.48</v>
      </c>
    </row>
    <row r="2824" spans="1:2">
      <c r="A2824" s="3">
        <f ca="1">IFERROR(__xludf.DUMMYFUNCTION("""COMPUTED_VALUE"""),42450.6666666666)</f>
        <v>42450.666666666599</v>
      </c>
      <c r="B2824" s="1">
        <f ca="1">IFERROR(__xludf.DUMMYFUNCTION("""COMPUTED_VALUE"""),26.48)</f>
        <v>26.48</v>
      </c>
    </row>
    <row r="2825" spans="1:2">
      <c r="A2825" s="3">
        <f ca="1">IFERROR(__xludf.DUMMYFUNCTION("""COMPUTED_VALUE"""),42451.6666666666)</f>
        <v>42451.666666666599</v>
      </c>
      <c r="B2825" s="1">
        <f ca="1">IFERROR(__xludf.DUMMYFUNCTION("""COMPUTED_VALUE"""),26.68)</f>
        <v>26.68</v>
      </c>
    </row>
    <row r="2826" spans="1:2">
      <c r="A2826" s="3">
        <f ca="1">IFERROR(__xludf.DUMMYFUNCTION("""COMPUTED_VALUE"""),42452.6666666666)</f>
        <v>42452.666666666599</v>
      </c>
      <c r="B2826" s="1">
        <f ca="1">IFERROR(__xludf.DUMMYFUNCTION("""COMPUTED_VALUE"""),26.53)</f>
        <v>26.53</v>
      </c>
    </row>
    <row r="2827" spans="1:2">
      <c r="A2827" s="3">
        <f ca="1">IFERROR(__xludf.DUMMYFUNCTION("""COMPUTED_VALUE"""),42453.6666666666)</f>
        <v>42453.666666666599</v>
      </c>
      <c r="B2827" s="1">
        <f ca="1">IFERROR(__xludf.DUMMYFUNCTION("""COMPUTED_VALUE"""),26.42)</f>
        <v>26.42</v>
      </c>
    </row>
    <row r="2828" spans="1:2">
      <c r="A2828" s="3">
        <f ca="1">IFERROR(__xludf.DUMMYFUNCTION("""COMPUTED_VALUE"""),42457.6666666666)</f>
        <v>42457.666666666599</v>
      </c>
      <c r="B2828" s="1">
        <f ca="1">IFERROR(__xludf.DUMMYFUNCTION("""COMPUTED_VALUE"""),26.3)</f>
        <v>26.3</v>
      </c>
    </row>
    <row r="2829" spans="1:2">
      <c r="A2829" s="3">
        <f ca="1">IFERROR(__xludf.DUMMYFUNCTION("""COMPUTED_VALUE"""),42458.6666666666)</f>
        <v>42458.666666666599</v>
      </c>
      <c r="B2829" s="1">
        <f ca="1">IFERROR(__xludf.DUMMYFUNCTION("""COMPUTED_VALUE"""),26.92)</f>
        <v>26.92</v>
      </c>
    </row>
    <row r="2830" spans="1:2">
      <c r="A2830" s="3">
        <f ca="1">IFERROR(__xludf.DUMMYFUNCTION("""COMPUTED_VALUE"""),42459.6666666666)</f>
        <v>42459.666666666599</v>
      </c>
      <c r="B2830" s="1">
        <f ca="1">IFERROR(__xludf.DUMMYFUNCTION("""COMPUTED_VALUE"""),27.39)</f>
        <v>27.39</v>
      </c>
    </row>
    <row r="2831" spans="1:2">
      <c r="A2831" s="3">
        <f ca="1">IFERROR(__xludf.DUMMYFUNCTION("""COMPUTED_VALUE"""),42460.6666666666)</f>
        <v>42460.666666666599</v>
      </c>
      <c r="B2831" s="1">
        <f ca="1">IFERROR(__xludf.DUMMYFUNCTION("""COMPUTED_VALUE"""),27.25)</f>
        <v>27.25</v>
      </c>
    </row>
    <row r="2832" spans="1:2">
      <c r="A2832" s="3">
        <f ca="1">IFERROR(__xludf.DUMMYFUNCTION("""COMPUTED_VALUE"""),42461.6666666666)</f>
        <v>42461.666666666599</v>
      </c>
      <c r="B2832" s="1">
        <f ca="1">IFERROR(__xludf.DUMMYFUNCTION("""COMPUTED_VALUE"""),27.5)</f>
        <v>27.5</v>
      </c>
    </row>
    <row r="2833" spans="1:2">
      <c r="A2833" s="3">
        <f ca="1">IFERROR(__xludf.DUMMYFUNCTION("""COMPUTED_VALUE"""),42464.6666666666)</f>
        <v>42464.666666666599</v>
      </c>
      <c r="B2833" s="1">
        <f ca="1">IFERROR(__xludf.DUMMYFUNCTION("""COMPUTED_VALUE"""),27.78)</f>
        <v>27.78</v>
      </c>
    </row>
    <row r="2834" spans="1:2">
      <c r="A2834" s="3">
        <f ca="1">IFERROR(__xludf.DUMMYFUNCTION("""COMPUTED_VALUE"""),42465.6666666666)</f>
        <v>42465.666666666599</v>
      </c>
      <c r="B2834" s="1">
        <f ca="1">IFERROR(__xludf.DUMMYFUNCTION("""COMPUTED_VALUE"""),27.45)</f>
        <v>27.45</v>
      </c>
    </row>
    <row r="2835" spans="1:2">
      <c r="A2835" s="3">
        <f ca="1">IFERROR(__xludf.DUMMYFUNCTION("""COMPUTED_VALUE"""),42466.6666666666)</f>
        <v>42466.666666666599</v>
      </c>
      <c r="B2835" s="1">
        <f ca="1">IFERROR(__xludf.DUMMYFUNCTION("""COMPUTED_VALUE"""),27.74)</f>
        <v>27.74</v>
      </c>
    </row>
    <row r="2836" spans="1:2">
      <c r="A2836" s="3">
        <f ca="1">IFERROR(__xludf.DUMMYFUNCTION("""COMPUTED_VALUE"""),42467.6666666666)</f>
        <v>42467.666666666599</v>
      </c>
      <c r="B2836" s="1">
        <f ca="1">IFERROR(__xludf.DUMMYFUNCTION("""COMPUTED_VALUE"""),27.14)</f>
        <v>27.14</v>
      </c>
    </row>
    <row r="2837" spans="1:2">
      <c r="A2837" s="3">
        <f ca="1">IFERROR(__xludf.DUMMYFUNCTION("""COMPUTED_VALUE"""),42468.6666666666)</f>
        <v>42468.666666666599</v>
      </c>
      <c r="B2837" s="1">
        <f ca="1">IFERROR(__xludf.DUMMYFUNCTION("""COMPUTED_VALUE"""),27.17)</f>
        <v>27.17</v>
      </c>
    </row>
    <row r="2838" spans="1:2">
      <c r="A2838" s="3">
        <f ca="1">IFERROR(__xludf.DUMMYFUNCTION("""COMPUTED_VALUE"""),42471.6666666666)</f>
        <v>42471.666666666599</v>
      </c>
      <c r="B2838" s="1">
        <f ca="1">IFERROR(__xludf.DUMMYFUNCTION("""COMPUTED_VALUE"""),27.26)</f>
        <v>27.26</v>
      </c>
    </row>
    <row r="2839" spans="1:2">
      <c r="A2839" s="3">
        <f ca="1">IFERROR(__xludf.DUMMYFUNCTION("""COMPUTED_VALUE"""),42472.6666666666)</f>
        <v>42472.666666666599</v>
      </c>
      <c r="B2839" s="1">
        <f ca="1">IFERROR(__xludf.DUMMYFUNCTION("""COMPUTED_VALUE"""),27.61)</f>
        <v>27.61</v>
      </c>
    </row>
    <row r="2840" spans="1:2">
      <c r="A2840" s="3">
        <f ca="1">IFERROR(__xludf.DUMMYFUNCTION("""COMPUTED_VALUE"""),42473.6666666666)</f>
        <v>42473.666666666599</v>
      </c>
      <c r="B2840" s="1">
        <f ca="1">IFERROR(__xludf.DUMMYFUNCTION("""COMPUTED_VALUE"""),28.01)</f>
        <v>28.01</v>
      </c>
    </row>
    <row r="2841" spans="1:2">
      <c r="A2841" s="3">
        <f ca="1">IFERROR(__xludf.DUMMYFUNCTION("""COMPUTED_VALUE"""),42474.6666666666)</f>
        <v>42474.666666666599</v>
      </c>
      <c r="B2841" s="1">
        <f ca="1">IFERROR(__xludf.DUMMYFUNCTION("""COMPUTED_VALUE"""),28.03)</f>
        <v>28.03</v>
      </c>
    </row>
    <row r="2842" spans="1:2">
      <c r="A2842" s="3">
        <f ca="1">IFERROR(__xludf.DUMMYFUNCTION("""COMPUTED_VALUE"""),42475.6666666666)</f>
        <v>42475.666666666599</v>
      </c>
      <c r="B2842" s="1">
        <f ca="1">IFERROR(__xludf.DUMMYFUNCTION("""COMPUTED_VALUE"""),27.46)</f>
        <v>27.46</v>
      </c>
    </row>
    <row r="2843" spans="1:2">
      <c r="A2843" s="3">
        <f ca="1">IFERROR(__xludf.DUMMYFUNCTION("""COMPUTED_VALUE"""),42478.6666666666)</f>
        <v>42478.666666666599</v>
      </c>
      <c r="B2843" s="1">
        <f ca="1">IFERROR(__xludf.DUMMYFUNCTION("""COMPUTED_VALUE"""),26.87)</f>
        <v>26.87</v>
      </c>
    </row>
    <row r="2844" spans="1:2">
      <c r="A2844" s="3">
        <f ca="1">IFERROR(__xludf.DUMMYFUNCTION("""COMPUTED_VALUE"""),42479.6666666666)</f>
        <v>42479.666666666599</v>
      </c>
      <c r="B2844" s="1">
        <f ca="1">IFERROR(__xludf.DUMMYFUNCTION("""COMPUTED_VALUE"""),26.73)</f>
        <v>26.73</v>
      </c>
    </row>
    <row r="2845" spans="1:2">
      <c r="A2845" s="3">
        <f ca="1">IFERROR(__xludf.DUMMYFUNCTION("""COMPUTED_VALUE"""),42480.6666666666)</f>
        <v>42480.666666666599</v>
      </c>
      <c r="B2845" s="1">
        <f ca="1">IFERROR(__xludf.DUMMYFUNCTION("""COMPUTED_VALUE"""),26.78)</f>
        <v>26.78</v>
      </c>
    </row>
    <row r="2846" spans="1:2">
      <c r="A2846" s="3">
        <f ca="1">IFERROR(__xludf.DUMMYFUNCTION("""COMPUTED_VALUE"""),42481.6666666666)</f>
        <v>42481.666666666599</v>
      </c>
      <c r="B2846" s="1">
        <f ca="1">IFERROR(__xludf.DUMMYFUNCTION("""COMPUTED_VALUE"""),26.49)</f>
        <v>26.49</v>
      </c>
    </row>
    <row r="2847" spans="1:2">
      <c r="A2847" s="3">
        <f ca="1">IFERROR(__xludf.DUMMYFUNCTION("""COMPUTED_VALUE"""),42482.6666666666)</f>
        <v>42482.666666666599</v>
      </c>
      <c r="B2847" s="1">
        <f ca="1">IFERROR(__xludf.DUMMYFUNCTION("""COMPUTED_VALUE"""),26.42)</f>
        <v>26.42</v>
      </c>
    </row>
    <row r="2848" spans="1:2">
      <c r="A2848" s="3">
        <f ca="1">IFERROR(__xludf.DUMMYFUNCTION("""COMPUTED_VALUE"""),42485.6666666666)</f>
        <v>42485.666666666599</v>
      </c>
      <c r="B2848" s="1">
        <f ca="1">IFERROR(__xludf.DUMMYFUNCTION("""COMPUTED_VALUE"""),26.27)</f>
        <v>26.27</v>
      </c>
    </row>
    <row r="2849" spans="1:2">
      <c r="A2849" s="3">
        <f ca="1">IFERROR(__xludf.DUMMYFUNCTION("""COMPUTED_VALUE"""),42486.6666666666)</f>
        <v>42486.666666666599</v>
      </c>
      <c r="B2849" s="1">
        <f ca="1">IFERROR(__xludf.DUMMYFUNCTION("""COMPUTED_VALUE"""),26.09)</f>
        <v>26.09</v>
      </c>
    </row>
    <row r="2850" spans="1:2">
      <c r="A2850" s="3">
        <f ca="1">IFERROR(__xludf.DUMMYFUNCTION("""COMPUTED_VALUE"""),42487.6666666666)</f>
        <v>42487.666666666599</v>
      </c>
      <c r="B2850" s="1">
        <f ca="1">IFERROR(__xludf.DUMMYFUNCTION("""COMPUTED_VALUE"""),24.46)</f>
        <v>24.46</v>
      </c>
    </row>
    <row r="2851" spans="1:2">
      <c r="A2851" s="3">
        <f ca="1">IFERROR(__xludf.DUMMYFUNCTION("""COMPUTED_VALUE"""),42488.6666666666)</f>
        <v>42488.666666666599</v>
      </c>
      <c r="B2851" s="1">
        <f ca="1">IFERROR(__xludf.DUMMYFUNCTION("""COMPUTED_VALUE"""),23.71)</f>
        <v>23.71</v>
      </c>
    </row>
    <row r="2852" spans="1:2">
      <c r="A2852" s="3">
        <f ca="1">IFERROR(__xludf.DUMMYFUNCTION("""COMPUTED_VALUE"""),42489.6666666666)</f>
        <v>42489.666666666599</v>
      </c>
      <c r="B2852" s="1">
        <f ca="1">IFERROR(__xludf.DUMMYFUNCTION("""COMPUTED_VALUE"""),23.44)</f>
        <v>23.44</v>
      </c>
    </row>
    <row r="2853" spans="1:2">
      <c r="A2853" s="3">
        <f ca="1">IFERROR(__xludf.DUMMYFUNCTION("""COMPUTED_VALUE"""),42492.6666666666)</f>
        <v>42492.666666666599</v>
      </c>
      <c r="B2853" s="1">
        <f ca="1">IFERROR(__xludf.DUMMYFUNCTION("""COMPUTED_VALUE"""),23.41)</f>
        <v>23.41</v>
      </c>
    </row>
    <row r="2854" spans="1:2">
      <c r="A2854" s="3">
        <f ca="1">IFERROR(__xludf.DUMMYFUNCTION("""COMPUTED_VALUE"""),42493.6666666666)</f>
        <v>42493.666666666599</v>
      </c>
      <c r="B2854" s="1">
        <f ca="1">IFERROR(__xludf.DUMMYFUNCTION("""COMPUTED_VALUE"""),23.8)</f>
        <v>23.8</v>
      </c>
    </row>
    <row r="2855" spans="1:2">
      <c r="A2855" s="3">
        <f ca="1">IFERROR(__xludf.DUMMYFUNCTION("""COMPUTED_VALUE"""),42494.6666666666)</f>
        <v>42494.666666666599</v>
      </c>
      <c r="B2855" s="1">
        <f ca="1">IFERROR(__xludf.DUMMYFUNCTION("""COMPUTED_VALUE"""),23.55)</f>
        <v>23.55</v>
      </c>
    </row>
    <row r="2856" spans="1:2">
      <c r="A2856" s="3">
        <f ca="1">IFERROR(__xludf.DUMMYFUNCTION("""COMPUTED_VALUE"""),42495.6666666666)</f>
        <v>42495.666666666599</v>
      </c>
      <c r="B2856" s="1">
        <f ca="1">IFERROR(__xludf.DUMMYFUNCTION("""COMPUTED_VALUE"""),23.31)</f>
        <v>23.31</v>
      </c>
    </row>
    <row r="2857" spans="1:2">
      <c r="A2857" s="3">
        <f ca="1">IFERROR(__xludf.DUMMYFUNCTION("""COMPUTED_VALUE"""),42496.6666666666)</f>
        <v>42496.666666666599</v>
      </c>
      <c r="B2857" s="1">
        <f ca="1">IFERROR(__xludf.DUMMYFUNCTION("""COMPUTED_VALUE"""),23.18)</f>
        <v>23.18</v>
      </c>
    </row>
    <row r="2858" spans="1:2">
      <c r="A2858" s="3">
        <f ca="1">IFERROR(__xludf.DUMMYFUNCTION("""COMPUTED_VALUE"""),42499.6666666666)</f>
        <v>42499.666666666599</v>
      </c>
      <c r="B2858" s="1">
        <f ca="1">IFERROR(__xludf.DUMMYFUNCTION("""COMPUTED_VALUE"""),23.2)</f>
        <v>23.2</v>
      </c>
    </row>
    <row r="2859" spans="1:2">
      <c r="A2859" s="3">
        <f ca="1">IFERROR(__xludf.DUMMYFUNCTION("""COMPUTED_VALUE"""),42500.6666666666)</f>
        <v>42500.666666666599</v>
      </c>
      <c r="B2859" s="1">
        <f ca="1">IFERROR(__xludf.DUMMYFUNCTION("""COMPUTED_VALUE"""),23.36)</f>
        <v>23.36</v>
      </c>
    </row>
    <row r="2860" spans="1:2">
      <c r="A2860" s="3">
        <f ca="1">IFERROR(__xludf.DUMMYFUNCTION("""COMPUTED_VALUE"""),42501.6666666666)</f>
        <v>42501.666666666599</v>
      </c>
      <c r="B2860" s="1">
        <f ca="1">IFERROR(__xludf.DUMMYFUNCTION("""COMPUTED_VALUE"""),23.13)</f>
        <v>23.13</v>
      </c>
    </row>
    <row r="2861" spans="1:2">
      <c r="A2861" s="3">
        <f ca="1">IFERROR(__xludf.DUMMYFUNCTION("""COMPUTED_VALUE"""),42502.6666666666)</f>
        <v>42502.666666666599</v>
      </c>
      <c r="B2861" s="1">
        <f ca="1">IFERROR(__xludf.DUMMYFUNCTION("""COMPUTED_VALUE"""),22.59)</f>
        <v>22.59</v>
      </c>
    </row>
    <row r="2862" spans="1:2">
      <c r="A2862" s="3">
        <f ca="1">IFERROR(__xludf.DUMMYFUNCTION("""COMPUTED_VALUE"""),42503.6666666666)</f>
        <v>42503.666666666599</v>
      </c>
      <c r="B2862" s="1">
        <f ca="1">IFERROR(__xludf.DUMMYFUNCTION("""COMPUTED_VALUE"""),22.63)</f>
        <v>22.63</v>
      </c>
    </row>
    <row r="2863" spans="1:2">
      <c r="A2863" s="3">
        <f ca="1">IFERROR(__xludf.DUMMYFUNCTION("""COMPUTED_VALUE"""),42506.6666666666)</f>
        <v>42506.666666666599</v>
      </c>
      <c r="B2863" s="1">
        <f ca="1">IFERROR(__xludf.DUMMYFUNCTION("""COMPUTED_VALUE"""),23.47)</f>
        <v>23.47</v>
      </c>
    </row>
    <row r="2864" spans="1:2">
      <c r="A2864" s="3">
        <f ca="1">IFERROR(__xludf.DUMMYFUNCTION("""COMPUTED_VALUE"""),42507.6666666666)</f>
        <v>42507.666666666599</v>
      </c>
      <c r="B2864" s="1">
        <f ca="1">IFERROR(__xludf.DUMMYFUNCTION("""COMPUTED_VALUE"""),23.37)</f>
        <v>23.37</v>
      </c>
    </row>
    <row r="2865" spans="1:2">
      <c r="A2865" s="3">
        <f ca="1">IFERROR(__xludf.DUMMYFUNCTION("""COMPUTED_VALUE"""),42508.6666666666)</f>
        <v>42508.666666666599</v>
      </c>
      <c r="B2865" s="1">
        <f ca="1">IFERROR(__xludf.DUMMYFUNCTION("""COMPUTED_VALUE"""),23.64)</f>
        <v>23.64</v>
      </c>
    </row>
    <row r="2866" spans="1:2">
      <c r="A2866" s="3">
        <f ca="1">IFERROR(__xludf.DUMMYFUNCTION("""COMPUTED_VALUE"""),42509.6666666666)</f>
        <v>42509.666666666599</v>
      </c>
      <c r="B2866" s="1">
        <f ca="1">IFERROR(__xludf.DUMMYFUNCTION("""COMPUTED_VALUE"""),23.55)</f>
        <v>23.55</v>
      </c>
    </row>
    <row r="2867" spans="1:2">
      <c r="A2867" s="3">
        <f ca="1">IFERROR(__xludf.DUMMYFUNCTION("""COMPUTED_VALUE"""),42510.6666666666)</f>
        <v>42510.666666666599</v>
      </c>
      <c r="B2867" s="1">
        <f ca="1">IFERROR(__xludf.DUMMYFUNCTION("""COMPUTED_VALUE"""),23.81)</f>
        <v>23.81</v>
      </c>
    </row>
    <row r="2868" spans="1:2">
      <c r="A2868" s="3">
        <f ca="1">IFERROR(__xludf.DUMMYFUNCTION("""COMPUTED_VALUE"""),42513.6666666666)</f>
        <v>42513.666666666599</v>
      </c>
      <c r="B2868" s="1">
        <f ca="1">IFERROR(__xludf.DUMMYFUNCTION("""COMPUTED_VALUE"""),24.11)</f>
        <v>24.11</v>
      </c>
    </row>
    <row r="2869" spans="1:2">
      <c r="A2869" s="3">
        <f ca="1">IFERROR(__xludf.DUMMYFUNCTION("""COMPUTED_VALUE"""),42514.6666666666)</f>
        <v>42514.666666666599</v>
      </c>
      <c r="B2869" s="1">
        <f ca="1">IFERROR(__xludf.DUMMYFUNCTION("""COMPUTED_VALUE"""),24.48)</f>
        <v>24.48</v>
      </c>
    </row>
    <row r="2870" spans="1:2">
      <c r="A2870" s="3">
        <f ca="1">IFERROR(__xludf.DUMMYFUNCTION("""COMPUTED_VALUE"""),42515.6666666666)</f>
        <v>42515.666666666599</v>
      </c>
      <c r="B2870" s="1">
        <f ca="1">IFERROR(__xludf.DUMMYFUNCTION("""COMPUTED_VALUE"""),24.91)</f>
        <v>24.91</v>
      </c>
    </row>
    <row r="2871" spans="1:2">
      <c r="A2871" s="3">
        <f ca="1">IFERROR(__xludf.DUMMYFUNCTION("""COMPUTED_VALUE"""),42516.6666666666)</f>
        <v>42516.666666666599</v>
      </c>
      <c r="B2871" s="1">
        <f ca="1">IFERROR(__xludf.DUMMYFUNCTION("""COMPUTED_VALUE"""),25.1)</f>
        <v>25.1</v>
      </c>
    </row>
    <row r="2872" spans="1:2">
      <c r="A2872" s="3">
        <f ca="1">IFERROR(__xludf.DUMMYFUNCTION("""COMPUTED_VALUE"""),42517.6666666666)</f>
        <v>42517.666666666599</v>
      </c>
      <c r="B2872" s="1">
        <f ca="1">IFERROR(__xludf.DUMMYFUNCTION("""COMPUTED_VALUE"""),25.09)</f>
        <v>25.09</v>
      </c>
    </row>
    <row r="2873" spans="1:2">
      <c r="A2873" s="3">
        <f ca="1">IFERROR(__xludf.DUMMYFUNCTION("""COMPUTED_VALUE"""),42521.6666666666)</f>
        <v>42521.666666666599</v>
      </c>
      <c r="B2873" s="1">
        <f ca="1">IFERROR(__xludf.DUMMYFUNCTION("""COMPUTED_VALUE"""),24.97)</f>
        <v>24.97</v>
      </c>
    </row>
    <row r="2874" spans="1:2">
      <c r="A2874" s="3">
        <f ca="1">IFERROR(__xludf.DUMMYFUNCTION("""COMPUTED_VALUE"""),42522.6666666666)</f>
        <v>42522.666666666599</v>
      </c>
      <c r="B2874" s="1">
        <f ca="1">IFERROR(__xludf.DUMMYFUNCTION("""COMPUTED_VALUE"""),24.62)</f>
        <v>24.62</v>
      </c>
    </row>
    <row r="2875" spans="1:2">
      <c r="A2875" s="3">
        <f ca="1">IFERROR(__xludf.DUMMYFUNCTION("""COMPUTED_VALUE"""),42523.6666666666)</f>
        <v>42523.666666666599</v>
      </c>
      <c r="B2875" s="1">
        <f ca="1">IFERROR(__xludf.DUMMYFUNCTION("""COMPUTED_VALUE"""),24.43)</f>
        <v>24.43</v>
      </c>
    </row>
    <row r="2876" spans="1:2">
      <c r="A2876" s="3">
        <f ca="1">IFERROR(__xludf.DUMMYFUNCTION("""COMPUTED_VALUE"""),42524.6666666666)</f>
        <v>42524.666666666599</v>
      </c>
      <c r="B2876" s="1">
        <f ca="1">IFERROR(__xludf.DUMMYFUNCTION("""COMPUTED_VALUE"""),24.48)</f>
        <v>24.48</v>
      </c>
    </row>
    <row r="2877" spans="1:2">
      <c r="A2877" s="3">
        <f ca="1">IFERROR(__xludf.DUMMYFUNCTION("""COMPUTED_VALUE"""),42527.6666666666)</f>
        <v>42527.666666666599</v>
      </c>
      <c r="B2877" s="1">
        <f ca="1">IFERROR(__xludf.DUMMYFUNCTION("""COMPUTED_VALUE"""),24.66)</f>
        <v>24.66</v>
      </c>
    </row>
    <row r="2878" spans="1:2">
      <c r="A2878" s="3">
        <f ca="1">IFERROR(__xludf.DUMMYFUNCTION("""COMPUTED_VALUE"""),42528.6666666666)</f>
        <v>42528.666666666599</v>
      </c>
      <c r="B2878" s="1">
        <f ca="1">IFERROR(__xludf.DUMMYFUNCTION("""COMPUTED_VALUE"""),24.76)</f>
        <v>24.76</v>
      </c>
    </row>
    <row r="2879" spans="1:2">
      <c r="A2879" s="3">
        <f ca="1">IFERROR(__xludf.DUMMYFUNCTION("""COMPUTED_VALUE"""),42529.6666666666)</f>
        <v>42529.666666666599</v>
      </c>
      <c r="B2879" s="1">
        <f ca="1">IFERROR(__xludf.DUMMYFUNCTION("""COMPUTED_VALUE"""),24.74)</f>
        <v>24.74</v>
      </c>
    </row>
    <row r="2880" spans="1:2">
      <c r="A2880" s="3">
        <f ca="1">IFERROR(__xludf.DUMMYFUNCTION("""COMPUTED_VALUE"""),42530.6666666666)</f>
        <v>42530.666666666599</v>
      </c>
      <c r="B2880" s="1">
        <f ca="1">IFERROR(__xludf.DUMMYFUNCTION("""COMPUTED_VALUE"""),24.91)</f>
        <v>24.91</v>
      </c>
    </row>
    <row r="2881" spans="1:2">
      <c r="A2881" s="3">
        <f ca="1">IFERROR(__xludf.DUMMYFUNCTION("""COMPUTED_VALUE"""),42531.6666666666)</f>
        <v>42531.666666666599</v>
      </c>
      <c r="B2881" s="1">
        <f ca="1">IFERROR(__xludf.DUMMYFUNCTION("""COMPUTED_VALUE"""),24.71)</f>
        <v>24.71</v>
      </c>
    </row>
    <row r="2882" spans="1:2">
      <c r="A2882" s="3">
        <f ca="1">IFERROR(__xludf.DUMMYFUNCTION("""COMPUTED_VALUE"""),42534.6666666666)</f>
        <v>42534.666666666599</v>
      </c>
      <c r="B2882" s="1">
        <f ca="1">IFERROR(__xludf.DUMMYFUNCTION("""COMPUTED_VALUE"""),24.34)</f>
        <v>24.34</v>
      </c>
    </row>
    <row r="2883" spans="1:2">
      <c r="A2883" s="3">
        <f ca="1">IFERROR(__xludf.DUMMYFUNCTION("""COMPUTED_VALUE"""),42535.6666666666)</f>
        <v>42535.666666666599</v>
      </c>
      <c r="B2883" s="1">
        <f ca="1">IFERROR(__xludf.DUMMYFUNCTION("""COMPUTED_VALUE"""),24.37)</f>
        <v>24.37</v>
      </c>
    </row>
    <row r="2884" spans="1:2">
      <c r="A2884" s="3">
        <f ca="1">IFERROR(__xludf.DUMMYFUNCTION("""COMPUTED_VALUE"""),42536.6666666666)</f>
        <v>42536.666666666599</v>
      </c>
      <c r="B2884" s="1">
        <f ca="1">IFERROR(__xludf.DUMMYFUNCTION("""COMPUTED_VALUE"""),24.29)</f>
        <v>24.29</v>
      </c>
    </row>
    <row r="2885" spans="1:2">
      <c r="A2885" s="3">
        <f ca="1">IFERROR(__xludf.DUMMYFUNCTION("""COMPUTED_VALUE"""),42537.6666666666)</f>
        <v>42537.666666666599</v>
      </c>
      <c r="B2885" s="1">
        <f ca="1">IFERROR(__xludf.DUMMYFUNCTION("""COMPUTED_VALUE"""),24.39)</f>
        <v>24.39</v>
      </c>
    </row>
    <row r="2886" spans="1:2">
      <c r="A2886" s="3">
        <f ca="1">IFERROR(__xludf.DUMMYFUNCTION("""COMPUTED_VALUE"""),42538.6666666666)</f>
        <v>42538.666666666599</v>
      </c>
      <c r="B2886" s="1">
        <f ca="1">IFERROR(__xludf.DUMMYFUNCTION("""COMPUTED_VALUE"""),23.83)</f>
        <v>23.83</v>
      </c>
    </row>
    <row r="2887" spans="1:2">
      <c r="A2887" s="3">
        <f ca="1">IFERROR(__xludf.DUMMYFUNCTION("""COMPUTED_VALUE"""),42541.6666666666)</f>
        <v>42541.666666666599</v>
      </c>
      <c r="B2887" s="1">
        <f ca="1">IFERROR(__xludf.DUMMYFUNCTION("""COMPUTED_VALUE"""),23.78)</f>
        <v>23.78</v>
      </c>
    </row>
    <row r="2888" spans="1:2">
      <c r="A2888" s="3">
        <f ca="1">IFERROR(__xludf.DUMMYFUNCTION("""COMPUTED_VALUE"""),42542.6666666666)</f>
        <v>42542.666666666599</v>
      </c>
      <c r="B2888" s="1">
        <f ca="1">IFERROR(__xludf.DUMMYFUNCTION("""COMPUTED_VALUE"""),23.98)</f>
        <v>23.98</v>
      </c>
    </row>
    <row r="2889" spans="1:2">
      <c r="A2889" s="3">
        <f ca="1">IFERROR(__xludf.DUMMYFUNCTION("""COMPUTED_VALUE"""),42543.6666666666)</f>
        <v>42543.666666666599</v>
      </c>
      <c r="B2889" s="1">
        <f ca="1">IFERROR(__xludf.DUMMYFUNCTION("""COMPUTED_VALUE"""),23.89)</f>
        <v>23.89</v>
      </c>
    </row>
    <row r="2890" spans="1:2">
      <c r="A2890" s="3">
        <f ca="1">IFERROR(__xludf.DUMMYFUNCTION("""COMPUTED_VALUE"""),42544.6666666666)</f>
        <v>42544.666666666599</v>
      </c>
      <c r="B2890" s="1">
        <f ca="1">IFERROR(__xludf.DUMMYFUNCTION("""COMPUTED_VALUE"""),24.03)</f>
        <v>24.03</v>
      </c>
    </row>
    <row r="2891" spans="1:2">
      <c r="A2891" s="3">
        <f ca="1">IFERROR(__xludf.DUMMYFUNCTION("""COMPUTED_VALUE"""),42545.6666666666)</f>
        <v>42545.666666666599</v>
      </c>
      <c r="B2891" s="1">
        <f ca="1">IFERROR(__xludf.DUMMYFUNCTION("""COMPUTED_VALUE"""),23.35)</f>
        <v>23.35</v>
      </c>
    </row>
    <row r="2892" spans="1:2">
      <c r="A2892" s="3">
        <f ca="1">IFERROR(__xludf.DUMMYFUNCTION("""COMPUTED_VALUE"""),42548.6666666666)</f>
        <v>42548.666666666599</v>
      </c>
      <c r="B2892" s="1">
        <f ca="1">IFERROR(__xludf.DUMMYFUNCTION("""COMPUTED_VALUE"""),23.01)</f>
        <v>23.01</v>
      </c>
    </row>
    <row r="2893" spans="1:2">
      <c r="A2893" s="3">
        <f ca="1">IFERROR(__xludf.DUMMYFUNCTION("""COMPUTED_VALUE"""),42549.6666666666)</f>
        <v>42549.666666666599</v>
      </c>
      <c r="B2893" s="1">
        <f ca="1">IFERROR(__xludf.DUMMYFUNCTION("""COMPUTED_VALUE"""),23.4)</f>
        <v>23.4</v>
      </c>
    </row>
    <row r="2894" spans="1:2">
      <c r="A2894" s="3">
        <f ca="1">IFERROR(__xludf.DUMMYFUNCTION("""COMPUTED_VALUE"""),42550.6666666666)</f>
        <v>42550.666666666599</v>
      </c>
      <c r="B2894" s="1">
        <f ca="1">IFERROR(__xludf.DUMMYFUNCTION("""COMPUTED_VALUE"""),23.6)</f>
        <v>23.6</v>
      </c>
    </row>
    <row r="2895" spans="1:2">
      <c r="A2895" s="3">
        <f ca="1">IFERROR(__xludf.DUMMYFUNCTION("""COMPUTED_VALUE"""),42551.6666666666)</f>
        <v>42551.666666666599</v>
      </c>
      <c r="B2895" s="1">
        <f ca="1">IFERROR(__xludf.DUMMYFUNCTION("""COMPUTED_VALUE"""),23.9)</f>
        <v>23.9</v>
      </c>
    </row>
    <row r="2896" spans="1:2">
      <c r="A2896" s="3">
        <f ca="1">IFERROR(__xludf.DUMMYFUNCTION("""COMPUTED_VALUE"""),42552.6666666666)</f>
        <v>42552.666666666599</v>
      </c>
      <c r="B2896" s="1">
        <f ca="1">IFERROR(__xludf.DUMMYFUNCTION("""COMPUTED_VALUE"""),23.97)</f>
        <v>23.97</v>
      </c>
    </row>
    <row r="2897" spans="1:2">
      <c r="A2897" s="3">
        <f ca="1">IFERROR(__xludf.DUMMYFUNCTION("""COMPUTED_VALUE"""),42556.6666666666)</f>
        <v>42556.666666666599</v>
      </c>
      <c r="B2897" s="1">
        <f ca="1">IFERROR(__xludf.DUMMYFUNCTION("""COMPUTED_VALUE"""),23.75)</f>
        <v>23.75</v>
      </c>
    </row>
    <row r="2898" spans="1:2">
      <c r="A2898" s="3">
        <f ca="1">IFERROR(__xludf.DUMMYFUNCTION("""COMPUTED_VALUE"""),42557.6666666666)</f>
        <v>42557.666666666599</v>
      </c>
      <c r="B2898" s="1">
        <f ca="1">IFERROR(__xludf.DUMMYFUNCTION("""COMPUTED_VALUE"""),23.88)</f>
        <v>23.88</v>
      </c>
    </row>
    <row r="2899" spans="1:2">
      <c r="A2899" s="3">
        <f ca="1">IFERROR(__xludf.DUMMYFUNCTION("""COMPUTED_VALUE"""),42558.6666666666)</f>
        <v>42558.666666666599</v>
      </c>
      <c r="B2899" s="1">
        <f ca="1">IFERROR(__xludf.DUMMYFUNCTION("""COMPUTED_VALUE"""),23.99)</f>
        <v>23.99</v>
      </c>
    </row>
    <row r="2900" spans="1:2">
      <c r="A2900" s="3">
        <f ca="1">IFERROR(__xludf.DUMMYFUNCTION("""COMPUTED_VALUE"""),42559.6666666666)</f>
        <v>42559.666666666599</v>
      </c>
      <c r="B2900" s="1">
        <f ca="1">IFERROR(__xludf.DUMMYFUNCTION("""COMPUTED_VALUE"""),24.17)</f>
        <v>24.17</v>
      </c>
    </row>
    <row r="2901" spans="1:2">
      <c r="A2901" s="3">
        <f ca="1">IFERROR(__xludf.DUMMYFUNCTION("""COMPUTED_VALUE"""),42562.6666666666)</f>
        <v>42562.666666666599</v>
      </c>
      <c r="B2901" s="1">
        <f ca="1">IFERROR(__xludf.DUMMYFUNCTION("""COMPUTED_VALUE"""),24.25)</f>
        <v>24.25</v>
      </c>
    </row>
    <row r="2902" spans="1:2">
      <c r="A2902" s="3">
        <f ca="1">IFERROR(__xludf.DUMMYFUNCTION("""COMPUTED_VALUE"""),42563.6666666666)</f>
        <v>42563.666666666599</v>
      </c>
      <c r="B2902" s="1">
        <f ca="1">IFERROR(__xludf.DUMMYFUNCTION("""COMPUTED_VALUE"""),24.36)</f>
        <v>24.36</v>
      </c>
    </row>
    <row r="2903" spans="1:2">
      <c r="A2903" s="3">
        <f ca="1">IFERROR(__xludf.DUMMYFUNCTION("""COMPUTED_VALUE"""),42564.6666666666)</f>
        <v>42564.666666666599</v>
      </c>
      <c r="B2903" s="1">
        <f ca="1">IFERROR(__xludf.DUMMYFUNCTION("""COMPUTED_VALUE"""),24.22)</f>
        <v>24.22</v>
      </c>
    </row>
    <row r="2904" spans="1:2">
      <c r="A2904" s="3">
        <f ca="1">IFERROR(__xludf.DUMMYFUNCTION("""COMPUTED_VALUE"""),42565.6666666666)</f>
        <v>42565.666666666599</v>
      </c>
      <c r="B2904" s="1">
        <f ca="1">IFERROR(__xludf.DUMMYFUNCTION("""COMPUTED_VALUE"""),24.7)</f>
        <v>24.7</v>
      </c>
    </row>
    <row r="2905" spans="1:2">
      <c r="A2905" s="3">
        <f ca="1">IFERROR(__xludf.DUMMYFUNCTION("""COMPUTED_VALUE"""),42566.6666666666)</f>
        <v>42566.666666666599</v>
      </c>
      <c r="B2905" s="1">
        <f ca="1">IFERROR(__xludf.DUMMYFUNCTION("""COMPUTED_VALUE"""),24.7)</f>
        <v>24.7</v>
      </c>
    </row>
    <row r="2906" spans="1:2">
      <c r="A2906" s="3">
        <f ca="1">IFERROR(__xludf.DUMMYFUNCTION("""COMPUTED_VALUE"""),42569.6666666666)</f>
        <v>42569.666666666599</v>
      </c>
      <c r="B2906" s="1">
        <f ca="1">IFERROR(__xludf.DUMMYFUNCTION("""COMPUTED_VALUE"""),24.96)</f>
        <v>24.96</v>
      </c>
    </row>
    <row r="2907" spans="1:2">
      <c r="A2907" s="3">
        <f ca="1">IFERROR(__xludf.DUMMYFUNCTION("""COMPUTED_VALUE"""),42570.6666666666)</f>
        <v>42570.666666666599</v>
      </c>
      <c r="B2907" s="1">
        <f ca="1">IFERROR(__xludf.DUMMYFUNCTION("""COMPUTED_VALUE"""),24.97)</f>
        <v>24.97</v>
      </c>
    </row>
    <row r="2908" spans="1:2">
      <c r="A2908" s="3">
        <f ca="1">IFERROR(__xludf.DUMMYFUNCTION("""COMPUTED_VALUE"""),42571.6666666666)</f>
        <v>42571.666666666599</v>
      </c>
      <c r="B2908" s="1">
        <f ca="1">IFERROR(__xludf.DUMMYFUNCTION("""COMPUTED_VALUE"""),24.99)</f>
        <v>24.99</v>
      </c>
    </row>
    <row r="2909" spans="1:2">
      <c r="A2909" s="3">
        <f ca="1">IFERROR(__xludf.DUMMYFUNCTION("""COMPUTED_VALUE"""),42572.6666666666)</f>
        <v>42572.666666666599</v>
      </c>
      <c r="B2909" s="1">
        <f ca="1">IFERROR(__xludf.DUMMYFUNCTION("""COMPUTED_VALUE"""),24.86)</f>
        <v>24.86</v>
      </c>
    </row>
    <row r="2910" spans="1:2">
      <c r="A2910" s="3">
        <f ca="1">IFERROR(__xludf.DUMMYFUNCTION("""COMPUTED_VALUE"""),42573.6666666666)</f>
        <v>42573.666666666599</v>
      </c>
      <c r="B2910" s="1">
        <f ca="1">IFERROR(__xludf.DUMMYFUNCTION("""COMPUTED_VALUE"""),24.67)</f>
        <v>24.67</v>
      </c>
    </row>
    <row r="2911" spans="1:2">
      <c r="A2911" s="3">
        <f ca="1">IFERROR(__xludf.DUMMYFUNCTION("""COMPUTED_VALUE"""),42576.6666666666)</f>
        <v>42576.666666666599</v>
      </c>
      <c r="B2911" s="1">
        <f ca="1">IFERROR(__xludf.DUMMYFUNCTION("""COMPUTED_VALUE"""),24.34)</f>
        <v>24.34</v>
      </c>
    </row>
    <row r="2912" spans="1:2">
      <c r="A2912" s="3">
        <f ca="1">IFERROR(__xludf.DUMMYFUNCTION("""COMPUTED_VALUE"""),42577.6666666666)</f>
        <v>42577.666666666599</v>
      </c>
      <c r="B2912" s="1">
        <f ca="1">IFERROR(__xludf.DUMMYFUNCTION("""COMPUTED_VALUE"""),24.17)</f>
        <v>24.17</v>
      </c>
    </row>
    <row r="2913" spans="1:2">
      <c r="A2913" s="3">
        <f ca="1">IFERROR(__xludf.DUMMYFUNCTION("""COMPUTED_VALUE"""),42578.6666666666)</f>
        <v>42578.666666666599</v>
      </c>
      <c r="B2913" s="1">
        <f ca="1">IFERROR(__xludf.DUMMYFUNCTION("""COMPUTED_VALUE"""),25.74)</f>
        <v>25.74</v>
      </c>
    </row>
    <row r="2914" spans="1:2">
      <c r="A2914" s="3">
        <f ca="1">IFERROR(__xludf.DUMMYFUNCTION("""COMPUTED_VALUE"""),42579.6666666666)</f>
        <v>42579.666666666599</v>
      </c>
      <c r="B2914" s="1">
        <f ca="1">IFERROR(__xludf.DUMMYFUNCTION("""COMPUTED_VALUE"""),26.09)</f>
        <v>26.09</v>
      </c>
    </row>
    <row r="2915" spans="1:2">
      <c r="A2915" s="3">
        <f ca="1">IFERROR(__xludf.DUMMYFUNCTION("""COMPUTED_VALUE"""),42580.6666666666)</f>
        <v>42580.666666666599</v>
      </c>
      <c r="B2915" s="1">
        <f ca="1">IFERROR(__xludf.DUMMYFUNCTION("""COMPUTED_VALUE"""),26.05)</f>
        <v>26.05</v>
      </c>
    </row>
    <row r="2916" spans="1:2">
      <c r="A2916" s="3">
        <f ca="1">IFERROR(__xludf.DUMMYFUNCTION("""COMPUTED_VALUE"""),42583.6666666666)</f>
        <v>42583.666666666599</v>
      </c>
      <c r="B2916" s="1">
        <f ca="1">IFERROR(__xludf.DUMMYFUNCTION("""COMPUTED_VALUE"""),26.51)</f>
        <v>26.51</v>
      </c>
    </row>
    <row r="2917" spans="1:2">
      <c r="A2917" s="3">
        <f ca="1">IFERROR(__xludf.DUMMYFUNCTION("""COMPUTED_VALUE"""),42584.6666666666)</f>
        <v>42584.666666666599</v>
      </c>
      <c r="B2917" s="1">
        <f ca="1">IFERROR(__xludf.DUMMYFUNCTION("""COMPUTED_VALUE"""),26.12)</f>
        <v>26.12</v>
      </c>
    </row>
    <row r="2918" spans="1:2">
      <c r="A2918" s="3">
        <f ca="1">IFERROR(__xludf.DUMMYFUNCTION("""COMPUTED_VALUE"""),42585.6666666666)</f>
        <v>42585.666666666599</v>
      </c>
      <c r="B2918" s="1">
        <f ca="1">IFERROR(__xludf.DUMMYFUNCTION("""COMPUTED_VALUE"""),26.45)</f>
        <v>26.45</v>
      </c>
    </row>
    <row r="2919" spans="1:2">
      <c r="A2919" s="3">
        <f ca="1">IFERROR(__xludf.DUMMYFUNCTION("""COMPUTED_VALUE"""),42586.6666666666)</f>
        <v>42586.666666666599</v>
      </c>
      <c r="B2919" s="1">
        <f ca="1">IFERROR(__xludf.DUMMYFUNCTION("""COMPUTED_VALUE"""),26.47)</f>
        <v>26.47</v>
      </c>
    </row>
    <row r="2920" spans="1:2">
      <c r="A2920" s="3">
        <f ca="1">IFERROR(__xludf.DUMMYFUNCTION("""COMPUTED_VALUE"""),42587.6666666666)</f>
        <v>42587.666666666599</v>
      </c>
      <c r="B2920" s="1">
        <f ca="1">IFERROR(__xludf.DUMMYFUNCTION("""COMPUTED_VALUE"""),26.87)</f>
        <v>26.87</v>
      </c>
    </row>
    <row r="2921" spans="1:2">
      <c r="A2921" s="3">
        <f ca="1">IFERROR(__xludf.DUMMYFUNCTION("""COMPUTED_VALUE"""),42590.6666666666)</f>
        <v>42590.666666666599</v>
      </c>
      <c r="B2921" s="1">
        <f ca="1">IFERROR(__xludf.DUMMYFUNCTION("""COMPUTED_VALUE"""),27.09)</f>
        <v>27.09</v>
      </c>
    </row>
    <row r="2922" spans="1:2">
      <c r="A2922" s="3">
        <f ca="1">IFERROR(__xludf.DUMMYFUNCTION("""COMPUTED_VALUE"""),42591.6666666666)</f>
        <v>42591.666666666599</v>
      </c>
      <c r="B2922" s="1">
        <f ca="1">IFERROR(__xludf.DUMMYFUNCTION("""COMPUTED_VALUE"""),27.2)</f>
        <v>27.2</v>
      </c>
    </row>
    <row r="2923" spans="1:2">
      <c r="A2923" s="3">
        <f ca="1">IFERROR(__xludf.DUMMYFUNCTION("""COMPUTED_VALUE"""),42592.6666666666)</f>
        <v>42592.666666666599</v>
      </c>
      <c r="B2923" s="1">
        <f ca="1">IFERROR(__xludf.DUMMYFUNCTION("""COMPUTED_VALUE"""),27)</f>
        <v>27</v>
      </c>
    </row>
    <row r="2924" spans="1:2">
      <c r="A2924" s="3">
        <f ca="1">IFERROR(__xludf.DUMMYFUNCTION("""COMPUTED_VALUE"""),42593.6666666666)</f>
        <v>42593.666666666599</v>
      </c>
      <c r="B2924" s="1">
        <f ca="1">IFERROR(__xludf.DUMMYFUNCTION("""COMPUTED_VALUE"""),26.98)</f>
        <v>26.98</v>
      </c>
    </row>
    <row r="2925" spans="1:2">
      <c r="A2925" s="3">
        <f ca="1">IFERROR(__xludf.DUMMYFUNCTION("""COMPUTED_VALUE"""),42594.6666666666)</f>
        <v>42594.666666666599</v>
      </c>
      <c r="B2925" s="1">
        <f ca="1">IFERROR(__xludf.DUMMYFUNCTION("""COMPUTED_VALUE"""),27.05)</f>
        <v>27.05</v>
      </c>
    </row>
    <row r="2926" spans="1:2">
      <c r="A2926" s="3">
        <f ca="1">IFERROR(__xludf.DUMMYFUNCTION("""COMPUTED_VALUE"""),42597.6666666666)</f>
        <v>42597.666666666599</v>
      </c>
      <c r="B2926" s="1">
        <f ca="1">IFERROR(__xludf.DUMMYFUNCTION("""COMPUTED_VALUE"""),27.37)</f>
        <v>27.37</v>
      </c>
    </row>
    <row r="2927" spans="1:2">
      <c r="A2927" s="3">
        <f ca="1">IFERROR(__xludf.DUMMYFUNCTION("""COMPUTED_VALUE"""),42598.6666666666)</f>
        <v>42598.666666666599</v>
      </c>
      <c r="B2927" s="1">
        <f ca="1">IFERROR(__xludf.DUMMYFUNCTION("""COMPUTED_VALUE"""),27.35)</f>
        <v>27.35</v>
      </c>
    </row>
    <row r="2928" spans="1:2">
      <c r="A2928" s="3">
        <f ca="1">IFERROR(__xludf.DUMMYFUNCTION("""COMPUTED_VALUE"""),42599.6666666666)</f>
        <v>42599.666666666599</v>
      </c>
      <c r="B2928" s="1">
        <f ca="1">IFERROR(__xludf.DUMMYFUNCTION("""COMPUTED_VALUE"""),27.31)</f>
        <v>27.31</v>
      </c>
    </row>
    <row r="2929" spans="1:2">
      <c r="A2929" s="3">
        <f ca="1">IFERROR(__xludf.DUMMYFUNCTION("""COMPUTED_VALUE"""),42600.6666666666)</f>
        <v>42600.666666666599</v>
      </c>
      <c r="B2929" s="1">
        <f ca="1">IFERROR(__xludf.DUMMYFUNCTION("""COMPUTED_VALUE"""),27.27)</f>
        <v>27.27</v>
      </c>
    </row>
    <row r="2930" spans="1:2">
      <c r="A2930" s="3">
        <f ca="1">IFERROR(__xludf.DUMMYFUNCTION("""COMPUTED_VALUE"""),42601.6666666666)</f>
        <v>42601.666666666599</v>
      </c>
      <c r="B2930" s="1">
        <f ca="1">IFERROR(__xludf.DUMMYFUNCTION("""COMPUTED_VALUE"""),27.34)</f>
        <v>27.34</v>
      </c>
    </row>
    <row r="2931" spans="1:2">
      <c r="A2931" s="3">
        <f ca="1">IFERROR(__xludf.DUMMYFUNCTION("""COMPUTED_VALUE"""),42604.6666666666)</f>
        <v>42604.666666666599</v>
      </c>
      <c r="B2931" s="1">
        <f ca="1">IFERROR(__xludf.DUMMYFUNCTION("""COMPUTED_VALUE"""),27.13)</f>
        <v>27.13</v>
      </c>
    </row>
    <row r="2932" spans="1:2">
      <c r="A2932" s="3">
        <f ca="1">IFERROR(__xludf.DUMMYFUNCTION("""COMPUTED_VALUE"""),42605.6666666666)</f>
        <v>42605.666666666599</v>
      </c>
      <c r="B2932" s="1">
        <f ca="1">IFERROR(__xludf.DUMMYFUNCTION("""COMPUTED_VALUE"""),27.21)</f>
        <v>27.21</v>
      </c>
    </row>
    <row r="2933" spans="1:2">
      <c r="A2933" s="3">
        <f ca="1">IFERROR(__xludf.DUMMYFUNCTION("""COMPUTED_VALUE"""),42606.6666666666)</f>
        <v>42606.666666666599</v>
      </c>
      <c r="B2933" s="1">
        <f ca="1">IFERROR(__xludf.DUMMYFUNCTION("""COMPUTED_VALUE"""),27.01)</f>
        <v>27.01</v>
      </c>
    </row>
    <row r="2934" spans="1:2">
      <c r="A2934" s="3">
        <f ca="1">IFERROR(__xludf.DUMMYFUNCTION("""COMPUTED_VALUE"""),42607.6666666666)</f>
        <v>42607.666666666599</v>
      </c>
      <c r="B2934" s="1">
        <f ca="1">IFERROR(__xludf.DUMMYFUNCTION("""COMPUTED_VALUE"""),26.89)</f>
        <v>26.89</v>
      </c>
    </row>
    <row r="2935" spans="1:2">
      <c r="A2935" s="3">
        <f ca="1">IFERROR(__xludf.DUMMYFUNCTION("""COMPUTED_VALUE"""),42608.6666666666)</f>
        <v>42608.666666666599</v>
      </c>
      <c r="B2935" s="1">
        <f ca="1">IFERROR(__xludf.DUMMYFUNCTION("""COMPUTED_VALUE"""),26.74)</f>
        <v>26.74</v>
      </c>
    </row>
    <row r="2936" spans="1:2">
      <c r="A2936" s="3">
        <f ca="1">IFERROR(__xludf.DUMMYFUNCTION("""COMPUTED_VALUE"""),42611.6666666666)</f>
        <v>42611.666666666599</v>
      </c>
      <c r="B2936" s="1">
        <f ca="1">IFERROR(__xludf.DUMMYFUNCTION("""COMPUTED_VALUE"""),26.71)</f>
        <v>26.71</v>
      </c>
    </row>
    <row r="2937" spans="1:2">
      <c r="A2937" s="3">
        <f ca="1">IFERROR(__xludf.DUMMYFUNCTION("""COMPUTED_VALUE"""),42612.6666666666)</f>
        <v>42612.666666666599</v>
      </c>
      <c r="B2937" s="1">
        <f ca="1">IFERROR(__xludf.DUMMYFUNCTION("""COMPUTED_VALUE"""),26.5)</f>
        <v>26.5</v>
      </c>
    </row>
    <row r="2938" spans="1:2">
      <c r="A2938" s="3">
        <f ca="1">IFERROR(__xludf.DUMMYFUNCTION("""COMPUTED_VALUE"""),42613.6666666666)</f>
        <v>42613.666666666599</v>
      </c>
      <c r="B2938" s="1">
        <f ca="1">IFERROR(__xludf.DUMMYFUNCTION("""COMPUTED_VALUE"""),26.53)</f>
        <v>26.53</v>
      </c>
    </row>
    <row r="2939" spans="1:2">
      <c r="A2939" s="3">
        <f ca="1">IFERROR(__xludf.DUMMYFUNCTION("""COMPUTED_VALUE"""),42614.6666666666)</f>
        <v>42614.666666666599</v>
      </c>
      <c r="B2939" s="1">
        <f ca="1">IFERROR(__xludf.DUMMYFUNCTION("""COMPUTED_VALUE"""),26.68)</f>
        <v>26.68</v>
      </c>
    </row>
    <row r="2940" spans="1:2">
      <c r="A2940" s="3">
        <f ca="1">IFERROR(__xludf.DUMMYFUNCTION("""COMPUTED_VALUE"""),42615.6666666666)</f>
        <v>42615.666666666599</v>
      </c>
      <c r="B2940" s="1">
        <f ca="1">IFERROR(__xludf.DUMMYFUNCTION("""COMPUTED_VALUE"""),26.93)</f>
        <v>26.93</v>
      </c>
    </row>
    <row r="2941" spans="1:2">
      <c r="A2941" s="3">
        <f ca="1">IFERROR(__xludf.DUMMYFUNCTION("""COMPUTED_VALUE"""),42619.6666666666)</f>
        <v>42619.666666666599</v>
      </c>
      <c r="B2941" s="1">
        <f ca="1">IFERROR(__xludf.DUMMYFUNCTION("""COMPUTED_VALUE"""),26.93)</f>
        <v>26.93</v>
      </c>
    </row>
    <row r="2942" spans="1:2">
      <c r="A2942" s="3">
        <f ca="1">IFERROR(__xludf.DUMMYFUNCTION("""COMPUTED_VALUE"""),42620.6666666666)</f>
        <v>42620.666666666599</v>
      </c>
      <c r="B2942" s="1">
        <f ca="1">IFERROR(__xludf.DUMMYFUNCTION("""COMPUTED_VALUE"""),27.09)</f>
        <v>27.09</v>
      </c>
    </row>
    <row r="2943" spans="1:2">
      <c r="A2943" s="3">
        <f ca="1">IFERROR(__xludf.DUMMYFUNCTION("""COMPUTED_VALUE"""),42621.6666666666)</f>
        <v>42621.666666666599</v>
      </c>
      <c r="B2943" s="1">
        <f ca="1">IFERROR(__xludf.DUMMYFUNCTION("""COMPUTED_VALUE"""),26.38)</f>
        <v>26.38</v>
      </c>
    </row>
    <row r="2944" spans="1:2">
      <c r="A2944" s="3">
        <f ca="1">IFERROR(__xludf.DUMMYFUNCTION("""COMPUTED_VALUE"""),42622.6666666666)</f>
        <v>42622.666666666599</v>
      </c>
      <c r="B2944" s="1">
        <f ca="1">IFERROR(__xludf.DUMMYFUNCTION("""COMPUTED_VALUE"""),25.78)</f>
        <v>25.78</v>
      </c>
    </row>
    <row r="2945" spans="1:2">
      <c r="A2945" s="3">
        <f ca="1">IFERROR(__xludf.DUMMYFUNCTION("""COMPUTED_VALUE"""),42625.6666666666)</f>
        <v>42625.666666666599</v>
      </c>
      <c r="B2945" s="1">
        <f ca="1">IFERROR(__xludf.DUMMYFUNCTION("""COMPUTED_VALUE"""),26.36)</f>
        <v>26.36</v>
      </c>
    </row>
    <row r="2946" spans="1:2">
      <c r="A2946" s="3">
        <f ca="1">IFERROR(__xludf.DUMMYFUNCTION("""COMPUTED_VALUE"""),42626.6666666666)</f>
        <v>42626.666666666599</v>
      </c>
      <c r="B2946" s="1">
        <f ca="1">IFERROR(__xludf.DUMMYFUNCTION("""COMPUTED_VALUE"""),26.99)</f>
        <v>26.99</v>
      </c>
    </row>
    <row r="2947" spans="1:2">
      <c r="A2947" s="3">
        <f ca="1">IFERROR(__xludf.DUMMYFUNCTION("""COMPUTED_VALUE"""),42627.6666666666)</f>
        <v>42627.666666666599</v>
      </c>
      <c r="B2947" s="1">
        <f ca="1">IFERROR(__xludf.DUMMYFUNCTION("""COMPUTED_VALUE"""),27.94)</f>
        <v>27.94</v>
      </c>
    </row>
    <row r="2948" spans="1:2">
      <c r="A2948" s="3">
        <f ca="1">IFERROR(__xludf.DUMMYFUNCTION("""COMPUTED_VALUE"""),42628.6666666666)</f>
        <v>42628.666666666599</v>
      </c>
      <c r="B2948" s="1">
        <f ca="1">IFERROR(__xludf.DUMMYFUNCTION("""COMPUTED_VALUE"""),28.89)</f>
        <v>28.89</v>
      </c>
    </row>
    <row r="2949" spans="1:2">
      <c r="A2949" s="3">
        <f ca="1">IFERROR(__xludf.DUMMYFUNCTION("""COMPUTED_VALUE"""),42629.6666666666)</f>
        <v>42629.666666666599</v>
      </c>
      <c r="B2949" s="1">
        <f ca="1">IFERROR(__xludf.DUMMYFUNCTION("""COMPUTED_VALUE"""),28.73)</f>
        <v>28.73</v>
      </c>
    </row>
    <row r="2950" spans="1:2">
      <c r="A2950" s="3">
        <f ca="1">IFERROR(__xludf.DUMMYFUNCTION("""COMPUTED_VALUE"""),42632.6666666666)</f>
        <v>42632.666666666599</v>
      </c>
      <c r="B2950" s="1">
        <f ca="1">IFERROR(__xludf.DUMMYFUNCTION("""COMPUTED_VALUE"""),28.4)</f>
        <v>28.4</v>
      </c>
    </row>
    <row r="2951" spans="1:2">
      <c r="A2951" s="3">
        <f ca="1">IFERROR(__xludf.DUMMYFUNCTION("""COMPUTED_VALUE"""),42633.6666666666)</f>
        <v>42633.666666666599</v>
      </c>
      <c r="B2951" s="1">
        <f ca="1">IFERROR(__xludf.DUMMYFUNCTION("""COMPUTED_VALUE"""),28.39)</f>
        <v>28.39</v>
      </c>
    </row>
    <row r="2952" spans="1:2">
      <c r="A2952" s="3">
        <f ca="1">IFERROR(__xludf.DUMMYFUNCTION("""COMPUTED_VALUE"""),42634.6666666666)</f>
        <v>42634.666666666599</v>
      </c>
      <c r="B2952" s="1">
        <f ca="1">IFERROR(__xludf.DUMMYFUNCTION("""COMPUTED_VALUE"""),28.39)</f>
        <v>28.39</v>
      </c>
    </row>
    <row r="2953" spans="1:2">
      <c r="A2953" s="3">
        <f ca="1">IFERROR(__xludf.DUMMYFUNCTION("""COMPUTED_VALUE"""),42635.6666666666)</f>
        <v>42635.666666666599</v>
      </c>
      <c r="B2953" s="1">
        <f ca="1">IFERROR(__xludf.DUMMYFUNCTION("""COMPUTED_VALUE"""),28.66)</f>
        <v>28.66</v>
      </c>
    </row>
    <row r="2954" spans="1:2">
      <c r="A2954" s="3">
        <f ca="1">IFERROR(__xludf.DUMMYFUNCTION("""COMPUTED_VALUE"""),42636.6666666666)</f>
        <v>42636.666666666599</v>
      </c>
      <c r="B2954" s="1">
        <f ca="1">IFERROR(__xludf.DUMMYFUNCTION("""COMPUTED_VALUE"""),28.18)</f>
        <v>28.18</v>
      </c>
    </row>
    <row r="2955" spans="1:2">
      <c r="A2955" s="3">
        <f ca="1">IFERROR(__xludf.DUMMYFUNCTION("""COMPUTED_VALUE"""),42639.6666666666)</f>
        <v>42639.666666666599</v>
      </c>
      <c r="B2955" s="1">
        <f ca="1">IFERROR(__xludf.DUMMYFUNCTION("""COMPUTED_VALUE"""),28.22)</f>
        <v>28.22</v>
      </c>
    </row>
    <row r="2956" spans="1:2">
      <c r="A2956" s="3">
        <f ca="1">IFERROR(__xludf.DUMMYFUNCTION("""COMPUTED_VALUE"""),42640.6666666666)</f>
        <v>42640.666666666599</v>
      </c>
      <c r="B2956" s="1">
        <f ca="1">IFERROR(__xludf.DUMMYFUNCTION("""COMPUTED_VALUE"""),28.27)</f>
        <v>28.27</v>
      </c>
    </row>
    <row r="2957" spans="1:2">
      <c r="A2957" s="3">
        <f ca="1">IFERROR(__xludf.DUMMYFUNCTION("""COMPUTED_VALUE"""),42641.6666666666)</f>
        <v>42641.666666666599</v>
      </c>
      <c r="B2957" s="1">
        <f ca="1">IFERROR(__xludf.DUMMYFUNCTION("""COMPUTED_VALUE"""),28.49)</f>
        <v>28.49</v>
      </c>
    </row>
    <row r="2958" spans="1:2">
      <c r="A2958" s="3">
        <f ca="1">IFERROR(__xludf.DUMMYFUNCTION("""COMPUTED_VALUE"""),42642.6666666666)</f>
        <v>42642.666666666599</v>
      </c>
      <c r="B2958" s="1">
        <f ca="1">IFERROR(__xludf.DUMMYFUNCTION("""COMPUTED_VALUE"""),28.05)</f>
        <v>28.05</v>
      </c>
    </row>
    <row r="2959" spans="1:2">
      <c r="A2959" s="3">
        <f ca="1">IFERROR(__xludf.DUMMYFUNCTION("""COMPUTED_VALUE"""),42643.6666666666)</f>
        <v>42643.666666666599</v>
      </c>
      <c r="B2959" s="1">
        <f ca="1">IFERROR(__xludf.DUMMYFUNCTION("""COMPUTED_VALUE"""),28.26)</f>
        <v>28.26</v>
      </c>
    </row>
    <row r="2960" spans="1:2">
      <c r="A2960" s="3">
        <f ca="1">IFERROR(__xludf.DUMMYFUNCTION("""COMPUTED_VALUE"""),42646.6666666666)</f>
        <v>42646.666666666599</v>
      </c>
      <c r="B2960" s="1">
        <f ca="1">IFERROR(__xludf.DUMMYFUNCTION("""COMPUTED_VALUE"""),28.13)</f>
        <v>28.13</v>
      </c>
    </row>
    <row r="2961" spans="1:2">
      <c r="A2961" s="3">
        <f ca="1">IFERROR(__xludf.DUMMYFUNCTION("""COMPUTED_VALUE"""),42647.6666666666)</f>
        <v>42647.666666666599</v>
      </c>
      <c r="B2961" s="1">
        <f ca="1">IFERROR(__xludf.DUMMYFUNCTION("""COMPUTED_VALUE"""),28.25)</f>
        <v>28.25</v>
      </c>
    </row>
    <row r="2962" spans="1:2">
      <c r="A2962" s="3">
        <f ca="1">IFERROR(__xludf.DUMMYFUNCTION("""COMPUTED_VALUE"""),42648.6666666666)</f>
        <v>42648.666666666599</v>
      </c>
      <c r="B2962" s="1">
        <f ca="1">IFERROR(__xludf.DUMMYFUNCTION("""COMPUTED_VALUE"""),28.26)</f>
        <v>28.26</v>
      </c>
    </row>
    <row r="2963" spans="1:2">
      <c r="A2963" s="3">
        <f ca="1">IFERROR(__xludf.DUMMYFUNCTION("""COMPUTED_VALUE"""),42649.6666666666)</f>
        <v>42649.666666666599</v>
      </c>
      <c r="B2963" s="1">
        <f ca="1">IFERROR(__xludf.DUMMYFUNCTION("""COMPUTED_VALUE"""),28.47)</f>
        <v>28.47</v>
      </c>
    </row>
    <row r="2964" spans="1:2">
      <c r="A2964" s="3">
        <f ca="1">IFERROR(__xludf.DUMMYFUNCTION("""COMPUTED_VALUE"""),42650.6666666666)</f>
        <v>42650.666666666599</v>
      </c>
      <c r="B2964" s="1">
        <f ca="1">IFERROR(__xludf.DUMMYFUNCTION("""COMPUTED_VALUE"""),28.52)</f>
        <v>28.52</v>
      </c>
    </row>
    <row r="2965" spans="1:2">
      <c r="A2965" s="3">
        <f ca="1">IFERROR(__xludf.DUMMYFUNCTION("""COMPUTED_VALUE"""),42653.6666666666)</f>
        <v>42653.666666666599</v>
      </c>
      <c r="B2965" s="1">
        <f ca="1">IFERROR(__xludf.DUMMYFUNCTION("""COMPUTED_VALUE"""),29.01)</f>
        <v>29.01</v>
      </c>
    </row>
    <row r="2966" spans="1:2">
      <c r="A2966" s="3">
        <f ca="1">IFERROR(__xludf.DUMMYFUNCTION("""COMPUTED_VALUE"""),42654.6666666666)</f>
        <v>42654.666666666599</v>
      </c>
      <c r="B2966" s="1">
        <f ca="1">IFERROR(__xludf.DUMMYFUNCTION("""COMPUTED_VALUE"""),29.08)</f>
        <v>29.08</v>
      </c>
    </row>
    <row r="2967" spans="1:2">
      <c r="A2967" s="3">
        <f ca="1">IFERROR(__xludf.DUMMYFUNCTION("""COMPUTED_VALUE"""),42655.6666666666)</f>
        <v>42655.666666666599</v>
      </c>
      <c r="B2967" s="1">
        <f ca="1">IFERROR(__xludf.DUMMYFUNCTION("""COMPUTED_VALUE"""),29.34)</f>
        <v>29.34</v>
      </c>
    </row>
    <row r="2968" spans="1:2">
      <c r="A2968" s="3">
        <f ca="1">IFERROR(__xludf.DUMMYFUNCTION("""COMPUTED_VALUE"""),42656.6666666666)</f>
        <v>42656.666666666599</v>
      </c>
      <c r="B2968" s="1">
        <f ca="1">IFERROR(__xludf.DUMMYFUNCTION("""COMPUTED_VALUE"""),29.25)</f>
        <v>29.25</v>
      </c>
    </row>
    <row r="2969" spans="1:2">
      <c r="A2969" s="3">
        <f ca="1">IFERROR(__xludf.DUMMYFUNCTION("""COMPUTED_VALUE"""),42657.6666666666)</f>
        <v>42657.666666666599</v>
      </c>
      <c r="B2969" s="1">
        <f ca="1">IFERROR(__xludf.DUMMYFUNCTION("""COMPUTED_VALUE"""),29.41)</f>
        <v>29.41</v>
      </c>
    </row>
    <row r="2970" spans="1:2">
      <c r="A2970" s="3">
        <f ca="1">IFERROR(__xludf.DUMMYFUNCTION("""COMPUTED_VALUE"""),42660.6666666666)</f>
        <v>42660.666666666599</v>
      </c>
      <c r="B2970" s="1">
        <f ca="1">IFERROR(__xludf.DUMMYFUNCTION("""COMPUTED_VALUE"""),29.39)</f>
        <v>29.39</v>
      </c>
    </row>
    <row r="2971" spans="1:2">
      <c r="A2971" s="3">
        <f ca="1">IFERROR(__xludf.DUMMYFUNCTION("""COMPUTED_VALUE"""),42661.6666666666)</f>
        <v>42661.666666666599</v>
      </c>
      <c r="B2971" s="1">
        <f ca="1">IFERROR(__xludf.DUMMYFUNCTION("""COMPUTED_VALUE"""),29.37)</f>
        <v>29.37</v>
      </c>
    </row>
    <row r="2972" spans="1:2">
      <c r="A2972" s="3">
        <f ca="1">IFERROR(__xludf.DUMMYFUNCTION("""COMPUTED_VALUE"""),42662.6666666666)</f>
        <v>42662.666666666599</v>
      </c>
      <c r="B2972" s="1">
        <f ca="1">IFERROR(__xludf.DUMMYFUNCTION("""COMPUTED_VALUE"""),29.28)</f>
        <v>29.28</v>
      </c>
    </row>
    <row r="2973" spans="1:2">
      <c r="A2973" s="3">
        <f ca="1">IFERROR(__xludf.DUMMYFUNCTION("""COMPUTED_VALUE"""),42663.6666666666)</f>
        <v>42663.666666666599</v>
      </c>
      <c r="B2973" s="1">
        <f ca="1">IFERROR(__xludf.DUMMYFUNCTION("""COMPUTED_VALUE"""),29.27)</f>
        <v>29.27</v>
      </c>
    </row>
    <row r="2974" spans="1:2">
      <c r="A2974" s="3">
        <f ca="1">IFERROR(__xludf.DUMMYFUNCTION("""COMPUTED_VALUE"""),42664.6666666666)</f>
        <v>42664.666666666599</v>
      </c>
      <c r="B2974" s="1">
        <f ca="1">IFERROR(__xludf.DUMMYFUNCTION("""COMPUTED_VALUE"""),29.15)</f>
        <v>29.15</v>
      </c>
    </row>
    <row r="2975" spans="1:2">
      <c r="A2975" s="3">
        <f ca="1">IFERROR(__xludf.DUMMYFUNCTION("""COMPUTED_VALUE"""),42667.6666666666)</f>
        <v>42667.666666666599</v>
      </c>
      <c r="B2975" s="1">
        <f ca="1">IFERROR(__xludf.DUMMYFUNCTION("""COMPUTED_VALUE"""),29.41)</f>
        <v>29.41</v>
      </c>
    </row>
    <row r="2976" spans="1:2">
      <c r="A2976" s="3">
        <f ca="1">IFERROR(__xludf.DUMMYFUNCTION("""COMPUTED_VALUE"""),42668.6666666666)</f>
        <v>42668.666666666599</v>
      </c>
      <c r="B2976" s="1">
        <f ca="1">IFERROR(__xludf.DUMMYFUNCTION("""COMPUTED_VALUE"""),29.56)</f>
        <v>29.56</v>
      </c>
    </row>
    <row r="2977" spans="1:2">
      <c r="A2977" s="3">
        <f ca="1">IFERROR(__xludf.DUMMYFUNCTION("""COMPUTED_VALUE"""),42669.6666666666)</f>
        <v>42669.666666666599</v>
      </c>
      <c r="B2977" s="1">
        <f ca="1">IFERROR(__xludf.DUMMYFUNCTION("""COMPUTED_VALUE"""),28.9)</f>
        <v>28.9</v>
      </c>
    </row>
    <row r="2978" spans="1:2">
      <c r="A2978" s="3">
        <f ca="1">IFERROR(__xludf.DUMMYFUNCTION("""COMPUTED_VALUE"""),42670.6666666666)</f>
        <v>42670.666666666599</v>
      </c>
      <c r="B2978" s="1">
        <f ca="1">IFERROR(__xludf.DUMMYFUNCTION("""COMPUTED_VALUE"""),28.62)</f>
        <v>28.62</v>
      </c>
    </row>
    <row r="2979" spans="1:2">
      <c r="A2979" s="3">
        <f ca="1">IFERROR(__xludf.DUMMYFUNCTION("""COMPUTED_VALUE"""),42671.6666666666)</f>
        <v>42671.666666666599</v>
      </c>
      <c r="B2979" s="1">
        <f ca="1">IFERROR(__xludf.DUMMYFUNCTION("""COMPUTED_VALUE"""),28.43)</f>
        <v>28.43</v>
      </c>
    </row>
    <row r="2980" spans="1:2">
      <c r="A2980" s="3">
        <f ca="1">IFERROR(__xludf.DUMMYFUNCTION("""COMPUTED_VALUE"""),42674.6666666666)</f>
        <v>42674.666666666599</v>
      </c>
      <c r="B2980" s="1">
        <f ca="1">IFERROR(__xludf.DUMMYFUNCTION("""COMPUTED_VALUE"""),28.39)</f>
        <v>28.39</v>
      </c>
    </row>
    <row r="2981" spans="1:2">
      <c r="A2981" s="3">
        <f ca="1">IFERROR(__xludf.DUMMYFUNCTION("""COMPUTED_VALUE"""),42675.6666666666)</f>
        <v>42675.666666666599</v>
      </c>
      <c r="B2981" s="1">
        <f ca="1">IFERROR(__xludf.DUMMYFUNCTION("""COMPUTED_VALUE"""),27.87)</f>
        <v>27.87</v>
      </c>
    </row>
    <row r="2982" spans="1:2">
      <c r="A2982" s="3">
        <f ca="1">IFERROR(__xludf.DUMMYFUNCTION("""COMPUTED_VALUE"""),42676.6666666666)</f>
        <v>42676.666666666599</v>
      </c>
      <c r="B2982" s="1">
        <f ca="1">IFERROR(__xludf.DUMMYFUNCTION("""COMPUTED_VALUE"""),27.9)</f>
        <v>27.9</v>
      </c>
    </row>
    <row r="2983" spans="1:2">
      <c r="A2983" s="3">
        <f ca="1">IFERROR(__xludf.DUMMYFUNCTION("""COMPUTED_VALUE"""),42677.6666666666)</f>
        <v>42677.666666666599</v>
      </c>
      <c r="B2983" s="1">
        <f ca="1">IFERROR(__xludf.DUMMYFUNCTION("""COMPUTED_VALUE"""),27.46)</f>
        <v>27.46</v>
      </c>
    </row>
    <row r="2984" spans="1:2">
      <c r="A2984" s="3">
        <f ca="1">IFERROR(__xludf.DUMMYFUNCTION("""COMPUTED_VALUE"""),42678.6666666666)</f>
        <v>42678.666666666599</v>
      </c>
      <c r="B2984" s="1">
        <f ca="1">IFERROR(__xludf.DUMMYFUNCTION("""COMPUTED_VALUE"""),27.21)</f>
        <v>27.21</v>
      </c>
    </row>
    <row r="2985" spans="1:2">
      <c r="A2985" s="3">
        <f ca="1">IFERROR(__xludf.DUMMYFUNCTION("""COMPUTED_VALUE"""),42681.6666666666)</f>
        <v>42681.666666666599</v>
      </c>
      <c r="B2985" s="1">
        <f ca="1">IFERROR(__xludf.DUMMYFUNCTION("""COMPUTED_VALUE"""),27.6)</f>
        <v>27.6</v>
      </c>
    </row>
    <row r="2986" spans="1:2">
      <c r="A2986" s="3">
        <f ca="1">IFERROR(__xludf.DUMMYFUNCTION("""COMPUTED_VALUE"""),42682.6666666666)</f>
        <v>42682.666666666599</v>
      </c>
      <c r="B2986" s="1">
        <f ca="1">IFERROR(__xludf.DUMMYFUNCTION("""COMPUTED_VALUE"""),27.77)</f>
        <v>27.77</v>
      </c>
    </row>
    <row r="2987" spans="1:2">
      <c r="A2987" s="3">
        <f ca="1">IFERROR(__xludf.DUMMYFUNCTION("""COMPUTED_VALUE"""),42683.6666666666)</f>
        <v>42683.666666666599</v>
      </c>
      <c r="B2987" s="1">
        <f ca="1">IFERROR(__xludf.DUMMYFUNCTION("""COMPUTED_VALUE"""),27.72)</f>
        <v>27.72</v>
      </c>
    </row>
    <row r="2988" spans="1:2">
      <c r="A2988" s="3">
        <f ca="1">IFERROR(__xludf.DUMMYFUNCTION("""COMPUTED_VALUE"""),42684.6666666666)</f>
        <v>42684.666666666599</v>
      </c>
      <c r="B2988" s="1">
        <f ca="1">IFERROR(__xludf.DUMMYFUNCTION("""COMPUTED_VALUE"""),26.95)</f>
        <v>26.95</v>
      </c>
    </row>
    <row r="2989" spans="1:2">
      <c r="A2989" s="3">
        <f ca="1">IFERROR(__xludf.DUMMYFUNCTION("""COMPUTED_VALUE"""),42685.6666666666)</f>
        <v>42685.666666666599</v>
      </c>
      <c r="B2989" s="1">
        <f ca="1">IFERROR(__xludf.DUMMYFUNCTION("""COMPUTED_VALUE"""),27.11)</f>
        <v>27.11</v>
      </c>
    </row>
    <row r="2990" spans="1:2">
      <c r="A2990" s="3">
        <f ca="1">IFERROR(__xludf.DUMMYFUNCTION("""COMPUTED_VALUE"""),42688.6666666666)</f>
        <v>42688.666666666599</v>
      </c>
      <c r="B2990" s="1">
        <f ca="1">IFERROR(__xludf.DUMMYFUNCTION("""COMPUTED_VALUE"""),26.43)</f>
        <v>26.43</v>
      </c>
    </row>
    <row r="2991" spans="1:2">
      <c r="A2991" s="3">
        <f ca="1">IFERROR(__xludf.DUMMYFUNCTION("""COMPUTED_VALUE"""),42689.6666666666)</f>
        <v>42689.666666666599</v>
      </c>
      <c r="B2991" s="1">
        <f ca="1">IFERROR(__xludf.DUMMYFUNCTION("""COMPUTED_VALUE"""),26.78)</f>
        <v>26.78</v>
      </c>
    </row>
    <row r="2992" spans="1:2">
      <c r="A2992" s="3">
        <f ca="1">IFERROR(__xludf.DUMMYFUNCTION("""COMPUTED_VALUE"""),42690.6666666666)</f>
        <v>42690.666666666599</v>
      </c>
      <c r="B2992" s="1">
        <f ca="1">IFERROR(__xludf.DUMMYFUNCTION("""COMPUTED_VALUE"""),27.5)</f>
        <v>27.5</v>
      </c>
    </row>
    <row r="2993" spans="1:2">
      <c r="A2993" s="3">
        <f ca="1">IFERROR(__xludf.DUMMYFUNCTION("""COMPUTED_VALUE"""),42691.6666666666)</f>
        <v>42691.666666666599</v>
      </c>
      <c r="B2993" s="1">
        <f ca="1">IFERROR(__xludf.DUMMYFUNCTION("""COMPUTED_VALUE"""),27.49)</f>
        <v>27.49</v>
      </c>
    </row>
    <row r="2994" spans="1:2">
      <c r="A2994" s="3">
        <f ca="1">IFERROR(__xludf.DUMMYFUNCTION("""COMPUTED_VALUE"""),42692.6666666666)</f>
        <v>42692.666666666599</v>
      </c>
      <c r="B2994" s="1">
        <f ca="1">IFERROR(__xludf.DUMMYFUNCTION("""COMPUTED_VALUE"""),27.52)</f>
        <v>27.52</v>
      </c>
    </row>
    <row r="2995" spans="1:2">
      <c r="A2995" s="3">
        <f ca="1">IFERROR(__xludf.DUMMYFUNCTION("""COMPUTED_VALUE"""),42695.6666666666)</f>
        <v>42695.666666666599</v>
      </c>
      <c r="B2995" s="1">
        <f ca="1">IFERROR(__xludf.DUMMYFUNCTION("""COMPUTED_VALUE"""),27.93)</f>
        <v>27.93</v>
      </c>
    </row>
    <row r="2996" spans="1:2">
      <c r="A2996" s="3">
        <f ca="1">IFERROR(__xludf.DUMMYFUNCTION("""COMPUTED_VALUE"""),42696.6666666666)</f>
        <v>42696.666666666599</v>
      </c>
      <c r="B2996" s="1">
        <f ca="1">IFERROR(__xludf.DUMMYFUNCTION("""COMPUTED_VALUE"""),27.95)</f>
        <v>27.95</v>
      </c>
    </row>
    <row r="2997" spans="1:2">
      <c r="A2997" s="3">
        <f ca="1">IFERROR(__xludf.DUMMYFUNCTION("""COMPUTED_VALUE"""),42697.6666666666)</f>
        <v>42697.666666666599</v>
      </c>
      <c r="B2997" s="1">
        <f ca="1">IFERROR(__xludf.DUMMYFUNCTION("""COMPUTED_VALUE"""),27.81)</f>
        <v>27.81</v>
      </c>
    </row>
    <row r="2998" spans="1:2">
      <c r="A2998" s="3">
        <f ca="1">IFERROR(__xludf.DUMMYFUNCTION("""COMPUTED_VALUE"""),42699.6666666666)</f>
        <v>42699.666666666599</v>
      </c>
      <c r="B2998" s="1">
        <f ca="1">IFERROR(__xludf.DUMMYFUNCTION("""COMPUTED_VALUE"""),27.95)</f>
        <v>27.95</v>
      </c>
    </row>
    <row r="2999" spans="1:2">
      <c r="A2999" s="3">
        <f ca="1">IFERROR(__xludf.DUMMYFUNCTION("""COMPUTED_VALUE"""),42702.6666666666)</f>
        <v>42702.666666666599</v>
      </c>
      <c r="B2999" s="1">
        <f ca="1">IFERROR(__xludf.DUMMYFUNCTION("""COMPUTED_VALUE"""),27.89)</f>
        <v>27.89</v>
      </c>
    </row>
    <row r="3000" spans="1:2">
      <c r="A3000" s="3">
        <f ca="1">IFERROR(__xludf.DUMMYFUNCTION("""COMPUTED_VALUE"""),42703.6666666666)</f>
        <v>42703.666666666599</v>
      </c>
      <c r="B3000" s="1">
        <f ca="1">IFERROR(__xludf.DUMMYFUNCTION("""COMPUTED_VALUE"""),27.87)</f>
        <v>27.87</v>
      </c>
    </row>
    <row r="3001" spans="1:2">
      <c r="A3001" s="3">
        <f ca="1">IFERROR(__xludf.DUMMYFUNCTION("""COMPUTED_VALUE"""),42704.6666666666)</f>
        <v>42704.666666666599</v>
      </c>
      <c r="B3001" s="1">
        <f ca="1">IFERROR(__xludf.DUMMYFUNCTION("""COMPUTED_VALUE"""),27.63)</f>
        <v>27.63</v>
      </c>
    </row>
    <row r="3002" spans="1:2">
      <c r="A3002" s="3">
        <f ca="1">IFERROR(__xludf.DUMMYFUNCTION("""COMPUTED_VALUE"""),42705.6666666666)</f>
        <v>42705.666666666599</v>
      </c>
      <c r="B3002" s="1">
        <f ca="1">IFERROR(__xludf.DUMMYFUNCTION("""COMPUTED_VALUE"""),27.37)</f>
        <v>27.37</v>
      </c>
    </row>
    <row r="3003" spans="1:2">
      <c r="A3003" s="3">
        <f ca="1">IFERROR(__xludf.DUMMYFUNCTION("""COMPUTED_VALUE"""),42706.6666666666)</f>
        <v>42706.666666666599</v>
      </c>
      <c r="B3003" s="1">
        <f ca="1">IFERROR(__xludf.DUMMYFUNCTION("""COMPUTED_VALUE"""),27.48)</f>
        <v>27.48</v>
      </c>
    </row>
    <row r="3004" spans="1:2">
      <c r="A3004" s="3">
        <f ca="1">IFERROR(__xludf.DUMMYFUNCTION("""COMPUTED_VALUE"""),42709.6666666666)</f>
        <v>42709.666666666599</v>
      </c>
      <c r="B3004" s="1">
        <f ca="1">IFERROR(__xludf.DUMMYFUNCTION("""COMPUTED_VALUE"""),27.28)</f>
        <v>27.28</v>
      </c>
    </row>
    <row r="3005" spans="1:2">
      <c r="A3005" s="3">
        <f ca="1">IFERROR(__xludf.DUMMYFUNCTION("""COMPUTED_VALUE"""),42710.6666666666)</f>
        <v>42710.666666666599</v>
      </c>
      <c r="B3005" s="1">
        <f ca="1">IFERROR(__xludf.DUMMYFUNCTION("""COMPUTED_VALUE"""),27.49)</f>
        <v>27.49</v>
      </c>
    </row>
    <row r="3006" spans="1:2">
      <c r="A3006" s="3">
        <f ca="1">IFERROR(__xludf.DUMMYFUNCTION("""COMPUTED_VALUE"""),42711.6666666666)</f>
        <v>42711.666666666599</v>
      </c>
      <c r="B3006" s="1">
        <f ca="1">IFERROR(__xludf.DUMMYFUNCTION("""COMPUTED_VALUE"""),27.76)</f>
        <v>27.76</v>
      </c>
    </row>
    <row r="3007" spans="1:2">
      <c r="A3007" s="3">
        <f ca="1">IFERROR(__xludf.DUMMYFUNCTION("""COMPUTED_VALUE"""),42712.6666666666)</f>
        <v>42712.666666666599</v>
      </c>
      <c r="B3007" s="1">
        <f ca="1">IFERROR(__xludf.DUMMYFUNCTION("""COMPUTED_VALUE"""),28.03)</f>
        <v>28.03</v>
      </c>
    </row>
    <row r="3008" spans="1:2">
      <c r="A3008" s="3">
        <f ca="1">IFERROR(__xludf.DUMMYFUNCTION("""COMPUTED_VALUE"""),42713.6666666666)</f>
        <v>42713.666666666599</v>
      </c>
      <c r="B3008" s="1">
        <f ca="1">IFERROR(__xludf.DUMMYFUNCTION("""COMPUTED_VALUE"""),28.49)</f>
        <v>28.49</v>
      </c>
    </row>
    <row r="3009" spans="1:2">
      <c r="A3009" s="3">
        <f ca="1">IFERROR(__xludf.DUMMYFUNCTION("""COMPUTED_VALUE"""),42716.6666666666)</f>
        <v>42716.666666666599</v>
      </c>
      <c r="B3009" s="1">
        <f ca="1">IFERROR(__xludf.DUMMYFUNCTION("""COMPUTED_VALUE"""),28.33)</f>
        <v>28.33</v>
      </c>
    </row>
    <row r="3010" spans="1:2">
      <c r="A3010" s="3">
        <f ca="1">IFERROR(__xludf.DUMMYFUNCTION("""COMPUTED_VALUE"""),42717.6666666666)</f>
        <v>42717.666666666599</v>
      </c>
      <c r="B3010" s="1">
        <f ca="1">IFERROR(__xludf.DUMMYFUNCTION("""COMPUTED_VALUE"""),28.8)</f>
        <v>28.8</v>
      </c>
    </row>
    <row r="3011" spans="1:2">
      <c r="A3011" s="3">
        <f ca="1">IFERROR(__xludf.DUMMYFUNCTION("""COMPUTED_VALUE"""),42718.6666666666)</f>
        <v>42718.666666666599</v>
      </c>
      <c r="B3011" s="1">
        <f ca="1">IFERROR(__xludf.DUMMYFUNCTION("""COMPUTED_VALUE"""),28.8)</f>
        <v>28.8</v>
      </c>
    </row>
    <row r="3012" spans="1:2">
      <c r="A3012" s="3">
        <f ca="1">IFERROR(__xludf.DUMMYFUNCTION("""COMPUTED_VALUE"""),42719.6666666666)</f>
        <v>42719.666666666599</v>
      </c>
      <c r="B3012" s="1">
        <f ca="1">IFERROR(__xludf.DUMMYFUNCTION("""COMPUTED_VALUE"""),28.96)</f>
        <v>28.96</v>
      </c>
    </row>
    <row r="3013" spans="1:2">
      <c r="A3013" s="3">
        <f ca="1">IFERROR(__xludf.DUMMYFUNCTION("""COMPUTED_VALUE"""),42720.6666666666)</f>
        <v>42720.666666666599</v>
      </c>
      <c r="B3013" s="1">
        <f ca="1">IFERROR(__xludf.DUMMYFUNCTION("""COMPUTED_VALUE"""),28.99)</f>
        <v>28.99</v>
      </c>
    </row>
    <row r="3014" spans="1:2">
      <c r="A3014" s="3">
        <f ca="1">IFERROR(__xludf.DUMMYFUNCTION("""COMPUTED_VALUE"""),42723.6666666666)</f>
        <v>42723.666666666599</v>
      </c>
      <c r="B3014" s="1">
        <f ca="1">IFERROR(__xludf.DUMMYFUNCTION("""COMPUTED_VALUE"""),29.16)</f>
        <v>29.16</v>
      </c>
    </row>
    <row r="3015" spans="1:2">
      <c r="A3015" s="3">
        <f ca="1">IFERROR(__xludf.DUMMYFUNCTION("""COMPUTED_VALUE"""),42724.6666666666)</f>
        <v>42724.666666666599</v>
      </c>
      <c r="B3015" s="1">
        <f ca="1">IFERROR(__xludf.DUMMYFUNCTION("""COMPUTED_VALUE"""),29.24)</f>
        <v>29.24</v>
      </c>
    </row>
    <row r="3016" spans="1:2">
      <c r="A3016" s="3">
        <f ca="1">IFERROR(__xludf.DUMMYFUNCTION("""COMPUTED_VALUE"""),42725.6666666666)</f>
        <v>42725.666666666599</v>
      </c>
      <c r="B3016" s="1">
        <f ca="1">IFERROR(__xludf.DUMMYFUNCTION("""COMPUTED_VALUE"""),29.27)</f>
        <v>29.27</v>
      </c>
    </row>
    <row r="3017" spans="1:2">
      <c r="A3017" s="3">
        <f ca="1">IFERROR(__xludf.DUMMYFUNCTION("""COMPUTED_VALUE"""),42726.6666666666)</f>
        <v>42726.666666666599</v>
      </c>
      <c r="B3017" s="1">
        <f ca="1">IFERROR(__xludf.DUMMYFUNCTION("""COMPUTED_VALUE"""),29.07)</f>
        <v>29.07</v>
      </c>
    </row>
    <row r="3018" spans="1:2">
      <c r="A3018" s="3">
        <f ca="1">IFERROR(__xludf.DUMMYFUNCTION("""COMPUTED_VALUE"""),42727.6666666666)</f>
        <v>42727.666666666599</v>
      </c>
      <c r="B3018" s="1">
        <f ca="1">IFERROR(__xludf.DUMMYFUNCTION("""COMPUTED_VALUE"""),29.13)</f>
        <v>29.13</v>
      </c>
    </row>
    <row r="3019" spans="1:2">
      <c r="A3019" s="3">
        <f ca="1">IFERROR(__xludf.DUMMYFUNCTION("""COMPUTED_VALUE"""),42731.6666666666)</f>
        <v>42731.666666666599</v>
      </c>
      <c r="B3019" s="1">
        <f ca="1">IFERROR(__xludf.DUMMYFUNCTION("""COMPUTED_VALUE"""),29.32)</f>
        <v>29.32</v>
      </c>
    </row>
    <row r="3020" spans="1:2">
      <c r="A3020" s="3">
        <f ca="1">IFERROR(__xludf.DUMMYFUNCTION("""COMPUTED_VALUE"""),42732.6666666666)</f>
        <v>42732.666666666599</v>
      </c>
      <c r="B3020" s="1">
        <f ca="1">IFERROR(__xludf.DUMMYFUNCTION("""COMPUTED_VALUE"""),29.19)</f>
        <v>29.19</v>
      </c>
    </row>
    <row r="3021" spans="1:2">
      <c r="A3021" s="3">
        <f ca="1">IFERROR(__xludf.DUMMYFUNCTION("""COMPUTED_VALUE"""),42733.6666666666)</f>
        <v>42733.666666666599</v>
      </c>
      <c r="B3021" s="1">
        <f ca="1">IFERROR(__xludf.DUMMYFUNCTION("""COMPUTED_VALUE"""),29.18)</f>
        <v>29.18</v>
      </c>
    </row>
    <row r="3022" spans="1:2">
      <c r="A3022" s="3">
        <f ca="1">IFERROR(__xludf.DUMMYFUNCTION("""COMPUTED_VALUE"""),42734.6666666666)</f>
        <v>42734.666666666599</v>
      </c>
      <c r="B3022" s="1">
        <f ca="1">IFERROR(__xludf.DUMMYFUNCTION("""COMPUTED_VALUE"""),28.96)</f>
        <v>28.96</v>
      </c>
    </row>
    <row r="3023" spans="1:2">
      <c r="A3023" s="3">
        <f ca="1">IFERROR(__xludf.DUMMYFUNCTION("""COMPUTED_VALUE"""),42738.6666666666)</f>
        <v>42738.666666666599</v>
      </c>
      <c r="B3023" s="1">
        <f ca="1">IFERROR(__xludf.DUMMYFUNCTION("""COMPUTED_VALUE"""),29.04)</f>
        <v>29.04</v>
      </c>
    </row>
    <row r="3024" spans="1:2">
      <c r="A3024" s="3">
        <f ca="1">IFERROR(__xludf.DUMMYFUNCTION("""COMPUTED_VALUE"""),42739.6666666666)</f>
        <v>42739.666666666599</v>
      </c>
      <c r="B3024" s="1">
        <f ca="1">IFERROR(__xludf.DUMMYFUNCTION("""COMPUTED_VALUE"""),29.01)</f>
        <v>29.01</v>
      </c>
    </row>
    <row r="3025" spans="1:2">
      <c r="A3025" s="3">
        <f ca="1">IFERROR(__xludf.DUMMYFUNCTION("""COMPUTED_VALUE"""),42740.6666666666)</f>
        <v>42740.666666666599</v>
      </c>
      <c r="B3025" s="1">
        <f ca="1">IFERROR(__xludf.DUMMYFUNCTION("""COMPUTED_VALUE"""),29.15)</f>
        <v>29.15</v>
      </c>
    </row>
    <row r="3026" spans="1:2">
      <c r="A3026" s="3">
        <f ca="1">IFERROR(__xludf.DUMMYFUNCTION("""COMPUTED_VALUE"""),42741.6666666666)</f>
        <v>42741.666666666599</v>
      </c>
      <c r="B3026" s="1">
        <f ca="1">IFERROR(__xludf.DUMMYFUNCTION("""COMPUTED_VALUE"""),29.48)</f>
        <v>29.48</v>
      </c>
    </row>
    <row r="3027" spans="1:2">
      <c r="A3027" s="3">
        <f ca="1">IFERROR(__xludf.DUMMYFUNCTION("""COMPUTED_VALUE"""),42744.6666666666)</f>
        <v>42744.666666666599</v>
      </c>
      <c r="B3027" s="1">
        <f ca="1">IFERROR(__xludf.DUMMYFUNCTION("""COMPUTED_VALUE"""),29.75)</f>
        <v>29.75</v>
      </c>
    </row>
    <row r="3028" spans="1:2">
      <c r="A3028" s="3">
        <f ca="1">IFERROR(__xludf.DUMMYFUNCTION("""COMPUTED_VALUE"""),42745.6666666666)</f>
        <v>42745.666666666599</v>
      </c>
      <c r="B3028" s="1">
        <f ca="1">IFERROR(__xludf.DUMMYFUNCTION("""COMPUTED_VALUE"""),29.78)</f>
        <v>29.78</v>
      </c>
    </row>
    <row r="3029" spans="1:2">
      <c r="A3029" s="3">
        <f ca="1">IFERROR(__xludf.DUMMYFUNCTION("""COMPUTED_VALUE"""),42746.6666666666)</f>
        <v>42746.666666666599</v>
      </c>
      <c r="B3029" s="1">
        <f ca="1">IFERROR(__xludf.DUMMYFUNCTION("""COMPUTED_VALUE"""),29.94)</f>
        <v>29.94</v>
      </c>
    </row>
    <row r="3030" spans="1:2">
      <c r="A3030" s="3">
        <f ca="1">IFERROR(__xludf.DUMMYFUNCTION("""COMPUTED_VALUE"""),42747.6666666666)</f>
        <v>42747.666666666599</v>
      </c>
      <c r="B3030" s="1">
        <f ca="1">IFERROR(__xludf.DUMMYFUNCTION("""COMPUTED_VALUE"""),29.81)</f>
        <v>29.81</v>
      </c>
    </row>
    <row r="3031" spans="1:2">
      <c r="A3031" s="3">
        <f ca="1">IFERROR(__xludf.DUMMYFUNCTION("""COMPUTED_VALUE"""),42748.6666666666)</f>
        <v>42748.666666666599</v>
      </c>
      <c r="B3031" s="1">
        <f ca="1">IFERROR(__xludf.DUMMYFUNCTION("""COMPUTED_VALUE"""),29.76)</f>
        <v>29.76</v>
      </c>
    </row>
    <row r="3032" spans="1:2">
      <c r="A3032" s="3">
        <f ca="1">IFERROR(__xludf.DUMMYFUNCTION("""COMPUTED_VALUE"""),42752.6666666666)</f>
        <v>42752.666666666599</v>
      </c>
      <c r="B3032" s="1">
        <f ca="1">IFERROR(__xludf.DUMMYFUNCTION("""COMPUTED_VALUE"""),30)</f>
        <v>30</v>
      </c>
    </row>
    <row r="3033" spans="1:2">
      <c r="A3033" s="3">
        <f ca="1">IFERROR(__xludf.DUMMYFUNCTION("""COMPUTED_VALUE"""),42753.6666666666)</f>
        <v>42753.666666666599</v>
      </c>
      <c r="B3033" s="1">
        <f ca="1">IFERROR(__xludf.DUMMYFUNCTION("""COMPUTED_VALUE"""),30)</f>
        <v>30</v>
      </c>
    </row>
    <row r="3034" spans="1:2">
      <c r="A3034" s="3">
        <f ca="1">IFERROR(__xludf.DUMMYFUNCTION("""COMPUTED_VALUE"""),42754.6666666666)</f>
        <v>42754.666666666599</v>
      </c>
      <c r="B3034" s="1">
        <f ca="1">IFERROR(__xludf.DUMMYFUNCTION("""COMPUTED_VALUE"""),29.95)</f>
        <v>29.95</v>
      </c>
    </row>
    <row r="3035" spans="1:2">
      <c r="A3035" s="3">
        <f ca="1">IFERROR(__xludf.DUMMYFUNCTION("""COMPUTED_VALUE"""),42755.6666666666)</f>
        <v>42755.666666666599</v>
      </c>
      <c r="B3035" s="1">
        <f ca="1">IFERROR(__xludf.DUMMYFUNCTION("""COMPUTED_VALUE"""),30)</f>
        <v>30</v>
      </c>
    </row>
    <row r="3036" spans="1:2">
      <c r="A3036" s="3">
        <f ca="1">IFERROR(__xludf.DUMMYFUNCTION("""COMPUTED_VALUE"""),42758.6666666666)</f>
        <v>42758.666666666599</v>
      </c>
      <c r="B3036" s="1">
        <f ca="1">IFERROR(__xludf.DUMMYFUNCTION("""COMPUTED_VALUE"""),30.02)</f>
        <v>30.02</v>
      </c>
    </row>
    <row r="3037" spans="1:2">
      <c r="A3037" s="3">
        <f ca="1">IFERROR(__xludf.DUMMYFUNCTION("""COMPUTED_VALUE"""),42759.6666666666)</f>
        <v>42759.666666666599</v>
      </c>
      <c r="B3037" s="1">
        <f ca="1">IFERROR(__xludf.DUMMYFUNCTION("""COMPUTED_VALUE"""),29.99)</f>
        <v>29.99</v>
      </c>
    </row>
    <row r="3038" spans="1:2">
      <c r="A3038" s="3">
        <f ca="1">IFERROR(__xludf.DUMMYFUNCTION("""COMPUTED_VALUE"""),42760.6666666666)</f>
        <v>42760.666666666599</v>
      </c>
      <c r="B3038" s="1">
        <f ca="1">IFERROR(__xludf.DUMMYFUNCTION("""COMPUTED_VALUE"""),30.47)</f>
        <v>30.47</v>
      </c>
    </row>
    <row r="3039" spans="1:2">
      <c r="A3039" s="3">
        <f ca="1">IFERROR(__xludf.DUMMYFUNCTION("""COMPUTED_VALUE"""),42761.6666666666)</f>
        <v>42761.666666666599</v>
      </c>
      <c r="B3039" s="1">
        <f ca="1">IFERROR(__xludf.DUMMYFUNCTION("""COMPUTED_VALUE"""),30.49)</f>
        <v>30.49</v>
      </c>
    </row>
    <row r="3040" spans="1:2">
      <c r="A3040" s="3">
        <f ca="1">IFERROR(__xludf.DUMMYFUNCTION("""COMPUTED_VALUE"""),42762.6666666666)</f>
        <v>42762.666666666599</v>
      </c>
      <c r="B3040" s="1">
        <f ca="1">IFERROR(__xludf.DUMMYFUNCTION("""COMPUTED_VALUE"""),30.49)</f>
        <v>30.49</v>
      </c>
    </row>
    <row r="3041" spans="1:2">
      <c r="A3041" s="3">
        <f ca="1">IFERROR(__xludf.DUMMYFUNCTION("""COMPUTED_VALUE"""),42765.6666666666)</f>
        <v>42765.666666666599</v>
      </c>
      <c r="B3041" s="1">
        <f ca="1">IFERROR(__xludf.DUMMYFUNCTION("""COMPUTED_VALUE"""),30.41)</f>
        <v>30.41</v>
      </c>
    </row>
    <row r="3042" spans="1:2">
      <c r="A3042" s="3">
        <f ca="1">IFERROR(__xludf.DUMMYFUNCTION("""COMPUTED_VALUE"""),42766.6666666666)</f>
        <v>42766.666666666599</v>
      </c>
      <c r="B3042" s="1">
        <f ca="1">IFERROR(__xludf.DUMMYFUNCTION("""COMPUTED_VALUE"""),30.34)</f>
        <v>30.34</v>
      </c>
    </row>
    <row r="3043" spans="1:2">
      <c r="A3043" s="3">
        <f ca="1">IFERROR(__xludf.DUMMYFUNCTION("""COMPUTED_VALUE"""),42767.6666666666)</f>
        <v>42767.666666666599</v>
      </c>
      <c r="B3043" s="1">
        <f ca="1">IFERROR(__xludf.DUMMYFUNCTION("""COMPUTED_VALUE"""),32.19)</f>
        <v>32.19</v>
      </c>
    </row>
    <row r="3044" spans="1:2">
      <c r="A3044" s="3">
        <f ca="1">IFERROR(__xludf.DUMMYFUNCTION("""COMPUTED_VALUE"""),42768.6666666666)</f>
        <v>42768.666666666599</v>
      </c>
      <c r="B3044" s="1">
        <f ca="1">IFERROR(__xludf.DUMMYFUNCTION("""COMPUTED_VALUE"""),32.13)</f>
        <v>32.130000000000003</v>
      </c>
    </row>
    <row r="3045" spans="1:2">
      <c r="A3045" s="3">
        <f ca="1">IFERROR(__xludf.DUMMYFUNCTION("""COMPUTED_VALUE"""),42769.6666666666)</f>
        <v>42769.666666666599</v>
      </c>
      <c r="B3045" s="1">
        <f ca="1">IFERROR(__xludf.DUMMYFUNCTION("""COMPUTED_VALUE"""),32.27)</f>
        <v>32.270000000000003</v>
      </c>
    </row>
    <row r="3046" spans="1:2">
      <c r="A3046" s="3">
        <f ca="1">IFERROR(__xludf.DUMMYFUNCTION("""COMPUTED_VALUE"""),42772.6666666666)</f>
        <v>42772.666666666599</v>
      </c>
      <c r="B3046" s="1">
        <f ca="1">IFERROR(__xludf.DUMMYFUNCTION("""COMPUTED_VALUE"""),32.57)</f>
        <v>32.57</v>
      </c>
    </row>
    <row r="3047" spans="1:2">
      <c r="A3047" s="3">
        <f ca="1">IFERROR(__xludf.DUMMYFUNCTION("""COMPUTED_VALUE"""),42773.6666666666)</f>
        <v>42773.666666666599</v>
      </c>
      <c r="B3047" s="1">
        <f ca="1">IFERROR(__xludf.DUMMYFUNCTION("""COMPUTED_VALUE"""),32.88)</f>
        <v>32.880000000000003</v>
      </c>
    </row>
    <row r="3048" spans="1:2">
      <c r="A3048" s="3">
        <f ca="1">IFERROR(__xludf.DUMMYFUNCTION("""COMPUTED_VALUE"""),42774.6666666666)</f>
        <v>42774.666666666599</v>
      </c>
      <c r="B3048" s="1">
        <f ca="1">IFERROR(__xludf.DUMMYFUNCTION("""COMPUTED_VALUE"""),33.01)</f>
        <v>33.01</v>
      </c>
    </row>
    <row r="3049" spans="1:2">
      <c r="A3049" s="3">
        <f ca="1">IFERROR(__xludf.DUMMYFUNCTION("""COMPUTED_VALUE"""),42775.6666666666)</f>
        <v>42775.666666666599</v>
      </c>
      <c r="B3049" s="1">
        <f ca="1">IFERROR(__xludf.DUMMYFUNCTION("""COMPUTED_VALUE"""),33.1)</f>
        <v>33.1</v>
      </c>
    </row>
    <row r="3050" spans="1:2">
      <c r="A3050" s="3">
        <f ca="1">IFERROR(__xludf.DUMMYFUNCTION("""COMPUTED_VALUE"""),42776.6666666666)</f>
        <v>42776.666666666599</v>
      </c>
      <c r="B3050" s="1">
        <f ca="1">IFERROR(__xludf.DUMMYFUNCTION("""COMPUTED_VALUE"""),33.03)</f>
        <v>33.03</v>
      </c>
    </row>
    <row r="3051" spans="1:2">
      <c r="A3051" s="3">
        <f ca="1">IFERROR(__xludf.DUMMYFUNCTION("""COMPUTED_VALUE"""),42779.6666666666)</f>
        <v>42779.666666666599</v>
      </c>
      <c r="B3051" s="1">
        <f ca="1">IFERROR(__xludf.DUMMYFUNCTION("""COMPUTED_VALUE"""),33.32)</f>
        <v>33.32</v>
      </c>
    </row>
    <row r="3052" spans="1:2">
      <c r="A3052" s="3">
        <f ca="1">IFERROR(__xludf.DUMMYFUNCTION("""COMPUTED_VALUE"""),42780.6666666666)</f>
        <v>42780.666666666599</v>
      </c>
      <c r="B3052" s="1">
        <f ca="1">IFERROR(__xludf.DUMMYFUNCTION("""COMPUTED_VALUE"""),33.76)</f>
        <v>33.76</v>
      </c>
    </row>
    <row r="3053" spans="1:2">
      <c r="A3053" s="3">
        <f ca="1">IFERROR(__xludf.DUMMYFUNCTION("""COMPUTED_VALUE"""),42781.6666666666)</f>
        <v>42781.666666666599</v>
      </c>
      <c r="B3053" s="1">
        <f ca="1">IFERROR(__xludf.DUMMYFUNCTION("""COMPUTED_VALUE"""),33.88)</f>
        <v>33.880000000000003</v>
      </c>
    </row>
    <row r="3054" spans="1:2">
      <c r="A3054" s="3">
        <f ca="1">IFERROR(__xludf.DUMMYFUNCTION("""COMPUTED_VALUE"""),42782.6666666666)</f>
        <v>42782.666666666599</v>
      </c>
      <c r="B3054" s="1">
        <f ca="1">IFERROR(__xludf.DUMMYFUNCTION("""COMPUTED_VALUE"""),33.84)</f>
        <v>33.840000000000003</v>
      </c>
    </row>
    <row r="3055" spans="1:2">
      <c r="A3055" s="3">
        <f ca="1">IFERROR(__xludf.DUMMYFUNCTION("""COMPUTED_VALUE"""),42783.6666666666)</f>
        <v>42783.666666666599</v>
      </c>
      <c r="B3055" s="1">
        <f ca="1">IFERROR(__xludf.DUMMYFUNCTION("""COMPUTED_VALUE"""),33.93)</f>
        <v>33.93</v>
      </c>
    </row>
    <row r="3056" spans="1:2">
      <c r="A3056" s="3">
        <f ca="1">IFERROR(__xludf.DUMMYFUNCTION("""COMPUTED_VALUE"""),42787.6666666666)</f>
        <v>42787.666666666599</v>
      </c>
      <c r="B3056" s="1">
        <f ca="1">IFERROR(__xludf.DUMMYFUNCTION("""COMPUTED_VALUE"""),34.17)</f>
        <v>34.17</v>
      </c>
    </row>
    <row r="3057" spans="1:2">
      <c r="A3057" s="3">
        <f ca="1">IFERROR(__xludf.DUMMYFUNCTION("""COMPUTED_VALUE"""),42788.6666666666)</f>
        <v>42788.666666666599</v>
      </c>
      <c r="B3057" s="1">
        <f ca="1">IFERROR(__xludf.DUMMYFUNCTION("""COMPUTED_VALUE"""),34.28)</f>
        <v>34.28</v>
      </c>
    </row>
    <row r="3058" spans="1:2">
      <c r="A3058" s="3">
        <f ca="1">IFERROR(__xludf.DUMMYFUNCTION("""COMPUTED_VALUE"""),42789.6666666666)</f>
        <v>42789.666666666599</v>
      </c>
      <c r="B3058" s="1">
        <f ca="1">IFERROR(__xludf.DUMMYFUNCTION("""COMPUTED_VALUE"""),34.13)</f>
        <v>34.130000000000003</v>
      </c>
    </row>
    <row r="3059" spans="1:2">
      <c r="A3059" s="3">
        <f ca="1">IFERROR(__xludf.DUMMYFUNCTION("""COMPUTED_VALUE"""),42790.6666666666)</f>
        <v>42790.666666666599</v>
      </c>
      <c r="B3059" s="1">
        <f ca="1">IFERROR(__xludf.DUMMYFUNCTION("""COMPUTED_VALUE"""),34.17)</f>
        <v>34.17</v>
      </c>
    </row>
    <row r="3060" spans="1:2">
      <c r="A3060" s="3">
        <f ca="1">IFERROR(__xludf.DUMMYFUNCTION("""COMPUTED_VALUE"""),42793.6666666666)</f>
        <v>42793.666666666599</v>
      </c>
      <c r="B3060" s="1">
        <f ca="1">IFERROR(__xludf.DUMMYFUNCTION("""COMPUTED_VALUE"""),34.23)</f>
        <v>34.229999999999997</v>
      </c>
    </row>
    <row r="3061" spans="1:2">
      <c r="A3061" s="3">
        <f ca="1">IFERROR(__xludf.DUMMYFUNCTION("""COMPUTED_VALUE"""),42794.6666666666)</f>
        <v>42794.666666666599</v>
      </c>
      <c r="B3061" s="1">
        <f ca="1">IFERROR(__xludf.DUMMYFUNCTION("""COMPUTED_VALUE"""),34.25)</f>
        <v>34.25</v>
      </c>
    </row>
    <row r="3062" spans="1:2">
      <c r="A3062" s="3">
        <f ca="1">IFERROR(__xludf.DUMMYFUNCTION("""COMPUTED_VALUE"""),42795.6666666666)</f>
        <v>42795.666666666599</v>
      </c>
      <c r="B3062" s="1">
        <f ca="1">IFERROR(__xludf.DUMMYFUNCTION("""COMPUTED_VALUE"""),34.95)</f>
        <v>34.950000000000003</v>
      </c>
    </row>
    <row r="3063" spans="1:2">
      <c r="A3063" s="3">
        <f ca="1">IFERROR(__xludf.DUMMYFUNCTION("""COMPUTED_VALUE"""),42796.6666666666)</f>
        <v>42796.666666666599</v>
      </c>
      <c r="B3063" s="1">
        <f ca="1">IFERROR(__xludf.DUMMYFUNCTION("""COMPUTED_VALUE"""),34.74)</f>
        <v>34.74</v>
      </c>
    </row>
    <row r="3064" spans="1:2">
      <c r="A3064" s="3">
        <f ca="1">IFERROR(__xludf.DUMMYFUNCTION("""COMPUTED_VALUE"""),42797.6666666666)</f>
        <v>42797.666666666599</v>
      </c>
      <c r="B3064" s="1">
        <f ca="1">IFERROR(__xludf.DUMMYFUNCTION("""COMPUTED_VALUE"""),34.95)</f>
        <v>34.950000000000003</v>
      </c>
    </row>
    <row r="3065" spans="1:2">
      <c r="A3065" s="3">
        <f ca="1">IFERROR(__xludf.DUMMYFUNCTION("""COMPUTED_VALUE"""),42800.6666666666)</f>
        <v>42800.666666666599</v>
      </c>
      <c r="B3065" s="1">
        <f ca="1">IFERROR(__xludf.DUMMYFUNCTION("""COMPUTED_VALUE"""),34.84)</f>
        <v>34.840000000000003</v>
      </c>
    </row>
    <row r="3066" spans="1:2">
      <c r="A3066" s="3">
        <f ca="1">IFERROR(__xludf.DUMMYFUNCTION("""COMPUTED_VALUE"""),42801.6666666666)</f>
        <v>42801.666666666599</v>
      </c>
      <c r="B3066" s="1">
        <f ca="1">IFERROR(__xludf.DUMMYFUNCTION("""COMPUTED_VALUE"""),34.88)</f>
        <v>34.880000000000003</v>
      </c>
    </row>
    <row r="3067" spans="1:2">
      <c r="A3067" s="3">
        <f ca="1">IFERROR(__xludf.DUMMYFUNCTION("""COMPUTED_VALUE"""),42802.6666666666)</f>
        <v>42802.666666666599</v>
      </c>
      <c r="B3067" s="1">
        <f ca="1">IFERROR(__xludf.DUMMYFUNCTION("""COMPUTED_VALUE"""),34.75)</f>
        <v>34.75</v>
      </c>
    </row>
    <row r="3068" spans="1:2">
      <c r="A3068" s="3">
        <f ca="1">IFERROR(__xludf.DUMMYFUNCTION("""COMPUTED_VALUE"""),42803.6666666666)</f>
        <v>42803.666666666599</v>
      </c>
      <c r="B3068" s="1">
        <f ca="1">IFERROR(__xludf.DUMMYFUNCTION("""COMPUTED_VALUE"""),34.67)</f>
        <v>34.67</v>
      </c>
    </row>
    <row r="3069" spans="1:2">
      <c r="A3069" s="3">
        <f ca="1">IFERROR(__xludf.DUMMYFUNCTION("""COMPUTED_VALUE"""),42804.6666666666)</f>
        <v>42804.666666666599</v>
      </c>
      <c r="B3069" s="1">
        <f ca="1">IFERROR(__xludf.DUMMYFUNCTION("""COMPUTED_VALUE"""),34.78)</f>
        <v>34.78</v>
      </c>
    </row>
    <row r="3070" spans="1:2">
      <c r="A3070" s="3">
        <f ca="1">IFERROR(__xludf.DUMMYFUNCTION("""COMPUTED_VALUE"""),42807.6666666666)</f>
        <v>42807.666666666599</v>
      </c>
      <c r="B3070" s="1">
        <f ca="1">IFERROR(__xludf.DUMMYFUNCTION("""COMPUTED_VALUE"""),34.8)</f>
        <v>34.799999999999997</v>
      </c>
    </row>
    <row r="3071" spans="1:2">
      <c r="A3071" s="3">
        <f ca="1">IFERROR(__xludf.DUMMYFUNCTION("""COMPUTED_VALUE"""),42808.6666666666)</f>
        <v>42808.666666666599</v>
      </c>
      <c r="B3071" s="1">
        <f ca="1">IFERROR(__xludf.DUMMYFUNCTION("""COMPUTED_VALUE"""),34.75)</f>
        <v>34.75</v>
      </c>
    </row>
    <row r="3072" spans="1:2">
      <c r="A3072" s="3">
        <f ca="1">IFERROR(__xludf.DUMMYFUNCTION("""COMPUTED_VALUE"""),42809.6666666666)</f>
        <v>42809.666666666599</v>
      </c>
      <c r="B3072" s="1">
        <f ca="1">IFERROR(__xludf.DUMMYFUNCTION("""COMPUTED_VALUE"""),35.12)</f>
        <v>35.119999999999997</v>
      </c>
    </row>
    <row r="3073" spans="1:2">
      <c r="A3073" s="3">
        <f ca="1">IFERROR(__xludf.DUMMYFUNCTION("""COMPUTED_VALUE"""),42810.6666666666)</f>
        <v>42810.666666666599</v>
      </c>
      <c r="B3073" s="1">
        <f ca="1">IFERROR(__xludf.DUMMYFUNCTION("""COMPUTED_VALUE"""),35.17)</f>
        <v>35.17</v>
      </c>
    </row>
    <row r="3074" spans="1:2">
      <c r="A3074" s="3">
        <f ca="1">IFERROR(__xludf.DUMMYFUNCTION("""COMPUTED_VALUE"""),42811.6666666666)</f>
        <v>42811.666666666599</v>
      </c>
      <c r="B3074" s="1">
        <f ca="1">IFERROR(__xludf.DUMMYFUNCTION("""COMPUTED_VALUE"""),35)</f>
        <v>35</v>
      </c>
    </row>
    <row r="3075" spans="1:2">
      <c r="A3075" s="3">
        <f ca="1">IFERROR(__xludf.DUMMYFUNCTION("""COMPUTED_VALUE"""),42814.6666666666)</f>
        <v>42814.666666666599</v>
      </c>
      <c r="B3075" s="1">
        <f ca="1">IFERROR(__xludf.DUMMYFUNCTION("""COMPUTED_VALUE"""),35.37)</f>
        <v>35.369999999999997</v>
      </c>
    </row>
    <row r="3076" spans="1:2">
      <c r="A3076" s="3">
        <f ca="1">IFERROR(__xludf.DUMMYFUNCTION("""COMPUTED_VALUE"""),42815.6666666666)</f>
        <v>42815.666666666599</v>
      </c>
      <c r="B3076" s="1">
        <f ca="1">IFERROR(__xludf.DUMMYFUNCTION("""COMPUTED_VALUE"""),34.96)</f>
        <v>34.96</v>
      </c>
    </row>
    <row r="3077" spans="1:2">
      <c r="A3077" s="3">
        <f ca="1">IFERROR(__xludf.DUMMYFUNCTION("""COMPUTED_VALUE"""),42816.6666666666)</f>
        <v>42816.666666666599</v>
      </c>
      <c r="B3077" s="1">
        <f ca="1">IFERROR(__xludf.DUMMYFUNCTION("""COMPUTED_VALUE"""),35.35)</f>
        <v>35.35</v>
      </c>
    </row>
    <row r="3078" spans="1:2">
      <c r="A3078" s="3">
        <f ca="1">IFERROR(__xludf.DUMMYFUNCTION("""COMPUTED_VALUE"""),42817.6666666666)</f>
        <v>42817.666666666599</v>
      </c>
      <c r="B3078" s="1">
        <f ca="1">IFERROR(__xludf.DUMMYFUNCTION("""COMPUTED_VALUE"""),35.23)</f>
        <v>35.229999999999997</v>
      </c>
    </row>
    <row r="3079" spans="1:2">
      <c r="A3079" s="3">
        <f ca="1">IFERROR(__xludf.DUMMYFUNCTION("""COMPUTED_VALUE"""),42818.6666666666)</f>
        <v>42818.666666666599</v>
      </c>
      <c r="B3079" s="1">
        <f ca="1">IFERROR(__xludf.DUMMYFUNCTION("""COMPUTED_VALUE"""),35.16)</f>
        <v>35.159999999999997</v>
      </c>
    </row>
    <row r="3080" spans="1:2">
      <c r="A3080" s="3">
        <f ca="1">IFERROR(__xludf.DUMMYFUNCTION("""COMPUTED_VALUE"""),42821.6666666666)</f>
        <v>42821.666666666599</v>
      </c>
      <c r="B3080" s="1">
        <f ca="1">IFERROR(__xludf.DUMMYFUNCTION("""COMPUTED_VALUE"""),35.22)</f>
        <v>35.22</v>
      </c>
    </row>
    <row r="3081" spans="1:2">
      <c r="A3081" s="3">
        <f ca="1">IFERROR(__xludf.DUMMYFUNCTION("""COMPUTED_VALUE"""),42822.6666666666)</f>
        <v>42822.666666666599</v>
      </c>
      <c r="B3081" s="1">
        <f ca="1">IFERROR(__xludf.DUMMYFUNCTION("""COMPUTED_VALUE"""),35.95)</f>
        <v>35.950000000000003</v>
      </c>
    </row>
    <row r="3082" spans="1:2">
      <c r="A3082" s="3">
        <f ca="1">IFERROR(__xludf.DUMMYFUNCTION("""COMPUTED_VALUE"""),42823.6666666666)</f>
        <v>42823.666666666599</v>
      </c>
      <c r="B3082" s="1">
        <f ca="1">IFERROR(__xludf.DUMMYFUNCTION("""COMPUTED_VALUE"""),36.03)</f>
        <v>36.03</v>
      </c>
    </row>
    <row r="3083" spans="1:2">
      <c r="A3083" s="3">
        <f ca="1">IFERROR(__xludf.DUMMYFUNCTION("""COMPUTED_VALUE"""),42824.6666666666)</f>
        <v>42824.666666666599</v>
      </c>
      <c r="B3083" s="1">
        <f ca="1">IFERROR(__xludf.DUMMYFUNCTION("""COMPUTED_VALUE"""),35.98)</f>
        <v>35.979999999999997</v>
      </c>
    </row>
    <row r="3084" spans="1:2">
      <c r="A3084" s="3">
        <f ca="1">IFERROR(__xludf.DUMMYFUNCTION("""COMPUTED_VALUE"""),42825.6666666666)</f>
        <v>42825.666666666599</v>
      </c>
      <c r="B3084" s="1">
        <f ca="1">IFERROR(__xludf.DUMMYFUNCTION("""COMPUTED_VALUE"""),35.92)</f>
        <v>35.92</v>
      </c>
    </row>
    <row r="3085" spans="1:2">
      <c r="A3085" s="3">
        <f ca="1">IFERROR(__xludf.DUMMYFUNCTION("""COMPUTED_VALUE"""),42828.6666666666)</f>
        <v>42828.666666666599</v>
      </c>
      <c r="B3085" s="1">
        <f ca="1">IFERROR(__xludf.DUMMYFUNCTION("""COMPUTED_VALUE"""),35.92)</f>
        <v>35.92</v>
      </c>
    </row>
    <row r="3086" spans="1:2">
      <c r="A3086" s="3">
        <f ca="1">IFERROR(__xludf.DUMMYFUNCTION("""COMPUTED_VALUE"""),42829.6666666666)</f>
        <v>42829.666666666599</v>
      </c>
      <c r="B3086" s="1">
        <f ca="1">IFERROR(__xludf.DUMMYFUNCTION("""COMPUTED_VALUE"""),36.19)</f>
        <v>36.19</v>
      </c>
    </row>
    <row r="3087" spans="1:2">
      <c r="A3087" s="3">
        <f ca="1">IFERROR(__xludf.DUMMYFUNCTION("""COMPUTED_VALUE"""),42830.6666666666)</f>
        <v>42830.666666666599</v>
      </c>
      <c r="B3087" s="1">
        <f ca="1">IFERROR(__xludf.DUMMYFUNCTION("""COMPUTED_VALUE"""),36.01)</f>
        <v>36.01</v>
      </c>
    </row>
    <row r="3088" spans="1:2">
      <c r="A3088" s="3">
        <f ca="1">IFERROR(__xludf.DUMMYFUNCTION("""COMPUTED_VALUE"""),42831.6666666666)</f>
        <v>42831.666666666599</v>
      </c>
      <c r="B3088" s="1">
        <f ca="1">IFERROR(__xludf.DUMMYFUNCTION("""COMPUTED_VALUE"""),35.92)</f>
        <v>35.92</v>
      </c>
    </row>
    <row r="3089" spans="1:2">
      <c r="A3089" s="3">
        <f ca="1">IFERROR(__xludf.DUMMYFUNCTION("""COMPUTED_VALUE"""),42832.6666666666)</f>
        <v>42832.666666666599</v>
      </c>
      <c r="B3089" s="1">
        <f ca="1">IFERROR(__xludf.DUMMYFUNCTION("""COMPUTED_VALUE"""),35.84)</f>
        <v>35.840000000000003</v>
      </c>
    </row>
    <row r="3090" spans="1:2">
      <c r="A3090" s="3">
        <f ca="1">IFERROR(__xludf.DUMMYFUNCTION("""COMPUTED_VALUE"""),42835.6666666666)</f>
        <v>42835.666666666599</v>
      </c>
      <c r="B3090" s="1">
        <f ca="1">IFERROR(__xludf.DUMMYFUNCTION("""COMPUTED_VALUE"""),35.79)</f>
        <v>35.79</v>
      </c>
    </row>
    <row r="3091" spans="1:2">
      <c r="A3091" s="3">
        <f ca="1">IFERROR(__xludf.DUMMYFUNCTION("""COMPUTED_VALUE"""),42836.6666666666)</f>
        <v>42836.666666666599</v>
      </c>
      <c r="B3091" s="1">
        <f ca="1">IFERROR(__xludf.DUMMYFUNCTION("""COMPUTED_VALUE"""),35.41)</f>
        <v>35.409999999999997</v>
      </c>
    </row>
    <row r="3092" spans="1:2">
      <c r="A3092" s="3">
        <f ca="1">IFERROR(__xludf.DUMMYFUNCTION("""COMPUTED_VALUE"""),42837.6666666666)</f>
        <v>42837.666666666599</v>
      </c>
      <c r="B3092" s="1">
        <f ca="1">IFERROR(__xludf.DUMMYFUNCTION("""COMPUTED_VALUE"""),35.45)</f>
        <v>35.450000000000003</v>
      </c>
    </row>
    <row r="3093" spans="1:2">
      <c r="A3093" s="3">
        <f ca="1">IFERROR(__xludf.DUMMYFUNCTION("""COMPUTED_VALUE"""),42838.6666666666)</f>
        <v>42838.666666666599</v>
      </c>
      <c r="B3093" s="1">
        <f ca="1">IFERROR(__xludf.DUMMYFUNCTION("""COMPUTED_VALUE"""),35.26)</f>
        <v>35.26</v>
      </c>
    </row>
    <row r="3094" spans="1:2">
      <c r="A3094" s="3">
        <f ca="1">IFERROR(__xludf.DUMMYFUNCTION("""COMPUTED_VALUE"""),42842.6666666666)</f>
        <v>42842.666666666599</v>
      </c>
      <c r="B3094" s="1">
        <f ca="1">IFERROR(__xludf.DUMMYFUNCTION("""COMPUTED_VALUE"""),35.46)</f>
        <v>35.46</v>
      </c>
    </row>
    <row r="3095" spans="1:2">
      <c r="A3095" s="3">
        <f ca="1">IFERROR(__xludf.DUMMYFUNCTION("""COMPUTED_VALUE"""),42843.6666666666)</f>
        <v>42843.666666666599</v>
      </c>
      <c r="B3095" s="1">
        <f ca="1">IFERROR(__xludf.DUMMYFUNCTION("""COMPUTED_VALUE"""),35.3)</f>
        <v>35.299999999999997</v>
      </c>
    </row>
    <row r="3096" spans="1:2">
      <c r="A3096" s="3">
        <f ca="1">IFERROR(__xludf.DUMMYFUNCTION("""COMPUTED_VALUE"""),42844.6666666666)</f>
        <v>42844.666666666599</v>
      </c>
      <c r="B3096" s="1">
        <f ca="1">IFERROR(__xludf.DUMMYFUNCTION("""COMPUTED_VALUE"""),35.17)</f>
        <v>35.17</v>
      </c>
    </row>
    <row r="3097" spans="1:2">
      <c r="A3097" s="3">
        <f ca="1">IFERROR(__xludf.DUMMYFUNCTION("""COMPUTED_VALUE"""),42845.6666666666)</f>
        <v>42845.666666666599</v>
      </c>
      <c r="B3097" s="1">
        <f ca="1">IFERROR(__xludf.DUMMYFUNCTION("""COMPUTED_VALUE"""),35.61)</f>
        <v>35.61</v>
      </c>
    </row>
    <row r="3098" spans="1:2">
      <c r="A3098" s="3">
        <f ca="1">IFERROR(__xludf.DUMMYFUNCTION("""COMPUTED_VALUE"""),42846.6666666666)</f>
        <v>42846.666666666599</v>
      </c>
      <c r="B3098" s="1">
        <f ca="1">IFERROR(__xludf.DUMMYFUNCTION("""COMPUTED_VALUE"""),35.57)</f>
        <v>35.57</v>
      </c>
    </row>
    <row r="3099" spans="1:2">
      <c r="A3099" s="3">
        <f ca="1">IFERROR(__xludf.DUMMYFUNCTION("""COMPUTED_VALUE"""),42849.6666666666)</f>
        <v>42849.666666666599</v>
      </c>
      <c r="B3099" s="1">
        <f ca="1">IFERROR(__xludf.DUMMYFUNCTION("""COMPUTED_VALUE"""),35.91)</f>
        <v>35.909999999999997</v>
      </c>
    </row>
    <row r="3100" spans="1:2">
      <c r="A3100" s="3">
        <f ca="1">IFERROR(__xludf.DUMMYFUNCTION("""COMPUTED_VALUE"""),42850.6666666666)</f>
        <v>42850.666666666599</v>
      </c>
      <c r="B3100" s="1">
        <f ca="1">IFERROR(__xludf.DUMMYFUNCTION("""COMPUTED_VALUE"""),36.13)</f>
        <v>36.130000000000003</v>
      </c>
    </row>
    <row r="3101" spans="1:2">
      <c r="A3101" s="3">
        <f ca="1">IFERROR(__xludf.DUMMYFUNCTION("""COMPUTED_VALUE"""),42851.6666666666)</f>
        <v>42851.666666666599</v>
      </c>
      <c r="B3101" s="1">
        <f ca="1">IFERROR(__xludf.DUMMYFUNCTION("""COMPUTED_VALUE"""),35.92)</f>
        <v>35.92</v>
      </c>
    </row>
    <row r="3102" spans="1:2">
      <c r="A3102" s="3">
        <f ca="1">IFERROR(__xludf.DUMMYFUNCTION("""COMPUTED_VALUE"""),42852.6666666666)</f>
        <v>42852.666666666599</v>
      </c>
      <c r="B3102" s="1">
        <f ca="1">IFERROR(__xludf.DUMMYFUNCTION("""COMPUTED_VALUE"""),35.95)</f>
        <v>35.950000000000003</v>
      </c>
    </row>
    <row r="3103" spans="1:2">
      <c r="A3103" s="3">
        <f ca="1">IFERROR(__xludf.DUMMYFUNCTION("""COMPUTED_VALUE"""),42853.6666666666)</f>
        <v>42853.666666666599</v>
      </c>
      <c r="B3103" s="1">
        <f ca="1">IFERROR(__xludf.DUMMYFUNCTION("""COMPUTED_VALUE"""),35.91)</f>
        <v>35.909999999999997</v>
      </c>
    </row>
    <row r="3104" spans="1:2">
      <c r="A3104" s="3">
        <f ca="1">IFERROR(__xludf.DUMMYFUNCTION("""COMPUTED_VALUE"""),42856.6666666666)</f>
        <v>42856.666666666599</v>
      </c>
      <c r="B3104" s="1">
        <f ca="1">IFERROR(__xludf.DUMMYFUNCTION("""COMPUTED_VALUE"""),36.65)</f>
        <v>36.65</v>
      </c>
    </row>
    <row r="3105" spans="1:2">
      <c r="A3105" s="3">
        <f ca="1">IFERROR(__xludf.DUMMYFUNCTION("""COMPUTED_VALUE"""),42857.6666666666)</f>
        <v>42857.666666666599</v>
      </c>
      <c r="B3105" s="1">
        <f ca="1">IFERROR(__xludf.DUMMYFUNCTION("""COMPUTED_VALUE"""),36.88)</f>
        <v>36.880000000000003</v>
      </c>
    </row>
    <row r="3106" spans="1:2">
      <c r="A3106" s="3">
        <f ca="1">IFERROR(__xludf.DUMMYFUNCTION("""COMPUTED_VALUE"""),42858.6666666666)</f>
        <v>42858.666666666599</v>
      </c>
      <c r="B3106" s="1">
        <f ca="1">IFERROR(__xludf.DUMMYFUNCTION("""COMPUTED_VALUE"""),36.77)</f>
        <v>36.770000000000003</v>
      </c>
    </row>
    <row r="3107" spans="1:2">
      <c r="A3107" s="3">
        <f ca="1">IFERROR(__xludf.DUMMYFUNCTION("""COMPUTED_VALUE"""),42859.6666666666)</f>
        <v>42859.666666666599</v>
      </c>
      <c r="B3107" s="1">
        <f ca="1">IFERROR(__xludf.DUMMYFUNCTION("""COMPUTED_VALUE"""),36.63)</f>
        <v>36.630000000000003</v>
      </c>
    </row>
    <row r="3108" spans="1:2">
      <c r="A3108" s="3">
        <f ca="1">IFERROR(__xludf.DUMMYFUNCTION("""COMPUTED_VALUE"""),42860.6666666666)</f>
        <v>42860.666666666599</v>
      </c>
      <c r="B3108" s="1">
        <f ca="1">IFERROR(__xludf.DUMMYFUNCTION("""COMPUTED_VALUE"""),37.24)</f>
        <v>37.24</v>
      </c>
    </row>
    <row r="3109" spans="1:2">
      <c r="A3109" s="3">
        <f ca="1">IFERROR(__xludf.DUMMYFUNCTION("""COMPUTED_VALUE"""),42863.6666666666)</f>
        <v>42863.666666666599</v>
      </c>
      <c r="B3109" s="1">
        <f ca="1">IFERROR(__xludf.DUMMYFUNCTION("""COMPUTED_VALUE"""),38.25)</f>
        <v>38.25</v>
      </c>
    </row>
    <row r="3110" spans="1:2">
      <c r="A3110" s="3">
        <f ca="1">IFERROR(__xludf.DUMMYFUNCTION("""COMPUTED_VALUE"""),42864.6666666666)</f>
        <v>42864.666666666599</v>
      </c>
      <c r="B3110" s="1">
        <f ca="1">IFERROR(__xludf.DUMMYFUNCTION("""COMPUTED_VALUE"""),38.5)</f>
        <v>38.5</v>
      </c>
    </row>
    <row r="3111" spans="1:2">
      <c r="A3111" s="3">
        <f ca="1">IFERROR(__xludf.DUMMYFUNCTION("""COMPUTED_VALUE"""),42865.6666666666)</f>
        <v>42865.666666666599</v>
      </c>
      <c r="B3111" s="1">
        <f ca="1">IFERROR(__xludf.DUMMYFUNCTION("""COMPUTED_VALUE"""),38.32)</f>
        <v>38.32</v>
      </c>
    </row>
    <row r="3112" spans="1:2">
      <c r="A3112" s="3">
        <f ca="1">IFERROR(__xludf.DUMMYFUNCTION("""COMPUTED_VALUE"""),42866.6666666666)</f>
        <v>42866.666666666599</v>
      </c>
      <c r="B3112" s="1">
        <f ca="1">IFERROR(__xludf.DUMMYFUNCTION("""COMPUTED_VALUE"""),38.49)</f>
        <v>38.49</v>
      </c>
    </row>
    <row r="3113" spans="1:2">
      <c r="A3113" s="3">
        <f ca="1">IFERROR(__xludf.DUMMYFUNCTION("""COMPUTED_VALUE"""),42867.6666666666)</f>
        <v>42867.666666666599</v>
      </c>
      <c r="B3113" s="1">
        <f ca="1">IFERROR(__xludf.DUMMYFUNCTION("""COMPUTED_VALUE"""),39.03)</f>
        <v>39.03</v>
      </c>
    </row>
    <row r="3114" spans="1:2">
      <c r="A3114" s="3">
        <f ca="1">IFERROR(__xludf.DUMMYFUNCTION("""COMPUTED_VALUE"""),42870.6666666666)</f>
        <v>42870.666666666599</v>
      </c>
      <c r="B3114" s="1">
        <f ca="1">IFERROR(__xludf.DUMMYFUNCTION("""COMPUTED_VALUE"""),38.92)</f>
        <v>38.92</v>
      </c>
    </row>
    <row r="3115" spans="1:2">
      <c r="A3115" s="3">
        <f ca="1">IFERROR(__xludf.DUMMYFUNCTION("""COMPUTED_VALUE"""),42871.6666666666)</f>
        <v>42871.666666666599</v>
      </c>
      <c r="B3115" s="1">
        <f ca="1">IFERROR(__xludf.DUMMYFUNCTION("""COMPUTED_VALUE"""),38.87)</f>
        <v>38.869999999999997</v>
      </c>
    </row>
    <row r="3116" spans="1:2">
      <c r="A3116" s="3">
        <f ca="1">IFERROR(__xludf.DUMMYFUNCTION("""COMPUTED_VALUE"""),42872.6666666666)</f>
        <v>42872.666666666599</v>
      </c>
      <c r="B3116" s="1">
        <f ca="1">IFERROR(__xludf.DUMMYFUNCTION("""COMPUTED_VALUE"""),37.56)</f>
        <v>37.56</v>
      </c>
    </row>
    <row r="3117" spans="1:2">
      <c r="A3117" s="3">
        <f ca="1">IFERROR(__xludf.DUMMYFUNCTION("""COMPUTED_VALUE"""),42873.6666666666)</f>
        <v>42873.666666666599</v>
      </c>
      <c r="B3117" s="1">
        <f ca="1">IFERROR(__xludf.DUMMYFUNCTION("""COMPUTED_VALUE"""),38.14)</f>
        <v>38.14</v>
      </c>
    </row>
    <row r="3118" spans="1:2">
      <c r="A3118" s="3">
        <f ca="1">IFERROR(__xludf.DUMMYFUNCTION("""COMPUTED_VALUE"""),42874.6666666666)</f>
        <v>42874.666666666599</v>
      </c>
      <c r="B3118" s="1">
        <f ca="1">IFERROR(__xludf.DUMMYFUNCTION("""COMPUTED_VALUE"""),38.27)</f>
        <v>38.270000000000003</v>
      </c>
    </row>
    <row r="3119" spans="1:2">
      <c r="A3119" s="3">
        <f ca="1">IFERROR(__xludf.DUMMYFUNCTION("""COMPUTED_VALUE"""),42877.6666666666)</f>
        <v>42877.666666666599</v>
      </c>
      <c r="B3119" s="1">
        <f ca="1">IFERROR(__xludf.DUMMYFUNCTION("""COMPUTED_VALUE"""),38.5)</f>
        <v>38.5</v>
      </c>
    </row>
    <row r="3120" spans="1:2">
      <c r="A3120" s="3">
        <f ca="1">IFERROR(__xludf.DUMMYFUNCTION("""COMPUTED_VALUE"""),42878.6666666666)</f>
        <v>42878.666666666599</v>
      </c>
      <c r="B3120" s="1">
        <f ca="1">IFERROR(__xludf.DUMMYFUNCTION("""COMPUTED_VALUE"""),38.45)</f>
        <v>38.450000000000003</v>
      </c>
    </row>
    <row r="3121" spans="1:2">
      <c r="A3121" s="3">
        <f ca="1">IFERROR(__xludf.DUMMYFUNCTION("""COMPUTED_VALUE"""),42879.6666666666)</f>
        <v>42879.666666666599</v>
      </c>
      <c r="B3121" s="1">
        <f ca="1">IFERROR(__xludf.DUMMYFUNCTION("""COMPUTED_VALUE"""),38.34)</f>
        <v>38.340000000000003</v>
      </c>
    </row>
    <row r="3122" spans="1:2">
      <c r="A3122" s="3">
        <f ca="1">IFERROR(__xludf.DUMMYFUNCTION("""COMPUTED_VALUE"""),42880.6666666666)</f>
        <v>42880.666666666599</v>
      </c>
      <c r="B3122" s="1">
        <f ca="1">IFERROR(__xludf.DUMMYFUNCTION("""COMPUTED_VALUE"""),38.47)</f>
        <v>38.47</v>
      </c>
    </row>
    <row r="3123" spans="1:2">
      <c r="A3123" s="3">
        <f ca="1">IFERROR(__xludf.DUMMYFUNCTION("""COMPUTED_VALUE"""),42881.6666666666)</f>
        <v>42881.666666666599</v>
      </c>
      <c r="B3123" s="1">
        <f ca="1">IFERROR(__xludf.DUMMYFUNCTION("""COMPUTED_VALUE"""),38.4)</f>
        <v>38.4</v>
      </c>
    </row>
    <row r="3124" spans="1:2">
      <c r="A3124" s="3">
        <f ca="1">IFERROR(__xludf.DUMMYFUNCTION("""COMPUTED_VALUE"""),42885.6666666666)</f>
        <v>42885.666666666599</v>
      </c>
      <c r="B3124" s="1">
        <f ca="1">IFERROR(__xludf.DUMMYFUNCTION("""COMPUTED_VALUE"""),38.42)</f>
        <v>38.42</v>
      </c>
    </row>
    <row r="3125" spans="1:2">
      <c r="A3125" s="3">
        <f ca="1">IFERROR(__xludf.DUMMYFUNCTION("""COMPUTED_VALUE"""),42886.6666666666)</f>
        <v>42886.666666666599</v>
      </c>
      <c r="B3125" s="1">
        <f ca="1">IFERROR(__xludf.DUMMYFUNCTION("""COMPUTED_VALUE"""),38.19)</f>
        <v>38.19</v>
      </c>
    </row>
    <row r="3126" spans="1:2">
      <c r="A3126" s="3">
        <f ca="1">IFERROR(__xludf.DUMMYFUNCTION("""COMPUTED_VALUE"""),42887.6666666666)</f>
        <v>42887.666666666599</v>
      </c>
      <c r="B3126" s="1">
        <f ca="1">IFERROR(__xludf.DUMMYFUNCTION("""COMPUTED_VALUE"""),38.3)</f>
        <v>38.299999999999997</v>
      </c>
    </row>
    <row r="3127" spans="1:2">
      <c r="A3127" s="3">
        <f ca="1">IFERROR(__xludf.DUMMYFUNCTION("""COMPUTED_VALUE"""),42888.6666666666)</f>
        <v>42888.666666666599</v>
      </c>
      <c r="B3127" s="1">
        <f ca="1">IFERROR(__xludf.DUMMYFUNCTION("""COMPUTED_VALUE"""),38.86)</f>
        <v>38.86</v>
      </c>
    </row>
    <row r="3128" spans="1:2">
      <c r="A3128" s="3">
        <f ca="1">IFERROR(__xludf.DUMMYFUNCTION("""COMPUTED_VALUE"""),42891.6666666666)</f>
        <v>42891.666666666599</v>
      </c>
      <c r="B3128" s="1">
        <f ca="1">IFERROR(__xludf.DUMMYFUNCTION("""COMPUTED_VALUE"""),38.48)</f>
        <v>38.479999999999997</v>
      </c>
    </row>
    <row r="3129" spans="1:2">
      <c r="A3129" s="3">
        <f ca="1">IFERROR(__xludf.DUMMYFUNCTION("""COMPUTED_VALUE"""),42892.6666666666)</f>
        <v>42892.666666666599</v>
      </c>
      <c r="B3129" s="1">
        <f ca="1">IFERROR(__xludf.DUMMYFUNCTION("""COMPUTED_VALUE"""),38.61)</f>
        <v>38.61</v>
      </c>
    </row>
    <row r="3130" spans="1:2">
      <c r="A3130" s="3">
        <f ca="1">IFERROR(__xludf.DUMMYFUNCTION("""COMPUTED_VALUE"""),42893.6666666666)</f>
        <v>42893.666666666599</v>
      </c>
      <c r="B3130" s="1">
        <f ca="1">IFERROR(__xludf.DUMMYFUNCTION("""COMPUTED_VALUE"""),38.84)</f>
        <v>38.840000000000003</v>
      </c>
    </row>
    <row r="3131" spans="1:2">
      <c r="A3131" s="3">
        <f ca="1">IFERROR(__xludf.DUMMYFUNCTION("""COMPUTED_VALUE"""),42894.6666666666)</f>
        <v>42894.666666666599</v>
      </c>
      <c r="B3131" s="1">
        <f ca="1">IFERROR(__xludf.DUMMYFUNCTION("""COMPUTED_VALUE"""),38.75)</f>
        <v>38.75</v>
      </c>
    </row>
    <row r="3132" spans="1:2">
      <c r="A3132" s="3">
        <f ca="1">IFERROR(__xludf.DUMMYFUNCTION("""COMPUTED_VALUE"""),42895.6666666666)</f>
        <v>42895.666666666599</v>
      </c>
      <c r="B3132" s="1">
        <f ca="1">IFERROR(__xludf.DUMMYFUNCTION("""COMPUTED_VALUE"""),37.24)</f>
        <v>37.24</v>
      </c>
    </row>
    <row r="3133" spans="1:2">
      <c r="A3133" s="3">
        <f ca="1">IFERROR(__xludf.DUMMYFUNCTION("""COMPUTED_VALUE"""),42898.6666666666)</f>
        <v>42898.666666666599</v>
      </c>
      <c r="B3133" s="1">
        <f ca="1">IFERROR(__xludf.DUMMYFUNCTION("""COMPUTED_VALUE"""),36.35)</f>
        <v>36.35</v>
      </c>
    </row>
    <row r="3134" spans="1:2">
      <c r="A3134" s="3">
        <f ca="1">IFERROR(__xludf.DUMMYFUNCTION("""COMPUTED_VALUE"""),42899.6666666666)</f>
        <v>42899.666666666599</v>
      </c>
      <c r="B3134" s="1">
        <f ca="1">IFERROR(__xludf.DUMMYFUNCTION("""COMPUTED_VALUE"""),36.65)</f>
        <v>36.65</v>
      </c>
    </row>
    <row r="3135" spans="1:2">
      <c r="A3135" s="3">
        <f ca="1">IFERROR(__xludf.DUMMYFUNCTION("""COMPUTED_VALUE"""),42900.6666666666)</f>
        <v>42900.666666666599</v>
      </c>
      <c r="B3135" s="1">
        <f ca="1">IFERROR(__xludf.DUMMYFUNCTION("""COMPUTED_VALUE"""),36.29)</f>
        <v>36.29</v>
      </c>
    </row>
    <row r="3136" spans="1:2">
      <c r="A3136" s="3">
        <f ca="1">IFERROR(__xludf.DUMMYFUNCTION("""COMPUTED_VALUE"""),42901.6666666666)</f>
        <v>42901.666666666599</v>
      </c>
      <c r="B3136" s="1">
        <f ca="1">IFERROR(__xludf.DUMMYFUNCTION("""COMPUTED_VALUE"""),36.07)</f>
        <v>36.07</v>
      </c>
    </row>
    <row r="3137" spans="1:2">
      <c r="A3137" s="3">
        <f ca="1">IFERROR(__xludf.DUMMYFUNCTION("""COMPUTED_VALUE"""),42902.6666666666)</f>
        <v>42902.666666666599</v>
      </c>
      <c r="B3137" s="1">
        <f ca="1">IFERROR(__xludf.DUMMYFUNCTION("""COMPUTED_VALUE"""),35.57)</f>
        <v>35.57</v>
      </c>
    </row>
    <row r="3138" spans="1:2">
      <c r="A3138" s="3">
        <f ca="1">IFERROR(__xludf.DUMMYFUNCTION("""COMPUTED_VALUE"""),42905.6666666666)</f>
        <v>42905.666666666599</v>
      </c>
      <c r="B3138" s="1">
        <f ca="1">IFERROR(__xludf.DUMMYFUNCTION("""COMPUTED_VALUE"""),36.59)</f>
        <v>36.590000000000003</v>
      </c>
    </row>
    <row r="3139" spans="1:2">
      <c r="A3139" s="3">
        <f ca="1">IFERROR(__xludf.DUMMYFUNCTION("""COMPUTED_VALUE"""),42906.6666666666)</f>
        <v>42906.666666666599</v>
      </c>
      <c r="B3139" s="1">
        <f ca="1">IFERROR(__xludf.DUMMYFUNCTION("""COMPUTED_VALUE"""),36.25)</f>
        <v>36.25</v>
      </c>
    </row>
    <row r="3140" spans="1:2">
      <c r="A3140" s="3">
        <f ca="1">IFERROR(__xludf.DUMMYFUNCTION("""COMPUTED_VALUE"""),42907.6666666666)</f>
        <v>42907.666666666599</v>
      </c>
      <c r="B3140" s="1">
        <f ca="1">IFERROR(__xludf.DUMMYFUNCTION("""COMPUTED_VALUE"""),36.47)</f>
        <v>36.47</v>
      </c>
    </row>
    <row r="3141" spans="1:2">
      <c r="A3141" s="3">
        <f ca="1">IFERROR(__xludf.DUMMYFUNCTION("""COMPUTED_VALUE"""),42908.6666666666)</f>
        <v>42908.666666666599</v>
      </c>
      <c r="B3141" s="1">
        <f ca="1">IFERROR(__xludf.DUMMYFUNCTION("""COMPUTED_VALUE"""),36.41)</f>
        <v>36.409999999999997</v>
      </c>
    </row>
    <row r="3142" spans="1:2">
      <c r="A3142" s="3">
        <f ca="1">IFERROR(__xludf.DUMMYFUNCTION("""COMPUTED_VALUE"""),42909.6666666666)</f>
        <v>42909.666666666599</v>
      </c>
      <c r="B3142" s="1">
        <f ca="1">IFERROR(__xludf.DUMMYFUNCTION("""COMPUTED_VALUE"""),36.57)</f>
        <v>36.57</v>
      </c>
    </row>
    <row r="3143" spans="1:2">
      <c r="A3143" s="3">
        <f ca="1">IFERROR(__xludf.DUMMYFUNCTION("""COMPUTED_VALUE"""),42912.6666666666)</f>
        <v>42912.666666666599</v>
      </c>
      <c r="B3143" s="1">
        <f ca="1">IFERROR(__xludf.DUMMYFUNCTION("""COMPUTED_VALUE"""),36.46)</f>
        <v>36.46</v>
      </c>
    </row>
    <row r="3144" spans="1:2">
      <c r="A3144" s="3">
        <f ca="1">IFERROR(__xludf.DUMMYFUNCTION("""COMPUTED_VALUE"""),42913.6666666666)</f>
        <v>42913.666666666599</v>
      </c>
      <c r="B3144" s="1">
        <f ca="1">IFERROR(__xludf.DUMMYFUNCTION("""COMPUTED_VALUE"""),35.93)</f>
        <v>35.93</v>
      </c>
    </row>
    <row r="3145" spans="1:2">
      <c r="A3145" s="3">
        <f ca="1">IFERROR(__xludf.DUMMYFUNCTION("""COMPUTED_VALUE"""),42914.6666666666)</f>
        <v>42914.666666666599</v>
      </c>
      <c r="B3145" s="1">
        <f ca="1">IFERROR(__xludf.DUMMYFUNCTION("""COMPUTED_VALUE"""),36.46)</f>
        <v>36.46</v>
      </c>
    </row>
    <row r="3146" spans="1:2">
      <c r="A3146" s="3">
        <f ca="1">IFERROR(__xludf.DUMMYFUNCTION("""COMPUTED_VALUE"""),42915.6666666666)</f>
        <v>42915.666666666599</v>
      </c>
      <c r="B3146" s="1">
        <f ca="1">IFERROR(__xludf.DUMMYFUNCTION("""COMPUTED_VALUE"""),35.92)</f>
        <v>35.92</v>
      </c>
    </row>
    <row r="3147" spans="1:2">
      <c r="A3147" s="3">
        <f ca="1">IFERROR(__xludf.DUMMYFUNCTION("""COMPUTED_VALUE"""),42916.6666666666)</f>
        <v>42916.666666666599</v>
      </c>
      <c r="B3147" s="1">
        <f ca="1">IFERROR(__xludf.DUMMYFUNCTION("""COMPUTED_VALUE"""),36.01)</f>
        <v>36.01</v>
      </c>
    </row>
    <row r="3148" spans="1:2">
      <c r="A3148" s="3">
        <f ca="1">IFERROR(__xludf.DUMMYFUNCTION("""COMPUTED_VALUE"""),42919.6666666666)</f>
        <v>42919.666666666599</v>
      </c>
      <c r="B3148" s="1">
        <f ca="1">IFERROR(__xludf.DUMMYFUNCTION("""COMPUTED_VALUE"""),35.88)</f>
        <v>35.880000000000003</v>
      </c>
    </row>
    <row r="3149" spans="1:2">
      <c r="A3149" s="3">
        <f ca="1">IFERROR(__xludf.DUMMYFUNCTION("""COMPUTED_VALUE"""),42921.6666666666)</f>
        <v>42921.666666666599</v>
      </c>
      <c r="B3149" s="1">
        <f ca="1">IFERROR(__xludf.DUMMYFUNCTION("""COMPUTED_VALUE"""),36.02)</f>
        <v>36.020000000000003</v>
      </c>
    </row>
    <row r="3150" spans="1:2">
      <c r="A3150" s="3">
        <f ca="1">IFERROR(__xludf.DUMMYFUNCTION("""COMPUTED_VALUE"""),42922.6666666666)</f>
        <v>42922.666666666599</v>
      </c>
      <c r="B3150" s="1">
        <f ca="1">IFERROR(__xludf.DUMMYFUNCTION("""COMPUTED_VALUE"""),35.68)</f>
        <v>35.68</v>
      </c>
    </row>
    <row r="3151" spans="1:2">
      <c r="A3151" s="3">
        <f ca="1">IFERROR(__xludf.DUMMYFUNCTION("""COMPUTED_VALUE"""),42923.6666666666)</f>
        <v>42923.666666666599</v>
      </c>
      <c r="B3151" s="1">
        <f ca="1">IFERROR(__xludf.DUMMYFUNCTION("""COMPUTED_VALUE"""),36.05)</f>
        <v>36.049999999999997</v>
      </c>
    </row>
    <row r="3152" spans="1:2">
      <c r="A3152" s="3">
        <f ca="1">IFERROR(__xludf.DUMMYFUNCTION("""COMPUTED_VALUE"""),42926.6666666666)</f>
        <v>42926.666666666599</v>
      </c>
      <c r="B3152" s="1">
        <f ca="1">IFERROR(__xludf.DUMMYFUNCTION("""COMPUTED_VALUE"""),36.27)</f>
        <v>36.270000000000003</v>
      </c>
    </row>
    <row r="3153" spans="1:2">
      <c r="A3153" s="3">
        <f ca="1">IFERROR(__xludf.DUMMYFUNCTION("""COMPUTED_VALUE"""),42927.6666666666)</f>
        <v>42927.666666666599</v>
      </c>
      <c r="B3153" s="1">
        <f ca="1">IFERROR(__xludf.DUMMYFUNCTION("""COMPUTED_VALUE"""),36.38)</f>
        <v>36.380000000000003</v>
      </c>
    </row>
    <row r="3154" spans="1:2">
      <c r="A3154" s="3">
        <f ca="1">IFERROR(__xludf.DUMMYFUNCTION("""COMPUTED_VALUE"""),42928.6666666666)</f>
        <v>42928.666666666599</v>
      </c>
      <c r="B3154" s="1">
        <f ca="1">IFERROR(__xludf.DUMMYFUNCTION("""COMPUTED_VALUE"""),36.44)</f>
        <v>36.44</v>
      </c>
    </row>
    <row r="3155" spans="1:2">
      <c r="A3155" s="3">
        <f ca="1">IFERROR(__xludf.DUMMYFUNCTION("""COMPUTED_VALUE"""),42929.6666666666)</f>
        <v>42929.666666666599</v>
      </c>
      <c r="B3155" s="1">
        <f ca="1">IFERROR(__xludf.DUMMYFUNCTION("""COMPUTED_VALUE"""),36.94)</f>
        <v>36.94</v>
      </c>
    </row>
    <row r="3156" spans="1:2">
      <c r="A3156" s="3">
        <f ca="1">IFERROR(__xludf.DUMMYFUNCTION("""COMPUTED_VALUE"""),42930.6666666666)</f>
        <v>42930.666666666599</v>
      </c>
      <c r="B3156" s="1">
        <f ca="1">IFERROR(__xludf.DUMMYFUNCTION("""COMPUTED_VALUE"""),37.26)</f>
        <v>37.26</v>
      </c>
    </row>
    <row r="3157" spans="1:2">
      <c r="A3157" s="3">
        <f ca="1">IFERROR(__xludf.DUMMYFUNCTION("""COMPUTED_VALUE"""),42933.6666666666)</f>
        <v>42933.666666666599</v>
      </c>
      <c r="B3157" s="1">
        <f ca="1">IFERROR(__xludf.DUMMYFUNCTION("""COMPUTED_VALUE"""),37.39)</f>
        <v>37.39</v>
      </c>
    </row>
    <row r="3158" spans="1:2">
      <c r="A3158" s="3">
        <f ca="1">IFERROR(__xludf.DUMMYFUNCTION("""COMPUTED_VALUE"""),42934.6666666666)</f>
        <v>42934.666666666599</v>
      </c>
      <c r="B3158" s="1">
        <f ca="1">IFERROR(__xludf.DUMMYFUNCTION("""COMPUTED_VALUE"""),37.52)</f>
        <v>37.520000000000003</v>
      </c>
    </row>
    <row r="3159" spans="1:2">
      <c r="A3159" s="3">
        <f ca="1">IFERROR(__xludf.DUMMYFUNCTION("""COMPUTED_VALUE"""),42935.6666666666)</f>
        <v>42935.666666666599</v>
      </c>
      <c r="B3159" s="1">
        <f ca="1">IFERROR(__xludf.DUMMYFUNCTION("""COMPUTED_VALUE"""),37.76)</f>
        <v>37.76</v>
      </c>
    </row>
    <row r="3160" spans="1:2">
      <c r="A3160" s="3">
        <f ca="1">IFERROR(__xludf.DUMMYFUNCTION("""COMPUTED_VALUE"""),42936.6666666666)</f>
        <v>42936.666666666599</v>
      </c>
      <c r="B3160" s="1">
        <f ca="1">IFERROR(__xludf.DUMMYFUNCTION("""COMPUTED_VALUE"""),37.59)</f>
        <v>37.590000000000003</v>
      </c>
    </row>
    <row r="3161" spans="1:2">
      <c r="A3161" s="3">
        <f ca="1">IFERROR(__xludf.DUMMYFUNCTION("""COMPUTED_VALUE"""),42937.6666666666)</f>
        <v>42937.666666666599</v>
      </c>
      <c r="B3161" s="1">
        <f ca="1">IFERROR(__xludf.DUMMYFUNCTION("""COMPUTED_VALUE"""),37.57)</f>
        <v>37.57</v>
      </c>
    </row>
    <row r="3162" spans="1:2">
      <c r="A3162" s="3">
        <f ca="1">IFERROR(__xludf.DUMMYFUNCTION("""COMPUTED_VALUE"""),42940.6666666666)</f>
        <v>42940.666666666599</v>
      </c>
      <c r="B3162" s="1">
        <f ca="1">IFERROR(__xludf.DUMMYFUNCTION("""COMPUTED_VALUE"""),38.02)</f>
        <v>38.020000000000003</v>
      </c>
    </row>
    <row r="3163" spans="1:2">
      <c r="A3163" s="3">
        <f ca="1">IFERROR(__xludf.DUMMYFUNCTION("""COMPUTED_VALUE"""),42941.6666666666)</f>
        <v>42941.666666666599</v>
      </c>
      <c r="B3163" s="1">
        <f ca="1">IFERROR(__xludf.DUMMYFUNCTION("""COMPUTED_VALUE"""),38.19)</f>
        <v>38.19</v>
      </c>
    </row>
    <row r="3164" spans="1:2">
      <c r="A3164" s="3">
        <f ca="1">IFERROR(__xludf.DUMMYFUNCTION("""COMPUTED_VALUE"""),42942.6666666666)</f>
        <v>42942.666666666599</v>
      </c>
      <c r="B3164" s="1">
        <f ca="1">IFERROR(__xludf.DUMMYFUNCTION("""COMPUTED_VALUE"""),38.37)</f>
        <v>38.369999999999997</v>
      </c>
    </row>
    <row r="3165" spans="1:2">
      <c r="A3165" s="3">
        <f ca="1">IFERROR(__xludf.DUMMYFUNCTION("""COMPUTED_VALUE"""),42943.6666666666)</f>
        <v>42943.666666666599</v>
      </c>
      <c r="B3165" s="1">
        <f ca="1">IFERROR(__xludf.DUMMYFUNCTION("""COMPUTED_VALUE"""),37.64)</f>
        <v>37.64</v>
      </c>
    </row>
    <row r="3166" spans="1:2">
      <c r="A3166" s="3">
        <f ca="1">IFERROR(__xludf.DUMMYFUNCTION("""COMPUTED_VALUE"""),42944.6666666666)</f>
        <v>42944.666666666599</v>
      </c>
      <c r="B3166" s="1">
        <f ca="1">IFERROR(__xludf.DUMMYFUNCTION("""COMPUTED_VALUE"""),37.38)</f>
        <v>37.380000000000003</v>
      </c>
    </row>
    <row r="3167" spans="1:2">
      <c r="A3167" s="3">
        <f ca="1">IFERROR(__xludf.DUMMYFUNCTION("""COMPUTED_VALUE"""),42947.6666666666)</f>
        <v>42947.666666666599</v>
      </c>
      <c r="B3167" s="1">
        <f ca="1">IFERROR(__xludf.DUMMYFUNCTION("""COMPUTED_VALUE"""),37.18)</f>
        <v>37.18</v>
      </c>
    </row>
    <row r="3168" spans="1:2">
      <c r="A3168" s="3">
        <f ca="1">IFERROR(__xludf.DUMMYFUNCTION("""COMPUTED_VALUE"""),42948.6666666666)</f>
        <v>42948.666666666599</v>
      </c>
      <c r="B3168" s="1">
        <f ca="1">IFERROR(__xludf.DUMMYFUNCTION("""COMPUTED_VALUE"""),37.51)</f>
        <v>37.51</v>
      </c>
    </row>
    <row r="3169" spans="1:2">
      <c r="A3169" s="3">
        <f ca="1">IFERROR(__xludf.DUMMYFUNCTION("""COMPUTED_VALUE"""),42949.6666666666)</f>
        <v>42949.666666666599</v>
      </c>
      <c r="B3169" s="1">
        <f ca="1">IFERROR(__xludf.DUMMYFUNCTION("""COMPUTED_VALUE"""),39.28)</f>
        <v>39.28</v>
      </c>
    </row>
    <row r="3170" spans="1:2">
      <c r="A3170" s="3">
        <f ca="1">IFERROR(__xludf.DUMMYFUNCTION("""COMPUTED_VALUE"""),42950.6666666666)</f>
        <v>42950.666666666599</v>
      </c>
      <c r="B3170" s="1">
        <f ca="1">IFERROR(__xludf.DUMMYFUNCTION("""COMPUTED_VALUE"""),38.89)</f>
        <v>38.89</v>
      </c>
    </row>
    <row r="3171" spans="1:2">
      <c r="A3171" s="3">
        <f ca="1">IFERROR(__xludf.DUMMYFUNCTION("""COMPUTED_VALUE"""),42951.6666666666)</f>
        <v>42951.666666666599</v>
      </c>
      <c r="B3171" s="1">
        <f ca="1">IFERROR(__xludf.DUMMYFUNCTION("""COMPUTED_VALUE"""),39.1)</f>
        <v>39.1</v>
      </c>
    </row>
    <row r="3172" spans="1:2">
      <c r="A3172" s="3">
        <f ca="1">IFERROR(__xludf.DUMMYFUNCTION("""COMPUTED_VALUE"""),42954.6666666666)</f>
        <v>42954.666666666599</v>
      </c>
      <c r="B3172" s="1">
        <f ca="1">IFERROR(__xludf.DUMMYFUNCTION("""COMPUTED_VALUE"""),39.7)</f>
        <v>39.700000000000003</v>
      </c>
    </row>
    <row r="3173" spans="1:2">
      <c r="A3173" s="3">
        <f ca="1">IFERROR(__xludf.DUMMYFUNCTION("""COMPUTED_VALUE"""),42955.6666666666)</f>
        <v>42955.666666666599</v>
      </c>
      <c r="B3173" s="1">
        <f ca="1">IFERROR(__xludf.DUMMYFUNCTION("""COMPUTED_VALUE"""),40.02)</f>
        <v>40.020000000000003</v>
      </c>
    </row>
    <row r="3174" spans="1:2">
      <c r="A3174" s="3">
        <f ca="1">IFERROR(__xludf.DUMMYFUNCTION("""COMPUTED_VALUE"""),42956.6666666666)</f>
        <v>42956.666666666599</v>
      </c>
      <c r="B3174" s="1">
        <f ca="1">IFERROR(__xludf.DUMMYFUNCTION("""COMPUTED_VALUE"""),40.27)</f>
        <v>40.270000000000003</v>
      </c>
    </row>
    <row r="3175" spans="1:2">
      <c r="A3175" s="3">
        <f ca="1">IFERROR(__xludf.DUMMYFUNCTION("""COMPUTED_VALUE"""),42957.6666666666)</f>
        <v>42957.666666666599</v>
      </c>
      <c r="B3175" s="1">
        <f ca="1">IFERROR(__xludf.DUMMYFUNCTION("""COMPUTED_VALUE"""),38.83)</f>
        <v>38.83</v>
      </c>
    </row>
    <row r="3176" spans="1:2">
      <c r="A3176" s="3">
        <f ca="1">IFERROR(__xludf.DUMMYFUNCTION("""COMPUTED_VALUE"""),42958.6666666666)</f>
        <v>42958.666666666599</v>
      </c>
      <c r="B3176" s="1">
        <f ca="1">IFERROR(__xludf.DUMMYFUNCTION("""COMPUTED_VALUE"""),39.37)</f>
        <v>39.369999999999997</v>
      </c>
    </row>
    <row r="3177" spans="1:2">
      <c r="A3177" s="3">
        <f ca="1">IFERROR(__xludf.DUMMYFUNCTION("""COMPUTED_VALUE"""),42961.6666666666)</f>
        <v>42961.666666666599</v>
      </c>
      <c r="B3177" s="1">
        <f ca="1">IFERROR(__xludf.DUMMYFUNCTION("""COMPUTED_VALUE"""),39.96)</f>
        <v>39.96</v>
      </c>
    </row>
    <row r="3178" spans="1:2">
      <c r="A3178" s="3">
        <f ca="1">IFERROR(__xludf.DUMMYFUNCTION("""COMPUTED_VALUE"""),42962.6666666666)</f>
        <v>42962.666666666599</v>
      </c>
      <c r="B3178" s="1">
        <f ca="1">IFERROR(__xludf.DUMMYFUNCTION("""COMPUTED_VALUE"""),40.4)</f>
        <v>40.4</v>
      </c>
    </row>
    <row r="3179" spans="1:2">
      <c r="A3179" s="3">
        <f ca="1">IFERROR(__xludf.DUMMYFUNCTION("""COMPUTED_VALUE"""),42963.6666666666)</f>
        <v>42963.666666666599</v>
      </c>
      <c r="B3179" s="1">
        <f ca="1">IFERROR(__xludf.DUMMYFUNCTION("""COMPUTED_VALUE"""),40.24)</f>
        <v>40.24</v>
      </c>
    </row>
    <row r="3180" spans="1:2">
      <c r="A3180" s="3">
        <f ca="1">IFERROR(__xludf.DUMMYFUNCTION("""COMPUTED_VALUE"""),42964.6666666666)</f>
        <v>42964.666666666599</v>
      </c>
      <c r="B3180" s="1">
        <f ca="1">IFERROR(__xludf.DUMMYFUNCTION("""COMPUTED_VALUE"""),39.47)</f>
        <v>39.47</v>
      </c>
    </row>
    <row r="3181" spans="1:2">
      <c r="A3181" s="3">
        <f ca="1">IFERROR(__xludf.DUMMYFUNCTION("""COMPUTED_VALUE"""),42965.6666666666)</f>
        <v>42965.666666666599</v>
      </c>
      <c r="B3181" s="1">
        <f ca="1">IFERROR(__xludf.DUMMYFUNCTION("""COMPUTED_VALUE"""),39.38)</f>
        <v>39.380000000000003</v>
      </c>
    </row>
    <row r="3182" spans="1:2">
      <c r="A3182" s="3">
        <f ca="1">IFERROR(__xludf.DUMMYFUNCTION("""COMPUTED_VALUE"""),42968.6666666666)</f>
        <v>42968.666666666599</v>
      </c>
      <c r="B3182" s="1">
        <f ca="1">IFERROR(__xludf.DUMMYFUNCTION("""COMPUTED_VALUE"""),39.3)</f>
        <v>39.299999999999997</v>
      </c>
    </row>
    <row r="3183" spans="1:2">
      <c r="A3183" s="3">
        <f ca="1">IFERROR(__xludf.DUMMYFUNCTION("""COMPUTED_VALUE"""),42969.6666666666)</f>
        <v>42969.666666666599</v>
      </c>
      <c r="B3183" s="1">
        <f ca="1">IFERROR(__xludf.DUMMYFUNCTION("""COMPUTED_VALUE"""),39.95)</f>
        <v>39.950000000000003</v>
      </c>
    </row>
    <row r="3184" spans="1:2">
      <c r="A3184" s="3">
        <f ca="1">IFERROR(__xludf.DUMMYFUNCTION("""COMPUTED_VALUE"""),42970.6666666666)</f>
        <v>42970.666666666599</v>
      </c>
      <c r="B3184" s="1">
        <f ca="1">IFERROR(__xludf.DUMMYFUNCTION("""COMPUTED_VALUE"""),39.99)</f>
        <v>39.99</v>
      </c>
    </row>
    <row r="3185" spans="1:2">
      <c r="A3185" s="3">
        <f ca="1">IFERROR(__xludf.DUMMYFUNCTION("""COMPUTED_VALUE"""),42971.6666666666)</f>
        <v>42971.666666666599</v>
      </c>
      <c r="B3185" s="1">
        <f ca="1">IFERROR(__xludf.DUMMYFUNCTION("""COMPUTED_VALUE"""),39.82)</f>
        <v>39.82</v>
      </c>
    </row>
    <row r="3186" spans="1:2">
      <c r="A3186" s="3">
        <f ca="1">IFERROR(__xludf.DUMMYFUNCTION("""COMPUTED_VALUE"""),42972.6666666666)</f>
        <v>42972.666666666599</v>
      </c>
      <c r="B3186" s="1">
        <f ca="1">IFERROR(__xludf.DUMMYFUNCTION("""COMPUTED_VALUE"""),39.97)</f>
        <v>39.97</v>
      </c>
    </row>
    <row r="3187" spans="1:2">
      <c r="A3187" s="3">
        <f ca="1">IFERROR(__xludf.DUMMYFUNCTION("""COMPUTED_VALUE"""),42975.6666666666)</f>
        <v>42975.666666666599</v>
      </c>
      <c r="B3187" s="1">
        <f ca="1">IFERROR(__xludf.DUMMYFUNCTION("""COMPUTED_VALUE"""),40.37)</f>
        <v>40.369999999999997</v>
      </c>
    </row>
    <row r="3188" spans="1:2">
      <c r="A3188" s="3">
        <f ca="1">IFERROR(__xludf.DUMMYFUNCTION("""COMPUTED_VALUE"""),42976.6666666666)</f>
        <v>42976.666666666599</v>
      </c>
      <c r="B3188" s="1">
        <f ca="1">IFERROR(__xludf.DUMMYFUNCTION("""COMPUTED_VALUE"""),40.73)</f>
        <v>40.729999999999997</v>
      </c>
    </row>
    <row r="3189" spans="1:2">
      <c r="A3189" s="3">
        <f ca="1">IFERROR(__xludf.DUMMYFUNCTION("""COMPUTED_VALUE"""),42977.6666666666)</f>
        <v>42977.666666666599</v>
      </c>
      <c r="B3189" s="1">
        <f ca="1">IFERROR(__xludf.DUMMYFUNCTION("""COMPUTED_VALUE"""),40.84)</f>
        <v>40.840000000000003</v>
      </c>
    </row>
    <row r="3190" spans="1:2">
      <c r="A3190" s="3">
        <f ca="1">IFERROR(__xludf.DUMMYFUNCTION("""COMPUTED_VALUE"""),42978.6666666666)</f>
        <v>42978.666666666599</v>
      </c>
      <c r="B3190" s="1">
        <f ca="1">IFERROR(__xludf.DUMMYFUNCTION("""COMPUTED_VALUE"""),41)</f>
        <v>41</v>
      </c>
    </row>
    <row r="3191" spans="1:2">
      <c r="A3191" s="3">
        <f ca="1">IFERROR(__xludf.DUMMYFUNCTION("""COMPUTED_VALUE"""),42979.6666666666)</f>
        <v>42979.666666666599</v>
      </c>
      <c r="B3191" s="1">
        <f ca="1">IFERROR(__xludf.DUMMYFUNCTION("""COMPUTED_VALUE"""),41.01)</f>
        <v>41.01</v>
      </c>
    </row>
    <row r="3192" spans="1:2">
      <c r="A3192" s="3">
        <f ca="1">IFERROR(__xludf.DUMMYFUNCTION("""COMPUTED_VALUE"""),42983.6666666666)</f>
        <v>42983.666666666599</v>
      </c>
      <c r="B3192" s="1">
        <f ca="1">IFERROR(__xludf.DUMMYFUNCTION("""COMPUTED_VALUE"""),40.52)</f>
        <v>40.520000000000003</v>
      </c>
    </row>
    <row r="3193" spans="1:2">
      <c r="A3193" s="3">
        <f ca="1">IFERROR(__xludf.DUMMYFUNCTION("""COMPUTED_VALUE"""),42984.6666666666)</f>
        <v>42984.666666666599</v>
      </c>
      <c r="B3193" s="1">
        <f ca="1">IFERROR(__xludf.DUMMYFUNCTION("""COMPUTED_VALUE"""),40.48)</f>
        <v>40.479999999999997</v>
      </c>
    </row>
    <row r="3194" spans="1:2">
      <c r="A3194" s="3">
        <f ca="1">IFERROR(__xludf.DUMMYFUNCTION("""COMPUTED_VALUE"""),42985.6666666666)</f>
        <v>42985.666666666599</v>
      </c>
      <c r="B3194" s="1">
        <f ca="1">IFERROR(__xludf.DUMMYFUNCTION("""COMPUTED_VALUE"""),40.32)</f>
        <v>40.32</v>
      </c>
    </row>
    <row r="3195" spans="1:2">
      <c r="A3195" s="3">
        <f ca="1">IFERROR(__xludf.DUMMYFUNCTION("""COMPUTED_VALUE"""),42986.6666666666)</f>
        <v>42986.666666666599</v>
      </c>
      <c r="B3195" s="1">
        <f ca="1">IFERROR(__xludf.DUMMYFUNCTION("""COMPUTED_VALUE"""),39.66)</f>
        <v>39.659999999999997</v>
      </c>
    </row>
    <row r="3196" spans="1:2">
      <c r="A3196" s="3">
        <f ca="1">IFERROR(__xludf.DUMMYFUNCTION("""COMPUTED_VALUE"""),42989.6666666666)</f>
        <v>42989.666666666599</v>
      </c>
      <c r="B3196" s="1">
        <f ca="1">IFERROR(__xludf.DUMMYFUNCTION("""COMPUTED_VALUE"""),40.38)</f>
        <v>40.380000000000003</v>
      </c>
    </row>
    <row r="3197" spans="1:2">
      <c r="A3197" s="3">
        <f ca="1">IFERROR(__xludf.DUMMYFUNCTION("""COMPUTED_VALUE"""),42990.6666666666)</f>
        <v>42990.666666666599</v>
      </c>
      <c r="B3197" s="1">
        <f ca="1">IFERROR(__xludf.DUMMYFUNCTION("""COMPUTED_VALUE"""),40.22)</f>
        <v>40.22</v>
      </c>
    </row>
    <row r="3198" spans="1:2">
      <c r="A3198" s="3">
        <f ca="1">IFERROR(__xludf.DUMMYFUNCTION("""COMPUTED_VALUE"""),42991.6666666666)</f>
        <v>42991.666666666599</v>
      </c>
      <c r="B3198" s="1">
        <f ca="1">IFERROR(__xludf.DUMMYFUNCTION("""COMPUTED_VALUE"""),39.91)</f>
        <v>39.909999999999997</v>
      </c>
    </row>
    <row r="3199" spans="1:2">
      <c r="A3199" s="3">
        <f ca="1">IFERROR(__xludf.DUMMYFUNCTION("""COMPUTED_VALUE"""),42992.6666666666)</f>
        <v>42992.666666666599</v>
      </c>
      <c r="B3199" s="1">
        <f ca="1">IFERROR(__xludf.DUMMYFUNCTION("""COMPUTED_VALUE"""),39.57)</f>
        <v>39.57</v>
      </c>
    </row>
    <row r="3200" spans="1:2">
      <c r="A3200" s="3">
        <f ca="1">IFERROR(__xludf.DUMMYFUNCTION("""COMPUTED_VALUE"""),42993.6666666666)</f>
        <v>42993.666666666599</v>
      </c>
      <c r="B3200" s="1">
        <f ca="1">IFERROR(__xludf.DUMMYFUNCTION("""COMPUTED_VALUE"""),39.97)</f>
        <v>39.97</v>
      </c>
    </row>
    <row r="3201" spans="1:2">
      <c r="A3201" s="3">
        <f ca="1">IFERROR(__xludf.DUMMYFUNCTION("""COMPUTED_VALUE"""),42996.6666666666)</f>
        <v>42996.666666666599</v>
      </c>
      <c r="B3201" s="1">
        <f ca="1">IFERROR(__xludf.DUMMYFUNCTION("""COMPUTED_VALUE"""),39.67)</f>
        <v>39.67</v>
      </c>
    </row>
    <row r="3202" spans="1:2">
      <c r="A3202" s="3">
        <f ca="1">IFERROR(__xludf.DUMMYFUNCTION("""COMPUTED_VALUE"""),42997.6666666666)</f>
        <v>42997.666666666599</v>
      </c>
      <c r="B3202" s="1">
        <f ca="1">IFERROR(__xludf.DUMMYFUNCTION("""COMPUTED_VALUE"""),39.68)</f>
        <v>39.68</v>
      </c>
    </row>
    <row r="3203" spans="1:2">
      <c r="A3203" s="3">
        <f ca="1">IFERROR(__xludf.DUMMYFUNCTION("""COMPUTED_VALUE"""),42998.6666666666)</f>
        <v>42998.666666666599</v>
      </c>
      <c r="B3203" s="1">
        <f ca="1">IFERROR(__xludf.DUMMYFUNCTION("""COMPUTED_VALUE"""),39.02)</f>
        <v>39.020000000000003</v>
      </c>
    </row>
    <row r="3204" spans="1:2">
      <c r="A3204" s="3">
        <f ca="1">IFERROR(__xludf.DUMMYFUNCTION("""COMPUTED_VALUE"""),42999.6666666666)</f>
        <v>42999.666666666599</v>
      </c>
      <c r="B3204" s="1">
        <f ca="1">IFERROR(__xludf.DUMMYFUNCTION("""COMPUTED_VALUE"""),38.35)</f>
        <v>38.35</v>
      </c>
    </row>
    <row r="3205" spans="1:2">
      <c r="A3205" s="3">
        <f ca="1">IFERROR(__xludf.DUMMYFUNCTION("""COMPUTED_VALUE"""),43000.6666666666)</f>
        <v>43000.666666666599</v>
      </c>
      <c r="B3205" s="1">
        <f ca="1">IFERROR(__xludf.DUMMYFUNCTION("""COMPUTED_VALUE"""),37.97)</f>
        <v>37.97</v>
      </c>
    </row>
    <row r="3206" spans="1:2">
      <c r="A3206" s="3">
        <f ca="1">IFERROR(__xludf.DUMMYFUNCTION("""COMPUTED_VALUE"""),43003.6666666666)</f>
        <v>43003.666666666599</v>
      </c>
      <c r="B3206" s="1">
        <f ca="1">IFERROR(__xludf.DUMMYFUNCTION("""COMPUTED_VALUE"""),37.64)</f>
        <v>37.64</v>
      </c>
    </row>
    <row r="3207" spans="1:2">
      <c r="A3207" s="3">
        <f ca="1">IFERROR(__xludf.DUMMYFUNCTION("""COMPUTED_VALUE"""),43004.6666666666)</f>
        <v>43004.666666666599</v>
      </c>
      <c r="B3207" s="1">
        <f ca="1">IFERROR(__xludf.DUMMYFUNCTION("""COMPUTED_VALUE"""),38.28)</f>
        <v>38.28</v>
      </c>
    </row>
    <row r="3208" spans="1:2">
      <c r="A3208" s="3">
        <f ca="1">IFERROR(__xludf.DUMMYFUNCTION("""COMPUTED_VALUE"""),43005.6666666666)</f>
        <v>43005.666666666599</v>
      </c>
      <c r="B3208" s="1">
        <f ca="1">IFERROR(__xludf.DUMMYFUNCTION("""COMPUTED_VALUE"""),38.56)</f>
        <v>38.56</v>
      </c>
    </row>
    <row r="3209" spans="1:2">
      <c r="A3209" s="3">
        <f ca="1">IFERROR(__xludf.DUMMYFUNCTION("""COMPUTED_VALUE"""),43006.6666666666)</f>
        <v>43006.666666666599</v>
      </c>
      <c r="B3209" s="1">
        <f ca="1">IFERROR(__xludf.DUMMYFUNCTION("""COMPUTED_VALUE"""),38.32)</f>
        <v>38.32</v>
      </c>
    </row>
    <row r="3210" spans="1:2">
      <c r="A3210" s="3">
        <f ca="1">IFERROR(__xludf.DUMMYFUNCTION("""COMPUTED_VALUE"""),43007.6666666666)</f>
        <v>43007.666666666599</v>
      </c>
      <c r="B3210" s="1">
        <f ca="1">IFERROR(__xludf.DUMMYFUNCTION("""COMPUTED_VALUE"""),38.53)</f>
        <v>38.53</v>
      </c>
    </row>
    <row r="3211" spans="1:2">
      <c r="A3211" s="3">
        <f ca="1">IFERROR(__xludf.DUMMYFUNCTION("""COMPUTED_VALUE"""),43010.6666666666)</f>
        <v>43010.666666666599</v>
      </c>
      <c r="B3211" s="1">
        <f ca="1">IFERROR(__xludf.DUMMYFUNCTION("""COMPUTED_VALUE"""),38.45)</f>
        <v>38.450000000000003</v>
      </c>
    </row>
    <row r="3212" spans="1:2">
      <c r="A3212" s="3">
        <f ca="1">IFERROR(__xludf.DUMMYFUNCTION("""COMPUTED_VALUE"""),43011.6666666666)</f>
        <v>43011.666666666599</v>
      </c>
      <c r="B3212" s="1">
        <f ca="1">IFERROR(__xludf.DUMMYFUNCTION("""COMPUTED_VALUE"""),38.62)</f>
        <v>38.619999999999997</v>
      </c>
    </row>
    <row r="3213" spans="1:2">
      <c r="A3213" s="3">
        <f ca="1">IFERROR(__xludf.DUMMYFUNCTION("""COMPUTED_VALUE"""),43012.6666666666)</f>
        <v>43012.666666666599</v>
      </c>
      <c r="B3213" s="1">
        <f ca="1">IFERROR(__xludf.DUMMYFUNCTION("""COMPUTED_VALUE"""),38.37)</f>
        <v>38.369999999999997</v>
      </c>
    </row>
    <row r="3214" spans="1:2">
      <c r="A3214" s="3">
        <f ca="1">IFERROR(__xludf.DUMMYFUNCTION("""COMPUTED_VALUE"""),43013.6666666666)</f>
        <v>43013.666666666599</v>
      </c>
      <c r="B3214" s="1">
        <f ca="1">IFERROR(__xludf.DUMMYFUNCTION("""COMPUTED_VALUE"""),38.85)</f>
        <v>38.85</v>
      </c>
    </row>
    <row r="3215" spans="1:2">
      <c r="A3215" s="3">
        <f ca="1">IFERROR(__xludf.DUMMYFUNCTION("""COMPUTED_VALUE"""),43014.6666666666)</f>
        <v>43014.666666666599</v>
      </c>
      <c r="B3215" s="1">
        <f ca="1">IFERROR(__xludf.DUMMYFUNCTION("""COMPUTED_VALUE"""),38.83)</f>
        <v>38.83</v>
      </c>
    </row>
    <row r="3216" spans="1:2">
      <c r="A3216" s="3">
        <f ca="1">IFERROR(__xludf.DUMMYFUNCTION("""COMPUTED_VALUE"""),43017.6666666666)</f>
        <v>43017.666666666599</v>
      </c>
      <c r="B3216" s="1">
        <f ca="1">IFERROR(__xludf.DUMMYFUNCTION("""COMPUTED_VALUE"""),38.96)</f>
        <v>38.96</v>
      </c>
    </row>
    <row r="3217" spans="1:2">
      <c r="A3217" s="3">
        <f ca="1">IFERROR(__xludf.DUMMYFUNCTION("""COMPUTED_VALUE"""),43018.6666666666)</f>
        <v>43018.666666666599</v>
      </c>
      <c r="B3217" s="1">
        <f ca="1">IFERROR(__xludf.DUMMYFUNCTION("""COMPUTED_VALUE"""),38.98)</f>
        <v>38.979999999999997</v>
      </c>
    </row>
    <row r="3218" spans="1:2">
      <c r="A3218" s="3">
        <f ca="1">IFERROR(__xludf.DUMMYFUNCTION("""COMPUTED_VALUE"""),43019.6666666666)</f>
        <v>43019.666666666599</v>
      </c>
      <c r="B3218" s="1">
        <f ca="1">IFERROR(__xludf.DUMMYFUNCTION("""COMPUTED_VALUE"""),39.14)</f>
        <v>39.14</v>
      </c>
    </row>
    <row r="3219" spans="1:2">
      <c r="A3219" s="3">
        <f ca="1">IFERROR(__xludf.DUMMYFUNCTION("""COMPUTED_VALUE"""),43020.6666666666)</f>
        <v>43020.666666666599</v>
      </c>
      <c r="B3219" s="1">
        <f ca="1">IFERROR(__xludf.DUMMYFUNCTION("""COMPUTED_VALUE"""),39)</f>
        <v>39</v>
      </c>
    </row>
    <row r="3220" spans="1:2">
      <c r="A3220" s="3">
        <f ca="1">IFERROR(__xludf.DUMMYFUNCTION("""COMPUTED_VALUE"""),43021.6666666666)</f>
        <v>43021.666666666599</v>
      </c>
      <c r="B3220" s="1">
        <f ca="1">IFERROR(__xludf.DUMMYFUNCTION("""COMPUTED_VALUE"""),39.25)</f>
        <v>39.25</v>
      </c>
    </row>
    <row r="3221" spans="1:2">
      <c r="A3221" s="3">
        <f ca="1">IFERROR(__xludf.DUMMYFUNCTION("""COMPUTED_VALUE"""),43024.6666666666)</f>
        <v>43024.666666666599</v>
      </c>
      <c r="B3221" s="1">
        <f ca="1">IFERROR(__xludf.DUMMYFUNCTION("""COMPUTED_VALUE"""),39.97)</f>
        <v>39.97</v>
      </c>
    </row>
    <row r="3222" spans="1:2">
      <c r="A3222" s="3">
        <f ca="1">IFERROR(__xludf.DUMMYFUNCTION("""COMPUTED_VALUE"""),43025.6666666666)</f>
        <v>43025.666666666599</v>
      </c>
      <c r="B3222" s="1">
        <f ca="1">IFERROR(__xludf.DUMMYFUNCTION("""COMPUTED_VALUE"""),40.12)</f>
        <v>40.119999999999997</v>
      </c>
    </row>
    <row r="3223" spans="1:2">
      <c r="A3223" s="3">
        <f ca="1">IFERROR(__xludf.DUMMYFUNCTION("""COMPUTED_VALUE"""),43026.6666666666)</f>
        <v>43026.666666666599</v>
      </c>
      <c r="B3223" s="1">
        <f ca="1">IFERROR(__xludf.DUMMYFUNCTION("""COMPUTED_VALUE"""),39.94)</f>
        <v>39.94</v>
      </c>
    </row>
    <row r="3224" spans="1:2">
      <c r="A3224" s="3">
        <f ca="1">IFERROR(__xludf.DUMMYFUNCTION("""COMPUTED_VALUE"""),43027.6666666666)</f>
        <v>43027.666666666599</v>
      </c>
      <c r="B3224" s="1">
        <f ca="1">IFERROR(__xludf.DUMMYFUNCTION("""COMPUTED_VALUE"""),38.99)</f>
        <v>38.99</v>
      </c>
    </row>
    <row r="3225" spans="1:2">
      <c r="A3225" s="3">
        <f ca="1">IFERROR(__xludf.DUMMYFUNCTION("""COMPUTED_VALUE"""),43028.6666666666)</f>
        <v>43028.666666666599</v>
      </c>
      <c r="B3225" s="1">
        <f ca="1">IFERROR(__xludf.DUMMYFUNCTION("""COMPUTED_VALUE"""),39.06)</f>
        <v>39.06</v>
      </c>
    </row>
    <row r="3226" spans="1:2">
      <c r="A3226" s="3">
        <f ca="1">IFERROR(__xludf.DUMMYFUNCTION("""COMPUTED_VALUE"""),43031.6666666666)</f>
        <v>43031.666666666599</v>
      </c>
      <c r="B3226" s="1">
        <f ca="1">IFERROR(__xludf.DUMMYFUNCTION("""COMPUTED_VALUE"""),39.04)</f>
        <v>39.04</v>
      </c>
    </row>
    <row r="3227" spans="1:2">
      <c r="A3227" s="3">
        <f ca="1">IFERROR(__xludf.DUMMYFUNCTION("""COMPUTED_VALUE"""),43032.6666666666)</f>
        <v>43032.666666666599</v>
      </c>
      <c r="B3227" s="1">
        <f ca="1">IFERROR(__xludf.DUMMYFUNCTION("""COMPUTED_VALUE"""),39.28)</f>
        <v>39.28</v>
      </c>
    </row>
    <row r="3228" spans="1:2">
      <c r="A3228" s="3">
        <f ca="1">IFERROR(__xludf.DUMMYFUNCTION("""COMPUTED_VALUE"""),43033.6666666666)</f>
        <v>43033.666666666599</v>
      </c>
      <c r="B3228" s="1">
        <f ca="1">IFERROR(__xludf.DUMMYFUNCTION("""COMPUTED_VALUE"""),39.1)</f>
        <v>39.1</v>
      </c>
    </row>
    <row r="3229" spans="1:2">
      <c r="A3229" s="3">
        <f ca="1">IFERROR(__xludf.DUMMYFUNCTION("""COMPUTED_VALUE"""),43034.6666666666)</f>
        <v>43034.666666666599</v>
      </c>
      <c r="B3229" s="1">
        <f ca="1">IFERROR(__xludf.DUMMYFUNCTION("""COMPUTED_VALUE"""),39.35)</f>
        <v>39.35</v>
      </c>
    </row>
    <row r="3230" spans="1:2">
      <c r="A3230" s="3">
        <f ca="1">IFERROR(__xludf.DUMMYFUNCTION("""COMPUTED_VALUE"""),43035.6666666666)</f>
        <v>43035.666666666599</v>
      </c>
      <c r="B3230" s="1">
        <f ca="1">IFERROR(__xludf.DUMMYFUNCTION("""COMPUTED_VALUE"""),40.76)</f>
        <v>40.76</v>
      </c>
    </row>
    <row r="3231" spans="1:2">
      <c r="A3231" s="3">
        <f ca="1">IFERROR(__xludf.DUMMYFUNCTION("""COMPUTED_VALUE"""),43038.6666666666)</f>
        <v>43038.666666666599</v>
      </c>
      <c r="B3231" s="1">
        <f ca="1">IFERROR(__xludf.DUMMYFUNCTION("""COMPUTED_VALUE"""),41.68)</f>
        <v>41.68</v>
      </c>
    </row>
    <row r="3232" spans="1:2">
      <c r="A3232" s="3">
        <f ca="1">IFERROR(__xludf.DUMMYFUNCTION("""COMPUTED_VALUE"""),43039.6666666666)</f>
        <v>43039.666666666599</v>
      </c>
      <c r="B3232" s="1">
        <f ca="1">IFERROR(__xludf.DUMMYFUNCTION("""COMPUTED_VALUE"""),42.26)</f>
        <v>42.26</v>
      </c>
    </row>
    <row r="3233" spans="1:2">
      <c r="A3233" s="3">
        <f ca="1">IFERROR(__xludf.DUMMYFUNCTION("""COMPUTED_VALUE"""),43040.6666666666)</f>
        <v>43040.666666666599</v>
      </c>
      <c r="B3233" s="1">
        <f ca="1">IFERROR(__xludf.DUMMYFUNCTION("""COMPUTED_VALUE"""),41.72)</f>
        <v>41.72</v>
      </c>
    </row>
    <row r="3234" spans="1:2">
      <c r="A3234" s="3">
        <f ca="1">IFERROR(__xludf.DUMMYFUNCTION("""COMPUTED_VALUE"""),43041.6666666666)</f>
        <v>43041.666666666599</v>
      </c>
      <c r="B3234" s="1">
        <f ca="1">IFERROR(__xludf.DUMMYFUNCTION("""COMPUTED_VALUE"""),42.03)</f>
        <v>42.03</v>
      </c>
    </row>
    <row r="3235" spans="1:2">
      <c r="A3235" s="3">
        <f ca="1">IFERROR(__xludf.DUMMYFUNCTION("""COMPUTED_VALUE"""),43042.6666666666)</f>
        <v>43042.666666666599</v>
      </c>
      <c r="B3235" s="1">
        <f ca="1">IFERROR(__xludf.DUMMYFUNCTION("""COMPUTED_VALUE"""),43.13)</f>
        <v>43.13</v>
      </c>
    </row>
    <row r="3236" spans="1:2">
      <c r="A3236" s="3">
        <f ca="1">IFERROR(__xludf.DUMMYFUNCTION("""COMPUTED_VALUE"""),43045.6666666666)</f>
        <v>43045.666666666599</v>
      </c>
      <c r="B3236" s="1">
        <f ca="1">IFERROR(__xludf.DUMMYFUNCTION("""COMPUTED_VALUE"""),43.56)</f>
        <v>43.56</v>
      </c>
    </row>
    <row r="3237" spans="1:2">
      <c r="A3237" s="3">
        <f ca="1">IFERROR(__xludf.DUMMYFUNCTION("""COMPUTED_VALUE"""),43046.6666666666)</f>
        <v>43046.666666666599</v>
      </c>
      <c r="B3237" s="1">
        <f ca="1">IFERROR(__xludf.DUMMYFUNCTION("""COMPUTED_VALUE"""),43.7)</f>
        <v>43.7</v>
      </c>
    </row>
    <row r="3238" spans="1:2">
      <c r="A3238" s="3">
        <f ca="1">IFERROR(__xludf.DUMMYFUNCTION("""COMPUTED_VALUE"""),43047.6666666666)</f>
        <v>43047.666666666599</v>
      </c>
      <c r="B3238" s="1">
        <f ca="1">IFERROR(__xludf.DUMMYFUNCTION("""COMPUTED_VALUE"""),44.06)</f>
        <v>44.06</v>
      </c>
    </row>
    <row r="3239" spans="1:2">
      <c r="A3239" s="3">
        <f ca="1">IFERROR(__xludf.DUMMYFUNCTION("""COMPUTED_VALUE"""),43048.6666666666)</f>
        <v>43048.666666666599</v>
      </c>
      <c r="B3239" s="1">
        <f ca="1">IFERROR(__xludf.DUMMYFUNCTION("""COMPUTED_VALUE"""),43.97)</f>
        <v>43.97</v>
      </c>
    </row>
    <row r="3240" spans="1:2">
      <c r="A3240" s="3">
        <f ca="1">IFERROR(__xludf.DUMMYFUNCTION("""COMPUTED_VALUE"""),43049.6666666666)</f>
        <v>43049.666666666599</v>
      </c>
      <c r="B3240" s="1">
        <f ca="1">IFERROR(__xludf.DUMMYFUNCTION("""COMPUTED_VALUE"""),43.67)</f>
        <v>43.67</v>
      </c>
    </row>
    <row r="3241" spans="1:2">
      <c r="A3241" s="3">
        <f ca="1">IFERROR(__xludf.DUMMYFUNCTION("""COMPUTED_VALUE"""),43052.6666666666)</f>
        <v>43052.666666666599</v>
      </c>
      <c r="B3241" s="1">
        <f ca="1">IFERROR(__xludf.DUMMYFUNCTION("""COMPUTED_VALUE"""),43.49)</f>
        <v>43.49</v>
      </c>
    </row>
    <row r="3242" spans="1:2">
      <c r="A3242" s="3">
        <f ca="1">IFERROR(__xludf.DUMMYFUNCTION("""COMPUTED_VALUE"""),43053.6666666666)</f>
        <v>43053.666666666599</v>
      </c>
      <c r="B3242" s="1">
        <f ca="1">IFERROR(__xludf.DUMMYFUNCTION("""COMPUTED_VALUE"""),42.84)</f>
        <v>42.84</v>
      </c>
    </row>
    <row r="3243" spans="1:2">
      <c r="A3243" s="3">
        <f ca="1">IFERROR(__xludf.DUMMYFUNCTION("""COMPUTED_VALUE"""),43054.6666666666)</f>
        <v>43054.666666666599</v>
      </c>
      <c r="B3243" s="1">
        <f ca="1">IFERROR(__xludf.DUMMYFUNCTION("""COMPUTED_VALUE"""),42.27)</f>
        <v>42.27</v>
      </c>
    </row>
    <row r="3244" spans="1:2">
      <c r="A3244" s="3">
        <f ca="1">IFERROR(__xludf.DUMMYFUNCTION("""COMPUTED_VALUE"""),43055.6666666666)</f>
        <v>43055.666666666599</v>
      </c>
      <c r="B3244" s="1">
        <f ca="1">IFERROR(__xludf.DUMMYFUNCTION("""COMPUTED_VALUE"""),42.78)</f>
        <v>42.78</v>
      </c>
    </row>
    <row r="3245" spans="1:2">
      <c r="A3245" s="3">
        <f ca="1">IFERROR(__xludf.DUMMYFUNCTION("""COMPUTED_VALUE"""),43056.6666666666)</f>
        <v>43056.666666666599</v>
      </c>
      <c r="B3245" s="1">
        <f ca="1">IFERROR(__xludf.DUMMYFUNCTION("""COMPUTED_VALUE"""),42.54)</f>
        <v>42.54</v>
      </c>
    </row>
    <row r="3246" spans="1:2">
      <c r="A3246" s="3">
        <f ca="1">IFERROR(__xludf.DUMMYFUNCTION("""COMPUTED_VALUE"""),43059.6666666666)</f>
        <v>43059.666666666599</v>
      </c>
      <c r="B3246" s="1">
        <f ca="1">IFERROR(__xludf.DUMMYFUNCTION("""COMPUTED_VALUE"""),42.5)</f>
        <v>42.5</v>
      </c>
    </row>
    <row r="3247" spans="1:2">
      <c r="A3247" s="3">
        <f ca="1">IFERROR(__xludf.DUMMYFUNCTION("""COMPUTED_VALUE"""),43060.6666666666)</f>
        <v>43060.666666666599</v>
      </c>
      <c r="B3247" s="1">
        <f ca="1">IFERROR(__xludf.DUMMYFUNCTION("""COMPUTED_VALUE"""),43.29)</f>
        <v>43.29</v>
      </c>
    </row>
    <row r="3248" spans="1:2">
      <c r="A3248" s="3">
        <f ca="1">IFERROR(__xludf.DUMMYFUNCTION("""COMPUTED_VALUE"""),43061.6666666666)</f>
        <v>43061.666666666599</v>
      </c>
      <c r="B3248" s="1">
        <f ca="1">IFERROR(__xludf.DUMMYFUNCTION("""COMPUTED_VALUE"""),43.74)</f>
        <v>43.74</v>
      </c>
    </row>
    <row r="3249" spans="1:2">
      <c r="A3249" s="3">
        <f ca="1">IFERROR(__xludf.DUMMYFUNCTION("""COMPUTED_VALUE"""),43063.5416666666)</f>
        <v>43063.541666666599</v>
      </c>
      <c r="B3249" s="1">
        <f ca="1">IFERROR(__xludf.DUMMYFUNCTION("""COMPUTED_VALUE"""),43.74)</f>
        <v>43.74</v>
      </c>
    </row>
    <row r="3250" spans="1:2">
      <c r="A3250" s="3">
        <f ca="1">IFERROR(__xludf.DUMMYFUNCTION("""COMPUTED_VALUE"""),43066.6666666666)</f>
        <v>43066.666666666599</v>
      </c>
      <c r="B3250" s="1">
        <f ca="1">IFERROR(__xludf.DUMMYFUNCTION("""COMPUTED_VALUE"""),43.52)</f>
        <v>43.52</v>
      </c>
    </row>
    <row r="3251" spans="1:2">
      <c r="A3251" s="3">
        <f ca="1">IFERROR(__xludf.DUMMYFUNCTION("""COMPUTED_VALUE"""),43067.6666666666)</f>
        <v>43067.666666666599</v>
      </c>
      <c r="B3251" s="1">
        <f ca="1">IFERROR(__xludf.DUMMYFUNCTION("""COMPUTED_VALUE"""),43.27)</f>
        <v>43.27</v>
      </c>
    </row>
    <row r="3252" spans="1:2">
      <c r="A3252" s="3">
        <f ca="1">IFERROR(__xludf.DUMMYFUNCTION("""COMPUTED_VALUE"""),43068.6666666666)</f>
        <v>43068.666666666599</v>
      </c>
      <c r="B3252" s="1">
        <f ca="1">IFERROR(__xludf.DUMMYFUNCTION("""COMPUTED_VALUE"""),42.37)</f>
        <v>42.37</v>
      </c>
    </row>
    <row r="3253" spans="1:2">
      <c r="A3253" s="3">
        <f ca="1">IFERROR(__xludf.DUMMYFUNCTION("""COMPUTED_VALUE"""),43069.6666666666)</f>
        <v>43069.666666666599</v>
      </c>
      <c r="B3253" s="1">
        <f ca="1">IFERROR(__xludf.DUMMYFUNCTION("""COMPUTED_VALUE"""),42.96)</f>
        <v>42.96</v>
      </c>
    </row>
    <row r="3254" spans="1:2">
      <c r="A3254" s="3">
        <f ca="1">IFERROR(__xludf.DUMMYFUNCTION("""COMPUTED_VALUE"""),43070.6666666666)</f>
        <v>43070.666666666599</v>
      </c>
      <c r="B3254" s="1">
        <f ca="1">IFERROR(__xludf.DUMMYFUNCTION("""COMPUTED_VALUE"""),42.76)</f>
        <v>42.76</v>
      </c>
    </row>
    <row r="3255" spans="1:2">
      <c r="A3255" s="3">
        <f ca="1">IFERROR(__xludf.DUMMYFUNCTION("""COMPUTED_VALUE"""),43073.6666666666)</f>
        <v>43073.666666666599</v>
      </c>
      <c r="B3255" s="1">
        <f ca="1">IFERROR(__xludf.DUMMYFUNCTION("""COMPUTED_VALUE"""),42.45)</f>
        <v>42.45</v>
      </c>
    </row>
    <row r="3256" spans="1:2">
      <c r="A3256" s="3">
        <f ca="1">IFERROR(__xludf.DUMMYFUNCTION("""COMPUTED_VALUE"""),43074.6666666666)</f>
        <v>43074.666666666599</v>
      </c>
      <c r="B3256" s="1">
        <f ca="1">IFERROR(__xludf.DUMMYFUNCTION("""COMPUTED_VALUE"""),42.41)</f>
        <v>42.41</v>
      </c>
    </row>
    <row r="3257" spans="1:2">
      <c r="A3257" s="3">
        <f ca="1">IFERROR(__xludf.DUMMYFUNCTION("""COMPUTED_VALUE"""),43075.6666666666)</f>
        <v>43075.666666666599</v>
      </c>
      <c r="B3257" s="1">
        <f ca="1">IFERROR(__xludf.DUMMYFUNCTION("""COMPUTED_VALUE"""),42.25)</f>
        <v>42.25</v>
      </c>
    </row>
    <row r="3258" spans="1:2">
      <c r="A3258" s="3">
        <f ca="1">IFERROR(__xludf.DUMMYFUNCTION("""COMPUTED_VALUE"""),43076.6666666666)</f>
        <v>43076.666666666599</v>
      </c>
      <c r="B3258" s="1">
        <f ca="1">IFERROR(__xludf.DUMMYFUNCTION("""COMPUTED_VALUE"""),42.33)</f>
        <v>42.33</v>
      </c>
    </row>
    <row r="3259" spans="1:2">
      <c r="A3259" s="3">
        <f ca="1">IFERROR(__xludf.DUMMYFUNCTION("""COMPUTED_VALUE"""),43077.6666666666)</f>
        <v>43077.666666666599</v>
      </c>
      <c r="B3259" s="1">
        <f ca="1">IFERROR(__xludf.DUMMYFUNCTION("""COMPUTED_VALUE"""),42.34)</f>
        <v>42.34</v>
      </c>
    </row>
    <row r="3260" spans="1:2">
      <c r="A3260" s="3">
        <f ca="1">IFERROR(__xludf.DUMMYFUNCTION("""COMPUTED_VALUE"""),43080.6666666666)</f>
        <v>43080.666666666599</v>
      </c>
      <c r="B3260" s="1">
        <f ca="1">IFERROR(__xludf.DUMMYFUNCTION("""COMPUTED_VALUE"""),43.17)</f>
        <v>43.17</v>
      </c>
    </row>
    <row r="3261" spans="1:2">
      <c r="A3261" s="3">
        <f ca="1">IFERROR(__xludf.DUMMYFUNCTION("""COMPUTED_VALUE"""),43081.6666666666)</f>
        <v>43081.666666666599</v>
      </c>
      <c r="B3261" s="1">
        <f ca="1">IFERROR(__xludf.DUMMYFUNCTION("""COMPUTED_VALUE"""),42.93)</f>
        <v>42.93</v>
      </c>
    </row>
    <row r="3262" spans="1:2">
      <c r="A3262" s="3">
        <f ca="1">IFERROR(__xludf.DUMMYFUNCTION("""COMPUTED_VALUE"""),43082.6666666666)</f>
        <v>43082.666666666599</v>
      </c>
      <c r="B3262" s="1">
        <f ca="1">IFERROR(__xludf.DUMMYFUNCTION("""COMPUTED_VALUE"""),43.07)</f>
        <v>43.07</v>
      </c>
    </row>
    <row r="3263" spans="1:2">
      <c r="A3263" s="3">
        <f ca="1">IFERROR(__xludf.DUMMYFUNCTION("""COMPUTED_VALUE"""),43083.6666666666)</f>
        <v>43083.666666666599</v>
      </c>
      <c r="B3263" s="1">
        <f ca="1">IFERROR(__xludf.DUMMYFUNCTION("""COMPUTED_VALUE"""),43.06)</f>
        <v>43.06</v>
      </c>
    </row>
    <row r="3264" spans="1:2">
      <c r="A3264" s="3">
        <f ca="1">IFERROR(__xludf.DUMMYFUNCTION("""COMPUTED_VALUE"""),43084.6666666666)</f>
        <v>43084.666666666599</v>
      </c>
      <c r="B3264" s="1">
        <f ca="1">IFERROR(__xludf.DUMMYFUNCTION("""COMPUTED_VALUE"""),43.49)</f>
        <v>43.49</v>
      </c>
    </row>
    <row r="3265" spans="1:2">
      <c r="A3265" s="3">
        <f ca="1">IFERROR(__xludf.DUMMYFUNCTION("""COMPUTED_VALUE"""),43087.6666666666)</f>
        <v>43087.666666666599</v>
      </c>
      <c r="B3265" s="1">
        <f ca="1">IFERROR(__xludf.DUMMYFUNCTION("""COMPUTED_VALUE"""),44.11)</f>
        <v>44.11</v>
      </c>
    </row>
    <row r="3266" spans="1:2">
      <c r="A3266" s="3">
        <f ca="1">IFERROR(__xludf.DUMMYFUNCTION("""COMPUTED_VALUE"""),43088.6666666666)</f>
        <v>43088.666666666599</v>
      </c>
      <c r="B3266" s="1">
        <f ca="1">IFERROR(__xludf.DUMMYFUNCTION("""COMPUTED_VALUE"""),43.64)</f>
        <v>43.64</v>
      </c>
    </row>
    <row r="3267" spans="1:2">
      <c r="A3267" s="3">
        <f ca="1">IFERROR(__xludf.DUMMYFUNCTION("""COMPUTED_VALUE"""),43089.6666666666)</f>
        <v>43089.666666666599</v>
      </c>
      <c r="B3267" s="1">
        <f ca="1">IFERROR(__xludf.DUMMYFUNCTION("""COMPUTED_VALUE"""),43.59)</f>
        <v>43.59</v>
      </c>
    </row>
    <row r="3268" spans="1:2">
      <c r="A3268" s="3">
        <f ca="1">IFERROR(__xludf.DUMMYFUNCTION("""COMPUTED_VALUE"""),43090.6666666666)</f>
        <v>43090.666666666599</v>
      </c>
      <c r="B3268" s="1">
        <f ca="1">IFERROR(__xludf.DUMMYFUNCTION("""COMPUTED_VALUE"""),43.75)</f>
        <v>43.75</v>
      </c>
    </row>
    <row r="3269" spans="1:2">
      <c r="A3269" s="3">
        <f ca="1">IFERROR(__xludf.DUMMYFUNCTION("""COMPUTED_VALUE"""),43091.6666666666)</f>
        <v>43091.666666666599</v>
      </c>
      <c r="B3269" s="1">
        <f ca="1">IFERROR(__xludf.DUMMYFUNCTION("""COMPUTED_VALUE"""),43.75)</f>
        <v>43.75</v>
      </c>
    </row>
    <row r="3270" spans="1:2">
      <c r="A3270" s="3">
        <f ca="1">IFERROR(__xludf.DUMMYFUNCTION("""COMPUTED_VALUE"""),43095.6666666666)</f>
        <v>43095.666666666599</v>
      </c>
      <c r="B3270" s="1">
        <f ca="1">IFERROR(__xludf.DUMMYFUNCTION("""COMPUTED_VALUE"""),42.64)</f>
        <v>42.64</v>
      </c>
    </row>
    <row r="3271" spans="1:2">
      <c r="A3271" s="3">
        <f ca="1">IFERROR(__xludf.DUMMYFUNCTION("""COMPUTED_VALUE"""),43096.6666666666)</f>
        <v>43096.666666666599</v>
      </c>
      <c r="B3271" s="1">
        <f ca="1">IFERROR(__xludf.DUMMYFUNCTION("""COMPUTED_VALUE"""),42.65)</f>
        <v>42.65</v>
      </c>
    </row>
    <row r="3272" spans="1:2">
      <c r="A3272" s="3">
        <f ca="1">IFERROR(__xludf.DUMMYFUNCTION("""COMPUTED_VALUE"""),43097.6666666666)</f>
        <v>43097.666666666599</v>
      </c>
      <c r="B3272" s="1">
        <f ca="1">IFERROR(__xludf.DUMMYFUNCTION("""COMPUTED_VALUE"""),42.77)</f>
        <v>42.77</v>
      </c>
    </row>
    <row r="3273" spans="1:2">
      <c r="A3273" s="3">
        <f ca="1">IFERROR(__xludf.DUMMYFUNCTION("""COMPUTED_VALUE"""),43098.6666666666)</f>
        <v>43098.666666666599</v>
      </c>
      <c r="B3273" s="1">
        <f ca="1">IFERROR(__xludf.DUMMYFUNCTION("""COMPUTED_VALUE"""),42.31)</f>
        <v>42.31</v>
      </c>
    </row>
    <row r="3274" spans="1:2">
      <c r="A3274" s="3">
        <f ca="1">IFERROR(__xludf.DUMMYFUNCTION("""COMPUTED_VALUE"""),43102.6666666666)</f>
        <v>43102.666666666599</v>
      </c>
      <c r="B3274" s="1">
        <f ca="1">IFERROR(__xludf.DUMMYFUNCTION("""COMPUTED_VALUE"""),43.07)</f>
        <v>43.07</v>
      </c>
    </row>
    <row r="3275" spans="1:2">
      <c r="A3275" s="3">
        <f ca="1">IFERROR(__xludf.DUMMYFUNCTION("""COMPUTED_VALUE"""),43103.6666666666)</f>
        <v>43103.666666666599</v>
      </c>
      <c r="B3275" s="1">
        <f ca="1">IFERROR(__xludf.DUMMYFUNCTION("""COMPUTED_VALUE"""),43.06)</f>
        <v>43.06</v>
      </c>
    </row>
    <row r="3276" spans="1:2">
      <c r="A3276" s="3">
        <f ca="1">IFERROR(__xludf.DUMMYFUNCTION("""COMPUTED_VALUE"""),43104.6666666666)</f>
        <v>43104.666666666599</v>
      </c>
      <c r="B3276" s="1">
        <f ca="1">IFERROR(__xludf.DUMMYFUNCTION("""COMPUTED_VALUE"""),43.26)</f>
        <v>43.26</v>
      </c>
    </row>
    <row r="3277" spans="1:2">
      <c r="A3277" s="3">
        <f ca="1">IFERROR(__xludf.DUMMYFUNCTION("""COMPUTED_VALUE"""),43105.6666666666)</f>
        <v>43105.666666666599</v>
      </c>
      <c r="B3277" s="1">
        <f ca="1">IFERROR(__xludf.DUMMYFUNCTION("""COMPUTED_VALUE"""),43.75)</f>
        <v>43.75</v>
      </c>
    </row>
    <row r="3278" spans="1:2">
      <c r="A3278" s="3">
        <f ca="1">IFERROR(__xludf.DUMMYFUNCTION("""COMPUTED_VALUE"""),43108.6666666666)</f>
        <v>43108.666666666599</v>
      </c>
      <c r="B3278" s="1">
        <f ca="1">IFERROR(__xludf.DUMMYFUNCTION("""COMPUTED_VALUE"""),43.59)</f>
        <v>43.59</v>
      </c>
    </row>
    <row r="3279" spans="1:2">
      <c r="A3279" s="3">
        <f ca="1">IFERROR(__xludf.DUMMYFUNCTION("""COMPUTED_VALUE"""),43109.6666666666)</f>
        <v>43109.666666666599</v>
      </c>
      <c r="B3279" s="1">
        <f ca="1">IFERROR(__xludf.DUMMYFUNCTION("""COMPUTED_VALUE"""),43.58)</f>
        <v>43.58</v>
      </c>
    </row>
    <row r="3280" spans="1:2">
      <c r="A3280" s="3">
        <f ca="1">IFERROR(__xludf.DUMMYFUNCTION("""COMPUTED_VALUE"""),43110.6666666666)</f>
        <v>43110.666666666599</v>
      </c>
      <c r="B3280" s="1">
        <f ca="1">IFERROR(__xludf.DUMMYFUNCTION("""COMPUTED_VALUE"""),43.57)</f>
        <v>43.57</v>
      </c>
    </row>
    <row r="3281" spans="1:2">
      <c r="A3281" s="3">
        <f ca="1">IFERROR(__xludf.DUMMYFUNCTION("""COMPUTED_VALUE"""),43111.6666666666)</f>
        <v>43111.666666666599</v>
      </c>
      <c r="B3281" s="1">
        <f ca="1">IFERROR(__xludf.DUMMYFUNCTION("""COMPUTED_VALUE"""),43.82)</f>
        <v>43.82</v>
      </c>
    </row>
    <row r="3282" spans="1:2">
      <c r="A3282" s="3">
        <f ca="1">IFERROR(__xludf.DUMMYFUNCTION("""COMPUTED_VALUE"""),43112.6666666666)</f>
        <v>43112.666666666599</v>
      </c>
      <c r="B3282" s="1">
        <f ca="1">IFERROR(__xludf.DUMMYFUNCTION("""COMPUTED_VALUE"""),44.27)</f>
        <v>44.27</v>
      </c>
    </row>
    <row r="3283" spans="1:2">
      <c r="A3283" s="3">
        <f ca="1">IFERROR(__xludf.DUMMYFUNCTION("""COMPUTED_VALUE"""),43116.6666666666)</f>
        <v>43116.666666666599</v>
      </c>
      <c r="B3283" s="1">
        <f ca="1">IFERROR(__xludf.DUMMYFUNCTION("""COMPUTED_VALUE"""),44.05)</f>
        <v>44.05</v>
      </c>
    </row>
    <row r="3284" spans="1:2">
      <c r="A3284" s="3">
        <f ca="1">IFERROR(__xludf.DUMMYFUNCTION("""COMPUTED_VALUE"""),43117.6666666666)</f>
        <v>43117.666666666599</v>
      </c>
      <c r="B3284" s="1">
        <f ca="1">IFERROR(__xludf.DUMMYFUNCTION("""COMPUTED_VALUE"""),44.78)</f>
        <v>44.78</v>
      </c>
    </row>
    <row r="3285" spans="1:2">
      <c r="A3285" s="3">
        <f ca="1">IFERROR(__xludf.DUMMYFUNCTION("""COMPUTED_VALUE"""),43118.6666666666)</f>
        <v>43118.666666666599</v>
      </c>
      <c r="B3285" s="1">
        <f ca="1">IFERROR(__xludf.DUMMYFUNCTION("""COMPUTED_VALUE"""),44.82)</f>
        <v>44.82</v>
      </c>
    </row>
    <row r="3286" spans="1:2">
      <c r="A3286" s="3">
        <f ca="1">IFERROR(__xludf.DUMMYFUNCTION("""COMPUTED_VALUE"""),43119.6666666666)</f>
        <v>43119.666666666599</v>
      </c>
      <c r="B3286" s="1">
        <f ca="1">IFERROR(__xludf.DUMMYFUNCTION("""COMPUTED_VALUE"""),44.62)</f>
        <v>44.62</v>
      </c>
    </row>
    <row r="3287" spans="1:2">
      <c r="A3287" s="3">
        <f ca="1">IFERROR(__xludf.DUMMYFUNCTION("""COMPUTED_VALUE"""),43122.6666666666)</f>
        <v>43122.666666666599</v>
      </c>
      <c r="B3287" s="1">
        <f ca="1">IFERROR(__xludf.DUMMYFUNCTION("""COMPUTED_VALUE"""),44.25)</f>
        <v>44.25</v>
      </c>
    </row>
    <row r="3288" spans="1:2">
      <c r="A3288" s="3">
        <f ca="1">IFERROR(__xludf.DUMMYFUNCTION("""COMPUTED_VALUE"""),43123.6666666666)</f>
        <v>43123.666666666599</v>
      </c>
      <c r="B3288" s="1">
        <f ca="1">IFERROR(__xludf.DUMMYFUNCTION("""COMPUTED_VALUE"""),44.26)</f>
        <v>44.26</v>
      </c>
    </row>
    <row r="3289" spans="1:2">
      <c r="A3289" s="3">
        <f ca="1">IFERROR(__xludf.DUMMYFUNCTION("""COMPUTED_VALUE"""),43124.6666666666)</f>
        <v>43124.666666666599</v>
      </c>
      <c r="B3289" s="1">
        <f ca="1">IFERROR(__xludf.DUMMYFUNCTION("""COMPUTED_VALUE"""),43.56)</f>
        <v>43.56</v>
      </c>
    </row>
    <row r="3290" spans="1:2">
      <c r="A3290" s="3">
        <f ca="1">IFERROR(__xludf.DUMMYFUNCTION("""COMPUTED_VALUE"""),43125.6666666666)</f>
        <v>43125.666666666599</v>
      </c>
      <c r="B3290" s="1">
        <f ca="1">IFERROR(__xludf.DUMMYFUNCTION("""COMPUTED_VALUE"""),42.78)</f>
        <v>42.78</v>
      </c>
    </row>
    <row r="3291" spans="1:2">
      <c r="A3291" s="3">
        <f ca="1">IFERROR(__xludf.DUMMYFUNCTION("""COMPUTED_VALUE"""),43126.6666666666)</f>
        <v>43126.666666666599</v>
      </c>
      <c r="B3291" s="1">
        <f ca="1">IFERROR(__xludf.DUMMYFUNCTION("""COMPUTED_VALUE"""),42.88)</f>
        <v>42.88</v>
      </c>
    </row>
    <row r="3292" spans="1:2">
      <c r="A3292" s="3">
        <f ca="1">IFERROR(__xludf.DUMMYFUNCTION("""COMPUTED_VALUE"""),43129.6666666666)</f>
        <v>43129.666666666599</v>
      </c>
      <c r="B3292" s="1">
        <f ca="1">IFERROR(__xludf.DUMMYFUNCTION("""COMPUTED_VALUE"""),41.99)</f>
        <v>41.99</v>
      </c>
    </row>
    <row r="3293" spans="1:2">
      <c r="A3293" s="3">
        <f ca="1">IFERROR(__xludf.DUMMYFUNCTION("""COMPUTED_VALUE"""),43130.6666666666)</f>
        <v>43130.666666666599</v>
      </c>
      <c r="B3293" s="1">
        <f ca="1">IFERROR(__xludf.DUMMYFUNCTION("""COMPUTED_VALUE"""),41.74)</f>
        <v>41.74</v>
      </c>
    </row>
    <row r="3294" spans="1:2">
      <c r="A3294" s="3">
        <f ca="1">IFERROR(__xludf.DUMMYFUNCTION("""COMPUTED_VALUE"""),43131.6666666666)</f>
        <v>43131.666666666599</v>
      </c>
      <c r="B3294" s="1">
        <f ca="1">IFERROR(__xludf.DUMMYFUNCTION("""COMPUTED_VALUE"""),41.86)</f>
        <v>41.86</v>
      </c>
    </row>
    <row r="3295" spans="1:2">
      <c r="A3295" s="3">
        <f ca="1">IFERROR(__xludf.DUMMYFUNCTION("""COMPUTED_VALUE"""),43132.6666666666)</f>
        <v>43132.666666666599</v>
      </c>
      <c r="B3295" s="1">
        <f ca="1">IFERROR(__xludf.DUMMYFUNCTION("""COMPUTED_VALUE"""),41.95)</f>
        <v>41.95</v>
      </c>
    </row>
    <row r="3296" spans="1:2">
      <c r="A3296" s="3">
        <f ca="1">IFERROR(__xludf.DUMMYFUNCTION("""COMPUTED_VALUE"""),43133.6666666666)</f>
        <v>43133.666666666599</v>
      </c>
      <c r="B3296" s="1">
        <f ca="1">IFERROR(__xludf.DUMMYFUNCTION("""COMPUTED_VALUE"""),40.13)</f>
        <v>40.130000000000003</v>
      </c>
    </row>
    <row r="3297" spans="1:2">
      <c r="A3297" s="3">
        <f ca="1">IFERROR(__xludf.DUMMYFUNCTION("""COMPUTED_VALUE"""),43136.6666666666)</f>
        <v>43136.666666666599</v>
      </c>
      <c r="B3297" s="1">
        <f ca="1">IFERROR(__xludf.DUMMYFUNCTION("""COMPUTED_VALUE"""),39.12)</f>
        <v>39.119999999999997</v>
      </c>
    </row>
    <row r="3298" spans="1:2">
      <c r="A3298" s="3">
        <f ca="1">IFERROR(__xludf.DUMMYFUNCTION("""COMPUTED_VALUE"""),43137.6666666666)</f>
        <v>43137.666666666599</v>
      </c>
      <c r="B3298" s="1">
        <f ca="1">IFERROR(__xludf.DUMMYFUNCTION("""COMPUTED_VALUE"""),40.76)</f>
        <v>40.76</v>
      </c>
    </row>
    <row r="3299" spans="1:2">
      <c r="A3299" s="3">
        <f ca="1">IFERROR(__xludf.DUMMYFUNCTION("""COMPUTED_VALUE"""),43138.6666666666)</f>
        <v>43138.666666666599</v>
      </c>
      <c r="B3299" s="1">
        <f ca="1">IFERROR(__xludf.DUMMYFUNCTION("""COMPUTED_VALUE"""),39.89)</f>
        <v>39.89</v>
      </c>
    </row>
    <row r="3300" spans="1:2">
      <c r="A3300" s="3">
        <f ca="1">IFERROR(__xludf.DUMMYFUNCTION("""COMPUTED_VALUE"""),43139.6666666666)</f>
        <v>43139.666666666599</v>
      </c>
      <c r="B3300" s="1">
        <f ca="1">IFERROR(__xludf.DUMMYFUNCTION("""COMPUTED_VALUE"""),38.79)</f>
        <v>38.79</v>
      </c>
    </row>
    <row r="3301" spans="1:2">
      <c r="A3301" s="3">
        <f ca="1">IFERROR(__xludf.DUMMYFUNCTION("""COMPUTED_VALUE"""),43140.6666666666)</f>
        <v>43140.666666666599</v>
      </c>
      <c r="B3301" s="1">
        <f ca="1">IFERROR(__xludf.DUMMYFUNCTION("""COMPUTED_VALUE"""),39.1)</f>
        <v>39.1</v>
      </c>
    </row>
    <row r="3302" spans="1:2">
      <c r="A3302" s="3">
        <f ca="1">IFERROR(__xludf.DUMMYFUNCTION("""COMPUTED_VALUE"""),43143.6666666666)</f>
        <v>43143.666666666599</v>
      </c>
      <c r="B3302" s="1">
        <f ca="1">IFERROR(__xludf.DUMMYFUNCTION("""COMPUTED_VALUE"""),40.68)</f>
        <v>40.68</v>
      </c>
    </row>
    <row r="3303" spans="1:2">
      <c r="A3303" s="3">
        <f ca="1">IFERROR(__xludf.DUMMYFUNCTION("""COMPUTED_VALUE"""),43144.6666666666)</f>
        <v>43144.666666666599</v>
      </c>
      <c r="B3303" s="1">
        <f ca="1">IFERROR(__xludf.DUMMYFUNCTION("""COMPUTED_VALUE"""),41.09)</f>
        <v>41.09</v>
      </c>
    </row>
    <row r="3304" spans="1:2">
      <c r="A3304" s="3">
        <f ca="1">IFERROR(__xludf.DUMMYFUNCTION("""COMPUTED_VALUE"""),43145.6666666666)</f>
        <v>43145.666666666599</v>
      </c>
      <c r="B3304" s="1">
        <f ca="1">IFERROR(__xludf.DUMMYFUNCTION("""COMPUTED_VALUE"""),41.84)</f>
        <v>41.84</v>
      </c>
    </row>
    <row r="3305" spans="1:2">
      <c r="A3305" s="3">
        <f ca="1">IFERROR(__xludf.DUMMYFUNCTION("""COMPUTED_VALUE"""),43146.6666666666)</f>
        <v>43146.666666666599</v>
      </c>
      <c r="B3305" s="1">
        <f ca="1">IFERROR(__xludf.DUMMYFUNCTION("""COMPUTED_VALUE"""),43.25)</f>
        <v>43.25</v>
      </c>
    </row>
    <row r="3306" spans="1:2">
      <c r="A3306" s="3">
        <f ca="1">IFERROR(__xludf.DUMMYFUNCTION("""COMPUTED_VALUE"""),43147.6666666666)</f>
        <v>43147.666666666599</v>
      </c>
      <c r="B3306" s="1">
        <f ca="1">IFERROR(__xludf.DUMMYFUNCTION("""COMPUTED_VALUE"""),43.11)</f>
        <v>43.11</v>
      </c>
    </row>
    <row r="3307" spans="1:2">
      <c r="A3307" s="3">
        <f ca="1">IFERROR(__xludf.DUMMYFUNCTION("""COMPUTED_VALUE"""),43151.6666666666)</f>
        <v>43151.666666666599</v>
      </c>
      <c r="B3307" s="1">
        <f ca="1">IFERROR(__xludf.DUMMYFUNCTION("""COMPUTED_VALUE"""),42.96)</f>
        <v>42.96</v>
      </c>
    </row>
    <row r="3308" spans="1:2">
      <c r="A3308" s="3">
        <f ca="1">IFERROR(__xludf.DUMMYFUNCTION("""COMPUTED_VALUE"""),43152.6666666666)</f>
        <v>43152.666666666599</v>
      </c>
      <c r="B3308" s="1">
        <f ca="1">IFERROR(__xludf.DUMMYFUNCTION("""COMPUTED_VALUE"""),42.77)</f>
        <v>42.77</v>
      </c>
    </row>
    <row r="3309" spans="1:2">
      <c r="A3309" s="3">
        <f ca="1">IFERROR(__xludf.DUMMYFUNCTION("""COMPUTED_VALUE"""),43153.6666666666)</f>
        <v>43153.666666666599</v>
      </c>
      <c r="B3309" s="1">
        <f ca="1">IFERROR(__xludf.DUMMYFUNCTION("""COMPUTED_VALUE"""),43.13)</f>
        <v>43.13</v>
      </c>
    </row>
    <row r="3310" spans="1:2">
      <c r="A3310" s="3">
        <f ca="1">IFERROR(__xludf.DUMMYFUNCTION("""COMPUTED_VALUE"""),43154.6666666666)</f>
        <v>43154.666666666599</v>
      </c>
      <c r="B3310" s="1">
        <f ca="1">IFERROR(__xludf.DUMMYFUNCTION("""COMPUTED_VALUE"""),43.88)</f>
        <v>43.88</v>
      </c>
    </row>
    <row r="3311" spans="1:2">
      <c r="A3311" s="3">
        <f ca="1">IFERROR(__xludf.DUMMYFUNCTION("""COMPUTED_VALUE"""),43157.6666666666)</f>
        <v>43157.666666666599</v>
      </c>
      <c r="B3311" s="1">
        <f ca="1">IFERROR(__xludf.DUMMYFUNCTION("""COMPUTED_VALUE"""),44.74)</f>
        <v>44.74</v>
      </c>
    </row>
    <row r="3312" spans="1:2">
      <c r="A3312" s="3">
        <f ca="1">IFERROR(__xludf.DUMMYFUNCTION("""COMPUTED_VALUE"""),43158.6666666666)</f>
        <v>43158.666666666599</v>
      </c>
      <c r="B3312" s="1">
        <f ca="1">IFERROR(__xludf.DUMMYFUNCTION("""COMPUTED_VALUE"""),44.6)</f>
        <v>44.6</v>
      </c>
    </row>
    <row r="3313" spans="1:2">
      <c r="A3313" s="3">
        <f ca="1">IFERROR(__xludf.DUMMYFUNCTION("""COMPUTED_VALUE"""),43159.6666666666)</f>
        <v>43159.666666666599</v>
      </c>
      <c r="B3313" s="1">
        <f ca="1">IFERROR(__xludf.DUMMYFUNCTION("""COMPUTED_VALUE"""),44.53)</f>
        <v>44.53</v>
      </c>
    </row>
    <row r="3314" spans="1:2">
      <c r="A3314" s="3">
        <f ca="1">IFERROR(__xludf.DUMMYFUNCTION("""COMPUTED_VALUE"""),43160.6666666666)</f>
        <v>43160.666666666599</v>
      </c>
      <c r="B3314" s="1">
        <f ca="1">IFERROR(__xludf.DUMMYFUNCTION("""COMPUTED_VALUE"""),43.75)</f>
        <v>43.75</v>
      </c>
    </row>
    <row r="3315" spans="1:2">
      <c r="A3315" s="3">
        <f ca="1">IFERROR(__xludf.DUMMYFUNCTION("""COMPUTED_VALUE"""),43161.6666666666)</f>
        <v>43161.666666666599</v>
      </c>
      <c r="B3315" s="1">
        <f ca="1">IFERROR(__xludf.DUMMYFUNCTION("""COMPUTED_VALUE"""),44.05)</f>
        <v>44.05</v>
      </c>
    </row>
    <row r="3316" spans="1:2">
      <c r="A3316" s="3">
        <f ca="1">IFERROR(__xludf.DUMMYFUNCTION("""COMPUTED_VALUE"""),43164.6666666666)</f>
        <v>43164.666666666599</v>
      </c>
      <c r="B3316" s="1">
        <f ca="1">IFERROR(__xludf.DUMMYFUNCTION("""COMPUTED_VALUE"""),44.21)</f>
        <v>44.21</v>
      </c>
    </row>
    <row r="3317" spans="1:2">
      <c r="A3317" s="3">
        <f ca="1">IFERROR(__xludf.DUMMYFUNCTION("""COMPUTED_VALUE"""),43165.6666666666)</f>
        <v>43165.666666666599</v>
      </c>
      <c r="B3317" s="1">
        <f ca="1">IFERROR(__xludf.DUMMYFUNCTION("""COMPUTED_VALUE"""),44.17)</f>
        <v>44.17</v>
      </c>
    </row>
    <row r="3318" spans="1:2">
      <c r="A3318" s="3">
        <f ca="1">IFERROR(__xludf.DUMMYFUNCTION("""COMPUTED_VALUE"""),43166.6666666666)</f>
        <v>43166.666666666599</v>
      </c>
      <c r="B3318" s="1">
        <f ca="1">IFERROR(__xludf.DUMMYFUNCTION("""COMPUTED_VALUE"""),43.76)</f>
        <v>43.76</v>
      </c>
    </row>
    <row r="3319" spans="1:2">
      <c r="A3319" s="3">
        <f ca="1">IFERROR(__xludf.DUMMYFUNCTION("""COMPUTED_VALUE"""),43167.6666666666)</f>
        <v>43167.666666666599</v>
      </c>
      <c r="B3319" s="1">
        <f ca="1">IFERROR(__xludf.DUMMYFUNCTION("""COMPUTED_VALUE"""),44.24)</f>
        <v>44.24</v>
      </c>
    </row>
    <row r="3320" spans="1:2">
      <c r="A3320" s="3">
        <f ca="1">IFERROR(__xludf.DUMMYFUNCTION("""COMPUTED_VALUE"""),43168.6666666666)</f>
        <v>43168.666666666599</v>
      </c>
      <c r="B3320" s="1">
        <f ca="1">IFERROR(__xludf.DUMMYFUNCTION("""COMPUTED_VALUE"""),45)</f>
        <v>45</v>
      </c>
    </row>
    <row r="3321" spans="1:2">
      <c r="A3321" s="3">
        <f ca="1">IFERROR(__xludf.DUMMYFUNCTION("""COMPUTED_VALUE"""),43171.6666666666)</f>
        <v>43171.666666666599</v>
      </c>
      <c r="B3321" s="1">
        <f ca="1">IFERROR(__xludf.DUMMYFUNCTION("""COMPUTED_VALUE"""),45.43)</f>
        <v>45.43</v>
      </c>
    </row>
    <row r="3322" spans="1:2">
      <c r="A3322" s="3">
        <f ca="1">IFERROR(__xludf.DUMMYFUNCTION("""COMPUTED_VALUE"""),43172.6666666666)</f>
        <v>43172.666666666599</v>
      </c>
      <c r="B3322" s="1">
        <f ca="1">IFERROR(__xludf.DUMMYFUNCTION("""COMPUTED_VALUE"""),44.99)</f>
        <v>44.99</v>
      </c>
    </row>
    <row r="3323" spans="1:2">
      <c r="A3323" s="3">
        <f ca="1">IFERROR(__xludf.DUMMYFUNCTION("""COMPUTED_VALUE"""),43173.6666666666)</f>
        <v>43173.666666666599</v>
      </c>
      <c r="B3323" s="1">
        <f ca="1">IFERROR(__xludf.DUMMYFUNCTION("""COMPUTED_VALUE"""),44.61)</f>
        <v>44.61</v>
      </c>
    </row>
    <row r="3324" spans="1:2">
      <c r="A3324" s="3">
        <f ca="1">IFERROR(__xludf.DUMMYFUNCTION("""COMPUTED_VALUE"""),43174.6666666666)</f>
        <v>43174.666666666599</v>
      </c>
      <c r="B3324" s="1">
        <f ca="1">IFERROR(__xludf.DUMMYFUNCTION("""COMPUTED_VALUE"""),44.66)</f>
        <v>44.66</v>
      </c>
    </row>
    <row r="3325" spans="1:2">
      <c r="A3325" s="3">
        <f ca="1">IFERROR(__xludf.DUMMYFUNCTION("""COMPUTED_VALUE"""),43175.6666666666)</f>
        <v>43175.666666666599</v>
      </c>
      <c r="B3325" s="1">
        <f ca="1">IFERROR(__xludf.DUMMYFUNCTION("""COMPUTED_VALUE"""),44.51)</f>
        <v>44.51</v>
      </c>
    </row>
    <row r="3326" spans="1:2">
      <c r="A3326" s="3">
        <f ca="1">IFERROR(__xludf.DUMMYFUNCTION("""COMPUTED_VALUE"""),43178.6666666666)</f>
        <v>43178.666666666599</v>
      </c>
      <c r="B3326" s="1">
        <f ca="1">IFERROR(__xludf.DUMMYFUNCTION("""COMPUTED_VALUE"""),43.83)</f>
        <v>43.83</v>
      </c>
    </row>
    <row r="3327" spans="1:2">
      <c r="A3327" s="3">
        <f ca="1">IFERROR(__xludf.DUMMYFUNCTION("""COMPUTED_VALUE"""),43179.6666666666)</f>
        <v>43179.666666666599</v>
      </c>
      <c r="B3327" s="1">
        <f ca="1">IFERROR(__xludf.DUMMYFUNCTION("""COMPUTED_VALUE"""),43.81)</f>
        <v>43.81</v>
      </c>
    </row>
    <row r="3328" spans="1:2">
      <c r="A3328" s="3">
        <f ca="1">IFERROR(__xludf.DUMMYFUNCTION("""COMPUTED_VALUE"""),43180.6666666666)</f>
        <v>43180.666666666599</v>
      </c>
      <c r="B3328" s="1">
        <f ca="1">IFERROR(__xludf.DUMMYFUNCTION("""COMPUTED_VALUE"""),42.82)</f>
        <v>42.82</v>
      </c>
    </row>
    <row r="3329" spans="1:2">
      <c r="A3329" s="3">
        <f ca="1">IFERROR(__xludf.DUMMYFUNCTION("""COMPUTED_VALUE"""),43181.6666666666)</f>
        <v>43181.666666666599</v>
      </c>
      <c r="B3329" s="1">
        <f ca="1">IFERROR(__xludf.DUMMYFUNCTION("""COMPUTED_VALUE"""),42.21)</f>
        <v>42.21</v>
      </c>
    </row>
    <row r="3330" spans="1:2">
      <c r="A3330" s="3">
        <f ca="1">IFERROR(__xludf.DUMMYFUNCTION("""COMPUTED_VALUE"""),43182.6666666666)</f>
        <v>43182.666666666599</v>
      </c>
      <c r="B3330" s="1">
        <f ca="1">IFERROR(__xludf.DUMMYFUNCTION("""COMPUTED_VALUE"""),41.24)</f>
        <v>41.24</v>
      </c>
    </row>
    <row r="3331" spans="1:2">
      <c r="A3331" s="3">
        <f ca="1">IFERROR(__xludf.DUMMYFUNCTION("""COMPUTED_VALUE"""),43185.6666666666)</f>
        <v>43185.666666666599</v>
      </c>
      <c r="B3331" s="1">
        <f ca="1">IFERROR(__xludf.DUMMYFUNCTION("""COMPUTED_VALUE"""),43.19)</f>
        <v>43.19</v>
      </c>
    </row>
    <row r="3332" spans="1:2">
      <c r="A3332" s="3">
        <f ca="1">IFERROR(__xludf.DUMMYFUNCTION("""COMPUTED_VALUE"""),43186.6666666666)</f>
        <v>43186.666666666599</v>
      </c>
      <c r="B3332" s="1">
        <f ca="1">IFERROR(__xludf.DUMMYFUNCTION("""COMPUTED_VALUE"""),42.09)</f>
        <v>42.09</v>
      </c>
    </row>
    <row r="3333" spans="1:2">
      <c r="A3333" s="3">
        <f ca="1">IFERROR(__xludf.DUMMYFUNCTION("""COMPUTED_VALUE"""),43187.6666666666)</f>
        <v>43187.666666666599</v>
      </c>
      <c r="B3333" s="1">
        <f ca="1">IFERROR(__xludf.DUMMYFUNCTION("""COMPUTED_VALUE"""),41.62)</f>
        <v>41.62</v>
      </c>
    </row>
    <row r="3334" spans="1:2">
      <c r="A3334" s="3">
        <f ca="1">IFERROR(__xludf.DUMMYFUNCTION("""COMPUTED_VALUE"""),43188.6666666666)</f>
        <v>43188.666666666599</v>
      </c>
      <c r="B3334" s="1">
        <f ca="1">IFERROR(__xludf.DUMMYFUNCTION("""COMPUTED_VALUE"""),41.95)</f>
        <v>41.95</v>
      </c>
    </row>
    <row r="3335" spans="1:2">
      <c r="A3335" s="3">
        <f ca="1">IFERROR(__xludf.DUMMYFUNCTION("""COMPUTED_VALUE"""),43192.6666666666)</f>
        <v>43192.666666666599</v>
      </c>
      <c r="B3335" s="1">
        <f ca="1">IFERROR(__xludf.DUMMYFUNCTION("""COMPUTED_VALUE"""),41.67)</f>
        <v>41.67</v>
      </c>
    </row>
    <row r="3336" spans="1:2">
      <c r="A3336" s="3">
        <f ca="1">IFERROR(__xludf.DUMMYFUNCTION("""COMPUTED_VALUE"""),43193.6666666666)</f>
        <v>43193.666666666599</v>
      </c>
      <c r="B3336" s="1">
        <f ca="1">IFERROR(__xludf.DUMMYFUNCTION("""COMPUTED_VALUE"""),42.1)</f>
        <v>42.1</v>
      </c>
    </row>
    <row r="3337" spans="1:2">
      <c r="A3337" s="3">
        <f ca="1">IFERROR(__xludf.DUMMYFUNCTION("""COMPUTED_VALUE"""),43194.6666666666)</f>
        <v>43194.666666666599</v>
      </c>
      <c r="B3337" s="1">
        <f ca="1">IFERROR(__xludf.DUMMYFUNCTION("""COMPUTED_VALUE"""),42.9)</f>
        <v>42.9</v>
      </c>
    </row>
    <row r="3338" spans="1:2">
      <c r="A3338" s="3">
        <f ca="1">IFERROR(__xludf.DUMMYFUNCTION("""COMPUTED_VALUE"""),43195.6666666666)</f>
        <v>43195.666666666599</v>
      </c>
      <c r="B3338" s="1">
        <f ca="1">IFERROR(__xludf.DUMMYFUNCTION("""COMPUTED_VALUE"""),43.2)</f>
        <v>43.2</v>
      </c>
    </row>
    <row r="3339" spans="1:2">
      <c r="A3339" s="3">
        <f ca="1">IFERROR(__xludf.DUMMYFUNCTION("""COMPUTED_VALUE"""),43196.6666666666)</f>
        <v>43196.666666666599</v>
      </c>
      <c r="B3339" s="1">
        <f ca="1">IFERROR(__xludf.DUMMYFUNCTION("""COMPUTED_VALUE"""),42.1)</f>
        <v>42.1</v>
      </c>
    </row>
    <row r="3340" spans="1:2">
      <c r="A3340" s="3">
        <f ca="1">IFERROR(__xludf.DUMMYFUNCTION("""COMPUTED_VALUE"""),43199.6666666666)</f>
        <v>43199.666666666599</v>
      </c>
      <c r="B3340" s="1">
        <f ca="1">IFERROR(__xludf.DUMMYFUNCTION("""COMPUTED_VALUE"""),42.51)</f>
        <v>42.51</v>
      </c>
    </row>
    <row r="3341" spans="1:2">
      <c r="A3341" s="3">
        <f ca="1">IFERROR(__xludf.DUMMYFUNCTION("""COMPUTED_VALUE"""),43200.6666666666)</f>
        <v>43200.666666666599</v>
      </c>
      <c r="B3341" s="1">
        <f ca="1">IFERROR(__xludf.DUMMYFUNCTION("""COMPUTED_VALUE"""),43.31)</f>
        <v>43.31</v>
      </c>
    </row>
    <row r="3342" spans="1:2">
      <c r="A3342" s="3">
        <f ca="1">IFERROR(__xludf.DUMMYFUNCTION("""COMPUTED_VALUE"""),43201.6666666666)</f>
        <v>43201.666666666599</v>
      </c>
      <c r="B3342" s="1">
        <f ca="1">IFERROR(__xludf.DUMMYFUNCTION("""COMPUTED_VALUE"""),43.11)</f>
        <v>43.11</v>
      </c>
    </row>
    <row r="3343" spans="1:2">
      <c r="A3343" s="3">
        <f ca="1">IFERROR(__xludf.DUMMYFUNCTION("""COMPUTED_VALUE"""),43202.6666666666)</f>
        <v>43202.666666666599</v>
      </c>
      <c r="B3343" s="1">
        <f ca="1">IFERROR(__xludf.DUMMYFUNCTION("""COMPUTED_VALUE"""),43.54)</f>
        <v>43.54</v>
      </c>
    </row>
    <row r="3344" spans="1:2">
      <c r="A3344" s="3">
        <f ca="1">IFERROR(__xludf.DUMMYFUNCTION("""COMPUTED_VALUE"""),43203.6666666666)</f>
        <v>43203.666666666599</v>
      </c>
      <c r="B3344" s="1">
        <f ca="1">IFERROR(__xludf.DUMMYFUNCTION("""COMPUTED_VALUE"""),43.68)</f>
        <v>43.68</v>
      </c>
    </row>
    <row r="3345" spans="1:2">
      <c r="A3345" s="3">
        <f ca="1">IFERROR(__xludf.DUMMYFUNCTION("""COMPUTED_VALUE"""),43206.6666666666)</f>
        <v>43206.666666666599</v>
      </c>
      <c r="B3345" s="1">
        <f ca="1">IFERROR(__xludf.DUMMYFUNCTION("""COMPUTED_VALUE"""),43.96)</f>
        <v>43.96</v>
      </c>
    </row>
    <row r="3346" spans="1:2">
      <c r="A3346" s="3">
        <f ca="1">IFERROR(__xludf.DUMMYFUNCTION("""COMPUTED_VALUE"""),43207.6666666666)</f>
        <v>43207.666666666599</v>
      </c>
      <c r="B3346" s="1">
        <f ca="1">IFERROR(__xludf.DUMMYFUNCTION("""COMPUTED_VALUE"""),44.56)</f>
        <v>44.56</v>
      </c>
    </row>
    <row r="3347" spans="1:2">
      <c r="A3347" s="3">
        <f ca="1">IFERROR(__xludf.DUMMYFUNCTION("""COMPUTED_VALUE"""),43208.6666666666)</f>
        <v>43208.666666666599</v>
      </c>
      <c r="B3347" s="1">
        <f ca="1">IFERROR(__xludf.DUMMYFUNCTION("""COMPUTED_VALUE"""),44.46)</f>
        <v>44.46</v>
      </c>
    </row>
    <row r="3348" spans="1:2">
      <c r="A3348" s="3">
        <f ca="1">IFERROR(__xludf.DUMMYFUNCTION("""COMPUTED_VALUE"""),43209.6666666666)</f>
        <v>43209.666666666599</v>
      </c>
      <c r="B3348" s="1">
        <f ca="1">IFERROR(__xludf.DUMMYFUNCTION("""COMPUTED_VALUE"""),43.2)</f>
        <v>43.2</v>
      </c>
    </row>
    <row r="3349" spans="1:2">
      <c r="A3349" s="3">
        <f ca="1">IFERROR(__xludf.DUMMYFUNCTION("""COMPUTED_VALUE"""),43210.6666666666)</f>
        <v>43210.666666666599</v>
      </c>
      <c r="B3349" s="1">
        <f ca="1">IFERROR(__xludf.DUMMYFUNCTION("""COMPUTED_VALUE"""),41.43)</f>
        <v>41.43</v>
      </c>
    </row>
    <row r="3350" spans="1:2">
      <c r="A3350" s="3">
        <f ca="1">IFERROR(__xludf.DUMMYFUNCTION("""COMPUTED_VALUE"""),43213.6666666666)</f>
        <v>43213.666666666599</v>
      </c>
      <c r="B3350" s="1">
        <f ca="1">IFERROR(__xludf.DUMMYFUNCTION("""COMPUTED_VALUE"""),41.31)</f>
        <v>41.31</v>
      </c>
    </row>
    <row r="3351" spans="1:2">
      <c r="A3351" s="3">
        <f ca="1">IFERROR(__xludf.DUMMYFUNCTION("""COMPUTED_VALUE"""),43214.6666666666)</f>
        <v>43214.666666666599</v>
      </c>
      <c r="B3351" s="1">
        <f ca="1">IFERROR(__xludf.DUMMYFUNCTION("""COMPUTED_VALUE"""),40.74)</f>
        <v>40.74</v>
      </c>
    </row>
    <row r="3352" spans="1:2">
      <c r="A3352" s="3">
        <f ca="1">IFERROR(__xludf.DUMMYFUNCTION("""COMPUTED_VALUE"""),43215.6666666666)</f>
        <v>43215.666666666599</v>
      </c>
      <c r="B3352" s="1">
        <f ca="1">IFERROR(__xludf.DUMMYFUNCTION("""COMPUTED_VALUE"""),40.91)</f>
        <v>40.909999999999997</v>
      </c>
    </row>
    <row r="3353" spans="1:2">
      <c r="A3353" s="3">
        <f ca="1">IFERROR(__xludf.DUMMYFUNCTION("""COMPUTED_VALUE"""),43216.6666666666)</f>
        <v>43216.666666666599</v>
      </c>
      <c r="B3353" s="1">
        <f ca="1">IFERROR(__xludf.DUMMYFUNCTION("""COMPUTED_VALUE"""),41.06)</f>
        <v>41.06</v>
      </c>
    </row>
    <row r="3354" spans="1:2">
      <c r="A3354" s="3">
        <f ca="1">IFERROR(__xludf.DUMMYFUNCTION("""COMPUTED_VALUE"""),43217.6666666666)</f>
        <v>43217.666666666599</v>
      </c>
      <c r="B3354" s="1">
        <f ca="1">IFERROR(__xludf.DUMMYFUNCTION("""COMPUTED_VALUE"""),40.58)</f>
        <v>40.58</v>
      </c>
    </row>
    <row r="3355" spans="1:2">
      <c r="A3355" s="3">
        <f ca="1">IFERROR(__xludf.DUMMYFUNCTION("""COMPUTED_VALUE"""),43220.6666666666)</f>
        <v>43220.666666666599</v>
      </c>
      <c r="B3355" s="1">
        <f ca="1">IFERROR(__xludf.DUMMYFUNCTION("""COMPUTED_VALUE"""),41.32)</f>
        <v>41.32</v>
      </c>
    </row>
    <row r="3356" spans="1:2">
      <c r="A3356" s="3">
        <f ca="1">IFERROR(__xludf.DUMMYFUNCTION("""COMPUTED_VALUE"""),43221.6666666666)</f>
        <v>43221.666666666599</v>
      </c>
      <c r="B3356" s="1">
        <f ca="1">IFERROR(__xludf.DUMMYFUNCTION("""COMPUTED_VALUE"""),42.28)</f>
        <v>42.28</v>
      </c>
    </row>
    <row r="3357" spans="1:2">
      <c r="A3357" s="3">
        <f ca="1">IFERROR(__xludf.DUMMYFUNCTION("""COMPUTED_VALUE"""),43222.6666666666)</f>
        <v>43222.666666666599</v>
      </c>
      <c r="B3357" s="1">
        <f ca="1">IFERROR(__xludf.DUMMYFUNCTION("""COMPUTED_VALUE"""),44.14)</f>
        <v>44.14</v>
      </c>
    </row>
    <row r="3358" spans="1:2">
      <c r="A3358" s="3">
        <f ca="1">IFERROR(__xludf.DUMMYFUNCTION("""COMPUTED_VALUE"""),43223.6666666666)</f>
        <v>43223.666666666599</v>
      </c>
      <c r="B3358" s="1">
        <f ca="1">IFERROR(__xludf.DUMMYFUNCTION("""COMPUTED_VALUE"""),44.22)</f>
        <v>44.22</v>
      </c>
    </row>
    <row r="3359" spans="1:2">
      <c r="A3359" s="3">
        <f ca="1">IFERROR(__xludf.DUMMYFUNCTION("""COMPUTED_VALUE"""),43224.6666666666)</f>
        <v>43224.666666666599</v>
      </c>
      <c r="B3359" s="1">
        <f ca="1">IFERROR(__xludf.DUMMYFUNCTION("""COMPUTED_VALUE"""),45.96)</f>
        <v>45.96</v>
      </c>
    </row>
    <row r="3360" spans="1:2">
      <c r="A3360" s="3">
        <f ca="1">IFERROR(__xludf.DUMMYFUNCTION("""COMPUTED_VALUE"""),43227.6666666666)</f>
        <v>43227.666666666599</v>
      </c>
      <c r="B3360" s="1">
        <f ca="1">IFERROR(__xludf.DUMMYFUNCTION("""COMPUTED_VALUE"""),46.29)</f>
        <v>46.29</v>
      </c>
    </row>
    <row r="3361" spans="1:2">
      <c r="A3361" s="3">
        <f ca="1">IFERROR(__xludf.DUMMYFUNCTION("""COMPUTED_VALUE"""),43228.6666666666)</f>
        <v>43228.666666666599</v>
      </c>
      <c r="B3361" s="1">
        <f ca="1">IFERROR(__xludf.DUMMYFUNCTION("""COMPUTED_VALUE"""),46.51)</f>
        <v>46.51</v>
      </c>
    </row>
    <row r="3362" spans="1:2">
      <c r="A3362" s="3">
        <f ca="1">IFERROR(__xludf.DUMMYFUNCTION("""COMPUTED_VALUE"""),43229.6666666666)</f>
        <v>43229.666666666599</v>
      </c>
      <c r="B3362" s="1">
        <f ca="1">IFERROR(__xludf.DUMMYFUNCTION("""COMPUTED_VALUE"""),46.84)</f>
        <v>46.84</v>
      </c>
    </row>
    <row r="3363" spans="1:2">
      <c r="A3363" s="3">
        <f ca="1">IFERROR(__xludf.DUMMYFUNCTION("""COMPUTED_VALUE"""),43230.6666666666)</f>
        <v>43230.666666666599</v>
      </c>
      <c r="B3363" s="1">
        <f ca="1">IFERROR(__xludf.DUMMYFUNCTION("""COMPUTED_VALUE"""),47.51)</f>
        <v>47.51</v>
      </c>
    </row>
    <row r="3364" spans="1:2">
      <c r="A3364" s="3">
        <f ca="1">IFERROR(__xludf.DUMMYFUNCTION("""COMPUTED_VALUE"""),43231.6666666666)</f>
        <v>43231.666666666599</v>
      </c>
      <c r="B3364" s="1">
        <f ca="1">IFERROR(__xludf.DUMMYFUNCTION("""COMPUTED_VALUE"""),47.15)</f>
        <v>47.15</v>
      </c>
    </row>
    <row r="3365" spans="1:2">
      <c r="A3365" s="3">
        <f ca="1">IFERROR(__xludf.DUMMYFUNCTION("""COMPUTED_VALUE"""),43234.6666666666)</f>
        <v>43234.666666666599</v>
      </c>
      <c r="B3365" s="1">
        <f ca="1">IFERROR(__xludf.DUMMYFUNCTION("""COMPUTED_VALUE"""),47.04)</f>
        <v>47.04</v>
      </c>
    </row>
    <row r="3366" spans="1:2">
      <c r="A3366" s="3">
        <f ca="1">IFERROR(__xludf.DUMMYFUNCTION("""COMPUTED_VALUE"""),43235.6666666666)</f>
        <v>43235.666666666599</v>
      </c>
      <c r="B3366" s="1">
        <f ca="1">IFERROR(__xludf.DUMMYFUNCTION("""COMPUTED_VALUE"""),46.61)</f>
        <v>46.61</v>
      </c>
    </row>
    <row r="3367" spans="1:2">
      <c r="A3367" s="3">
        <f ca="1">IFERROR(__xludf.DUMMYFUNCTION("""COMPUTED_VALUE"""),43236.6666666666)</f>
        <v>43236.666666666599</v>
      </c>
      <c r="B3367" s="1">
        <f ca="1">IFERROR(__xludf.DUMMYFUNCTION("""COMPUTED_VALUE"""),47.05)</f>
        <v>47.05</v>
      </c>
    </row>
    <row r="3368" spans="1:2">
      <c r="A3368" s="3">
        <f ca="1">IFERROR(__xludf.DUMMYFUNCTION("""COMPUTED_VALUE"""),43237.6666666666)</f>
        <v>43237.666666666599</v>
      </c>
      <c r="B3368" s="1">
        <f ca="1">IFERROR(__xludf.DUMMYFUNCTION("""COMPUTED_VALUE"""),46.75)</f>
        <v>46.75</v>
      </c>
    </row>
    <row r="3369" spans="1:2">
      <c r="A3369" s="3">
        <f ca="1">IFERROR(__xludf.DUMMYFUNCTION("""COMPUTED_VALUE"""),43238.6666666666)</f>
        <v>43238.666666666599</v>
      </c>
      <c r="B3369" s="1">
        <f ca="1">IFERROR(__xludf.DUMMYFUNCTION("""COMPUTED_VALUE"""),46.58)</f>
        <v>46.58</v>
      </c>
    </row>
    <row r="3370" spans="1:2">
      <c r="A3370" s="3">
        <f ca="1">IFERROR(__xludf.DUMMYFUNCTION("""COMPUTED_VALUE"""),43241.6666666666)</f>
        <v>43241.666666666599</v>
      </c>
      <c r="B3370" s="1">
        <f ca="1">IFERROR(__xludf.DUMMYFUNCTION("""COMPUTED_VALUE"""),46.91)</f>
        <v>46.91</v>
      </c>
    </row>
    <row r="3371" spans="1:2">
      <c r="A3371" s="3">
        <f ca="1">IFERROR(__xludf.DUMMYFUNCTION("""COMPUTED_VALUE"""),43242.6666666666)</f>
        <v>43242.666666666599</v>
      </c>
      <c r="B3371" s="1">
        <f ca="1">IFERROR(__xludf.DUMMYFUNCTION("""COMPUTED_VALUE"""),46.79)</f>
        <v>46.79</v>
      </c>
    </row>
    <row r="3372" spans="1:2">
      <c r="A3372" s="3">
        <f ca="1">IFERROR(__xludf.DUMMYFUNCTION("""COMPUTED_VALUE"""),43243.6666666666)</f>
        <v>43243.666666666599</v>
      </c>
      <c r="B3372" s="1">
        <f ca="1">IFERROR(__xludf.DUMMYFUNCTION("""COMPUTED_VALUE"""),47.09)</f>
        <v>47.09</v>
      </c>
    </row>
    <row r="3373" spans="1:2">
      <c r="A3373" s="3">
        <f ca="1">IFERROR(__xludf.DUMMYFUNCTION("""COMPUTED_VALUE"""),43244.6666666666)</f>
        <v>43244.666666666599</v>
      </c>
      <c r="B3373" s="1">
        <f ca="1">IFERROR(__xludf.DUMMYFUNCTION("""COMPUTED_VALUE"""),47.04)</f>
        <v>47.04</v>
      </c>
    </row>
    <row r="3374" spans="1:2">
      <c r="A3374" s="3">
        <f ca="1">IFERROR(__xludf.DUMMYFUNCTION("""COMPUTED_VALUE"""),43245.6666666666)</f>
        <v>43245.666666666599</v>
      </c>
      <c r="B3374" s="1">
        <f ca="1">IFERROR(__xludf.DUMMYFUNCTION("""COMPUTED_VALUE"""),47.15)</f>
        <v>47.15</v>
      </c>
    </row>
    <row r="3375" spans="1:2">
      <c r="A3375" s="3">
        <f ca="1">IFERROR(__xludf.DUMMYFUNCTION("""COMPUTED_VALUE"""),43249.6666666666)</f>
        <v>43249.666666666599</v>
      </c>
      <c r="B3375" s="1">
        <f ca="1">IFERROR(__xludf.DUMMYFUNCTION("""COMPUTED_VALUE"""),46.98)</f>
        <v>46.98</v>
      </c>
    </row>
    <row r="3376" spans="1:2">
      <c r="A3376" s="3">
        <f ca="1">IFERROR(__xludf.DUMMYFUNCTION("""COMPUTED_VALUE"""),43250.6666666666)</f>
        <v>43250.666666666599</v>
      </c>
      <c r="B3376" s="1">
        <f ca="1">IFERROR(__xludf.DUMMYFUNCTION("""COMPUTED_VALUE"""),46.88)</f>
        <v>46.88</v>
      </c>
    </row>
    <row r="3377" spans="1:2">
      <c r="A3377" s="3">
        <f ca="1">IFERROR(__xludf.DUMMYFUNCTION("""COMPUTED_VALUE"""),43251.6666666666)</f>
        <v>43251.666666666599</v>
      </c>
      <c r="B3377" s="1">
        <f ca="1">IFERROR(__xludf.DUMMYFUNCTION("""COMPUTED_VALUE"""),46.72)</f>
        <v>46.72</v>
      </c>
    </row>
    <row r="3378" spans="1:2">
      <c r="A3378" s="3">
        <f ca="1">IFERROR(__xludf.DUMMYFUNCTION("""COMPUTED_VALUE"""),43252.6666666666)</f>
        <v>43252.666666666599</v>
      </c>
      <c r="B3378" s="1">
        <f ca="1">IFERROR(__xludf.DUMMYFUNCTION("""COMPUTED_VALUE"""),47.56)</f>
        <v>47.56</v>
      </c>
    </row>
    <row r="3379" spans="1:2">
      <c r="A3379" s="3">
        <f ca="1">IFERROR(__xludf.DUMMYFUNCTION("""COMPUTED_VALUE"""),43255.6666666666)</f>
        <v>43255.666666666599</v>
      </c>
      <c r="B3379" s="1">
        <f ca="1">IFERROR(__xludf.DUMMYFUNCTION("""COMPUTED_VALUE"""),47.96)</f>
        <v>47.96</v>
      </c>
    </row>
    <row r="3380" spans="1:2">
      <c r="A3380" s="3">
        <f ca="1">IFERROR(__xludf.DUMMYFUNCTION("""COMPUTED_VALUE"""),43256.6666666666)</f>
        <v>43256.666666666599</v>
      </c>
      <c r="B3380" s="1">
        <f ca="1">IFERROR(__xludf.DUMMYFUNCTION("""COMPUTED_VALUE"""),48.33)</f>
        <v>48.33</v>
      </c>
    </row>
    <row r="3381" spans="1:2">
      <c r="A3381" s="3">
        <f ca="1">IFERROR(__xludf.DUMMYFUNCTION("""COMPUTED_VALUE"""),43257.6666666666)</f>
        <v>43257.666666666599</v>
      </c>
      <c r="B3381" s="1">
        <f ca="1">IFERROR(__xludf.DUMMYFUNCTION("""COMPUTED_VALUE"""),48.5)</f>
        <v>48.5</v>
      </c>
    </row>
    <row r="3382" spans="1:2">
      <c r="A3382" s="3">
        <f ca="1">IFERROR(__xludf.DUMMYFUNCTION("""COMPUTED_VALUE"""),43258.6666666666)</f>
        <v>43258.666666666599</v>
      </c>
      <c r="B3382" s="1">
        <f ca="1">IFERROR(__xludf.DUMMYFUNCTION("""COMPUTED_VALUE"""),48.37)</f>
        <v>48.37</v>
      </c>
    </row>
    <row r="3383" spans="1:2">
      <c r="A3383" s="3">
        <f ca="1">IFERROR(__xludf.DUMMYFUNCTION("""COMPUTED_VALUE"""),43259.6666666666)</f>
        <v>43259.666666666599</v>
      </c>
      <c r="B3383" s="1">
        <f ca="1">IFERROR(__xludf.DUMMYFUNCTION("""COMPUTED_VALUE"""),47.93)</f>
        <v>47.93</v>
      </c>
    </row>
    <row r="3384" spans="1:2">
      <c r="A3384" s="3">
        <f ca="1">IFERROR(__xludf.DUMMYFUNCTION("""COMPUTED_VALUE"""),43262.6666666666)</f>
        <v>43262.666666666599</v>
      </c>
      <c r="B3384" s="1">
        <f ca="1">IFERROR(__xludf.DUMMYFUNCTION("""COMPUTED_VALUE"""),47.81)</f>
        <v>47.81</v>
      </c>
    </row>
    <row r="3385" spans="1:2">
      <c r="A3385" s="3">
        <f ca="1">IFERROR(__xludf.DUMMYFUNCTION("""COMPUTED_VALUE"""),43263.6666666666)</f>
        <v>43263.666666666599</v>
      </c>
      <c r="B3385" s="1">
        <f ca="1">IFERROR(__xludf.DUMMYFUNCTION("""COMPUTED_VALUE"""),48.07)</f>
        <v>48.07</v>
      </c>
    </row>
    <row r="3386" spans="1:2">
      <c r="A3386" s="3">
        <f ca="1">IFERROR(__xludf.DUMMYFUNCTION("""COMPUTED_VALUE"""),43264.6666666666)</f>
        <v>43264.666666666599</v>
      </c>
      <c r="B3386" s="1">
        <f ca="1">IFERROR(__xludf.DUMMYFUNCTION("""COMPUTED_VALUE"""),47.68)</f>
        <v>47.68</v>
      </c>
    </row>
    <row r="3387" spans="1:2">
      <c r="A3387" s="3">
        <f ca="1">IFERROR(__xludf.DUMMYFUNCTION("""COMPUTED_VALUE"""),43265.6666666666)</f>
        <v>43265.666666666599</v>
      </c>
      <c r="B3387" s="1">
        <f ca="1">IFERROR(__xludf.DUMMYFUNCTION("""COMPUTED_VALUE"""),47.7)</f>
        <v>47.7</v>
      </c>
    </row>
    <row r="3388" spans="1:2">
      <c r="A3388" s="3">
        <f ca="1">IFERROR(__xludf.DUMMYFUNCTION("""COMPUTED_VALUE"""),43266.6666666666)</f>
        <v>43266.666666666599</v>
      </c>
      <c r="B3388" s="1">
        <f ca="1">IFERROR(__xludf.DUMMYFUNCTION("""COMPUTED_VALUE"""),47.21)</f>
        <v>47.21</v>
      </c>
    </row>
    <row r="3389" spans="1:2">
      <c r="A3389" s="3">
        <f ca="1">IFERROR(__xludf.DUMMYFUNCTION("""COMPUTED_VALUE"""),43269.6666666666)</f>
        <v>43269.666666666599</v>
      </c>
      <c r="B3389" s="1">
        <f ca="1">IFERROR(__xludf.DUMMYFUNCTION("""COMPUTED_VALUE"""),47.19)</f>
        <v>47.19</v>
      </c>
    </row>
    <row r="3390" spans="1:2">
      <c r="A3390" s="3">
        <f ca="1">IFERROR(__xludf.DUMMYFUNCTION("""COMPUTED_VALUE"""),43270.6666666666)</f>
        <v>43270.666666666599</v>
      </c>
      <c r="B3390" s="1">
        <f ca="1">IFERROR(__xludf.DUMMYFUNCTION("""COMPUTED_VALUE"""),46.42)</f>
        <v>46.42</v>
      </c>
    </row>
    <row r="3391" spans="1:2">
      <c r="A3391" s="3">
        <f ca="1">IFERROR(__xludf.DUMMYFUNCTION("""COMPUTED_VALUE"""),43271.6666666666)</f>
        <v>43271.666666666599</v>
      </c>
      <c r="B3391" s="1">
        <f ca="1">IFERROR(__xludf.DUMMYFUNCTION("""COMPUTED_VALUE"""),46.63)</f>
        <v>46.63</v>
      </c>
    </row>
    <row r="3392" spans="1:2">
      <c r="A3392" s="3">
        <f ca="1">IFERROR(__xludf.DUMMYFUNCTION("""COMPUTED_VALUE"""),43272.6666666666)</f>
        <v>43272.666666666599</v>
      </c>
      <c r="B3392" s="1">
        <f ca="1">IFERROR(__xludf.DUMMYFUNCTION("""COMPUTED_VALUE"""),46.37)</f>
        <v>46.37</v>
      </c>
    </row>
    <row r="3393" spans="1:2">
      <c r="A3393" s="3">
        <f ca="1">IFERROR(__xludf.DUMMYFUNCTION("""COMPUTED_VALUE"""),43273.6666666666)</f>
        <v>43273.666666666599</v>
      </c>
      <c r="B3393" s="1">
        <f ca="1">IFERROR(__xludf.DUMMYFUNCTION("""COMPUTED_VALUE"""),46.23)</f>
        <v>46.23</v>
      </c>
    </row>
    <row r="3394" spans="1:2">
      <c r="A3394" s="3">
        <f ca="1">IFERROR(__xludf.DUMMYFUNCTION("""COMPUTED_VALUE"""),43276.6666666666)</f>
        <v>43276.666666666599</v>
      </c>
      <c r="B3394" s="1">
        <f ca="1">IFERROR(__xludf.DUMMYFUNCTION("""COMPUTED_VALUE"""),45.54)</f>
        <v>45.54</v>
      </c>
    </row>
    <row r="3395" spans="1:2">
      <c r="A3395" s="3">
        <f ca="1">IFERROR(__xludf.DUMMYFUNCTION("""COMPUTED_VALUE"""),43277.6666666666)</f>
        <v>43277.666666666599</v>
      </c>
      <c r="B3395" s="1">
        <f ca="1">IFERROR(__xludf.DUMMYFUNCTION("""COMPUTED_VALUE"""),46.11)</f>
        <v>46.11</v>
      </c>
    </row>
    <row r="3396" spans="1:2">
      <c r="A3396" s="3">
        <f ca="1">IFERROR(__xludf.DUMMYFUNCTION("""COMPUTED_VALUE"""),43278.6666666666)</f>
        <v>43278.666666666599</v>
      </c>
      <c r="B3396" s="1">
        <f ca="1">IFERROR(__xludf.DUMMYFUNCTION("""COMPUTED_VALUE"""),46.04)</f>
        <v>46.04</v>
      </c>
    </row>
    <row r="3397" spans="1:2">
      <c r="A3397" s="3">
        <f ca="1">IFERROR(__xludf.DUMMYFUNCTION("""COMPUTED_VALUE"""),43279.6666666666)</f>
        <v>43279.666666666599</v>
      </c>
      <c r="B3397" s="1">
        <f ca="1">IFERROR(__xludf.DUMMYFUNCTION("""COMPUTED_VALUE"""),46.38)</f>
        <v>46.38</v>
      </c>
    </row>
    <row r="3398" spans="1:2">
      <c r="A3398" s="3">
        <f ca="1">IFERROR(__xludf.DUMMYFUNCTION("""COMPUTED_VALUE"""),43280.6666666666)</f>
        <v>43280.666666666599</v>
      </c>
      <c r="B3398" s="1">
        <f ca="1">IFERROR(__xludf.DUMMYFUNCTION("""COMPUTED_VALUE"""),46.28)</f>
        <v>46.28</v>
      </c>
    </row>
    <row r="3399" spans="1:2">
      <c r="A3399" s="3">
        <f ca="1">IFERROR(__xludf.DUMMYFUNCTION("""COMPUTED_VALUE"""),43283.6666666666)</f>
        <v>43283.666666666599</v>
      </c>
      <c r="B3399" s="1">
        <f ca="1">IFERROR(__xludf.DUMMYFUNCTION("""COMPUTED_VALUE"""),46.8)</f>
        <v>46.8</v>
      </c>
    </row>
    <row r="3400" spans="1:2">
      <c r="A3400" s="3">
        <f ca="1">IFERROR(__xludf.DUMMYFUNCTION("""COMPUTED_VALUE"""),43284.5416666666)</f>
        <v>43284.541666666599</v>
      </c>
      <c r="B3400" s="1">
        <f ca="1">IFERROR(__xludf.DUMMYFUNCTION("""COMPUTED_VALUE"""),45.98)</f>
        <v>45.98</v>
      </c>
    </row>
    <row r="3401" spans="1:2">
      <c r="A3401" s="3">
        <f ca="1">IFERROR(__xludf.DUMMYFUNCTION("""COMPUTED_VALUE"""),43286.6666666666)</f>
        <v>43286.666666666599</v>
      </c>
      <c r="B3401" s="1">
        <f ca="1">IFERROR(__xludf.DUMMYFUNCTION("""COMPUTED_VALUE"""),46.35)</f>
        <v>46.35</v>
      </c>
    </row>
    <row r="3402" spans="1:2">
      <c r="A3402" s="3">
        <f ca="1">IFERROR(__xludf.DUMMYFUNCTION("""COMPUTED_VALUE"""),43287.6666666666)</f>
        <v>43287.666666666599</v>
      </c>
      <c r="B3402" s="1">
        <f ca="1">IFERROR(__xludf.DUMMYFUNCTION("""COMPUTED_VALUE"""),46.99)</f>
        <v>46.99</v>
      </c>
    </row>
    <row r="3403" spans="1:2">
      <c r="A3403" s="3">
        <f ca="1">IFERROR(__xludf.DUMMYFUNCTION("""COMPUTED_VALUE"""),43290.6666666666)</f>
        <v>43290.666666666599</v>
      </c>
      <c r="B3403" s="1">
        <f ca="1">IFERROR(__xludf.DUMMYFUNCTION("""COMPUTED_VALUE"""),47.65)</f>
        <v>47.65</v>
      </c>
    </row>
    <row r="3404" spans="1:2">
      <c r="A3404" s="3">
        <f ca="1">IFERROR(__xludf.DUMMYFUNCTION("""COMPUTED_VALUE"""),43291.6666666666)</f>
        <v>43291.666666666599</v>
      </c>
      <c r="B3404" s="1">
        <f ca="1">IFERROR(__xludf.DUMMYFUNCTION("""COMPUTED_VALUE"""),47.59)</f>
        <v>47.59</v>
      </c>
    </row>
    <row r="3405" spans="1:2">
      <c r="A3405" s="3">
        <f ca="1">IFERROR(__xludf.DUMMYFUNCTION("""COMPUTED_VALUE"""),43292.6666666666)</f>
        <v>43292.666666666599</v>
      </c>
      <c r="B3405" s="1">
        <f ca="1">IFERROR(__xludf.DUMMYFUNCTION("""COMPUTED_VALUE"""),46.97)</f>
        <v>46.97</v>
      </c>
    </row>
    <row r="3406" spans="1:2">
      <c r="A3406" s="3">
        <f ca="1">IFERROR(__xludf.DUMMYFUNCTION("""COMPUTED_VALUE"""),43293.6666666666)</f>
        <v>43293.666666666599</v>
      </c>
      <c r="B3406" s="1">
        <f ca="1">IFERROR(__xludf.DUMMYFUNCTION("""COMPUTED_VALUE"""),47.76)</f>
        <v>47.76</v>
      </c>
    </row>
    <row r="3407" spans="1:2">
      <c r="A3407" s="3">
        <f ca="1">IFERROR(__xludf.DUMMYFUNCTION("""COMPUTED_VALUE"""),43294.6666666666)</f>
        <v>43294.666666666599</v>
      </c>
      <c r="B3407" s="1">
        <f ca="1">IFERROR(__xludf.DUMMYFUNCTION("""COMPUTED_VALUE"""),47.83)</f>
        <v>47.83</v>
      </c>
    </row>
    <row r="3408" spans="1:2">
      <c r="A3408" s="3">
        <f ca="1">IFERROR(__xludf.DUMMYFUNCTION("""COMPUTED_VALUE"""),43297.6666666666)</f>
        <v>43297.666666666599</v>
      </c>
      <c r="B3408" s="1">
        <f ca="1">IFERROR(__xludf.DUMMYFUNCTION("""COMPUTED_VALUE"""),47.73)</f>
        <v>47.73</v>
      </c>
    </row>
    <row r="3409" spans="1:2">
      <c r="A3409" s="3">
        <f ca="1">IFERROR(__xludf.DUMMYFUNCTION("""COMPUTED_VALUE"""),43298.6666666666)</f>
        <v>43298.666666666599</v>
      </c>
      <c r="B3409" s="1">
        <f ca="1">IFERROR(__xludf.DUMMYFUNCTION("""COMPUTED_VALUE"""),47.86)</f>
        <v>47.86</v>
      </c>
    </row>
    <row r="3410" spans="1:2">
      <c r="A3410" s="3">
        <f ca="1">IFERROR(__xludf.DUMMYFUNCTION("""COMPUTED_VALUE"""),43299.6666666666)</f>
        <v>43299.666666666599</v>
      </c>
      <c r="B3410" s="1">
        <f ca="1">IFERROR(__xludf.DUMMYFUNCTION("""COMPUTED_VALUE"""),47.6)</f>
        <v>47.6</v>
      </c>
    </row>
    <row r="3411" spans="1:2">
      <c r="A3411" s="3">
        <f ca="1">IFERROR(__xludf.DUMMYFUNCTION("""COMPUTED_VALUE"""),43300.6666666666)</f>
        <v>43300.666666666599</v>
      </c>
      <c r="B3411" s="1">
        <f ca="1">IFERROR(__xludf.DUMMYFUNCTION("""COMPUTED_VALUE"""),47.97)</f>
        <v>47.97</v>
      </c>
    </row>
    <row r="3412" spans="1:2">
      <c r="A3412" s="3">
        <f ca="1">IFERROR(__xludf.DUMMYFUNCTION("""COMPUTED_VALUE"""),43301.6666666666)</f>
        <v>43301.666666666599</v>
      </c>
      <c r="B3412" s="1">
        <f ca="1">IFERROR(__xludf.DUMMYFUNCTION("""COMPUTED_VALUE"""),47.86)</f>
        <v>47.86</v>
      </c>
    </row>
    <row r="3413" spans="1:2">
      <c r="A3413" s="3">
        <f ca="1">IFERROR(__xludf.DUMMYFUNCTION("""COMPUTED_VALUE"""),43304.6666666666)</f>
        <v>43304.666666666599</v>
      </c>
      <c r="B3413" s="1">
        <f ca="1">IFERROR(__xludf.DUMMYFUNCTION("""COMPUTED_VALUE"""),47.86)</f>
        <v>47.86</v>
      </c>
    </row>
    <row r="3414" spans="1:2">
      <c r="A3414" s="3">
        <f ca="1">IFERROR(__xludf.DUMMYFUNCTION("""COMPUTED_VALUE"""),43305.6666666666)</f>
        <v>43305.666666666599</v>
      </c>
      <c r="B3414" s="1">
        <f ca="1">IFERROR(__xludf.DUMMYFUNCTION("""COMPUTED_VALUE"""),48.25)</f>
        <v>48.25</v>
      </c>
    </row>
    <row r="3415" spans="1:2">
      <c r="A3415" s="3">
        <f ca="1">IFERROR(__xludf.DUMMYFUNCTION("""COMPUTED_VALUE"""),43306.6666666666)</f>
        <v>43306.666666666599</v>
      </c>
      <c r="B3415" s="1">
        <f ca="1">IFERROR(__xludf.DUMMYFUNCTION("""COMPUTED_VALUE"""),48.71)</f>
        <v>48.71</v>
      </c>
    </row>
    <row r="3416" spans="1:2">
      <c r="A3416" s="3">
        <f ca="1">IFERROR(__xludf.DUMMYFUNCTION("""COMPUTED_VALUE"""),43307.6666666666)</f>
        <v>43307.666666666599</v>
      </c>
      <c r="B3416" s="1">
        <f ca="1">IFERROR(__xludf.DUMMYFUNCTION("""COMPUTED_VALUE"""),48.55)</f>
        <v>48.55</v>
      </c>
    </row>
    <row r="3417" spans="1:2">
      <c r="A3417" s="3">
        <f ca="1">IFERROR(__xludf.DUMMYFUNCTION("""COMPUTED_VALUE"""),43308.6666666666)</f>
        <v>43308.666666666599</v>
      </c>
      <c r="B3417" s="1">
        <f ca="1">IFERROR(__xludf.DUMMYFUNCTION("""COMPUTED_VALUE"""),47.75)</f>
        <v>47.75</v>
      </c>
    </row>
    <row r="3418" spans="1:2">
      <c r="A3418" s="3">
        <f ca="1">IFERROR(__xludf.DUMMYFUNCTION("""COMPUTED_VALUE"""),43311.6666666666)</f>
        <v>43311.666666666599</v>
      </c>
      <c r="B3418" s="1">
        <f ca="1">IFERROR(__xludf.DUMMYFUNCTION("""COMPUTED_VALUE"""),47.48)</f>
        <v>47.48</v>
      </c>
    </row>
    <row r="3419" spans="1:2">
      <c r="A3419" s="3">
        <f ca="1">IFERROR(__xludf.DUMMYFUNCTION("""COMPUTED_VALUE"""),43312.6666666666)</f>
        <v>43312.666666666599</v>
      </c>
      <c r="B3419" s="1">
        <f ca="1">IFERROR(__xludf.DUMMYFUNCTION("""COMPUTED_VALUE"""),47.57)</f>
        <v>47.57</v>
      </c>
    </row>
    <row r="3420" spans="1:2">
      <c r="A3420" s="3">
        <f ca="1">IFERROR(__xludf.DUMMYFUNCTION("""COMPUTED_VALUE"""),43313.6666666666)</f>
        <v>43313.666666666599</v>
      </c>
      <c r="B3420" s="1">
        <f ca="1">IFERROR(__xludf.DUMMYFUNCTION("""COMPUTED_VALUE"""),50.38)</f>
        <v>50.38</v>
      </c>
    </row>
    <row r="3421" spans="1:2">
      <c r="A3421" s="3">
        <f ca="1">IFERROR(__xludf.DUMMYFUNCTION("""COMPUTED_VALUE"""),43314.6666666666)</f>
        <v>43314.666666666599</v>
      </c>
      <c r="B3421" s="1">
        <f ca="1">IFERROR(__xludf.DUMMYFUNCTION("""COMPUTED_VALUE"""),51.85)</f>
        <v>51.85</v>
      </c>
    </row>
    <row r="3422" spans="1:2">
      <c r="A3422" s="3">
        <f ca="1">IFERROR(__xludf.DUMMYFUNCTION("""COMPUTED_VALUE"""),43315.6666666666)</f>
        <v>43315.666666666599</v>
      </c>
      <c r="B3422" s="1">
        <f ca="1">IFERROR(__xludf.DUMMYFUNCTION("""COMPUTED_VALUE"""),52)</f>
        <v>52</v>
      </c>
    </row>
    <row r="3423" spans="1:2">
      <c r="A3423" s="3">
        <f ca="1">IFERROR(__xludf.DUMMYFUNCTION("""COMPUTED_VALUE"""),43318.6666666666)</f>
        <v>43318.666666666599</v>
      </c>
      <c r="B3423" s="1">
        <f ca="1">IFERROR(__xludf.DUMMYFUNCTION("""COMPUTED_VALUE"""),52.27)</f>
        <v>52.27</v>
      </c>
    </row>
    <row r="3424" spans="1:2">
      <c r="A3424" s="3">
        <f ca="1">IFERROR(__xludf.DUMMYFUNCTION("""COMPUTED_VALUE"""),43319.6666666666)</f>
        <v>43319.666666666599</v>
      </c>
      <c r="B3424" s="1">
        <f ca="1">IFERROR(__xludf.DUMMYFUNCTION("""COMPUTED_VALUE"""),51.78)</f>
        <v>51.78</v>
      </c>
    </row>
    <row r="3425" spans="1:2">
      <c r="A3425" s="3">
        <f ca="1">IFERROR(__xludf.DUMMYFUNCTION("""COMPUTED_VALUE"""),43320.6666666666)</f>
        <v>43320.666666666599</v>
      </c>
      <c r="B3425" s="1">
        <f ca="1">IFERROR(__xludf.DUMMYFUNCTION("""COMPUTED_VALUE"""),51.81)</f>
        <v>51.81</v>
      </c>
    </row>
    <row r="3426" spans="1:2">
      <c r="A3426" s="3">
        <f ca="1">IFERROR(__xludf.DUMMYFUNCTION("""COMPUTED_VALUE"""),43321.6666666666)</f>
        <v>43321.666666666599</v>
      </c>
      <c r="B3426" s="1">
        <f ca="1">IFERROR(__xludf.DUMMYFUNCTION("""COMPUTED_VALUE"""),52.22)</f>
        <v>52.22</v>
      </c>
    </row>
    <row r="3427" spans="1:2">
      <c r="A3427" s="3">
        <f ca="1">IFERROR(__xludf.DUMMYFUNCTION("""COMPUTED_VALUE"""),43322.6666666666)</f>
        <v>43322.666666666599</v>
      </c>
      <c r="B3427" s="1">
        <f ca="1">IFERROR(__xludf.DUMMYFUNCTION("""COMPUTED_VALUE"""),51.88)</f>
        <v>51.88</v>
      </c>
    </row>
    <row r="3428" spans="1:2">
      <c r="A3428" s="3">
        <f ca="1">IFERROR(__xludf.DUMMYFUNCTION("""COMPUTED_VALUE"""),43325.6666666666)</f>
        <v>43325.666666666599</v>
      </c>
      <c r="B3428" s="1">
        <f ca="1">IFERROR(__xludf.DUMMYFUNCTION("""COMPUTED_VALUE"""),52.22)</f>
        <v>52.22</v>
      </c>
    </row>
    <row r="3429" spans="1:2">
      <c r="A3429" s="3">
        <f ca="1">IFERROR(__xludf.DUMMYFUNCTION("""COMPUTED_VALUE"""),43326.6666666666)</f>
        <v>43326.666666666599</v>
      </c>
      <c r="B3429" s="1">
        <f ca="1">IFERROR(__xludf.DUMMYFUNCTION("""COMPUTED_VALUE"""),52.44)</f>
        <v>52.44</v>
      </c>
    </row>
    <row r="3430" spans="1:2">
      <c r="A3430" s="3">
        <f ca="1">IFERROR(__xludf.DUMMYFUNCTION("""COMPUTED_VALUE"""),43327.6666666666)</f>
        <v>43327.666666666599</v>
      </c>
      <c r="B3430" s="1">
        <f ca="1">IFERROR(__xludf.DUMMYFUNCTION("""COMPUTED_VALUE"""),52.56)</f>
        <v>52.56</v>
      </c>
    </row>
    <row r="3431" spans="1:2">
      <c r="A3431" s="3">
        <f ca="1">IFERROR(__xludf.DUMMYFUNCTION("""COMPUTED_VALUE"""),43328.6666666666)</f>
        <v>43328.666666666599</v>
      </c>
      <c r="B3431" s="1">
        <f ca="1">IFERROR(__xludf.DUMMYFUNCTION("""COMPUTED_VALUE"""),53.33)</f>
        <v>53.33</v>
      </c>
    </row>
    <row r="3432" spans="1:2">
      <c r="A3432" s="3">
        <f ca="1">IFERROR(__xludf.DUMMYFUNCTION("""COMPUTED_VALUE"""),43329.6666666666)</f>
        <v>43329.666666666599</v>
      </c>
      <c r="B3432" s="1">
        <f ca="1">IFERROR(__xludf.DUMMYFUNCTION("""COMPUTED_VALUE"""),54.4)</f>
        <v>54.4</v>
      </c>
    </row>
    <row r="3433" spans="1:2">
      <c r="A3433" s="3">
        <f ca="1">IFERROR(__xludf.DUMMYFUNCTION("""COMPUTED_VALUE"""),43332.6666666666)</f>
        <v>43332.666666666599</v>
      </c>
      <c r="B3433" s="1">
        <f ca="1">IFERROR(__xludf.DUMMYFUNCTION("""COMPUTED_VALUE"""),53.87)</f>
        <v>53.87</v>
      </c>
    </row>
    <row r="3434" spans="1:2">
      <c r="A3434" s="3">
        <f ca="1">IFERROR(__xludf.DUMMYFUNCTION("""COMPUTED_VALUE"""),43333.6666666666)</f>
        <v>43333.666666666599</v>
      </c>
      <c r="B3434" s="1">
        <f ca="1">IFERROR(__xludf.DUMMYFUNCTION("""COMPUTED_VALUE"""),53.76)</f>
        <v>53.76</v>
      </c>
    </row>
    <row r="3435" spans="1:2">
      <c r="A3435" s="3">
        <f ca="1">IFERROR(__xludf.DUMMYFUNCTION("""COMPUTED_VALUE"""),43334.6666666666)</f>
        <v>43334.666666666599</v>
      </c>
      <c r="B3435" s="1">
        <f ca="1">IFERROR(__xludf.DUMMYFUNCTION("""COMPUTED_VALUE"""),53.76)</f>
        <v>53.76</v>
      </c>
    </row>
    <row r="3436" spans="1:2">
      <c r="A3436" s="3">
        <f ca="1">IFERROR(__xludf.DUMMYFUNCTION("""COMPUTED_VALUE"""),43335.6666666666)</f>
        <v>43335.666666666599</v>
      </c>
      <c r="B3436" s="1">
        <f ca="1">IFERROR(__xludf.DUMMYFUNCTION("""COMPUTED_VALUE"""),53.87)</f>
        <v>53.87</v>
      </c>
    </row>
    <row r="3437" spans="1:2">
      <c r="A3437" s="3">
        <f ca="1">IFERROR(__xludf.DUMMYFUNCTION("""COMPUTED_VALUE"""),43336.6666666666)</f>
        <v>43336.666666666599</v>
      </c>
      <c r="B3437" s="1">
        <f ca="1">IFERROR(__xludf.DUMMYFUNCTION("""COMPUTED_VALUE"""),54.04)</f>
        <v>54.04</v>
      </c>
    </row>
    <row r="3438" spans="1:2">
      <c r="A3438" s="3">
        <f ca="1">IFERROR(__xludf.DUMMYFUNCTION("""COMPUTED_VALUE"""),43339.6666666666)</f>
        <v>43339.666666666599</v>
      </c>
      <c r="B3438" s="1">
        <f ca="1">IFERROR(__xludf.DUMMYFUNCTION("""COMPUTED_VALUE"""),54.49)</f>
        <v>54.49</v>
      </c>
    </row>
    <row r="3439" spans="1:2">
      <c r="A3439" s="3">
        <f ca="1">IFERROR(__xludf.DUMMYFUNCTION("""COMPUTED_VALUE"""),43340.6666666666)</f>
        <v>43340.666666666599</v>
      </c>
      <c r="B3439" s="1">
        <f ca="1">IFERROR(__xludf.DUMMYFUNCTION("""COMPUTED_VALUE"""),54.93)</f>
        <v>54.93</v>
      </c>
    </row>
    <row r="3440" spans="1:2">
      <c r="A3440" s="3">
        <f ca="1">IFERROR(__xludf.DUMMYFUNCTION("""COMPUTED_VALUE"""),43341.6666666666)</f>
        <v>43341.666666666599</v>
      </c>
      <c r="B3440" s="1">
        <f ca="1">IFERROR(__xludf.DUMMYFUNCTION("""COMPUTED_VALUE"""),55.75)</f>
        <v>55.75</v>
      </c>
    </row>
    <row r="3441" spans="1:2">
      <c r="A3441" s="3">
        <f ca="1">IFERROR(__xludf.DUMMYFUNCTION("""COMPUTED_VALUE"""),43342.6666666666)</f>
        <v>43342.666666666599</v>
      </c>
      <c r="B3441" s="1">
        <f ca="1">IFERROR(__xludf.DUMMYFUNCTION("""COMPUTED_VALUE"""),56.26)</f>
        <v>56.26</v>
      </c>
    </row>
    <row r="3442" spans="1:2">
      <c r="A3442" s="3">
        <f ca="1">IFERROR(__xludf.DUMMYFUNCTION("""COMPUTED_VALUE"""),43343.6666666666)</f>
        <v>43343.666666666599</v>
      </c>
      <c r="B3442" s="1">
        <f ca="1">IFERROR(__xludf.DUMMYFUNCTION("""COMPUTED_VALUE"""),56.91)</f>
        <v>56.91</v>
      </c>
    </row>
    <row r="3443" spans="1:2">
      <c r="A3443" s="3">
        <f ca="1">IFERROR(__xludf.DUMMYFUNCTION("""COMPUTED_VALUE"""),43347.6666666666)</f>
        <v>43347.666666666599</v>
      </c>
      <c r="B3443" s="1">
        <f ca="1">IFERROR(__xludf.DUMMYFUNCTION("""COMPUTED_VALUE"""),57.09)</f>
        <v>57.09</v>
      </c>
    </row>
    <row r="3444" spans="1:2">
      <c r="A3444" s="3">
        <f ca="1">IFERROR(__xludf.DUMMYFUNCTION("""COMPUTED_VALUE"""),43348.6666666666)</f>
        <v>43348.666666666599</v>
      </c>
      <c r="B3444" s="1">
        <f ca="1">IFERROR(__xludf.DUMMYFUNCTION("""COMPUTED_VALUE"""),56.72)</f>
        <v>56.72</v>
      </c>
    </row>
    <row r="3445" spans="1:2">
      <c r="A3445" s="3">
        <f ca="1">IFERROR(__xludf.DUMMYFUNCTION("""COMPUTED_VALUE"""),43349.6666666666)</f>
        <v>43349.666666666599</v>
      </c>
      <c r="B3445" s="1">
        <f ca="1">IFERROR(__xludf.DUMMYFUNCTION("""COMPUTED_VALUE"""),55.78)</f>
        <v>55.78</v>
      </c>
    </row>
    <row r="3446" spans="1:2">
      <c r="A3446" s="3">
        <f ca="1">IFERROR(__xludf.DUMMYFUNCTION("""COMPUTED_VALUE"""),43350.6666666666)</f>
        <v>43350.666666666599</v>
      </c>
      <c r="B3446" s="1">
        <f ca="1">IFERROR(__xludf.DUMMYFUNCTION("""COMPUTED_VALUE"""),55.33)</f>
        <v>55.33</v>
      </c>
    </row>
    <row r="3447" spans="1:2">
      <c r="A3447" s="3">
        <f ca="1">IFERROR(__xludf.DUMMYFUNCTION("""COMPUTED_VALUE"""),43353.6666666666)</f>
        <v>43353.666666666599</v>
      </c>
      <c r="B3447" s="1">
        <f ca="1">IFERROR(__xludf.DUMMYFUNCTION("""COMPUTED_VALUE"""),54.58)</f>
        <v>54.58</v>
      </c>
    </row>
    <row r="3448" spans="1:2">
      <c r="A3448" s="3">
        <f ca="1">IFERROR(__xludf.DUMMYFUNCTION("""COMPUTED_VALUE"""),43354.6666666666)</f>
        <v>43354.666666666599</v>
      </c>
      <c r="B3448" s="1">
        <f ca="1">IFERROR(__xludf.DUMMYFUNCTION("""COMPUTED_VALUE"""),55.96)</f>
        <v>55.96</v>
      </c>
    </row>
    <row r="3449" spans="1:2">
      <c r="A3449" s="3">
        <f ca="1">IFERROR(__xludf.DUMMYFUNCTION("""COMPUTED_VALUE"""),43355.6666666666)</f>
        <v>43355.666666666599</v>
      </c>
      <c r="B3449" s="1">
        <f ca="1">IFERROR(__xludf.DUMMYFUNCTION("""COMPUTED_VALUE"""),55.27)</f>
        <v>55.27</v>
      </c>
    </row>
    <row r="3450" spans="1:2">
      <c r="A3450" s="3">
        <f ca="1">IFERROR(__xludf.DUMMYFUNCTION("""COMPUTED_VALUE"""),43356.6666666666)</f>
        <v>43356.666666666599</v>
      </c>
      <c r="B3450" s="1">
        <f ca="1">IFERROR(__xludf.DUMMYFUNCTION("""COMPUTED_VALUE"""),56.6)</f>
        <v>56.6</v>
      </c>
    </row>
    <row r="3451" spans="1:2">
      <c r="A3451" s="3">
        <f ca="1">IFERROR(__xludf.DUMMYFUNCTION("""COMPUTED_VALUE"""),43357.6666666666)</f>
        <v>43357.666666666599</v>
      </c>
      <c r="B3451" s="1">
        <f ca="1">IFERROR(__xludf.DUMMYFUNCTION("""COMPUTED_VALUE"""),55.96)</f>
        <v>55.96</v>
      </c>
    </row>
    <row r="3452" spans="1:2">
      <c r="A3452" s="3">
        <f ca="1">IFERROR(__xludf.DUMMYFUNCTION("""COMPUTED_VALUE"""),43360.6666666666)</f>
        <v>43360.666666666599</v>
      </c>
      <c r="B3452" s="1">
        <f ca="1">IFERROR(__xludf.DUMMYFUNCTION("""COMPUTED_VALUE"""),54.47)</f>
        <v>54.47</v>
      </c>
    </row>
    <row r="3453" spans="1:2">
      <c r="A3453" s="3">
        <f ca="1">IFERROR(__xludf.DUMMYFUNCTION("""COMPUTED_VALUE"""),43361.6666666666)</f>
        <v>43361.666666666599</v>
      </c>
      <c r="B3453" s="1">
        <f ca="1">IFERROR(__xludf.DUMMYFUNCTION("""COMPUTED_VALUE"""),54.56)</f>
        <v>54.56</v>
      </c>
    </row>
    <row r="3454" spans="1:2">
      <c r="A3454" s="3">
        <f ca="1">IFERROR(__xludf.DUMMYFUNCTION("""COMPUTED_VALUE"""),43362.6666666666)</f>
        <v>43362.666666666599</v>
      </c>
      <c r="B3454" s="1">
        <f ca="1">IFERROR(__xludf.DUMMYFUNCTION("""COMPUTED_VALUE"""),54.59)</f>
        <v>54.59</v>
      </c>
    </row>
    <row r="3455" spans="1:2">
      <c r="A3455" s="3">
        <f ca="1">IFERROR(__xludf.DUMMYFUNCTION("""COMPUTED_VALUE"""),43363.6666666666)</f>
        <v>43363.666666666599</v>
      </c>
      <c r="B3455" s="1">
        <f ca="1">IFERROR(__xludf.DUMMYFUNCTION("""COMPUTED_VALUE"""),55.01)</f>
        <v>55.01</v>
      </c>
    </row>
    <row r="3456" spans="1:2">
      <c r="A3456" s="3">
        <f ca="1">IFERROR(__xludf.DUMMYFUNCTION("""COMPUTED_VALUE"""),43364.6666666666)</f>
        <v>43364.666666666599</v>
      </c>
      <c r="B3456" s="1">
        <f ca="1">IFERROR(__xludf.DUMMYFUNCTION("""COMPUTED_VALUE"""),54.42)</f>
        <v>54.42</v>
      </c>
    </row>
    <row r="3457" spans="1:2">
      <c r="A3457" s="3">
        <f ca="1">IFERROR(__xludf.DUMMYFUNCTION("""COMPUTED_VALUE"""),43367.6666666666)</f>
        <v>43367.666666666599</v>
      </c>
      <c r="B3457" s="1">
        <f ca="1">IFERROR(__xludf.DUMMYFUNCTION("""COMPUTED_VALUE"""),55.2)</f>
        <v>55.2</v>
      </c>
    </row>
    <row r="3458" spans="1:2">
      <c r="A3458" s="3">
        <f ca="1">IFERROR(__xludf.DUMMYFUNCTION("""COMPUTED_VALUE"""),43368.6666666666)</f>
        <v>43368.666666666599</v>
      </c>
      <c r="B3458" s="1">
        <f ca="1">IFERROR(__xludf.DUMMYFUNCTION("""COMPUTED_VALUE"""),55.55)</f>
        <v>55.55</v>
      </c>
    </row>
    <row r="3459" spans="1:2">
      <c r="A3459" s="3">
        <f ca="1">IFERROR(__xludf.DUMMYFUNCTION("""COMPUTED_VALUE"""),43369.6666666666)</f>
        <v>43369.666666666599</v>
      </c>
      <c r="B3459" s="1">
        <f ca="1">IFERROR(__xludf.DUMMYFUNCTION("""COMPUTED_VALUE"""),55.11)</f>
        <v>55.11</v>
      </c>
    </row>
    <row r="3460" spans="1:2">
      <c r="A3460" s="3">
        <f ca="1">IFERROR(__xludf.DUMMYFUNCTION("""COMPUTED_VALUE"""),43370.6666666666)</f>
        <v>43370.666666666599</v>
      </c>
      <c r="B3460" s="1">
        <f ca="1">IFERROR(__xludf.DUMMYFUNCTION("""COMPUTED_VALUE"""),56.24)</f>
        <v>56.24</v>
      </c>
    </row>
    <row r="3461" spans="1:2">
      <c r="A3461" s="3">
        <f ca="1">IFERROR(__xludf.DUMMYFUNCTION("""COMPUTED_VALUE"""),43371.6666666666)</f>
        <v>43371.666666666599</v>
      </c>
      <c r="B3461" s="1">
        <f ca="1">IFERROR(__xludf.DUMMYFUNCTION("""COMPUTED_VALUE"""),56.44)</f>
        <v>56.44</v>
      </c>
    </row>
    <row r="3462" spans="1:2">
      <c r="A3462" s="3">
        <f ca="1">IFERROR(__xludf.DUMMYFUNCTION("""COMPUTED_VALUE"""),43374.6666666666)</f>
        <v>43374.666666666599</v>
      </c>
      <c r="B3462" s="1">
        <f ca="1">IFERROR(__xludf.DUMMYFUNCTION("""COMPUTED_VALUE"""),56.82)</f>
        <v>56.82</v>
      </c>
    </row>
    <row r="3463" spans="1:2">
      <c r="A3463" s="3">
        <f ca="1">IFERROR(__xludf.DUMMYFUNCTION("""COMPUTED_VALUE"""),43375.6666666666)</f>
        <v>43375.666666666599</v>
      </c>
      <c r="B3463" s="1">
        <f ca="1">IFERROR(__xludf.DUMMYFUNCTION("""COMPUTED_VALUE"""),57.32)</f>
        <v>57.32</v>
      </c>
    </row>
    <row r="3464" spans="1:2">
      <c r="A3464" s="3">
        <f ca="1">IFERROR(__xludf.DUMMYFUNCTION("""COMPUTED_VALUE"""),43376.6666666666)</f>
        <v>43376.666666666599</v>
      </c>
      <c r="B3464" s="1">
        <f ca="1">IFERROR(__xludf.DUMMYFUNCTION("""COMPUTED_VALUE"""),58.02)</f>
        <v>58.02</v>
      </c>
    </row>
    <row r="3465" spans="1:2">
      <c r="A3465" s="3">
        <f ca="1">IFERROR(__xludf.DUMMYFUNCTION("""COMPUTED_VALUE"""),43377.6666666666)</f>
        <v>43377.666666666599</v>
      </c>
      <c r="B3465" s="1">
        <f ca="1">IFERROR(__xludf.DUMMYFUNCTION("""COMPUTED_VALUE"""),57)</f>
        <v>57</v>
      </c>
    </row>
    <row r="3466" spans="1:2">
      <c r="A3466" s="3">
        <f ca="1">IFERROR(__xludf.DUMMYFUNCTION("""COMPUTED_VALUE"""),43378.6666666666)</f>
        <v>43378.666666666599</v>
      </c>
      <c r="B3466" s="1">
        <f ca="1">IFERROR(__xludf.DUMMYFUNCTION("""COMPUTED_VALUE"""),56.07)</f>
        <v>56.07</v>
      </c>
    </row>
    <row r="3467" spans="1:2">
      <c r="A3467" s="3">
        <f ca="1">IFERROR(__xludf.DUMMYFUNCTION("""COMPUTED_VALUE"""),43381.6666666666)</f>
        <v>43381.666666666599</v>
      </c>
      <c r="B3467" s="1">
        <f ca="1">IFERROR(__xludf.DUMMYFUNCTION("""COMPUTED_VALUE"""),55.94)</f>
        <v>55.94</v>
      </c>
    </row>
    <row r="3468" spans="1:2">
      <c r="A3468" s="3">
        <f ca="1">IFERROR(__xludf.DUMMYFUNCTION("""COMPUTED_VALUE"""),43382.6666666666)</f>
        <v>43382.666666666599</v>
      </c>
      <c r="B3468" s="1">
        <f ca="1">IFERROR(__xludf.DUMMYFUNCTION("""COMPUTED_VALUE"""),56.72)</f>
        <v>56.72</v>
      </c>
    </row>
    <row r="3469" spans="1:2">
      <c r="A3469" s="3">
        <f ca="1">IFERROR(__xludf.DUMMYFUNCTION("""COMPUTED_VALUE"""),43383.6666666666)</f>
        <v>43383.666666666599</v>
      </c>
      <c r="B3469" s="1">
        <f ca="1">IFERROR(__xludf.DUMMYFUNCTION("""COMPUTED_VALUE"""),54.09)</f>
        <v>54.09</v>
      </c>
    </row>
    <row r="3470" spans="1:2">
      <c r="A3470" s="3">
        <f ca="1">IFERROR(__xludf.DUMMYFUNCTION("""COMPUTED_VALUE"""),43384.6666666666)</f>
        <v>43384.666666666599</v>
      </c>
      <c r="B3470" s="1">
        <f ca="1">IFERROR(__xludf.DUMMYFUNCTION("""COMPUTED_VALUE"""),53.61)</f>
        <v>53.61</v>
      </c>
    </row>
    <row r="3471" spans="1:2">
      <c r="A3471" s="3">
        <f ca="1">IFERROR(__xludf.DUMMYFUNCTION("""COMPUTED_VALUE"""),43385.6666666666)</f>
        <v>43385.666666666599</v>
      </c>
      <c r="B3471" s="1">
        <f ca="1">IFERROR(__xludf.DUMMYFUNCTION("""COMPUTED_VALUE"""),55.53)</f>
        <v>55.53</v>
      </c>
    </row>
    <row r="3472" spans="1:2">
      <c r="A3472" s="3">
        <f ca="1">IFERROR(__xludf.DUMMYFUNCTION("""COMPUTED_VALUE"""),43388.6666666666)</f>
        <v>43388.666666666599</v>
      </c>
      <c r="B3472" s="1">
        <f ca="1">IFERROR(__xludf.DUMMYFUNCTION("""COMPUTED_VALUE"""),54.34)</f>
        <v>54.34</v>
      </c>
    </row>
    <row r="3473" spans="1:2">
      <c r="A3473" s="3">
        <f ca="1">IFERROR(__xludf.DUMMYFUNCTION("""COMPUTED_VALUE"""),43389.6666666666)</f>
        <v>43389.666666666599</v>
      </c>
      <c r="B3473" s="1">
        <f ca="1">IFERROR(__xludf.DUMMYFUNCTION("""COMPUTED_VALUE"""),55.54)</f>
        <v>55.54</v>
      </c>
    </row>
    <row r="3474" spans="1:2">
      <c r="A3474" s="3">
        <f ca="1">IFERROR(__xludf.DUMMYFUNCTION("""COMPUTED_VALUE"""),43390.6666666666)</f>
        <v>43390.666666666599</v>
      </c>
      <c r="B3474" s="1">
        <f ca="1">IFERROR(__xludf.DUMMYFUNCTION("""COMPUTED_VALUE"""),55.3)</f>
        <v>55.3</v>
      </c>
    </row>
    <row r="3475" spans="1:2">
      <c r="A3475" s="3">
        <f ca="1">IFERROR(__xludf.DUMMYFUNCTION("""COMPUTED_VALUE"""),43391.6666666666)</f>
        <v>43391.666666666599</v>
      </c>
      <c r="B3475" s="1">
        <f ca="1">IFERROR(__xludf.DUMMYFUNCTION("""COMPUTED_VALUE"""),54.01)</f>
        <v>54.01</v>
      </c>
    </row>
    <row r="3476" spans="1:2">
      <c r="A3476" s="3">
        <f ca="1">IFERROR(__xludf.DUMMYFUNCTION("""COMPUTED_VALUE"""),43392.6666666666)</f>
        <v>43392.666666666599</v>
      </c>
      <c r="B3476" s="1">
        <f ca="1">IFERROR(__xludf.DUMMYFUNCTION("""COMPUTED_VALUE"""),54.83)</f>
        <v>54.83</v>
      </c>
    </row>
    <row r="3477" spans="1:2">
      <c r="A3477" s="3">
        <f ca="1">IFERROR(__xludf.DUMMYFUNCTION("""COMPUTED_VALUE"""),43395.6666666666)</f>
        <v>43395.666666666599</v>
      </c>
      <c r="B3477" s="1">
        <f ca="1">IFERROR(__xludf.DUMMYFUNCTION("""COMPUTED_VALUE"""),55.16)</f>
        <v>55.16</v>
      </c>
    </row>
    <row r="3478" spans="1:2">
      <c r="A3478" s="3">
        <f ca="1">IFERROR(__xludf.DUMMYFUNCTION("""COMPUTED_VALUE"""),43396.6666666666)</f>
        <v>43396.666666666599</v>
      </c>
      <c r="B3478" s="1">
        <f ca="1">IFERROR(__xludf.DUMMYFUNCTION("""COMPUTED_VALUE"""),55.68)</f>
        <v>55.68</v>
      </c>
    </row>
    <row r="3479" spans="1:2">
      <c r="A3479" s="3">
        <f ca="1">IFERROR(__xludf.DUMMYFUNCTION("""COMPUTED_VALUE"""),43397.6666666666)</f>
        <v>43397.666666666599</v>
      </c>
      <c r="B3479" s="1">
        <f ca="1">IFERROR(__xludf.DUMMYFUNCTION("""COMPUTED_VALUE"""),53.77)</f>
        <v>53.77</v>
      </c>
    </row>
    <row r="3480" spans="1:2">
      <c r="A3480" s="3">
        <f ca="1">IFERROR(__xludf.DUMMYFUNCTION("""COMPUTED_VALUE"""),43398.6666666666)</f>
        <v>43398.666666666599</v>
      </c>
      <c r="B3480" s="1">
        <f ca="1">IFERROR(__xludf.DUMMYFUNCTION("""COMPUTED_VALUE"""),54.95)</f>
        <v>54.95</v>
      </c>
    </row>
    <row r="3481" spans="1:2">
      <c r="A3481" s="3">
        <f ca="1">IFERROR(__xludf.DUMMYFUNCTION("""COMPUTED_VALUE"""),43399.6666666666)</f>
        <v>43399.666666666599</v>
      </c>
      <c r="B3481" s="1">
        <f ca="1">IFERROR(__xludf.DUMMYFUNCTION("""COMPUTED_VALUE"""),54.08)</f>
        <v>54.08</v>
      </c>
    </row>
    <row r="3482" spans="1:2">
      <c r="A3482" s="3">
        <f ca="1">IFERROR(__xludf.DUMMYFUNCTION("""COMPUTED_VALUE"""),43402.6666666666)</f>
        <v>43402.666666666599</v>
      </c>
      <c r="B3482" s="1">
        <f ca="1">IFERROR(__xludf.DUMMYFUNCTION("""COMPUTED_VALUE"""),53.06)</f>
        <v>53.06</v>
      </c>
    </row>
    <row r="3483" spans="1:2">
      <c r="A3483" s="3">
        <f ca="1">IFERROR(__xludf.DUMMYFUNCTION("""COMPUTED_VALUE"""),43403.6666666666)</f>
        <v>43403.666666666599</v>
      </c>
      <c r="B3483" s="1">
        <f ca="1">IFERROR(__xludf.DUMMYFUNCTION("""COMPUTED_VALUE"""),53.33)</f>
        <v>53.33</v>
      </c>
    </row>
    <row r="3484" spans="1:2">
      <c r="A3484" s="3">
        <f ca="1">IFERROR(__xludf.DUMMYFUNCTION("""COMPUTED_VALUE"""),43404.6666666666)</f>
        <v>43404.666666666599</v>
      </c>
      <c r="B3484" s="1">
        <f ca="1">IFERROR(__xludf.DUMMYFUNCTION("""COMPUTED_VALUE"""),54.72)</f>
        <v>54.72</v>
      </c>
    </row>
    <row r="3485" spans="1:2">
      <c r="A3485" s="3">
        <f ca="1">IFERROR(__xludf.DUMMYFUNCTION("""COMPUTED_VALUE"""),43405.6666666666)</f>
        <v>43405.666666666599</v>
      </c>
      <c r="B3485" s="1">
        <f ca="1">IFERROR(__xludf.DUMMYFUNCTION("""COMPUTED_VALUE"""),55.56)</f>
        <v>55.56</v>
      </c>
    </row>
    <row r="3486" spans="1:2">
      <c r="A3486" s="3">
        <f ca="1">IFERROR(__xludf.DUMMYFUNCTION("""COMPUTED_VALUE"""),43406.6666666666)</f>
        <v>43406.666666666599</v>
      </c>
      <c r="B3486" s="1">
        <f ca="1">IFERROR(__xludf.DUMMYFUNCTION("""COMPUTED_VALUE"""),51.87)</f>
        <v>51.87</v>
      </c>
    </row>
    <row r="3487" spans="1:2">
      <c r="A3487" s="3">
        <f ca="1">IFERROR(__xludf.DUMMYFUNCTION("""COMPUTED_VALUE"""),43409.6666666666)</f>
        <v>43409.666666666599</v>
      </c>
      <c r="B3487" s="1">
        <f ca="1">IFERROR(__xludf.DUMMYFUNCTION("""COMPUTED_VALUE"""),50.4)</f>
        <v>50.4</v>
      </c>
    </row>
    <row r="3488" spans="1:2">
      <c r="A3488" s="3">
        <f ca="1">IFERROR(__xludf.DUMMYFUNCTION("""COMPUTED_VALUE"""),43410.6666666666)</f>
        <v>43410.666666666599</v>
      </c>
      <c r="B3488" s="1">
        <f ca="1">IFERROR(__xludf.DUMMYFUNCTION("""COMPUTED_VALUE"""),50.94)</f>
        <v>50.94</v>
      </c>
    </row>
    <row r="3489" spans="1:2">
      <c r="A3489" s="3">
        <f ca="1">IFERROR(__xludf.DUMMYFUNCTION("""COMPUTED_VALUE"""),43411.6666666666)</f>
        <v>43411.666666666599</v>
      </c>
      <c r="B3489" s="1">
        <f ca="1">IFERROR(__xludf.DUMMYFUNCTION("""COMPUTED_VALUE"""),52.49)</f>
        <v>52.49</v>
      </c>
    </row>
    <row r="3490" spans="1:2">
      <c r="A3490" s="3">
        <f ca="1">IFERROR(__xludf.DUMMYFUNCTION("""COMPUTED_VALUE"""),43412.6666666666)</f>
        <v>43412.666666666599</v>
      </c>
      <c r="B3490" s="1">
        <f ca="1">IFERROR(__xludf.DUMMYFUNCTION("""COMPUTED_VALUE"""),52.12)</f>
        <v>52.12</v>
      </c>
    </row>
    <row r="3491" spans="1:2">
      <c r="A3491" s="3">
        <f ca="1">IFERROR(__xludf.DUMMYFUNCTION("""COMPUTED_VALUE"""),43413.6666666666)</f>
        <v>43413.666666666599</v>
      </c>
      <c r="B3491" s="1">
        <f ca="1">IFERROR(__xludf.DUMMYFUNCTION("""COMPUTED_VALUE"""),51.12)</f>
        <v>51.12</v>
      </c>
    </row>
    <row r="3492" spans="1:2">
      <c r="A3492" s="3">
        <f ca="1">IFERROR(__xludf.DUMMYFUNCTION("""COMPUTED_VALUE"""),43416.6666666666)</f>
        <v>43416.666666666599</v>
      </c>
      <c r="B3492" s="1">
        <f ca="1">IFERROR(__xludf.DUMMYFUNCTION("""COMPUTED_VALUE"""),48.54)</f>
        <v>48.54</v>
      </c>
    </row>
    <row r="3493" spans="1:2">
      <c r="A3493" s="3">
        <f ca="1">IFERROR(__xludf.DUMMYFUNCTION("""COMPUTED_VALUE"""),43417.6666666666)</f>
        <v>43417.666666666599</v>
      </c>
      <c r="B3493" s="1">
        <f ca="1">IFERROR(__xludf.DUMMYFUNCTION("""COMPUTED_VALUE"""),48.06)</f>
        <v>48.06</v>
      </c>
    </row>
    <row r="3494" spans="1:2">
      <c r="A3494" s="3">
        <f ca="1">IFERROR(__xludf.DUMMYFUNCTION("""COMPUTED_VALUE"""),43418.6666666666)</f>
        <v>43418.666666666599</v>
      </c>
      <c r="B3494" s="1">
        <f ca="1">IFERROR(__xludf.DUMMYFUNCTION("""COMPUTED_VALUE"""),46.7)</f>
        <v>46.7</v>
      </c>
    </row>
    <row r="3495" spans="1:2">
      <c r="A3495" s="3">
        <f ca="1">IFERROR(__xludf.DUMMYFUNCTION("""COMPUTED_VALUE"""),43419.6666666666)</f>
        <v>43419.666666666599</v>
      </c>
      <c r="B3495" s="1">
        <f ca="1">IFERROR(__xludf.DUMMYFUNCTION("""COMPUTED_VALUE"""),47.85)</f>
        <v>47.85</v>
      </c>
    </row>
    <row r="3496" spans="1:2">
      <c r="A3496" s="3">
        <f ca="1">IFERROR(__xludf.DUMMYFUNCTION("""COMPUTED_VALUE"""),43420.6666666666)</f>
        <v>43420.666666666599</v>
      </c>
      <c r="B3496" s="1">
        <f ca="1">IFERROR(__xludf.DUMMYFUNCTION("""COMPUTED_VALUE"""),48.38)</f>
        <v>48.38</v>
      </c>
    </row>
    <row r="3497" spans="1:2">
      <c r="A3497" s="3">
        <f ca="1">IFERROR(__xludf.DUMMYFUNCTION("""COMPUTED_VALUE"""),43423.6666666666)</f>
        <v>43423.666666666599</v>
      </c>
      <c r="B3497" s="1">
        <f ca="1">IFERROR(__xludf.DUMMYFUNCTION("""COMPUTED_VALUE"""),46.47)</f>
        <v>46.47</v>
      </c>
    </row>
    <row r="3498" spans="1:2">
      <c r="A3498" s="3">
        <f ca="1">IFERROR(__xludf.DUMMYFUNCTION("""COMPUTED_VALUE"""),43424.6666666666)</f>
        <v>43424.666666666599</v>
      </c>
      <c r="B3498" s="1">
        <f ca="1">IFERROR(__xludf.DUMMYFUNCTION("""COMPUTED_VALUE"""),44.25)</f>
        <v>44.25</v>
      </c>
    </row>
    <row r="3499" spans="1:2">
      <c r="A3499" s="3">
        <f ca="1">IFERROR(__xludf.DUMMYFUNCTION("""COMPUTED_VALUE"""),43425.6666666666)</f>
        <v>43425.666666666599</v>
      </c>
      <c r="B3499" s="1">
        <f ca="1">IFERROR(__xludf.DUMMYFUNCTION("""COMPUTED_VALUE"""),44.2)</f>
        <v>44.2</v>
      </c>
    </row>
    <row r="3500" spans="1:2">
      <c r="A3500" s="3">
        <f ca="1">IFERROR(__xludf.DUMMYFUNCTION("""COMPUTED_VALUE"""),43427.5416666666)</f>
        <v>43427.541666666599</v>
      </c>
      <c r="B3500" s="1">
        <f ca="1">IFERROR(__xludf.DUMMYFUNCTION("""COMPUTED_VALUE"""),43.07)</f>
        <v>43.07</v>
      </c>
    </row>
    <row r="3501" spans="1:2">
      <c r="A3501" s="3">
        <f ca="1">IFERROR(__xludf.DUMMYFUNCTION("""COMPUTED_VALUE"""),43430.6666666666)</f>
        <v>43430.666666666599</v>
      </c>
      <c r="B3501" s="1">
        <f ca="1">IFERROR(__xludf.DUMMYFUNCTION("""COMPUTED_VALUE"""),43.66)</f>
        <v>43.66</v>
      </c>
    </row>
    <row r="3502" spans="1:2">
      <c r="A3502" s="3">
        <f ca="1">IFERROR(__xludf.DUMMYFUNCTION("""COMPUTED_VALUE"""),43431.6666666666)</f>
        <v>43431.666666666599</v>
      </c>
      <c r="B3502" s="1">
        <f ca="1">IFERROR(__xludf.DUMMYFUNCTION("""COMPUTED_VALUE"""),43.56)</f>
        <v>43.56</v>
      </c>
    </row>
    <row r="3503" spans="1:2">
      <c r="A3503" s="3">
        <f ca="1">IFERROR(__xludf.DUMMYFUNCTION("""COMPUTED_VALUE"""),43432.6666666666)</f>
        <v>43432.666666666599</v>
      </c>
      <c r="B3503" s="1">
        <f ca="1">IFERROR(__xludf.DUMMYFUNCTION("""COMPUTED_VALUE"""),45.24)</f>
        <v>45.24</v>
      </c>
    </row>
    <row r="3504" spans="1:2">
      <c r="A3504" s="3">
        <f ca="1">IFERROR(__xludf.DUMMYFUNCTION("""COMPUTED_VALUE"""),43433.6666666666)</f>
        <v>43433.666666666599</v>
      </c>
      <c r="B3504" s="1">
        <f ca="1">IFERROR(__xludf.DUMMYFUNCTION("""COMPUTED_VALUE"""),44.89)</f>
        <v>44.89</v>
      </c>
    </row>
    <row r="3505" spans="1:2">
      <c r="A3505" s="3">
        <f ca="1">IFERROR(__xludf.DUMMYFUNCTION("""COMPUTED_VALUE"""),43434.6666666666)</f>
        <v>43434.666666666599</v>
      </c>
      <c r="B3505" s="1">
        <f ca="1">IFERROR(__xludf.DUMMYFUNCTION("""COMPUTED_VALUE"""),44.65)</f>
        <v>44.65</v>
      </c>
    </row>
    <row r="3506" spans="1:2">
      <c r="A3506" s="3">
        <f ca="1">IFERROR(__xludf.DUMMYFUNCTION("""COMPUTED_VALUE"""),43437.6666666666)</f>
        <v>43437.666666666599</v>
      </c>
      <c r="B3506" s="1">
        <f ca="1">IFERROR(__xludf.DUMMYFUNCTION("""COMPUTED_VALUE"""),46.21)</f>
        <v>46.21</v>
      </c>
    </row>
    <row r="3507" spans="1:2">
      <c r="A3507" s="3">
        <f ca="1">IFERROR(__xludf.DUMMYFUNCTION("""COMPUTED_VALUE"""),43438.6666666666)</f>
        <v>43438.666666666599</v>
      </c>
      <c r="B3507" s="1">
        <f ca="1">IFERROR(__xludf.DUMMYFUNCTION("""COMPUTED_VALUE"""),44.17)</f>
        <v>44.17</v>
      </c>
    </row>
    <row r="3508" spans="1:2">
      <c r="A3508" s="3">
        <f ca="1">IFERROR(__xludf.DUMMYFUNCTION("""COMPUTED_VALUE"""),43440.6666666666)</f>
        <v>43440.666666666599</v>
      </c>
      <c r="B3508" s="1">
        <f ca="1">IFERROR(__xludf.DUMMYFUNCTION("""COMPUTED_VALUE"""),43.68)</f>
        <v>43.68</v>
      </c>
    </row>
    <row r="3509" spans="1:2">
      <c r="A3509" s="3">
        <f ca="1">IFERROR(__xludf.DUMMYFUNCTION("""COMPUTED_VALUE"""),43441.6666666666)</f>
        <v>43441.666666666599</v>
      </c>
      <c r="B3509" s="1">
        <f ca="1">IFERROR(__xludf.DUMMYFUNCTION("""COMPUTED_VALUE"""),42.12)</f>
        <v>42.12</v>
      </c>
    </row>
    <row r="3510" spans="1:2">
      <c r="A3510" s="3">
        <f ca="1">IFERROR(__xludf.DUMMYFUNCTION("""COMPUTED_VALUE"""),43444.6666666666)</f>
        <v>43444.666666666599</v>
      </c>
      <c r="B3510" s="1">
        <f ca="1">IFERROR(__xludf.DUMMYFUNCTION("""COMPUTED_VALUE"""),42.4)</f>
        <v>42.4</v>
      </c>
    </row>
    <row r="3511" spans="1:2">
      <c r="A3511" s="3">
        <f ca="1">IFERROR(__xludf.DUMMYFUNCTION("""COMPUTED_VALUE"""),43445.6666666666)</f>
        <v>43445.666666666599</v>
      </c>
      <c r="B3511" s="1">
        <f ca="1">IFERROR(__xludf.DUMMYFUNCTION("""COMPUTED_VALUE"""),42.16)</f>
        <v>42.16</v>
      </c>
    </row>
    <row r="3512" spans="1:2">
      <c r="A3512" s="3">
        <f ca="1">IFERROR(__xludf.DUMMYFUNCTION("""COMPUTED_VALUE"""),43446.6666666666)</f>
        <v>43446.666666666599</v>
      </c>
      <c r="B3512" s="1">
        <f ca="1">IFERROR(__xludf.DUMMYFUNCTION("""COMPUTED_VALUE"""),42.28)</f>
        <v>42.28</v>
      </c>
    </row>
    <row r="3513" spans="1:2">
      <c r="A3513" s="3">
        <f ca="1">IFERROR(__xludf.DUMMYFUNCTION("""COMPUTED_VALUE"""),43447.6666666666)</f>
        <v>43447.666666666599</v>
      </c>
      <c r="B3513" s="1">
        <f ca="1">IFERROR(__xludf.DUMMYFUNCTION("""COMPUTED_VALUE"""),42.74)</f>
        <v>42.74</v>
      </c>
    </row>
    <row r="3514" spans="1:2">
      <c r="A3514" s="3">
        <f ca="1">IFERROR(__xludf.DUMMYFUNCTION("""COMPUTED_VALUE"""),43448.6666666666)</f>
        <v>43448.666666666599</v>
      </c>
      <c r="B3514" s="1">
        <f ca="1">IFERROR(__xludf.DUMMYFUNCTION("""COMPUTED_VALUE"""),41.37)</f>
        <v>41.37</v>
      </c>
    </row>
    <row r="3515" spans="1:2">
      <c r="A3515" s="3">
        <f ca="1">IFERROR(__xludf.DUMMYFUNCTION("""COMPUTED_VALUE"""),43451.6666666666)</f>
        <v>43451.666666666599</v>
      </c>
      <c r="B3515" s="1">
        <f ca="1">IFERROR(__xludf.DUMMYFUNCTION("""COMPUTED_VALUE"""),40.99)</f>
        <v>40.99</v>
      </c>
    </row>
    <row r="3516" spans="1:2">
      <c r="A3516" s="3">
        <f ca="1">IFERROR(__xludf.DUMMYFUNCTION("""COMPUTED_VALUE"""),43452.6666666666)</f>
        <v>43452.666666666599</v>
      </c>
      <c r="B3516" s="1">
        <f ca="1">IFERROR(__xludf.DUMMYFUNCTION("""COMPUTED_VALUE"""),41.52)</f>
        <v>41.52</v>
      </c>
    </row>
    <row r="3517" spans="1:2">
      <c r="A3517" s="3">
        <f ca="1">IFERROR(__xludf.DUMMYFUNCTION("""COMPUTED_VALUE"""),43453.6666666666)</f>
        <v>43453.666666666599</v>
      </c>
      <c r="B3517" s="1">
        <f ca="1">IFERROR(__xludf.DUMMYFUNCTION("""COMPUTED_VALUE"""),40.22)</f>
        <v>40.22</v>
      </c>
    </row>
    <row r="3518" spans="1:2">
      <c r="A3518" s="3">
        <f ca="1">IFERROR(__xludf.DUMMYFUNCTION("""COMPUTED_VALUE"""),43454.6666666666)</f>
        <v>43454.666666666599</v>
      </c>
      <c r="B3518" s="1">
        <f ca="1">IFERROR(__xludf.DUMMYFUNCTION("""COMPUTED_VALUE"""),39.21)</f>
        <v>39.21</v>
      </c>
    </row>
    <row r="3519" spans="1:2">
      <c r="A3519" s="3">
        <f ca="1">IFERROR(__xludf.DUMMYFUNCTION("""COMPUTED_VALUE"""),43455.6666666666)</f>
        <v>43455.666666666599</v>
      </c>
      <c r="B3519" s="1">
        <f ca="1">IFERROR(__xludf.DUMMYFUNCTION("""COMPUTED_VALUE"""),37.68)</f>
        <v>37.68</v>
      </c>
    </row>
    <row r="3520" spans="1:2">
      <c r="A3520" s="3">
        <f ca="1">IFERROR(__xludf.DUMMYFUNCTION("""COMPUTED_VALUE"""),43458.5416666666)</f>
        <v>43458.541666666599</v>
      </c>
      <c r="B3520" s="1">
        <f ca="1">IFERROR(__xludf.DUMMYFUNCTION("""COMPUTED_VALUE"""),36.71)</f>
        <v>36.71</v>
      </c>
    </row>
    <row r="3521" spans="1:2">
      <c r="A3521" s="3">
        <f ca="1">IFERROR(__xludf.DUMMYFUNCTION("""COMPUTED_VALUE"""),43460.6666666666)</f>
        <v>43460.666666666599</v>
      </c>
      <c r="B3521" s="1">
        <f ca="1">IFERROR(__xludf.DUMMYFUNCTION("""COMPUTED_VALUE"""),39.29)</f>
        <v>39.29</v>
      </c>
    </row>
    <row r="3522" spans="1:2">
      <c r="A3522" s="3">
        <f ca="1">IFERROR(__xludf.DUMMYFUNCTION("""COMPUTED_VALUE"""),43461.6666666666)</f>
        <v>43461.666666666599</v>
      </c>
      <c r="B3522" s="1">
        <f ca="1">IFERROR(__xludf.DUMMYFUNCTION("""COMPUTED_VALUE"""),39.04)</f>
        <v>39.04</v>
      </c>
    </row>
    <row r="3523" spans="1:2">
      <c r="A3523" s="3">
        <f ca="1">IFERROR(__xludf.DUMMYFUNCTION("""COMPUTED_VALUE"""),43462.6666666666)</f>
        <v>43462.666666666599</v>
      </c>
      <c r="B3523" s="1">
        <f ca="1">IFERROR(__xludf.DUMMYFUNCTION("""COMPUTED_VALUE"""),39.06)</f>
        <v>39.06</v>
      </c>
    </row>
    <row r="3524" spans="1:2">
      <c r="A3524" s="3">
        <f ca="1">IFERROR(__xludf.DUMMYFUNCTION("""COMPUTED_VALUE"""),43465.6666666666)</f>
        <v>43465.666666666599</v>
      </c>
      <c r="B3524" s="1">
        <f ca="1">IFERROR(__xludf.DUMMYFUNCTION("""COMPUTED_VALUE"""),39.44)</f>
        <v>39.44</v>
      </c>
    </row>
    <row r="3525" spans="1:2">
      <c r="A3525" s="3">
        <f ca="1">IFERROR(__xludf.DUMMYFUNCTION("""COMPUTED_VALUE"""),43467.6666666666)</f>
        <v>43467.666666666599</v>
      </c>
      <c r="B3525" s="1">
        <f ca="1">IFERROR(__xludf.DUMMYFUNCTION("""COMPUTED_VALUE"""),39.48)</f>
        <v>39.479999999999997</v>
      </c>
    </row>
    <row r="3526" spans="1:2">
      <c r="A3526" s="3">
        <f ca="1">IFERROR(__xludf.DUMMYFUNCTION("""COMPUTED_VALUE"""),43468.6666666666)</f>
        <v>43468.666666666599</v>
      </c>
      <c r="B3526" s="1">
        <f ca="1">IFERROR(__xludf.DUMMYFUNCTION("""COMPUTED_VALUE"""),35.55)</f>
        <v>35.549999999999997</v>
      </c>
    </row>
    <row r="3527" spans="1:2">
      <c r="A3527" s="3">
        <f ca="1">IFERROR(__xludf.DUMMYFUNCTION("""COMPUTED_VALUE"""),43469.6666666666)</f>
        <v>43469.666666666599</v>
      </c>
      <c r="B3527" s="1">
        <f ca="1">IFERROR(__xludf.DUMMYFUNCTION("""COMPUTED_VALUE"""),37.07)</f>
        <v>37.07</v>
      </c>
    </row>
    <row r="3528" spans="1:2">
      <c r="A3528" s="3">
        <f ca="1">IFERROR(__xludf.DUMMYFUNCTION("""COMPUTED_VALUE"""),43472.6666666666)</f>
        <v>43472.666666666599</v>
      </c>
      <c r="B3528" s="1">
        <f ca="1">IFERROR(__xludf.DUMMYFUNCTION("""COMPUTED_VALUE"""),36.98)</f>
        <v>36.979999999999997</v>
      </c>
    </row>
    <row r="3529" spans="1:2">
      <c r="A3529" s="3">
        <f ca="1">IFERROR(__xludf.DUMMYFUNCTION("""COMPUTED_VALUE"""),43473.6666666666)</f>
        <v>43473.666666666599</v>
      </c>
      <c r="B3529" s="1">
        <f ca="1">IFERROR(__xludf.DUMMYFUNCTION("""COMPUTED_VALUE"""),37.69)</f>
        <v>37.69</v>
      </c>
    </row>
    <row r="3530" spans="1:2">
      <c r="A3530" s="3">
        <f ca="1">IFERROR(__xludf.DUMMYFUNCTION("""COMPUTED_VALUE"""),43474.6666666666)</f>
        <v>43474.666666666599</v>
      </c>
      <c r="B3530" s="1">
        <f ca="1">IFERROR(__xludf.DUMMYFUNCTION("""COMPUTED_VALUE"""),38.33)</f>
        <v>38.33</v>
      </c>
    </row>
    <row r="3531" spans="1:2">
      <c r="A3531" s="3">
        <f ca="1">IFERROR(__xludf.DUMMYFUNCTION("""COMPUTED_VALUE"""),43475.6666666666)</f>
        <v>43475.666666666599</v>
      </c>
      <c r="B3531" s="1">
        <f ca="1">IFERROR(__xludf.DUMMYFUNCTION("""COMPUTED_VALUE"""),38.45)</f>
        <v>38.450000000000003</v>
      </c>
    </row>
    <row r="3532" spans="1:2">
      <c r="A3532" s="3">
        <f ca="1">IFERROR(__xludf.DUMMYFUNCTION("""COMPUTED_VALUE"""),43476.6666666666)</f>
        <v>43476.666666666599</v>
      </c>
      <c r="B3532" s="1">
        <f ca="1">IFERROR(__xludf.DUMMYFUNCTION("""COMPUTED_VALUE"""),38.07)</f>
        <v>38.07</v>
      </c>
    </row>
    <row r="3533" spans="1:2">
      <c r="A3533" s="3">
        <f ca="1">IFERROR(__xludf.DUMMYFUNCTION("""COMPUTED_VALUE"""),43479.6666666666)</f>
        <v>43479.666666666599</v>
      </c>
      <c r="B3533" s="1">
        <f ca="1">IFERROR(__xludf.DUMMYFUNCTION("""COMPUTED_VALUE"""),37.5)</f>
        <v>37.5</v>
      </c>
    </row>
    <row r="3534" spans="1:2">
      <c r="A3534" s="3">
        <f ca="1">IFERROR(__xludf.DUMMYFUNCTION("""COMPUTED_VALUE"""),43480.6666666666)</f>
        <v>43480.666666666599</v>
      </c>
      <c r="B3534" s="1">
        <f ca="1">IFERROR(__xludf.DUMMYFUNCTION("""COMPUTED_VALUE"""),38.27)</f>
        <v>38.270000000000003</v>
      </c>
    </row>
    <row r="3535" spans="1:2">
      <c r="A3535" s="3">
        <f ca="1">IFERROR(__xludf.DUMMYFUNCTION("""COMPUTED_VALUE"""),43481.6666666666)</f>
        <v>43481.666666666599</v>
      </c>
      <c r="B3535" s="1">
        <f ca="1">IFERROR(__xludf.DUMMYFUNCTION("""COMPUTED_VALUE"""),38.74)</f>
        <v>38.74</v>
      </c>
    </row>
    <row r="3536" spans="1:2">
      <c r="A3536" s="3">
        <f ca="1">IFERROR(__xludf.DUMMYFUNCTION("""COMPUTED_VALUE"""),43482.6666666666)</f>
        <v>43482.666666666599</v>
      </c>
      <c r="B3536" s="1">
        <f ca="1">IFERROR(__xludf.DUMMYFUNCTION("""COMPUTED_VALUE"""),38.97)</f>
        <v>38.97</v>
      </c>
    </row>
    <row r="3537" spans="1:2">
      <c r="A3537" s="3">
        <f ca="1">IFERROR(__xludf.DUMMYFUNCTION("""COMPUTED_VALUE"""),43483.6666666666)</f>
        <v>43483.666666666599</v>
      </c>
      <c r="B3537" s="1">
        <f ca="1">IFERROR(__xludf.DUMMYFUNCTION("""COMPUTED_VALUE"""),39.21)</f>
        <v>39.21</v>
      </c>
    </row>
    <row r="3538" spans="1:2">
      <c r="A3538" s="3">
        <f ca="1">IFERROR(__xludf.DUMMYFUNCTION("""COMPUTED_VALUE"""),43487.6666666666)</f>
        <v>43487.666666666599</v>
      </c>
      <c r="B3538" s="1">
        <f ca="1">IFERROR(__xludf.DUMMYFUNCTION("""COMPUTED_VALUE"""),38.33)</f>
        <v>38.33</v>
      </c>
    </row>
    <row r="3539" spans="1:2">
      <c r="A3539" s="3">
        <f ca="1">IFERROR(__xludf.DUMMYFUNCTION("""COMPUTED_VALUE"""),43488.6666666666)</f>
        <v>43488.666666666599</v>
      </c>
      <c r="B3539" s="1">
        <f ca="1">IFERROR(__xludf.DUMMYFUNCTION("""COMPUTED_VALUE"""),38.48)</f>
        <v>38.479999999999997</v>
      </c>
    </row>
    <row r="3540" spans="1:2">
      <c r="A3540" s="3">
        <f ca="1">IFERROR(__xludf.DUMMYFUNCTION("""COMPUTED_VALUE"""),43489.6666666666)</f>
        <v>43489.666666666599</v>
      </c>
      <c r="B3540" s="1">
        <f ca="1">IFERROR(__xludf.DUMMYFUNCTION("""COMPUTED_VALUE"""),38.17)</f>
        <v>38.17</v>
      </c>
    </row>
    <row r="3541" spans="1:2">
      <c r="A3541" s="3">
        <f ca="1">IFERROR(__xludf.DUMMYFUNCTION("""COMPUTED_VALUE"""),43490.6666666666)</f>
        <v>43490.666666666599</v>
      </c>
      <c r="B3541" s="1">
        <f ca="1">IFERROR(__xludf.DUMMYFUNCTION("""COMPUTED_VALUE"""),39.44)</f>
        <v>39.44</v>
      </c>
    </row>
    <row r="3542" spans="1:2">
      <c r="A3542" s="3">
        <f ca="1">IFERROR(__xludf.DUMMYFUNCTION("""COMPUTED_VALUE"""),43493.6666666666)</f>
        <v>43493.666666666599</v>
      </c>
      <c r="B3542" s="1">
        <f ca="1">IFERROR(__xludf.DUMMYFUNCTION("""COMPUTED_VALUE"""),39.08)</f>
        <v>39.08</v>
      </c>
    </row>
    <row r="3543" spans="1:2">
      <c r="A3543" s="3">
        <f ca="1">IFERROR(__xludf.DUMMYFUNCTION("""COMPUTED_VALUE"""),43494.6666666666)</f>
        <v>43494.666666666599</v>
      </c>
      <c r="B3543" s="1">
        <f ca="1">IFERROR(__xludf.DUMMYFUNCTION("""COMPUTED_VALUE"""),38.67)</f>
        <v>38.67</v>
      </c>
    </row>
    <row r="3544" spans="1:2">
      <c r="A3544" s="3">
        <f ca="1">IFERROR(__xludf.DUMMYFUNCTION("""COMPUTED_VALUE"""),43495.6666666666)</f>
        <v>43495.666666666599</v>
      </c>
      <c r="B3544" s="1">
        <f ca="1">IFERROR(__xludf.DUMMYFUNCTION("""COMPUTED_VALUE"""),41.31)</f>
        <v>41.31</v>
      </c>
    </row>
    <row r="3545" spans="1:2">
      <c r="A3545" s="3">
        <f ca="1">IFERROR(__xludf.DUMMYFUNCTION("""COMPUTED_VALUE"""),43496.6666666666)</f>
        <v>43496.666666666599</v>
      </c>
      <c r="B3545" s="1">
        <f ca="1">IFERROR(__xludf.DUMMYFUNCTION("""COMPUTED_VALUE"""),41.61)</f>
        <v>41.61</v>
      </c>
    </row>
    <row r="3546" spans="1:2">
      <c r="A3546" s="3">
        <f ca="1">IFERROR(__xludf.DUMMYFUNCTION("""COMPUTED_VALUE"""),43497.6666666666)</f>
        <v>43497.666666666599</v>
      </c>
      <c r="B3546" s="1">
        <f ca="1">IFERROR(__xludf.DUMMYFUNCTION("""COMPUTED_VALUE"""),41.63)</f>
        <v>41.63</v>
      </c>
    </row>
    <row r="3547" spans="1:2">
      <c r="A3547" s="3">
        <f ca="1">IFERROR(__xludf.DUMMYFUNCTION("""COMPUTED_VALUE"""),43500.6666666666)</f>
        <v>43500.666666666599</v>
      </c>
      <c r="B3547" s="1">
        <f ca="1">IFERROR(__xludf.DUMMYFUNCTION("""COMPUTED_VALUE"""),42.81)</f>
        <v>42.81</v>
      </c>
    </row>
    <row r="3548" spans="1:2">
      <c r="A3548" s="3">
        <f ca="1">IFERROR(__xludf.DUMMYFUNCTION("""COMPUTED_VALUE"""),43501.6666666666)</f>
        <v>43501.666666666599</v>
      </c>
      <c r="B3548" s="1">
        <f ca="1">IFERROR(__xludf.DUMMYFUNCTION("""COMPUTED_VALUE"""),43.55)</f>
        <v>43.55</v>
      </c>
    </row>
    <row r="3549" spans="1:2">
      <c r="A3549" s="3">
        <f ca="1">IFERROR(__xludf.DUMMYFUNCTION("""COMPUTED_VALUE"""),43502.6666666666)</f>
        <v>43502.666666666599</v>
      </c>
      <c r="B3549" s="1">
        <f ca="1">IFERROR(__xludf.DUMMYFUNCTION("""COMPUTED_VALUE"""),43.56)</f>
        <v>43.56</v>
      </c>
    </row>
    <row r="3550" spans="1:2">
      <c r="A3550" s="3">
        <f ca="1">IFERROR(__xludf.DUMMYFUNCTION("""COMPUTED_VALUE"""),43503.6666666666)</f>
        <v>43503.666666666599</v>
      </c>
      <c r="B3550" s="1">
        <f ca="1">IFERROR(__xludf.DUMMYFUNCTION("""COMPUTED_VALUE"""),42.74)</f>
        <v>42.74</v>
      </c>
    </row>
    <row r="3551" spans="1:2">
      <c r="A3551" s="3">
        <f ca="1">IFERROR(__xludf.DUMMYFUNCTION("""COMPUTED_VALUE"""),43504.6666666666)</f>
        <v>43504.666666666599</v>
      </c>
      <c r="B3551" s="1">
        <f ca="1">IFERROR(__xludf.DUMMYFUNCTION("""COMPUTED_VALUE"""),42.6)</f>
        <v>42.6</v>
      </c>
    </row>
    <row r="3552" spans="1:2">
      <c r="A3552" s="3">
        <f ca="1">IFERROR(__xludf.DUMMYFUNCTION("""COMPUTED_VALUE"""),43507.6666666666)</f>
        <v>43507.666666666599</v>
      </c>
      <c r="B3552" s="1">
        <f ca="1">IFERROR(__xludf.DUMMYFUNCTION("""COMPUTED_VALUE"""),42.36)</f>
        <v>42.36</v>
      </c>
    </row>
    <row r="3553" spans="1:2">
      <c r="A3553" s="3">
        <f ca="1">IFERROR(__xludf.DUMMYFUNCTION("""COMPUTED_VALUE"""),43508.6666666666)</f>
        <v>43508.666666666599</v>
      </c>
      <c r="B3553" s="1">
        <f ca="1">IFERROR(__xludf.DUMMYFUNCTION("""COMPUTED_VALUE"""),42.72)</f>
        <v>42.72</v>
      </c>
    </row>
    <row r="3554" spans="1:2">
      <c r="A3554" s="3">
        <f ca="1">IFERROR(__xludf.DUMMYFUNCTION("""COMPUTED_VALUE"""),43509.6666666666)</f>
        <v>43509.666666666599</v>
      </c>
      <c r="B3554" s="1">
        <f ca="1">IFERROR(__xludf.DUMMYFUNCTION("""COMPUTED_VALUE"""),42.55)</f>
        <v>42.55</v>
      </c>
    </row>
    <row r="3555" spans="1:2">
      <c r="A3555" s="3">
        <f ca="1">IFERROR(__xludf.DUMMYFUNCTION("""COMPUTED_VALUE"""),43510.6666666666)</f>
        <v>43510.666666666599</v>
      </c>
      <c r="B3555" s="1">
        <f ca="1">IFERROR(__xludf.DUMMYFUNCTION("""COMPUTED_VALUE"""),42.7)</f>
        <v>42.7</v>
      </c>
    </row>
    <row r="3556" spans="1:2">
      <c r="A3556" s="3">
        <f ca="1">IFERROR(__xludf.DUMMYFUNCTION("""COMPUTED_VALUE"""),43511.6666666666)</f>
        <v>43511.666666666599</v>
      </c>
      <c r="B3556" s="1">
        <f ca="1">IFERROR(__xludf.DUMMYFUNCTION("""COMPUTED_VALUE"""),42.61)</f>
        <v>42.61</v>
      </c>
    </row>
    <row r="3557" spans="1:2">
      <c r="A3557" s="3">
        <f ca="1">IFERROR(__xludf.DUMMYFUNCTION("""COMPUTED_VALUE"""),43515.6666666666)</f>
        <v>43515.666666666599</v>
      </c>
      <c r="B3557" s="1">
        <f ca="1">IFERROR(__xludf.DUMMYFUNCTION("""COMPUTED_VALUE"""),42.73)</f>
        <v>42.73</v>
      </c>
    </row>
    <row r="3558" spans="1:2">
      <c r="A3558" s="3">
        <f ca="1">IFERROR(__xludf.DUMMYFUNCTION("""COMPUTED_VALUE"""),43516.6666666666)</f>
        <v>43516.666666666599</v>
      </c>
      <c r="B3558" s="1">
        <f ca="1">IFERROR(__xludf.DUMMYFUNCTION("""COMPUTED_VALUE"""),43.01)</f>
        <v>43.01</v>
      </c>
    </row>
    <row r="3559" spans="1:2">
      <c r="A3559" s="3">
        <f ca="1">IFERROR(__xludf.DUMMYFUNCTION("""COMPUTED_VALUE"""),43517.6666666666)</f>
        <v>43517.666666666599</v>
      </c>
      <c r="B3559" s="1">
        <f ca="1">IFERROR(__xludf.DUMMYFUNCTION("""COMPUTED_VALUE"""),42.77)</f>
        <v>42.77</v>
      </c>
    </row>
    <row r="3560" spans="1:2">
      <c r="A3560" s="3">
        <f ca="1">IFERROR(__xludf.DUMMYFUNCTION("""COMPUTED_VALUE"""),43518.6666666666)</f>
        <v>43518.666666666599</v>
      </c>
      <c r="B3560" s="1">
        <f ca="1">IFERROR(__xludf.DUMMYFUNCTION("""COMPUTED_VALUE"""),43.24)</f>
        <v>43.24</v>
      </c>
    </row>
    <row r="3561" spans="1:2">
      <c r="A3561" s="3">
        <f ca="1">IFERROR(__xludf.DUMMYFUNCTION("""COMPUTED_VALUE"""),43521.6666666666)</f>
        <v>43521.666666666599</v>
      </c>
      <c r="B3561" s="1">
        <f ca="1">IFERROR(__xludf.DUMMYFUNCTION("""COMPUTED_VALUE"""),43.56)</f>
        <v>43.56</v>
      </c>
    </row>
    <row r="3562" spans="1:2">
      <c r="A3562" s="3">
        <f ca="1">IFERROR(__xludf.DUMMYFUNCTION("""COMPUTED_VALUE"""),43522.6666666666)</f>
        <v>43522.666666666599</v>
      </c>
      <c r="B3562" s="1">
        <f ca="1">IFERROR(__xludf.DUMMYFUNCTION("""COMPUTED_VALUE"""),43.58)</f>
        <v>43.58</v>
      </c>
    </row>
    <row r="3563" spans="1:2">
      <c r="A3563" s="3">
        <f ca="1">IFERROR(__xludf.DUMMYFUNCTION("""COMPUTED_VALUE"""),43523.6666666666)</f>
        <v>43523.666666666599</v>
      </c>
      <c r="B3563" s="1">
        <f ca="1">IFERROR(__xludf.DUMMYFUNCTION("""COMPUTED_VALUE"""),43.72)</f>
        <v>43.72</v>
      </c>
    </row>
    <row r="3564" spans="1:2">
      <c r="A3564" s="3">
        <f ca="1">IFERROR(__xludf.DUMMYFUNCTION("""COMPUTED_VALUE"""),43524.6666666666)</f>
        <v>43524.666666666599</v>
      </c>
      <c r="B3564" s="1">
        <f ca="1">IFERROR(__xludf.DUMMYFUNCTION("""COMPUTED_VALUE"""),43.29)</f>
        <v>43.29</v>
      </c>
    </row>
    <row r="3565" spans="1:2">
      <c r="A3565" s="3">
        <f ca="1">IFERROR(__xludf.DUMMYFUNCTION("""COMPUTED_VALUE"""),43525.6666666666)</f>
        <v>43525.666666666599</v>
      </c>
      <c r="B3565" s="1">
        <f ca="1">IFERROR(__xludf.DUMMYFUNCTION("""COMPUTED_VALUE"""),43.74)</f>
        <v>43.74</v>
      </c>
    </row>
    <row r="3566" spans="1:2">
      <c r="A3566" s="3">
        <f ca="1">IFERROR(__xludf.DUMMYFUNCTION("""COMPUTED_VALUE"""),43528.6666666666)</f>
        <v>43528.666666666599</v>
      </c>
      <c r="B3566" s="1">
        <f ca="1">IFERROR(__xludf.DUMMYFUNCTION("""COMPUTED_VALUE"""),43.96)</f>
        <v>43.96</v>
      </c>
    </row>
    <row r="3567" spans="1:2">
      <c r="A3567" s="3">
        <f ca="1">IFERROR(__xludf.DUMMYFUNCTION("""COMPUTED_VALUE"""),43529.6666666666)</f>
        <v>43529.666666666599</v>
      </c>
      <c r="B3567" s="1">
        <f ca="1">IFERROR(__xludf.DUMMYFUNCTION("""COMPUTED_VALUE"""),43.88)</f>
        <v>43.88</v>
      </c>
    </row>
    <row r="3568" spans="1:2">
      <c r="A3568" s="3">
        <f ca="1">IFERROR(__xludf.DUMMYFUNCTION("""COMPUTED_VALUE"""),43530.6666666666)</f>
        <v>43530.666666666599</v>
      </c>
      <c r="B3568" s="1">
        <f ca="1">IFERROR(__xludf.DUMMYFUNCTION("""COMPUTED_VALUE"""),43.63)</f>
        <v>43.63</v>
      </c>
    </row>
    <row r="3569" spans="1:2">
      <c r="A3569" s="3">
        <f ca="1">IFERROR(__xludf.DUMMYFUNCTION("""COMPUTED_VALUE"""),43531.6666666666)</f>
        <v>43531.666666666599</v>
      </c>
      <c r="B3569" s="1">
        <f ca="1">IFERROR(__xludf.DUMMYFUNCTION("""COMPUTED_VALUE"""),43.13)</f>
        <v>43.13</v>
      </c>
    </row>
    <row r="3570" spans="1:2">
      <c r="A3570" s="3">
        <f ca="1">IFERROR(__xludf.DUMMYFUNCTION("""COMPUTED_VALUE"""),43532.6666666666)</f>
        <v>43532.666666666599</v>
      </c>
      <c r="B3570" s="1">
        <f ca="1">IFERROR(__xludf.DUMMYFUNCTION("""COMPUTED_VALUE"""),43.23)</f>
        <v>43.23</v>
      </c>
    </row>
    <row r="3571" spans="1:2">
      <c r="A3571" s="3">
        <f ca="1">IFERROR(__xludf.DUMMYFUNCTION("""COMPUTED_VALUE"""),43535.6666666666)</f>
        <v>43535.666666666599</v>
      </c>
      <c r="B3571" s="1">
        <f ca="1">IFERROR(__xludf.DUMMYFUNCTION("""COMPUTED_VALUE"""),44.73)</f>
        <v>44.73</v>
      </c>
    </row>
    <row r="3572" spans="1:2">
      <c r="A3572" s="3">
        <f ca="1">IFERROR(__xludf.DUMMYFUNCTION("""COMPUTED_VALUE"""),43536.6666666666)</f>
        <v>43536.666666666599</v>
      </c>
      <c r="B3572" s="1">
        <f ca="1">IFERROR(__xludf.DUMMYFUNCTION("""COMPUTED_VALUE"""),45.23)</f>
        <v>45.23</v>
      </c>
    </row>
    <row r="3573" spans="1:2">
      <c r="A3573" s="3">
        <f ca="1">IFERROR(__xludf.DUMMYFUNCTION("""COMPUTED_VALUE"""),43537.6666666666)</f>
        <v>43537.666666666599</v>
      </c>
      <c r="B3573" s="1">
        <f ca="1">IFERROR(__xludf.DUMMYFUNCTION("""COMPUTED_VALUE"""),45.43)</f>
        <v>45.43</v>
      </c>
    </row>
    <row r="3574" spans="1:2">
      <c r="A3574" s="3">
        <f ca="1">IFERROR(__xludf.DUMMYFUNCTION("""COMPUTED_VALUE"""),43538.6666666666)</f>
        <v>43538.666666666599</v>
      </c>
      <c r="B3574" s="1">
        <f ca="1">IFERROR(__xludf.DUMMYFUNCTION("""COMPUTED_VALUE"""),45.93)</f>
        <v>45.93</v>
      </c>
    </row>
    <row r="3575" spans="1:2">
      <c r="A3575" s="3">
        <f ca="1">IFERROR(__xludf.DUMMYFUNCTION("""COMPUTED_VALUE"""),43539.6666666666)</f>
        <v>43539.666666666599</v>
      </c>
      <c r="B3575" s="1">
        <f ca="1">IFERROR(__xludf.DUMMYFUNCTION("""COMPUTED_VALUE"""),46.53)</f>
        <v>46.53</v>
      </c>
    </row>
    <row r="3576" spans="1:2">
      <c r="A3576" s="3">
        <f ca="1">IFERROR(__xludf.DUMMYFUNCTION("""COMPUTED_VALUE"""),43542.6666666666)</f>
        <v>43542.666666666599</v>
      </c>
      <c r="B3576" s="1">
        <f ca="1">IFERROR(__xludf.DUMMYFUNCTION("""COMPUTED_VALUE"""),47.01)</f>
        <v>47.01</v>
      </c>
    </row>
    <row r="3577" spans="1:2">
      <c r="A3577" s="3">
        <f ca="1">IFERROR(__xludf.DUMMYFUNCTION("""COMPUTED_VALUE"""),43543.6666666666)</f>
        <v>43543.666666666599</v>
      </c>
      <c r="B3577" s="1">
        <f ca="1">IFERROR(__xludf.DUMMYFUNCTION("""COMPUTED_VALUE"""),46.63)</f>
        <v>46.63</v>
      </c>
    </row>
    <row r="3578" spans="1:2">
      <c r="A3578" s="3">
        <f ca="1">IFERROR(__xludf.DUMMYFUNCTION("""COMPUTED_VALUE"""),43544.6666666666)</f>
        <v>43544.666666666599</v>
      </c>
      <c r="B3578" s="1">
        <f ca="1">IFERROR(__xludf.DUMMYFUNCTION("""COMPUTED_VALUE"""),47.04)</f>
        <v>47.04</v>
      </c>
    </row>
    <row r="3579" spans="1:2">
      <c r="A3579" s="3">
        <f ca="1">IFERROR(__xludf.DUMMYFUNCTION("""COMPUTED_VALUE"""),43545.6666666666)</f>
        <v>43545.666666666599</v>
      </c>
      <c r="B3579" s="1">
        <f ca="1">IFERROR(__xludf.DUMMYFUNCTION("""COMPUTED_VALUE"""),48.77)</f>
        <v>48.77</v>
      </c>
    </row>
    <row r="3580" spans="1:2">
      <c r="A3580" s="3">
        <f ca="1">IFERROR(__xludf.DUMMYFUNCTION("""COMPUTED_VALUE"""),43546.6666666666)</f>
        <v>43546.666666666599</v>
      </c>
      <c r="B3580" s="1">
        <f ca="1">IFERROR(__xludf.DUMMYFUNCTION("""COMPUTED_VALUE"""),47.76)</f>
        <v>47.76</v>
      </c>
    </row>
    <row r="3581" spans="1:2">
      <c r="A3581" s="3">
        <f ca="1">IFERROR(__xludf.DUMMYFUNCTION("""COMPUTED_VALUE"""),43549.6666666666)</f>
        <v>43549.666666666599</v>
      </c>
      <c r="B3581" s="1">
        <f ca="1">IFERROR(__xludf.DUMMYFUNCTION("""COMPUTED_VALUE"""),47.19)</f>
        <v>47.19</v>
      </c>
    </row>
    <row r="3582" spans="1:2">
      <c r="A3582" s="3">
        <f ca="1">IFERROR(__xludf.DUMMYFUNCTION("""COMPUTED_VALUE"""),43550.6666666666)</f>
        <v>43550.666666666599</v>
      </c>
      <c r="B3582" s="1">
        <f ca="1">IFERROR(__xludf.DUMMYFUNCTION("""COMPUTED_VALUE"""),46.7)</f>
        <v>46.7</v>
      </c>
    </row>
    <row r="3583" spans="1:2">
      <c r="A3583" s="3">
        <f ca="1">IFERROR(__xludf.DUMMYFUNCTION("""COMPUTED_VALUE"""),43551.6666666666)</f>
        <v>43551.666666666599</v>
      </c>
      <c r="B3583" s="1">
        <f ca="1">IFERROR(__xludf.DUMMYFUNCTION("""COMPUTED_VALUE"""),47.12)</f>
        <v>47.12</v>
      </c>
    </row>
    <row r="3584" spans="1:2">
      <c r="A3584" s="3">
        <f ca="1">IFERROR(__xludf.DUMMYFUNCTION("""COMPUTED_VALUE"""),43552.6666666666)</f>
        <v>43552.666666666599</v>
      </c>
      <c r="B3584" s="1">
        <f ca="1">IFERROR(__xludf.DUMMYFUNCTION("""COMPUTED_VALUE"""),47.18)</f>
        <v>47.18</v>
      </c>
    </row>
    <row r="3585" spans="1:2">
      <c r="A3585" s="3">
        <f ca="1">IFERROR(__xludf.DUMMYFUNCTION("""COMPUTED_VALUE"""),43553.6666666666)</f>
        <v>43553.666666666599</v>
      </c>
      <c r="B3585" s="1">
        <f ca="1">IFERROR(__xludf.DUMMYFUNCTION("""COMPUTED_VALUE"""),47.49)</f>
        <v>47.49</v>
      </c>
    </row>
    <row r="3586" spans="1:2">
      <c r="A3586" s="3">
        <f ca="1">IFERROR(__xludf.DUMMYFUNCTION("""COMPUTED_VALUE"""),43556.6666666666)</f>
        <v>43556.666666666599</v>
      </c>
      <c r="B3586" s="1">
        <f ca="1">IFERROR(__xludf.DUMMYFUNCTION("""COMPUTED_VALUE"""),47.81)</f>
        <v>47.81</v>
      </c>
    </row>
    <row r="3587" spans="1:2">
      <c r="A3587" s="3">
        <f ca="1">IFERROR(__xludf.DUMMYFUNCTION("""COMPUTED_VALUE"""),43557.6666666666)</f>
        <v>43557.666666666599</v>
      </c>
      <c r="B3587" s="1">
        <f ca="1">IFERROR(__xludf.DUMMYFUNCTION("""COMPUTED_VALUE"""),48.51)</f>
        <v>48.51</v>
      </c>
    </row>
    <row r="3588" spans="1:2">
      <c r="A3588" s="3">
        <f ca="1">IFERROR(__xludf.DUMMYFUNCTION("""COMPUTED_VALUE"""),43558.6666666666)</f>
        <v>43558.666666666599</v>
      </c>
      <c r="B3588" s="1">
        <f ca="1">IFERROR(__xludf.DUMMYFUNCTION("""COMPUTED_VALUE"""),48.84)</f>
        <v>48.84</v>
      </c>
    </row>
    <row r="3589" spans="1:2">
      <c r="A3589" s="3">
        <f ca="1">IFERROR(__xludf.DUMMYFUNCTION("""COMPUTED_VALUE"""),43559.6666666666)</f>
        <v>43559.666666666599</v>
      </c>
      <c r="B3589" s="1">
        <f ca="1">IFERROR(__xludf.DUMMYFUNCTION("""COMPUTED_VALUE"""),48.92)</f>
        <v>48.92</v>
      </c>
    </row>
    <row r="3590" spans="1:2">
      <c r="A3590" s="3">
        <f ca="1">IFERROR(__xludf.DUMMYFUNCTION("""COMPUTED_VALUE"""),43560.6666666666)</f>
        <v>43560.666666666599</v>
      </c>
      <c r="B3590" s="1">
        <f ca="1">IFERROR(__xludf.DUMMYFUNCTION("""COMPUTED_VALUE"""),49.25)</f>
        <v>49.25</v>
      </c>
    </row>
    <row r="3591" spans="1:2">
      <c r="A3591" s="3">
        <f ca="1">IFERROR(__xludf.DUMMYFUNCTION("""COMPUTED_VALUE"""),43563.6666666666)</f>
        <v>43563.666666666599</v>
      </c>
      <c r="B3591" s="1">
        <f ca="1">IFERROR(__xludf.DUMMYFUNCTION("""COMPUTED_VALUE"""),50.03)</f>
        <v>50.03</v>
      </c>
    </row>
    <row r="3592" spans="1:2">
      <c r="A3592" s="3">
        <f ca="1">IFERROR(__xludf.DUMMYFUNCTION("""COMPUTED_VALUE"""),43564.6666666666)</f>
        <v>43564.666666666599</v>
      </c>
      <c r="B3592" s="1">
        <f ca="1">IFERROR(__xludf.DUMMYFUNCTION("""COMPUTED_VALUE"""),49.88)</f>
        <v>49.88</v>
      </c>
    </row>
    <row r="3593" spans="1:2">
      <c r="A3593" s="3">
        <f ca="1">IFERROR(__xludf.DUMMYFUNCTION("""COMPUTED_VALUE"""),43565.6666666666)</f>
        <v>43565.666666666599</v>
      </c>
      <c r="B3593" s="1">
        <f ca="1">IFERROR(__xludf.DUMMYFUNCTION("""COMPUTED_VALUE"""),50.16)</f>
        <v>50.16</v>
      </c>
    </row>
    <row r="3594" spans="1:2">
      <c r="A3594" s="3">
        <f ca="1">IFERROR(__xludf.DUMMYFUNCTION("""COMPUTED_VALUE"""),43566.6666666666)</f>
        <v>43566.666666666599</v>
      </c>
      <c r="B3594" s="1">
        <f ca="1">IFERROR(__xludf.DUMMYFUNCTION("""COMPUTED_VALUE"""),49.74)</f>
        <v>49.74</v>
      </c>
    </row>
    <row r="3595" spans="1:2">
      <c r="A3595" s="3">
        <f ca="1">IFERROR(__xludf.DUMMYFUNCTION("""COMPUTED_VALUE"""),43567.6666666666)</f>
        <v>43567.666666666599</v>
      </c>
      <c r="B3595" s="1">
        <f ca="1">IFERROR(__xludf.DUMMYFUNCTION("""COMPUTED_VALUE"""),49.72)</f>
        <v>49.72</v>
      </c>
    </row>
    <row r="3596" spans="1:2">
      <c r="A3596" s="3">
        <f ca="1">IFERROR(__xludf.DUMMYFUNCTION("""COMPUTED_VALUE"""),43570.6666666666)</f>
        <v>43570.666666666599</v>
      </c>
      <c r="B3596" s="1">
        <f ca="1">IFERROR(__xludf.DUMMYFUNCTION("""COMPUTED_VALUE"""),49.81)</f>
        <v>49.81</v>
      </c>
    </row>
    <row r="3597" spans="1:2">
      <c r="A3597" s="3">
        <f ca="1">IFERROR(__xludf.DUMMYFUNCTION("""COMPUTED_VALUE"""),43571.6666666666)</f>
        <v>43571.666666666599</v>
      </c>
      <c r="B3597" s="1">
        <f ca="1">IFERROR(__xludf.DUMMYFUNCTION("""COMPUTED_VALUE"""),49.81)</f>
        <v>49.81</v>
      </c>
    </row>
    <row r="3598" spans="1:2">
      <c r="A3598" s="3">
        <f ca="1">IFERROR(__xludf.DUMMYFUNCTION("""COMPUTED_VALUE"""),43572.6666666666)</f>
        <v>43572.666666666599</v>
      </c>
      <c r="B3598" s="1">
        <f ca="1">IFERROR(__xludf.DUMMYFUNCTION("""COMPUTED_VALUE"""),50.78)</f>
        <v>50.78</v>
      </c>
    </row>
    <row r="3599" spans="1:2">
      <c r="A3599" s="3">
        <f ca="1">IFERROR(__xludf.DUMMYFUNCTION("""COMPUTED_VALUE"""),43573.6666666666)</f>
        <v>43573.666666666599</v>
      </c>
      <c r="B3599" s="1">
        <f ca="1">IFERROR(__xludf.DUMMYFUNCTION("""COMPUTED_VALUE"""),50.97)</f>
        <v>50.97</v>
      </c>
    </row>
    <row r="3600" spans="1:2">
      <c r="A3600" s="3">
        <f ca="1">IFERROR(__xludf.DUMMYFUNCTION("""COMPUTED_VALUE"""),43577.6666666666)</f>
        <v>43577.666666666599</v>
      </c>
      <c r="B3600" s="1">
        <f ca="1">IFERROR(__xludf.DUMMYFUNCTION("""COMPUTED_VALUE"""),51.13)</f>
        <v>51.13</v>
      </c>
    </row>
    <row r="3601" spans="1:2">
      <c r="A3601" s="3">
        <f ca="1">IFERROR(__xludf.DUMMYFUNCTION("""COMPUTED_VALUE"""),43578.6666666666)</f>
        <v>43578.666666666599</v>
      </c>
      <c r="B3601" s="1">
        <f ca="1">IFERROR(__xludf.DUMMYFUNCTION("""COMPUTED_VALUE"""),51.87)</f>
        <v>51.87</v>
      </c>
    </row>
    <row r="3602" spans="1:2">
      <c r="A3602" s="3">
        <f ca="1">IFERROR(__xludf.DUMMYFUNCTION("""COMPUTED_VALUE"""),43579.6666666666)</f>
        <v>43579.666666666599</v>
      </c>
      <c r="B3602" s="1">
        <f ca="1">IFERROR(__xludf.DUMMYFUNCTION("""COMPUTED_VALUE"""),51.79)</f>
        <v>51.79</v>
      </c>
    </row>
    <row r="3603" spans="1:2">
      <c r="A3603" s="3">
        <f ca="1">IFERROR(__xludf.DUMMYFUNCTION("""COMPUTED_VALUE"""),43580.6666666666)</f>
        <v>43580.666666666599</v>
      </c>
      <c r="B3603" s="1">
        <f ca="1">IFERROR(__xludf.DUMMYFUNCTION("""COMPUTED_VALUE"""),51.32)</f>
        <v>51.32</v>
      </c>
    </row>
    <row r="3604" spans="1:2">
      <c r="A3604" s="3">
        <f ca="1">IFERROR(__xludf.DUMMYFUNCTION("""COMPUTED_VALUE"""),43581.6666666666)</f>
        <v>43581.666666666599</v>
      </c>
      <c r="B3604" s="1">
        <f ca="1">IFERROR(__xludf.DUMMYFUNCTION("""COMPUTED_VALUE"""),51.08)</f>
        <v>51.08</v>
      </c>
    </row>
    <row r="3605" spans="1:2">
      <c r="A3605" s="3">
        <f ca="1">IFERROR(__xludf.DUMMYFUNCTION("""COMPUTED_VALUE"""),43584.6666666666)</f>
        <v>43584.666666666599</v>
      </c>
      <c r="B3605" s="1">
        <f ca="1">IFERROR(__xludf.DUMMYFUNCTION("""COMPUTED_VALUE"""),51.15)</f>
        <v>51.15</v>
      </c>
    </row>
    <row r="3606" spans="1:2">
      <c r="A3606" s="3">
        <f ca="1">IFERROR(__xludf.DUMMYFUNCTION("""COMPUTED_VALUE"""),43585.6666666666)</f>
        <v>43585.666666666599</v>
      </c>
      <c r="B3606" s="1">
        <f ca="1">IFERROR(__xludf.DUMMYFUNCTION("""COMPUTED_VALUE"""),50.17)</f>
        <v>50.17</v>
      </c>
    </row>
    <row r="3607" spans="1:2">
      <c r="A3607" s="3">
        <f ca="1">IFERROR(__xludf.DUMMYFUNCTION("""COMPUTED_VALUE"""),43586.6666666666)</f>
        <v>43586.666666666599</v>
      </c>
      <c r="B3607" s="1">
        <f ca="1">IFERROR(__xludf.DUMMYFUNCTION("""COMPUTED_VALUE"""),52.63)</f>
        <v>52.63</v>
      </c>
    </row>
    <row r="3608" spans="1:2">
      <c r="A3608" s="3">
        <f ca="1">IFERROR(__xludf.DUMMYFUNCTION("""COMPUTED_VALUE"""),43587.6666666666)</f>
        <v>43587.666666666599</v>
      </c>
      <c r="B3608" s="1">
        <f ca="1">IFERROR(__xludf.DUMMYFUNCTION("""COMPUTED_VALUE"""),52.29)</f>
        <v>52.29</v>
      </c>
    </row>
    <row r="3609" spans="1:2">
      <c r="A3609" s="3">
        <f ca="1">IFERROR(__xludf.DUMMYFUNCTION("""COMPUTED_VALUE"""),43588.6666666666)</f>
        <v>43588.666666666599</v>
      </c>
      <c r="B3609" s="1">
        <f ca="1">IFERROR(__xludf.DUMMYFUNCTION("""COMPUTED_VALUE"""),52.94)</f>
        <v>52.94</v>
      </c>
    </row>
    <row r="3610" spans="1:2">
      <c r="A3610" s="3">
        <f ca="1">IFERROR(__xludf.DUMMYFUNCTION("""COMPUTED_VALUE"""),43591.6666666666)</f>
        <v>43591.666666666599</v>
      </c>
      <c r="B3610" s="1">
        <f ca="1">IFERROR(__xludf.DUMMYFUNCTION("""COMPUTED_VALUE"""),52.12)</f>
        <v>52.12</v>
      </c>
    </row>
    <row r="3611" spans="1:2">
      <c r="A3611" s="3">
        <f ca="1">IFERROR(__xludf.DUMMYFUNCTION("""COMPUTED_VALUE"""),43592.6666666666)</f>
        <v>43592.666666666599</v>
      </c>
      <c r="B3611" s="1">
        <f ca="1">IFERROR(__xludf.DUMMYFUNCTION("""COMPUTED_VALUE"""),50.72)</f>
        <v>50.72</v>
      </c>
    </row>
    <row r="3612" spans="1:2">
      <c r="A3612" s="3">
        <f ca="1">IFERROR(__xludf.DUMMYFUNCTION("""COMPUTED_VALUE"""),43593.6666666666)</f>
        <v>43593.666666666599</v>
      </c>
      <c r="B3612" s="1">
        <f ca="1">IFERROR(__xludf.DUMMYFUNCTION("""COMPUTED_VALUE"""),50.73)</f>
        <v>50.73</v>
      </c>
    </row>
    <row r="3613" spans="1:2">
      <c r="A3613" s="3">
        <f ca="1">IFERROR(__xludf.DUMMYFUNCTION("""COMPUTED_VALUE"""),43594.6666666666)</f>
        <v>43594.666666666599</v>
      </c>
      <c r="B3613" s="1">
        <f ca="1">IFERROR(__xludf.DUMMYFUNCTION("""COMPUTED_VALUE"""),50.18)</f>
        <v>50.18</v>
      </c>
    </row>
    <row r="3614" spans="1:2">
      <c r="A3614" s="3">
        <f ca="1">IFERROR(__xludf.DUMMYFUNCTION("""COMPUTED_VALUE"""),43595.6666666666)</f>
        <v>43595.666666666599</v>
      </c>
      <c r="B3614" s="1">
        <f ca="1">IFERROR(__xludf.DUMMYFUNCTION("""COMPUTED_VALUE"""),49.3)</f>
        <v>49.3</v>
      </c>
    </row>
    <row r="3615" spans="1:2">
      <c r="A3615" s="3">
        <f ca="1">IFERROR(__xludf.DUMMYFUNCTION("""COMPUTED_VALUE"""),43598.6666666666)</f>
        <v>43598.666666666599</v>
      </c>
      <c r="B3615" s="1">
        <f ca="1">IFERROR(__xludf.DUMMYFUNCTION("""COMPUTED_VALUE"""),46.43)</f>
        <v>46.43</v>
      </c>
    </row>
    <row r="3616" spans="1:2">
      <c r="A3616" s="3">
        <f ca="1">IFERROR(__xludf.DUMMYFUNCTION("""COMPUTED_VALUE"""),43599.6666666666)</f>
        <v>43599.666666666599</v>
      </c>
      <c r="B3616" s="1">
        <f ca="1">IFERROR(__xludf.DUMMYFUNCTION("""COMPUTED_VALUE"""),47.17)</f>
        <v>47.17</v>
      </c>
    </row>
    <row r="3617" spans="1:2">
      <c r="A3617" s="3">
        <f ca="1">IFERROR(__xludf.DUMMYFUNCTION("""COMPUTED_VALUE"""),43600.6666666666)</f>
        <v>43600.666666666599</v>
      </c>
      <c r="B3617" s="1">
        <f ca="1">IFERROR(__xludf.DUMMYFUNCTION("""COMPUTED_VALUE"""),47.73)</f>
        <v>47.73</v>
      </c>
    </row>
    <row r="3618" spans="1:2">
      <c r="A3618" s="3">
        <f ca="1">IFERROR(__xludf.DUMMYFUNCTION("""COMPUTED_VALUE"""),43601.6666666666)</f>
        <v>43601.666666666599</v>
      </c>
      <c r="B3618" s="1">
        <f ca="1">IFERROR(__xludf.DUMMYFUNCTION("""COMPUTED_VALUE"""),47.52)</f>
        <v>47.52</v>
      </c>
    </row>
    <row r="3619" spans="1:2">
      <c r="A3619" s="3">
        <f ca="1">IFERROR(__xludf.DUMMYFUNCTION("""COMPUTED_VALUE"""),43602.6666666666)</f>
        <v>43602.666666666599</v>
      </c>
      <c r="B3619" s="1">
        <f ca="1">IFERROR(__xludf.DUMMYFUNCTION("""COMPUTED_VALUE"""),47.25)</f>
        <v>47.25</v>
      </c>
    </row>
    <row r="3620" spans="1:2">
      <c r="A3620" s="3">
        <f ca="1">IFERROR(__xludf.DUMMYFUNCTION("""COMPUTED_VALUE"""),43605.6666666666)</f>
        <v>43605.666666666599</v>
      </c>
      <c r="B3620" s="1">
        <f ca="1">IFERROR(__xludf.DUMMYFUNCTION("""COMPUTED_VALUE"""),45.77)</f>
        <v>45.77</v>
      </c>
    </row>
    <row r="3621" spans="1:2">
      <c r="A3621" s="3">
        <f ca="1">IFERROR(__xludf.DUMMYFUNCTION("""COMPUTED_VALUE"""),43606.6666666666)</f>
        <v>43606.666666666599</v>
      </c>
      <c r="B3621" s="1">
        <f ca="1">IFERROR(__xludf.DUMMYFUNCTION("""COMPUTED_VALUE"""),46.65)</f>
        <v>46.65</v>
      </c>
    </row>
    <row r="3622" spans="1:2">
      <c r="A3622" s="3">
        <f ca="1">IFERROR(__xludf.DUMMYFUNCTION("""COMPUTED_VALUE"""),43607.6666666666)</f>
        <v>43607.666666666599</v>
      </c>
      <c r="B3622" s="1">
        <f ca="1">IFERROR(__xludf.DUMMYFUNCTION("""COMPUTED_VALUE"""),45.7)</f>
        <v>45.7</v>
      </c>
    </row>
    <row r="3623" spans="1:2">
      <c r="A3623" s="3">
        <f ca="1">IFERROR(__xludf.DUMMYFUNCTION("""COMPUTED_VALUE"""),43608.6666666666)</f>
        <v>43608.666666666599</v>
      </c>
      <c r="B3623" s="1">
        <f ca="1">IFERROR(__xludf.DUMMYFUNCTION("""COMPUTED_VALUE"""),44.92)</f>
        <v>44.92</v>
      </c>
    </row>
    <row r="3624" spans="1:2">
      <c r="A3624" s="3">
        <f ca="1">IFERROR(__xludf.DUMMYFUNCTION("""COMPUTED_VALUE"""),43609.6666666666)</f>
        <v>43609.666666666599</v>
      </c>
      <c r="B3624" s="1">
        <f ca="1">IFERROR(__xludf.DUMMYFUNCTION("""COMPUTED_VALUE"""),44.74)</f>
        <v>44.74</v>
      </c>
    </row>
    <row r="3625" spans="1:2">
      <c r="A3625" s="3">
        <f ca="1">IFERROR(__xludf.DUMMYFUNCTION("""COMPUTED_VALUE"""),43613.6666666666)</f>
        <v>43613.666666666599</v>
      </c>
      <c r="B3625" s="1">
        <f ca="1">IFERROR(__xludf.DUMMYFUNCTION("""COMPUTED_VALUE"""),44.56)</f>
        <v>44.56</v>
      </c>
    </row>
    <row r="3626" spans="1:2">
      <c r="A3626" s="3">
        <f ca="1">IFERROR(__xludf.DUMMYFUNCTION("""COMPUTED_VALUE"""),43614.6666666666)</f>
        <v>43614.666666666599</v>
      </c>
      <c r="B3626" s="1">
        <f ca="1">IFERROR(__xludf.DUMMYFUNCTION("""COMPUTED_VALUE"""),44.35)</f>
        <v>44.35</v>
      </c>
    </row>
    <row r="3627" spans="1:2">
      <c r="A3627" s="3">
        <f ca="1">IFERROR(__xludf.DUMMYFUNCTION("""COMPUTED_VALUE"""),43615.6666666666)</f>
        <v>43615.666666666599</v>
      </c>
      <c r="B3627" s="1">
        <f ca="1">IFERROR(__xludf.DUMMYFUNCTION("""COMPUTED_VALUE"""),44.58)</f>
        <v>44.58</v>
      </c>
    </row>
    <row r="3628" spans="1:2">
      <c r="A3628" s="3">
        <f ca="1">IFERROR(__xludf.DUMMYFUNCTION("""COMPUTED_VALUE"""),43616.6666666666)</f>
        <v>43616.666666666599</v>
      </c>
      <c r="B3628" s="1">
        <f ca="1">IFERROR(__xludf.DUMMYFUNCTION("""COMPUTED_VALUE"""),43.77)</f>
        <v>43.77</v>
      </c>
    </row>
    <row r="3629" spans="1:2">
      <c r="A3629" s="3">
        <f ca="1">IFERROR(__xludf.DUMMYFUNCTION("""COMPUTED_VALUE"""),43619.6666666666)</f>
        <v>43619.666666666599</v>
      </c>
      <c r="B3629" s="1">
        <f ca="1">IFERROR(__xludf.DUMMYFUNCTION("""COMPUTED_VALUE"""),43.33)</f>
        <v>43.33</v>
      </c>
    </row>
    <row r="3630" spans="1:2">
      <c r="A3630" s="3">
        <f ca="1">IFERROR(__xludf.DUMMYFUNCTION("""COMPUTED_VALUE"""),43620.6666666666)</f>
        <v>43620.666666666599</v>
      </c>
      <c r="B3630" s="1">
        <f ca="1">IFERROR(__xludf.DUMMYFUNCTION("""COMPUTED_VALUE"""),44.91)</f>
        <v>44.91</v>
      </c>
    </row>
    <row r="3631" spans="1:2">
      <c r="A3631" s="3">
        <f ca="1">IFERROR(__xludf.DUMMYFUNCTION("""COMPUTED_VALUE"""),43621.6666666666)</f>
        <v>43621.666666666599</v>
      </c>
      <c r="B3631" s="1">
        <f ca="1">IFERROR(__xludf.DUMMYFUNCTION("""COMPUTED_VALUE"""),45.64)</f>
        <v>45.64</v>
      </c>
    </row>
    <row r="3632" spans="1:2">
      <c r="A3632" s="3">
        <f ca="1">IFERROR(__xludf.DUMMYFUNCTION("""COMPUTED_VALUE"""),43622.6666666666)</f>
        <v>43622.666666666599</v>
      </c>
      <c r="B3632" s="1">
        <f ca="1">IFERROR(__xludf.DUMMYFUNCTION("""COMPUTED_VALUE"""),46.31)</f>
        <v>46.31</v>
      </c>
    </row>
    <row r="3633" spans="1:2">
      <c r="A3633" s="3">
        <f ca="1">IFERROR(__xludf.DUMMYFUNCTION("""COMPUTED_VALUE"""),43623.6666666666)</f>
        <v>43623.666666666599</v>
      </c>
      <c r="B3633" s="1">
        <f ca="1">IFERROR(__xludf.DUMMYFUNCTION("""COMPUTED_VALUE"""),47.54)</f>
        <v>47.54</v>
      </c>
    </row>
    <row r="3634" spans="1:2">
      <c r="A3634" s="3">
        <f ca="1">IFERROR(__xludf.DUMMYFUNCTION("""COMPUTED_VALUE"""),43626.6666666666)</f>
        <v>43626.666666666599</v>
      </c>
      <c r="B3634" s="1">
        <f ca="1">IFERROR(__xludf.DUMMYFUNCTION("""COMPUTED_VALUE"""),48.15)</f>
        <v>48.15</v>
      </c>
    </row>
    <row r="3635" spans="1:2">
      <c r="A3635" s="3">
        <f ca="1">IFERROR(__xludf.DUMMYFUNCTION("""COMPUTED_VALUE"""),43627.6666666666)</f>
        <v>43627.666666666599</v>
      </c>
      <c r="B3635" s="1">
        <f ca="1">IFERROR(__xludf.DUMMYFUNCTION("""COMPUTED_VALUE"""),48.7)</f>
        <v>48.7</v>
      </c>
    </row>
    <row r="3636" spans="1:2">
      <c r="A3636" s="3">
        <f ca="1">IFERROR(__xludf.DUMMYFUNCTION("""COMPUTED_VALUE"""),43628.6666666666)</f>
        <v>43628.666666666599</v>
      </c>
      <c r="B3636" s="1">
        <f ca="1">IFERROR(__xludf.DUMMYFUNCTION("""COMPUTED_VALUE"""),48.55)</f>
        <v>48.55</v>
      </c>
    </row>
    <row r="3637" spans="1:2">
      <c r="A3637" s="3">
        <f ca="1">IFERROR(__xludf.DUMMYFUNCTION("""COMPUTED_VALUE"""),43629.6666666666)</f>
        <v>43629.666666666599</v>
      </c>
      <c r="B3637" s="1">
        <f ca="1">IFERROR(__xludf.DUMMYFUNCTION("""COMPUTED_VALUE"""),48.54)</f>
        <v>48.54</v>
      </c>
    </row>
    <row r="3638" spans="1:2">
      <c r="A3638" s="3">
        <f ca="1">IFERROR(__xludf.DUMMYFUNCTION("""COMPUTED_VALUE"""),43630.6666666666)</f>
        <v>43630.666666666599</v>
      </c>
      <c r="B3638" s="1">
        <f ca="1">IFERROR(__xludf.DUMMYFUNCTION("""COMPUTED_VALUE"""),48.19)</f>
        <v>48.19</v>
      </c>
    </row>
    <row r="3639" spans="1:2">
      <c r="A3639" s="3">
        <f ca="1">IFERROR(__xludf.DUMMYFUNCTION("""COMPUTED_VALUE"""),43633.6666666666)</f>
        <v>43633.666666666599</v>
      </c>
      <c r="B3639" s="1">
        <f ca="1">IFERROR(__xludf.DUMMYFUNCTION("""COMPUTED_VALUE"""),48.47)</f>
        <v>48.47</v>
      </c>
    </row>
    <row r="3640" spans="1:2">
      <c r="A3640" s="3">
        <f ca="1">IFERROR(__xludf.DUMMYFUNCTION("""COMPUTED_VALUE"""),43634.6666666666)</f>
        <v>43634.666666666599</v>
      </c>
      <c r="B3640" s="1">
        <f ca="1">IFERROR(__xludf.DUMMYFUNCTION("""COMPUTED_VALUE"""),49.61)</f>
        <v>49.61</v>
      </c>
    </row>
    <row r="3641" spans="1:2">
      <c r="A3641" s="3">
        <f ca="1">IFERROR(__xludf.DUMMYFUNCTION("""COMPUTED_VALUE"""),43635.6666666666)</f>
        <v>43635.666666666599</v>
      </c>
      <c r="B3641" s="1">
        <f ca="1">IFERROR(__xludf.DUMMYFUNCTION("""COMPUTED_VALUE"""),49.47)</f>
        <v>49.47</v>
      </c>
    </row>
    <row r="3642" spans="1:2">
      <c r="A3642" s="3">
        <f ca="1">IFERROR(__xludf.DUMMYFUNCTION("""COMPUTED_VALUE"""),43636.6666666666)</f>
        <v>43636.666666666599</v>
      </c>
      <c r="B3642" s="1">
        <f ca="1">IFERROR(__xludf.DUMMYFUNCTION("""COMPUTED_VALUE"""),49.87)</f>
        <v>49.87</v>
      </c>
    </row>
    <row r="3643" spans="1:2">
      <c r="A3643" s="3">
        <f ca="1">IFERROR(__xludf.DUMMYFUNCTION("""COMPUTED_VALUE"""),43637.6666666666)</f>
        <v>43637.666666666599</v>
      </c>
      <c r="B3643" s="1">
        <f ca="1">IFERROR(__xludf.DUMMYFUNCTION("""COMPUTED_VALUE"""),49.7)</f>
        <v>49.7</v>
      </c>
    </row>
    <row r="3644" spans="1:2">
      <c r="A3644" s="3">
        <f ca="1">IFERROR(__xludf.DUMMYFUNCTION("""COMPUTED_VALUE"""),43640.6666666666)</f>
        <v>43640.666666666599</v>
      </c>
      <c r="B3644" s="1">
        <f ca="1">IFERROR(__xludf.DUMMYFUNCTION("""COMPUTED_VALUE"""),49.65)</f>
        <v>49.65</v>
      </c>
    </row>
    <row r="3645" spans="1:2">
      <c r="A3645" s="3">
        <f ca="1">IFERROR(__xludf.DUMMYFUNCTION("""COMPUTED_VALUE"""),43641.6666666666)</f>
        <v>43641.666666666599</v>
      </c>
      <c r="B3645" s="1">
        <f ca="1">IFERROR(__xludf.DUMMYFUNCTION("""COMPUTED_VALUE"""),48.89)</f>
        <v>48.89</v>
      </c>
    </row>
    <row r="3646" spans="1:2">
      <c r="A3646" s="3">
        <f ca="1">IFERROR(__xludf.DUMMYFUNCTION("""COMPUTED_VALUE"""),43642.6666666666)</f>
        <v>43642.666666666599</v>
      </c>
      <c r="B3646" s="1">
        <f ca="1">IFERROR(__xludf.DUMMYFUNCTION("""COMPUTED_VALUE"""),49.95)</f>
        <v>49.95</v>
      </c>
    </row>
    <row r="3647" spans="1:2">
      <c r="A3647" s="3">
        <f ca="1">IFERROR(__xludf.DUMMYFUNCTION("""COMPUTED_VALUE"""),43643.6666666666)</f>
        <v>43643.666666666599</v>
      </c>
      <c r="B3647" s="1">
        <f ca="1">IFERROR(__xludf.DUMMYFUNCTION("""COMPUTED_VALUE"""),49.94)</f>
        <v>49.94</v>
      </c>
    </row>
    <row r="3648" spans="1:2">
      <c r="A3648" s="3">
        <f ca="1">IFERROR(__xludf.DUMMYFUNCTION("""COMPUTED_VALUE"""),43644.6666666666)</f>
        <v>43644.666666666599</v>
      </c>
      <c r="B3648" s="1">
        <f ca="1">IFERROR(__xludf.DUMMYFUNCTION("""COMPUTED_VALUE"""),49.48)</f>
        <v>49.48</v>
      </c>
    </row>
    <row r="3649" spans="1:2">
      <c r="A3649" s="3">
        <f ca="1">IFERROR(__xludf.DUMMYFUNCTION("""COMPUTED_VALUE"""),43647.6666666666)</f>
        <v>43647.666666666599</v>
      </c>
      <c r="B3649" s="1">
        <f ca="1">IFERROR(__xludf.DUMMYFUNCTION("""COMPUTED_VALUE"""),50.39)</f>
        <v>50.39</v>
      </c>
    </row>
    <row r="3650" spans="1:2">
      <c r="A3650" s="3">
        <f ca="1">IFERROR(__xludf.DUMMYFUNCTION("""COMPUTED_VALUE"""),43648.6666666666)</f>
        <v>43648.666666666599</v>
      </c>
      <c r="B3650" s="1">
        <f ca="1">IFERROR(__xludf.DUMMYFUNCTION("""COMPUTED_VALUE"""),50.68)</f>
        <v>50.68</v>
      </c>
    </row>
    <row r="3651" spans="1:2">
      <c r="A3651" s="3">
        <f ca="1">IFERROR(__xludf.DUMMYFUNCTION("""COMPUTED_VALUE"""),43649.5416666666)</f>
        <v>43649.541666666599</v>
      </c>
      <c r="B3651" s="1">
        <f ca="1">IFERROR(__xludf.DUMMYFUNCTION("""COMPUTED_VALUE"""),51.1)</f>
        <v>51.1</v>
      </c>
    </row>
    <row r="3652" spans="1:2">
      <c r="A3652" s="3">
        <f ca="1">IFERROR(__xludf.DUMMYFUNCTION("""COMPUTED_VALUE"""),43651.6666666666)</f>
        <v>43651.666666666599</v>
      </c>
      <c r="B3652" s="1">
        <f ca="1">IFERROR(__xludf.DUMMYFUNCTION("""COMPUTED_VALUE"""),51.06)</f>
        <v>51.06</v>
      </c>
    </row>
    <row r="3653" spans="1:2">
      <c r="A3653" s="3">
        <f ca="1">IFERROR(__xludf.DUMMYFUNCTION("""COMPUTED_VALUE"""),43654.6666666666)</f>
        <v>43654.666666666599</v>
      </c>
      <c r="B3653" s="1">
        <f ca="1">IFERROR(__xludf.DUMMYFUNCTION("""COMPUTED_VALUE"""),50.01)</f>
        <v>50.01</v>
      </c>
    </row>
    <row r="3654" spans="1:2">
      <c r="A3654" s="3">
        <f ca="1">IFERROR(__xludf.DUMMYFUNCTION("""COMPUTED_VALUE"""),43655.6666666666)</f>
        <v>43655.666666666599</v>
      </c>
      <c r="B3654" s="1">
        <f ca="1">IFERROR(__xludf.DUMMYFUNCTION("""COMPUTED_VALUE"""),50.31)</f>
        <v>50.31</v>
      </c>
    </row>
    <row r="3655" spans="1:2">
      <c r="A3655" s="3">
        <f ca="1">IFERROR(__xludf.DUMMYFUNCTION("""COMPUTED_VALUE"""),43656.6666666666)</f>
        <v>43656.666666666599</v>
      </c>
      <c r="B3655" s="1">
        <f ca="1">IFERROR(__xludf.DUMMYFUNCTION("""COMPUTED_VALUE"""),50.81)</f>
        <v>50.81</v>
      </c>
    </row>
    <row r="3656" spans="1:2">
      <c r="A3656" s="3">
        <f ca="1">IFERROR(__xludf.DUMMYFUNCTION("""COMPUTED_VALUE"""),43657.6666666666)</f>
        <v>43657.666666666599</v>
      </c>
      <c r="B3656" s="1">
        <f ca="1">IFERROR(__xludf.DUMMYFUNCTION("""COMPUTED_VALUE"""),50.44)</f>
        <v>50.44</v>
      </c>
    </row>
    <row r="3657" spans="1:2">
      <c r="A3657" s="3">
        <f ca="1">IFERROR(__xludf.DUMMYFUNCTION("""COMPUTED_VALUE"""),43658.6666666666)</f>
        <v>43658.666666666599</v>
      </c>
      <c r="B3657" s="1">
        <f ca="1">IFERROR(__xludf.DUMMYFUNCTION("""COMPUTED_VALUE"""),50.83)</f>
        <v>50.83</v>
      </c>
    </row>
    <row r="3658" spans="1:2">
      <c r="A3658" s="3">
        <f ca="1">IFERROR(__xludf.DUMMYFUNCTION("""COMPUTED_VALUE"""),43661.6666666666)</f>
        <v>43661.666666666599</v>
      </c>
      <c r="B3658" s="1">
        <f ca="1">IFERROR(__xludf.DUMMYFUNCTION("""COMPUTED_VALUE"""),51.3)</f>
        <v>51.3</v>
      </c>
    </row>
    <row r="3659" spans="1:2">
      <c r="A3659" s="3">
        <f ca="1">IFERROR(__xludf.DUMMYFUNCTION("""COMPUTED_VALUE"""),43662.6666666666)</f>
        <v>43662.666666666599</v>
      </c>
      <c r="B3659" s="1">
        <f ca="1">IFERROR(__xludf.DUMMYFUNCTION("""COMPUTED_VALUE"""),51.13)</f>
        <v>51.13</v>
      </c>
    </row>
    <row r="3660" spans="1:2">
      <c r="A3660" s="3">
        <f ca="1">IFERROR(__xludf.DUMMYFUNCTION("""COMPUTED_VALUE"""),43663.6666666666)</f>
        <v>43663.666666666599</v>
      </c>
      <c r="B3660" s="1">
        <f ca="1">IFERROR(__xludf.DUMMYFUNCTION("""COMPUTED_VALUE"""),50.84)</f>
        <v>50.84</v>
      </c>
    </row>
    <row r="3661" spans="1:2">
      <c r="A3661" s="3">
        <f ca="1">IFERROR(__xludf.DUMMYFUNCTION("""COMPUTED_VALUE"""),43664.6666666666)</f>
        <v>43664.666666666599</v>
      </c>
      <c r="B3661" s="1">
        <f ca="1">IFERROR(__xludf.DUMMYFUNCTION("""COMPUTED_VALUE"""),51.42)</f>
        <v>51.42</v>
      </c>
    </row>
    <row r="3662" spans="1:2">
      <c r="A3662" s="3">
        <f ca="1">IFERROR(__xludf.DUMMYFUNCTION("""COMPUTED_VALUE"""),43665.6666666666)</f>
        <v>43665.666666666599</v>
      </c>
      <c r="B3662" s="1">
        <f ca="1">IFERROR(__xludf.DUMMYFUNCTION("""COMPUTED_VALUE"""),50.65)</f>
        <v>50.65</v>
      </c>
    </row>
    <row r="3663" spans="1:2">
      <c r="A3663" s="3">
        <f ca="1">IFERROR(__xludf.DUMMYFUNCTION("""COMPUTED_VALUE"""),43668.6666666666)</f>
        <v>43668.666666666599</v>
      </c>
      <c r="B3663" s="1">
        <f ca="1">IFERROR(__xludf.DUMMYFUNCTION("""COMPUTED_VALUE"""),51.81)</f>
        <v>51.81</v>
      </c>
    </row>
    <row r="3664" spans="1:2">
      <c r="A3664" s="3">
        <f ca="1">IFERROR(__xludf.DUMMYFUNCTION("""COMPUTED_VALUE"""),43669.6666666666)</f>
        <v>43669.666666666599</v>
      </c>
      <c r="B3664" s="1">
        <f ca="1">IFERROR(__xludf.DUMMYFUNCTION("""COMPUTED_VALUE"""),52.21)</f>
        <v>52.21</v>
      </c>
    </row>
    <row r="3665" spans="1:2">
      <c r="A3665" s="3">
        <f ca="1">IFERROR(__xludf.DUMMYFUNCTION("""COMPUTED_VALUE"""),43670.6666666666)</f>
        <v>43670.666666666599</v>
      </c>
      <c r="B3665" s="1">
        <f ca="1">IFERROR(__xludf.DUMMYFUNCTION("""COMPUTED_VALUE"""),52.17)</f>
        <v>52.17</v>
      </c>
    </row>
    <row r="3666" spans="1:2">
      <c r="A3666" s="3">
        <f ca="1">IFERROR(__xludf.DUMMYFUNCTION("""COMPUTED_VALUE"""),43671.6666666666)</f>
        <v>43671.666666666599</v>
      </c>
      <c r="B3666" s="1">
        <f ca="1">IFERROR(__xludf.DUMMYFUNCTION("""COMPUTED_VALUE"""),51.76)</f>
        <v>51.76</v>
      </c>
    </row>
    <row r="3667" spans="1:2">
      <c r="A3667" s="3">
        <f ca="1">IFERROR(__xludf.DUMMYFUNCTION("""COMPUTED_VALUE"""),43672.6666666666)</f>
        <v>43672.666666666599</v>
      </c>
      <c r="B3667" s="1">
        <f ca="1">IFERROR(__xludf.DUMMYFUNCTION("""COMPUTED_VALUE"""),51.94)</f>
        <v>51.94</v>
      </c>
    </row>
    <row r="3668" spans="1:2">
      <c r="A3668" s="3">
        <f ca="1">IFERROR(__xludf.DUMMYFUNCTION("""COMPUTED_VALUE"""),43675.6666666666)</f>
        <v>43675.666666666599</v>
      </c>
      <c r="B3668" s="1">
        <f ca="1">IFERROR(__xludf.DUMMYFUNCTION("""COMPUTED_VALUE"""),52.42)</f>
        <v>52.42</v>
      </c>
    </row>
    <row r="3669" spans="1:2">
      <c r="A3669" s="3">
        <f ca="1">IFERROR(__xludf.DUMMYFUNCTION("""COMPUTED_VALUE"""),43676.6666666666)</f>
        <v>43676.666666666599</v>
      </c>
      <c r="B3669" s="1">
        <f ca="1">IFERROR(__xludf.DUMMYFUNCTION("""COMPUTED_VALUE"""),52.2)</f>
        <v>52.2</v>
      </c>
    </row>
    <row r="3670" spans="1:2">
      <c r="A3670" s="3">
        <f ca="1">IFERROR(__xludf.DUMMYFUNCTION("""COMPUTED_VALUE"""),43677.6666666666)</f>
        <v>43677.666666666599</v>
      </c>
      <c r="B3670" s="1">
        <f ca="1">IFERROR(__xludf.DUMMYFUNCTION("""COMPUTED_VALUE"""),53.26)</f>
        <v>53.26</v>
      </c>
    </row>
    <row r="3671" spans="1:2">
      <c r="A3671" s="3">
        <f ca="1">IFERROR(__xludf.DUMMYFUNCTION("""COMPUTED_VALUE"""),43678.6666666666)</f>
        <v>43678.666666666599</v>
      </c>
      <c r="B3671" s="1">
        <f ca="1">IFERROR(__xludf.DUMMYFUNCTION("""COMPUTED_VALUE"""),52.11)</f>
        <v>52.11</v>
      </c>
    </row>
    <row r="3672" spans="1:2">
      <c r="A3672" s="3">
        <f ca="1">IFERROR(__xludf.DUMMYFUNCTION("""COMPUTED_VALUE"""),43679.6666666666)</f>
        <v>43679.666666666599</v>
      </c>
      <c r="B3672" s="1">
        <f ca="1">IFERROR(__xludf.DUMMYFUNCTION("""COMPUTED_VALUE"""),51.01)</f>
        <v>51.01</v>
      </c>
    </row>
    <row r="3673" spans="1:2">
      <c r="A3673" s="3">
        <f ca="1">IFERROR(__xludf.DUMMYFUNCTION("""COMPUTED_VALUE"""),43682.6666666666)</f>
        <v>43682.666666666599</v>
      </c>
      <c r="B3673" s="1">
        <f ca="1">IFERROR(__xludf.DUMMYFUNCTION("""COMPUTED_VALUE"""),48.34)</f>
        <v>48.34</v>
      </c>
    </row>
    <row r="3674" spans="1:2">
      <c r="A3674" s="3">
        <f ca="1">IFERROR(__xludf.DUMMYFUNCTION("""COMPUTED_VALUE"""),43683.6666666666)</f>
        <v>43683.666666666599</v>
      </c>
      <c r="B3674" s="1">
        <f ca="1">IFERROR(__xludf.DUMMYFUNCTION("""COMPUTED_VALUE"""),49.25)</f>
        <v>49.25</v>
      </c>
    </row>
    <row r="3675" spans="1:2">
      <c r="A3675" s="3">
        <f ca="1">IFERROR(__xludf.DUMMYFUNCTION("""COMPUTED_VALUE"""),43684.6666666666)</f>
        <v>43684.666666666599</v>
      </c>
      <c r="B3675" s="1">
        <f ca="1">IFERROR(__xludf.DUMMYFUNCTION("""COMPUTED_VALUE"""),49.76)</f>
        <v>49.76</v>
      </c>
    </row>
    <row r="3676" spans="1:2">
      <c r="A3676" s="3">
        <f ca="1">IFERROR(__xludf.DUMMYFUNCTION("""COMPUTED_VALUE"""),43685.6666666666)</f>
        <v>43685.666666666599</v>
      </c>
      <c r="B3676" s="1">
        <f ca="1">IFERROR(__xludf.DUMMYFUNCTION("""COMPUTED_VALUE"""),50.86)</f>
        <v>50.86</v>
      </c>
    </row>
    <row r="3677" spans="1:2">
      <c r="A3677" s="3">
        <f ca="1">IFERROR(__xludf.DUMMYFUNCTION("""COMPUTED_VALUE"""),43686.6666666666)</f>
        <v>43686.666666666599</v>
      </c>
      <c r="B3677" s="1">
        <f ca="1">IFERROR(__xludf.DUMMYFUNCTION("""COMPUTED_VALUE"""),50.25)</f>
        <v>50.25</v>
      </c>
    </row>
    <row r="3678" spans="1:2">
      <c r="A3678" s="3">
        <f ca="1">IFERROR(__xludf.DUMMYFUNCTION("""COMPUTED_VALUE"""),43689.6666666666)</f>
        <v>43689.666666666599</v>
      </c>
      <c r="B3678" s="1">
        <f ca="1">IFERROR(__xludf.DUMMYFUNCTION("""COMPUTED_VALUE"""),50.12)</f>
        <v>50.12</v>
      </c>
    </row>
    <row r="3679" spans="1:2">
      <c r="A3679" s="3">
        <f ca="1">IFERROR(__xludf.DUMMYFUNCTION("""COMPUTED_VALUE"""),43690.6666666666)</f>
        <v>43690.666666666599</v>
      </c>
      <c r="B3679" s="1">
        <f ca="1">IFERROR(__xludf.DUMMYFUNCTION("""COMPUTED_VALUE"""),52.24)</f>
        <v>52.24</v>
      </c>
    </row>
    <row r="3680" spans="1:2">
      <c r="A3680" s="3">
        <f ca="1">IFERROR(__xludf.DUMMYFUNCTION("""COMPUTED_VALUE"""),43691.6666666666)</f>
        <v>43691.666666666599</v>
      </c>
      <c r="B3680" s="1">
        <f ca="1">IFERROR(__xludf.DUMMYFUNCTION("""COMPUTED_VALUE"""),50.69)</f>
        <v>50.69</v>
      </c>
    </row>
    <row r="3681" spans="1:2">
      <c r="A3681" s="3">
        <f ca="1">IFERROR(__xludf.DUMMYFUNCTION("""COMPUTED_VALUE"""),43692.6666666666)</f>
        <v>43692.666666666599</v>
      </c>
      <c r="B3681" s="1">
        <f ca="1">IFERROR(__xludf.DUMMYFUNCTION("""COMPUTED_VALUE"""),50.44)</f>
        <v>50.44</v>
      </c>
    </row>
    <row r="3682" spans="1:2">
      <c r="A3682" s="3">
        <f ca="1">IFERROR(__xludf.DUMMYFUNCTION("""COMPUTED_VALUE"""),43693.6666666666)</f>
        <v>43693.666666666599</v>
      </c>
      <c r="B3682" s="1">
        <f ca="1">IFERROR(__xludf.DUMMYFUNCTION("""COMPUTED_VALUE"""),51.63)</f>
        <v>51.63</v>
      </c>
    </row>
    <row r="3683" spans="1:2">
      <c r="A3683" s="3">
        <f ca="1">IFERROR(__xludf.DUMMYFUNCTION("""COMPUTED_VALUE"""),43696.6666666666)</f>
        <v>43696.666666666599</v>
      </c>
      <c r="B3683" s="1">
        <f ca="1">IFERROR(__xludf.DUMMYFUNCTION("""COMPUTED_VALUE"""),52.59)</f>
        <v>52.59</v>
      </c>
    </row>
    <row r="3684" spans="1:2">
      <c r="A3684" s="3">
        <f ca="1">IFERROR(__xludf.DUMMYFUNCTION("""COMPUTED_VALUE"""),43697.6666666666)</f>
        <v>43697.666666666599</v>
      </c>
      <c r="B3684" s="1">
        <f ca="1">IFERROR(__xludf.DUMMYFUNCTION("""COMPUTED_VALUE"""),52.59)</f>
        <v>52.59</v>
      </c>
    </row>
    <row r="3685" spans="1:2">
      <c r="A3685" s="3">
        <f ca="1">IFERROR(__xludf.DUMMYFUNCTION("""COMPUTED_VALUE"""),43698.6666666666)</f>
        <v>43698.666666666599</v>
      </c>
      <c r="B3685" s="1">
        <f ca="1">IFERROR(__xludf.DUMMYFUNCTION("""COMPUTED_VALUE"""),53.16)</f>
        <v>53.16</v>
      </c>
    </row>
    <row r="3686" spans="1:2">
      <c r="A3686" s="3">
        <f ca="1">IFERROR(__xludf.DUMMYFUNCTION("""COMPUTED_VALUE"""),43699.6666666666)</f>
        <v>43699.666666666599</v>
      </c>
      <c r="B3686" s="1">
        <f ca="1">IFERROR(__xludf.DUMMYFUNCTION("""COMPUTED_VALUE"""),53.12)</f>
        <v>53.12</v>
      </c>
    </row>
    <row r="3687" spans="1:2">
      <c r="A3687" s="3">
        <f ca="1">IFERROR(__xludf.DUMMYFUNCTION("""COMPUTED_VALUE"""),43700.6666666666)</f>
        <v>43700.666666666599</v>
      </c>
      <c r="B3687" s="1">
        <f ca="1">IFERROR(__xludf.DUMMYFUNCTION("""COMPUTED_VALUE"""),50.66)</f>
        <v>50.66</v>
      </c>
    </row>
    <row r="3688" spans="1:2">
      <c r="A3688" s="3">
        <f ca="1">IFERROR(__xludf.DUMMYFUNCTION("""COMPUTED_VALUE"""),43703.6666666666)</f>
        <v>43703.666666666599</v>
      </c>
      <c r="B3688" s="1">
        <f ca="1">IFERROR(__xludf.DUMMYFUNCTION("""COMPUTED_VALUE"""),51.62)</f>
        <v>51.62</v>
      </c>
    </row>
    <row r="3689" spans="1:2">
      <c r="A3689" s="3">
        <f ca="1">IFERROR(__xludf.DUMMYFUNCTION("""COMPUTED_VALUE"""),43704.6666666666)</f>
        <v>43704.666666666599</v>
      </c>
      <c r="B3689" s="1">
        <f ca="1">IFERROR(__xludf.DUMMYFUNCTION("""COMPUTED_VALUE"""),51.04)</f>
        <v>51.04</v>
      </c>
    </row>
    <row r="3690" spans="1:2">
      <c r="A3690" s="3">
        <f ca="1">IFERROR(__xludf.DUMMYFUNCTION("""COMPUTED_VALUE"""),43705.6666666666)</f>
        <v>43705.666666666599</v>
      </c>
      <c r="B3690" s="1">
        <f ca="1">IFERROR(__xludf.DUMMYFUNCTION("""COMPUTED_VALUE"""),51.38)</f>
        <v>51.38</v>
      </c>
    </row>
    <row r="3691" spans="1:2">
      <c r="A3691" s="3">
        <f ca="1">IFERROR(__xludf.DUMMYFUNCTION("""COMPUTED_VALUE"""),43706.6666666666)</f>
        <v>43706.666666666599</v>
      </c>
      <c r="B3691" s="1">
        <f ca="1">IFERROR(__xludf.DUMMYFUNCTION("""COMPUTED_VALUE"""),52.25)</f>
        <v>52.25</v>
      </c>
    </row>
    <row r="3692" spans="1:2">
      <c r="A3692" s="3">
        <f ca="1">IFERROR(__xludf.DUMMYFUNCTION("""COMPUTED_VALUE"""),43707.6666666666)</f>
        <v>43707.666666666599</v>
      </c>
      <c r="B3692" s="1">
        <f ca="1">IFERROR(__xludf.DUMMYFUNCTION("""COMPUTED_VALUE"""),52.19)</f>
        <v>52.19</v>
      </c>
    </row>
    <row r="3693" spans="1:2">
      <c r="A3693" s="3">
        <f ca="1">IFERROR(__xludf.DUMMYFUNCTION("""COMPUTED_VALUE"""),43711.6666666666)</f>
        <v>43711.666666666599</v>
      </c>
      <c r="B3693" s="1">
        <f ca="1">IFERROR(__xludf.DUMMYFUNCTION("""COMPUTED_VALUE"""),51.43)</f>
        <v>51.43</v>
      </c>
    </row>
    <row r="3694" spans="1:2">
      <c r="A3694" s="3">
        <f ca="1">IFERROR(__xludf.DUMMYFUNCTION("""COMPUTED_VALUE"""),43712.6666666666)</f>
        <v>43712.666666666599</v>
      </c>
      <c r="B3694" s="1">
        <f ca="1">IFERROR(__xludf.DUMMYFUNCTION("""COMPUTED_VALUE"""),52.3)</f>
        <v>52.3</v>
      </c>
    </row>
    <row r="3695" spans="1:2">
      <c r="A3695" s="3">
        <f ca="1">IFERROR(__xludf.DUMMYFUNCTION("""COMPUTED_VALUE"""),43713.6666666666)</f>
        <v>43713.666666666599</v>
      </c>
      <c r="B3695" s="1">
        <f ca="1">IFERROR(__xludf.DUMMYFUNCTION("""COMPUTED_VALUE"""),53.32)</f>
        <v>53.32</v>
      </c>
    </row>
    <row r="3696" spans="1:2">
      <c r="A3696" s="3">
        <f ca="1">IFERROR(__xludf.DUMMYFUNCTION("""COMPUTED_VALUE"""),43714.6666666666)</f>
        <v>43714.666666666599</v>
      </c>
      <c r="B3696" s="1">
        <f ca="1">IFERROR(__xludf.DUMMYFUNCTION("""COMPUTED_VALUE"""),53.32)</f>
        <v>53.32</v>
      </c>
    </row>
    <row r="3697" spans="1:2">
      <c r="A3697" s="3">
        <f ca="1">IFERROR(__xludf.DUMMYFUNCTION("""COMPUTED_VALUE"""),43717.6666666666)</f>
        <v>43717.666666666599</v>
      </c>
      <c r="B3697" s="1">
        <f ca="1">IFERROR(__xludf.DUMMYFUNCTION("""COMPUTED_VALUE"""),53.54)</f>
        <v>53.54</v>
      </c>
    </row>
    <row r="3698" spans="1:2">
      <c r="A3698" s="3">
        <f ca="1">IFERROR(__xludf.DUMMYFUNCTION("""COMPUTED_VALUE"""),43718.6666666666)</f>
        <v>43718.666666666599</v>
      </c>
      <c r="B3698" s="1">
        <f ca="1">IFERROR(__xludf.DUMMYFUNCTION("""COMPUTED_VALUE"""),54.18)</f>
        <v>54.18</v>
      </c>
    </row>
    <row r="3699" spans="1:2">
      <c r="A3699" s="3">
        <f ca="1">IFERROR(__xludf.DUMMYFUNCTION("""COMPUTED_VALUE"""),43719.6666666666)</f>
        <v>43719.666666666599</v>
      </c>
      <c r="B3699" s="1">
        <f ca="1">IFERROR(__xludf.DUMMYFUNCTION("""COMPUTED_VALUE"""),55.9)</f>
        <v>55.9</v>
      </c>
    </row>
    <row r="3700" spans="1:2">
      <c r="A3700" s="3">
        <f ca="1">IFERROR(__xludf.DUMMYFUNCTION("""COMPUTED_VALUE"""),43720.6666666666)</f>
        <v>43720.666666666599</v>
      </c>
      <c r="B3700" s="1">
        <f ca="1">IFERROR(__xludf.DUMMYFUNCTION("""COMPUTED_VALUE"""),55.77)</f>
        <v>55.77</v>
      </c>
    </row>
    <row r="3701" spans="1:2">
      <c r="A3701" s="3">
        <f ca="1">IFERROR(__xludf.DUMMYFUNCTION("""COMPUTED_VALUE"""),43721.6666666666)</f>
        <v>43721.666666666599</v>
      </c>
      <c r="B3701" s="1">
        <f ca="1">IFERROR(__xludf.DUMMYFUNCTION("""COMPUTED_VALUE"""),54.69)</f>
        <v>54.69</v>
      </c>
    </row>
    <row r="3702" spans="1:2">
      <c r="A3702" s="3">
        <f ca="1">IFERROR(__xludf.DUMMYFUNCTION("""COMPUTED_VALUE"""),43724.6666666666)</f>
        <v>43724.666666666599</v>
      </c>
      <c r="B3702" s="1">
        <f ca="1">IFERROR(__xludf.DUMMYFUNCTION("""COMPUTED_VALUE"""),54.98)</f>
        <v>54.98</v>
      </c>
    </row>
    <row r="3703" spans="1:2">
      <c r="A3703" s="3">
        <f ca="1">IFERROR(__xludf.DUMMYFUNCTION("""COMPUTED_VALUE"""),43725.6666666666)</f>
        <v>43725.666666666599</v>
      </c>
      <c r="B3703" s="1">
        <f ca="1">IFERROR(__xludf.DUMMYFUNCTION("""COMPUTED_VALUE"""),55.18)</f>
        <v>55.18</v>
      </c>
    </row>
    <row r="3704" spans="1:2">
      <c r="A3704" s="3">
        <f ca="1">IFERROR(__xludf.DUMMYFUNCTION("""COMPUTED_VALUE"""),43726.6666666666)</f>
        <v>43726.666666666599</v>
      </c>
      <c r="B3704" s="1">
        <f ca="1">IFERROR(__xludf.DUMMYFUNCTION("""COMPUTED_VALUE"""),55.69)</f>
        <v>55.69</v>
      </c>
    </row>
    <row r="3705" spans="1:2">
      <c r="A3705" s="3">
        <f ca="1">IFERROR(__xludf.DUMMYFUNCTION("""COMPUTED_VALUE"""),43727.6666666666)</f>
        <v>43727.666666666599</v>
      </c>
      <c r="B3705" s="1">
        <f ca="1">IFERROR(__xludf.DUMMYFUNCTION("""COMPUTED_VALUE"""),55.24)</f>
        <v>55.24</v>
      </c>
    </row>
    <row r="3706" spans="1:2">
      <c r="A3706" s="3">
        <f ca="1">IFERROR(__xludf.DUMMYFUNCTION("""COMPUTED_VALUE"""),43728.6666666666)</f>
        <v>43728.666666666599</v>
      </c>
      <c r="B3706" s="1">
        <f ca="1">IFERROR(__xludf.DUMMYFUNCTION("""COMPUTED_VALUE"""),54.43)</f>
        <v>54.43</v>
      </c>
    </row>
    <row r="3707" spans="1:2">
      <c r="A3707" s="3">
        <f ca="1">IFERROR(__xludf.DUMMYFUNCTION("""COMPUTED_VALUE"""),43731.6666666666)</f>
        <v>43731.666666666599</v>
      </c>
      <c r="B3707" s="1">
        <f ca="1">IFERROR(__xludf.DUMMYFUNCTION("""COMPUTED_VALUE"""),54.68)</f>
        <v>54.68</v>
      </c>
    </row>
    <row r="3708" spans="1:2">
      <c r="A3708" s="3">
        <f ca="1">IFERROR(__xludf.DUMMYFUNCTION("""COMPUTED_VALUE"""),43732.6666666666)</f>
        <v>43732.666666666599</v>
      </c>
      <c r="B3708" s="1">
        <f ca="1">IFERROR(__xludf.DUMMYFUNCTION("""COMPUTED_VALUE"""),54.42)</f>
        <v>54.42</v>
      </c>
    </row>
    <row r="3709" spans="1:2">
      <c r="A3709" s="3">
        <f ca="1">IFERROR(__xludf.DUMMYFUNCTION("""COMPUTED_VALUE"""),43733.6666666666)</f>
        <v>43733.666666666599</v>
      </c>
      <c r="B3709" s="1">
        <f ca="1">IFERROR(__xludf.DUMMYFUNCTION("""COMPUTED_VALUE"""),55.26)</f>
        <v>55.26</v>
      </c>
    </row>
    <row r="3710" spans="1:2">
      <c r="A3710" s="3">
        <f ca="1">IFERROR(__xludf.DUMMYFUNCTION("""COMPUTED_VALUE"""),43734.6666666666)</f>
        <v>43734.666666666599</v>
      </c>
      <c r="B3710" s="1">
        <f ca="1">IFERROR(__xludf.DUMMYFUNCTION("""COMPUTED_VALUE"""),54.97)</f>
        <v>54.97</v>
      </c>
    </row>
    <row r="3711" spans="1:2">
      <c r="A3711" s="3">
        <f ca="1">IFERROR(__xludf.DUMMYFUNCTION("""COMPUTED_VALUE"""),43735.6666666666)</f>
        <v>43735.666666666599</v>
      </c>
      <c r="B3711" s="1">
        <f ca="1">IFERROR(__xludf.DUMMYFUNCTION("""COMPUTED_VALUE"""),54.71)</f>
        <v>54.71</v>
      </c>
    </row>
    <row r="3712" spans="1:2">
      <c r="A3712" s="3">
        <f ca="1">IFERROR(__xludf.DUMMYFUNCTION("""COMPUTED_VALUE"""),43738.6666666666)</f>
        <v>43738.666666666599</v>
      </c>
      <c r="B3712" s="1">
        <f ca="1">IFERROR(__xludf.DUMMYFUNCTION("""COMPUTED_VALUE"""),55.99)</f>
        <v>55.99</v>
      </c>
    </row>
    <row r="3713" spans="1:2">
      <c r="A3713" s="3">
        <f ca="1">IFERROR(__xludf.DUMMYFUNCTION("""COMPUTED_VALUE"""),43739.6666666666)</f>
        <v>43739.666666666599</v>
      </c>
      <c r="B3713" s="1">
        <f ca="1">IFERROR(__xludf.DUMMYFUNCTION("""COMPUTED_VALUE"""),56.15)</f>
        <v>56.15</v>
      </c>
    </row>
    <row r="3714" spans="1:2">
      <c r="A3714" s="3">
        <f ca="1">IFERROR(__xludf.DUMMYFUNCTION("""COMPUTED_VALUE"""),43740.6666666666)</f>
        <v>43740.666666666599</v>
      </c>
      <c r="B3714" s="1">
        <f ca="1">IFERROR(__xludf.DUMMYFUNCTION("""COMPUTED_VALUE"""),54.74)</f>
        <v>54.74</v>
      </c>
    </row>
    <row r="3715" spans="1:2">
      <c r="A3715" s="3">
        <f ca="1">IFERROR(__xludf.DUMMYFUNCTION("""COMPUTED_VALUE"""),43741.6666666666)</f>
        <v>43741.666666666599</v>
      </c>
      <c r="B3715" s="1">
        <f ca="1">IFERROR(__xludf.DUMMYFUNCTION("""COMPUTED_VALUE"""),55.21)</f>
        <v>55.21</v>
      </c>
    </row>
    <row r="3716" spans="1:2">
      <c r="A3716" s="3">
        <f ca="1">IFERROR(__xludf.DUMMYFUNCTION("""COMPUTED_VALUE"""),43742.6666666666)</f>
        <v>43742.666666666599</v>
      </c>
      <c r="B3716" s="1">
        <f ca="1">IFERROR(__xludf.DUMMYFUNCTION("""COMPUTED_VALUE"""),56.75)</f>
        <v>56.75</v>
      </c>
    </row>
    <row r="3717" spans="1:2">
      <c r="A3717" s="3">
        <f ca="1">IFERROR(__xludf.DUMMYFUNCTION("""COMPUTED_VALUE"""),43745.6666666666)</f>
        <v>43745.666666666599</v>
      </c>
      <c r="B3717" s="1">
        <f ca="1">IFERROR(__xludf.DUMMYFUNCTION("""COMPUTED_VALUE"""),56.77)</f>
        <v>56.77</v>
      </c>
    </row>
    <row r="3718" spans="1:2">
      <c r="A3718" s="3">
        <f ca="1">IFERROR(__xludf.DUMMYFUNCTION("""COMPUTED_VALUE"""),43746.6666666666)</f>
        <v>43746.666666666599</v>
      </c>
      <c r="B3718" s="1">
        <f ca="1">IFERROR(__xludf.DUMMYFUNCTION("""COMPUTED_VALUE"""),56.1)</f>
        <v>56.1</v>
      </c>
    </row>
    <row r="3719" spans="1:2">
      <c r="A3719" s="3">
        <f ca="1">IFERROR(__xludf.DUMMYFUNCTION("""COMPUTED_VALUE"""),43747.6666666666)</f>
        <v>43747.666666666599</v>
      </c>
      <c r="B3719" s="1">
        <f ca="1">IFERROR(__xludf.DUMMYFUNCTION("""COMPUTED_VALUE"""),56.76)</f>
        <v>56.76</v>
      </c>
    </row>
    <row r="3720" spans="1:2">
      <c r="A3720" s="3">
        <f ca="1">IFERROR(__xludf.DUMMYFUNCTION("""COMPUTED_VALUE"""),43748.6666666666)</f>
        <v>43748.666666666599</v>
      </c>
      <c r="B3720" s="1">
        <f ca="1">IFERROR(__xludf.DUMMYFUNCTION("""COMPUTED_VALUE"""),57.52)</f>
        <v>57.52</v>
      </c>
    </row>
    <row r="3721" spans="1:2">
      <c r="A3721" s="3">
        <f ca="1">IFERROR(__xludf.DUMMYFUNCTION("""COMPUTED_VALUE"""),43749.6666666666)</f>
        <v>43749.666666666599</v>
      </c>
      <c r="B3721" s="1">
        <f ca="1">IFERROR(__xludf.DUMMYFUNCTION("""COMPUTED_VALUE"""),59.05)</f>
        <v>59.05</v>
      </c>
    </row>
    <row r="3722" spans="1:2">
      <c r="A3722" s="3">
        <f ca="1">IFERROR(__xludf.DUMMYFUNCTION("""COMPUTED_VALUE"""),43752.6666666666)</f>
        <v>43752.666666666599</v>
      </c>
      <c r="B3722" s="1">
        <f ca="1">IFERROR(__xludf.DUMMYFUNCTION("""COMPUTED_VALUE"""),58.97)</f>
        <v>58.97</v>
      </c>
    </row>
    <row r="3723" spans="1:2">
      <c r="A3723" s="3">
        <f ca="1">IFERROR(__xludf.DUMMYFUNCTION("""COMPUTED_VALUE"""),43753.6666666666)</f>
        <v>43753.666666666599</v>
      </c>
      <c r="B3723" s="1">
        <f ca="1">IFERROR(__xludf.DUMMYFUNCTION("""COMPUTED_VALUE"""),58.83)</f>
        <v>58.83</v>
      </c>
    </row>
    <row r="3724" spans="1:2">
      <c r="A3724" s="3">
        <f ca="1">IFERROR(__xludf.DUMMYFUNCTION("""COMPUTED_VALUE"""),43754.6666666666)</f>
        <v>43754.666666666599</v>
      </c>
      <c r="B3724" s="1">
        <f ca="1">IFERROR(__xludf.DUMMYFUNCTION("""COMPUTED_VALUE"""),58.59)</f>
        <v>58.59</v>
      </c>
    </row>
    <row r="3725" spans="1:2">
      <c r="A3725" s="3">
        <f ca="1">IFERROR(__xludf.DUMMYFUNCTION("""COMPUTED_VALUE"""),43755.6666666666)</f>
        <v>43755.666666666599</v>
      </c>
      <c r="B3725" s="1">
        <f ca="1">IFERROR(__xludf.DUMMYFUNCTION("""COMPUTED_VALUE"""),58.82)</f>
        <v>58.82</v>
      </c>
    </row>
    <row r="3726" spans="1:2">
      <c r="A3726" s="3">
        <f ca="1">IFERROR(__xludf.DUMMYFUNCTION("""COMPUTED_VALUE"""),43756.6666666666)</f>
        <v>43756.666666666599</v>
      </c>
      <c r="B3726" s="1">
        <f ca="1">IFERROR(__xludf.DUMMYFUNCTION("""COMPUTED_VALUE"""),59.1)</f>
        <v>59.1</v>
      </c>
    </row>
    <row r="3727" spans="1:2">
      <c r="A3727" s="3">
        <f ca="1">IFERROR(__xludf.DUMMYFUNCTION("""COMPUTED_VALUE"""),43759.6666666666)</f>
        <v>43759.666666666599</v>
      </c>
      <c r="B3727" s="1">
        <f ca="1">IFERROR(__xludf.DUMMYFUNCTION("""COMPUTED_VALUE"""),60.13)</f>
        <v>60.13</v>
      </c>
    </row>
    <row r="3728" spans="1:2">
      <c r="A3728" s="3">
        <f ca="1">IFERROR(__xludf.DUMMYFUNCTION("""COMPUTED_VALUE"""),43760.6666666666)</f>
        <v>43760.666666666599</v>
      </c>
      <c r="B3728" s="1">
        <f ca="1">IFERROR(__xludf.DUMMYFUNCTION("""COMPUTED_VALUE"""),59.99)</f>
        <v>59.99</v>
      </c>
    </row>
    <row r="3729" spans="1:2">
      <c r="A3729" s="3">
        <f ca="1">IFERROR(__xludf.DUMMYFUNCTION("""COMPUTED_VALUE"""),43761.6666666666)</f>
        <v>43761.666666666599</v>
      </c>
      <c r="B3729" s="1">
        <f ca="1">IFERROR(__xludf.DUMMYFUNCTION("""COMPUTED_VALUE"""),60.8)</f>
        <v>60.8</v>
      </c>
    </row>
    <row r="3730" spans="1:2">
      <c r="A3730" s="3">
        <f ca="1">IFERROR(__xludf.DUMMYFUNCTION("""COMPUTED_VALUE"""),43762.6666666666)</f>
        <v>43762.666666666599</v>
      </c>
      <c r="B3730" s="1">
        <f ca="1">IFERROR(__xludf.DUMMYFUNCTION("""COMPUTED_VALUE"""),60.9)</f>
        <v>60.9</v>
      </c>
    </row>
    <row r="3731" spans="1:2">
      <c r="A3731" s="3">
        <f ca="1">IFERROR(__xludf.DUMMYFUNCTION("""COMPUTED_VALUE"""),43763.6666666666)</f>
        <v>43763.666666666599</v>
      </c>
      <c r="B3731" s="1">
        <f ca="1">IFERROR(__xludf.DUMMYFUNCTION("""COMPUTED_VALUE"""),61.65)</f>
        <v>61.65</v>
      </c>
    </row>
    <row r="3732" spans="1:2">
      <c r="A3732" s="3">
        <f ca="1">IFERROR(__xludf.DUMMYFUNCTION("""COMPUTED_VALUE"""),43766.6666666666)</f>
        <v>43766.666666666599</v>
      </c>
      <c r="B3732" s="1">
        <f ca="1">IFERROR(__xludf.DUMMYFUNCTION("""COMPUTED_VALUE"""),62.26)</f>
        <v>62.26</v>
      </c>
    </row>
    <row r="3733" spans="1:2">
      <c r="A3733" s="3">
        <f ca="1">IFERROR(__xludf.DUMMYFUNCTION("""COMPUTED_VALUE"""),43767.6666666666)</f>
        <v>43767.666666666599</v>
      </c>
      <c r="B3733" s="1">
        <f ca="1">IFERROR(__xludf.DUMMYFUNCTION("""COMPUTED_VALUE"""),60.82)</f>
        <v>60.82</v>
      </c>
    </row>
    <row r="3734" spans="1:2">
      <c r="A3734" s="3">
        <f ca="1">IFERROR(__xludf.DUMMYFUNCTION("""COMPUTED_VALUE"""),43768.6666666666)</f>
        <v>43768.666666666599</v>
      </c>
      <c r="B3734" s="1">
        <f ca="1">IFERROR(__xludf.DUMMYFUNCTION("""COMPUTED_VALUE"""),60.82)</f>
        <v>60.82</v>
      </c>
    </row>
    <row r="3735" spans="1:2">
      <c r="A3735" s="3">
        <f ca="1">IFERROR(__xludf.DUMMYFUNCTION("""COMPUTED_VALUE"""),43769.6666666666)</f>
        <v>43769.666666666599</v>
      </c>
      <c r="B3735" s="1">
        <f ca="1">IFERROR(__xludf.DUMMYFUNCTION("""COMPUTED_VALUE"""),62.19)</f>
        <v>62.19</v>
      </c>
    </row>
    <row r="3736" spans="1:2">
      <c r="A3736" s="3">
        <f ca="1">IFERROR(__xludf.DUMMYFUNCTION("""COMPUTED_VALUE"""),43770.6666666666)</f>
        <v>43770.666666666599</v>
      </c>
      <c r="B3736" s="1">
        <f ca="1">IFERROR(__xludf.DUMMYFUNCTION("""COMPUTED_VALUE"""),63.96)</f>
        <v>63.96</v>
      </c>
    </row>
    <row r="3737" spans="1:2">
      <c r="A3737" s="3">
        <f ca="1">IFERROR(__xludf.DUMMYFUNCTION("""COMPUTED_VALUE"""),43773.6666666666)</f>
        <v>43773.666666666599</v>
      </c>
      <c r="B3737" s="1">
        <f ca="1">IFERROR(__xludf.DUMMYFUNCTION("""COMPUTED_VALUE"""),64.38)</f>
        <v>64.38</v>
      </c>
    </row>
    <row r="3738" spans="1:2">
      <c r="A3738" s="3">
        <f ca="1">IFERROR(__xludf.DUMMYFUNCTION("""COMPUTED_VALUE"""),43774.6666666666)</f>
        <v>43774.666666666599</v>
      </c>
      <c r="B3738" s="1">
        <f ca="1">IFERROR(__xludf.DUMMYFUNCTION("""COMPUTED_VALUE"""),64.28)</f>
        <v>64.28</v>
      </c>
    </row>
    <row r="3739" spans="1:2">
      <c r="A3739" s="3">
        <f ca="1">IFERROR(__xludf.DUMMYFUNCTION("""COMPUTED_VALUE"""),43775.6666666666)</f>
        <v>43775.666666666599</v>
      </c>
      <c r="B3739" s="1">
        <f ca="1">IFERROR(__xludf.DUMMYFUNCTION("""COMPUTED_VALUE"""),64.31)</f>
        <v>64.31</v>
      </c>
    </row>
    <row r="3740" spans="1:2">
      <c r="A3740" s="3">
        <f ca="1">IFERROR(__xludf.DUMMYFUNCTION("""COMPUTED_VALUE"""),43776.6666666666)</f>
        <v>43776.666666666599</v>
      </c>
      <c r="B3740" s="1">
        <f ca="1">IFERROR(__xludf.DUMMYFUNCTION("""COMPUTED_VALUE"""),64.86)</f>
        <v>64.86</v>
      </c>
    </row>
    <row r="3741" spans="1:2">
      <c r="A3741" s="3">
        <f ca="1">IFERROR(__xludf.DUMMYFUNCTION("""COMPUTED_VALUE"""),43777.6666666666)</f>
        <v>43777.666666666599</v>
      </c>
      <c r="B3741" s="1">
        <f ca="1">IFERROR(__xludf.DUMMYFUNCTION("""COMPUTED_VALUE"""),65.04)</f>
        <v>65.040000000000006</v>
      </c>
    </row>
    <row r="3742" spans="1:2">
      <c r="A3742" s="3">
        <f ca="1">IFERROR(__xludf.DUMMYFUNCTION("""COMPUTED_VALUE"""),43780.6666666666)</f>
        <v>43780.666666666599</v>
      </c>
      <c r="B3742" s="1">
        <f ca="1">IFERROR(__xludf.DUMMYFUNCTION("""COMPUTED_VALUE"""),65.55)</f>
        <v>65.55</v>
      </c>
    </row>
    <row r="3743" spans="1:2">
      <c r="A3743" s="3">
        <f ca="1">IFERROR(__xludf.DUMMYFUNCTION("""COMPUTED_VALUE"""),43781.6666666666)</f>
        <v>43781.666666666599</v>
      </c>
      <c r="B3743" s="1">
        <f ca="1">IFERROR(__xludf.DUMMYFUNCTION("""COMPUTED_VALUE"""),65.49)</f>
        <v>65.489999999999995</v>
      </c>
    </row>
    <row r="3744" spans="1:2">
      <c r="A3744" s="3">
        <f ca="1">IFERROR(__xludf.DUMMYFUNCTION("""COMPUTED_VALUE"""),43782.6666666666)</f>
        <v>43782.666666666599</v>
      </c>
      <c r="B3744" s="1">
        <f ca="1">IFERROR(__xludf.DUMMYFUNCTION("""COMPUTED_VALUE"""),66.12)</f>
        <v>66.12</v>
      </c>
    </row>
    <row r="3745" spans="1:2">
      <c r="A3745" s="3">
        <f ca="1">IFERROR(__xludf.DUMMYFUNCTION("""COMPUTED_VALUE"""),43783.6666666666)</f>
        <v>43783.666666666599</v>
      </c>
      <c r="B3745" s="1">
        <f ca="1">IFERROR(__xludf.DUMMYFUNCTION("""COMPUTED_VALUE"""),65.66)</f>
        <v>65.66</v>
      </c>
    </row>
    <row r="3746" spans="1:2">
      <c r="A3746" s="3">
        <f ca="1">IFERROR(__xludf.DUMMYFUNCTION("""COMPUTED_VALUE"""),43784.6666666666)</f>
        <v>43784.666666666599</v>
      </c>
      <c r="B3746" s="1">
        <f ca="1">IFERROR(__xludf.DUMMYFUNCTION("""COMPUTED_VALUE"""),66.44)</f>
        <v>66.44</v>
      </c>
    </row>
    <row r="3747" spans="1:2">
      <c r="A3747" s="3">
        <f ca="1">IFERROR(__xludf.DUMMYFUNCTION("""COMPUTED_VALUE"""),43787.6666666666)</f>
        <v>43787.666666666599</v>
      </c>
      <c r="B3747" s="1">
        <f ca="1">IFERROR(__xludf.DUMMYFUNCTION("""COMPUTED_VALUE"""),66.78)</f>
        <v>66.78</v>
      </c>
    </row>
    <row r="3748" spans="1:2">
      <c r="A3748" s="3">
        <f ca="1">IFERROR(__xludf.DUMMYFUNCTION("""COMPUTED_VALUE"""),43788.6666666666)</f>
        <v>43788.666666666599</v>
      </c>
      <c r="B3748" s="1">
        <f ca="1">IFERROR(__xludf.DUMMYFUNCTION("""COMPUTED_VALUE"""),66.57)</f>
        <v>66.569999999999993</v>
      </c>
    </row>
    <row r="3749" spans="1:2">
      <c r="A3749" s="3">
        <f ca="1">IFERROR(__xludf.DUMMYFUNCTION("""COMPUTED_VALUE"""),43789.6666666666)</f>
        <v>43789.666666666599</v>
      </c>
      <c r="B3749" s="1">
        <f ca="1">IFERROR(__xludf.DUMMYFUNCTION("""COMPUTED_VALUE"""),65.8)</f>
        <v>65.8</v>
      </c>
    </row>
    <row r="3750" spans="1:2">
      <c r="A3750" s="3">
        <f ca="1">IFERROR(__xludf.DUMMYFUNCTION("""COMPUTED_VALUE"""),43790.6666666666)</f>
        <v>43790.666666666599</v>
      </c>
      <c r="B3750" s="1">
        <f ca="1">IFERROR(__xludf.DUMMYFUNCTION("""COMPUTED_VALUE"""),65.5)</f>
        <v>65.5</v>
      </c>
    </row>
    <row r="3751" spans="1:2">
      <c r="A3751" s="3">
        <f ca="1">IFERROR(__xludf.DUMMYFUNCTION("""COMPUTED_VALUE"""),43791.6666666666)</f>
        <v>43791.666666666599</v>
      </c>
      <c r="B3751" s="1">
        <f ca="1">IFERROR(__xludf.DUMMYFUNCTION("""COMPUTED_VALUE"""),65.44)</f>
        <v>65.44</v>
      </c>
    </row>
    <row r="3752" spans="1:2">
      <c r="A3752" s="3">
        <f ca="1">IFERROR(__xludf.DUMMYFUNCTION("""COMPUTED_VALUE"""),43794.6666666666)</f>
        <v>43794.666666666599</v>
      </c>
      <c r="B3752" s="1">
        <f ca="1">IFERROR(__xludf.DUMMYFUNCTION("""COMPUTED_VALUE"""),66.59)</f>
        <v>66.59</v>
      </c>
    </row>
    <row r="3753" spans="1:2">
      <c r="A3753" s="3">
        <f ca="1">IFERROR(__xludf.DUMMYFUNCTION("""COMPUTED_VALUE"""),43795.6666666666)</f>
        <v>43795.666666666599</v>
      </c>
      <c r="B3753" s="1">
        <f ca="1">IFERROR(__xludf.DUMMYFUNCTION("""COMPUTED_VALUE"""),66.07)</f>
        <v>66.069999999999993</v>
      </c>
    </row>
    <row r="3754" spans="1:2">
      <c r="A3754" s="3">
        <f ca="1">IFERROR(__xludf.DUMMYFUNCTION("""COMPUTED_VALUE"""),43796.6666666666)</f>
        <v>43796.666666666599</v>
      </c>
      <c r="B3754" s="1">
        <f ca="1">IFERROR(__xludf.DUMMYFUNCTION("""COMPUTED_VALUE"""),66.96)</f>
        <v>66.959999999999994</v>
      </c>
    </row>
    <row r="3755" spans="1:2">
      <c r="A3755" s="3">
        <f ca="1">IFERROR(__xludf.DUMMYFUNCTION("""COMPUTED_VALUE"""),43798.5416666666)</f>
        <v>43798.541666666599</v>
      </c>
      <c r="B3755" s="1">
        <f ca="1">IFERROR(__xludf.DUMMYFUNCTION("""COMPUTED_VALUE"""),66.81)</f>
        <v>66.81</v>
      </c>
    </row>
    <row r="3756" spans="1:2">
      <c r="A3756" s="3">
        <f ca="1">IFERROR(__xludf.DUMMYFUNCTION("""COMPUTED_VALUE"""),43801.6666666666)</f>
        <v>43801.666666666599</v>
      </c>
      <c r="B3756" s="1">
        <f ca="1">IFERROR(__xludf.DUMMYFUNCTION("""COMPUTED_VALUE"""),66.04)</f>
        <v>66.040000000000006</v>
      </c>
    </row>
    <row r="3757" spans="1:2">
      <c r="A3757" s="3">
        <f ca="1">IFERROR(__xludf.DUMMYFUNCTION("""COMPUTED_VALUE"""),43802.6666666666)</f>
        <v>43802.666666666599</v>
      </c>
      <c r="B3757" s="1">
        <f ca="1">IFERROR(__xludf.DUMMYFUNCTION("""COMPUTED_VALUE"""),64.86)</f>
        <v>64.86</v>
      </c>
    </row>
    <row r="3758" spans="1:2">
      <c r="A3758" s="3">
        <f ca="1">IFERROR(__xludf.DUMMYFUNCTION("""COMPUTED_VALUE"""),43803.6666666666)</f>
        <v>43803.666666666599</v>
      </c>
      <c r="B3758" s="1">
        <f ca="1">IFERROR(__xludf.DUMMYFUNCTION("""COMPUTED_VALUE"""),65.44)</f>
        <v>65.44</v>
      </c>
    </row>
    <row r="3759" spans="1:2">
      <c r="A3759" s="3">
        <f ca="1">IFERROR(__xludf.DUMMYFUNCTION("""COMPUTED_VALUE"""),43804.6666666666)</f>
        <v>43804.666666666599</v>
      </c>
      <c r="B3759" s="1">
        <f ca="1">IFERROR(__xludf.DUMMYFUNCTION("""COMPUTED_VALUE"""),66.4)</f>
        <v>66.400000000000006</v>
      </c>
    </row>
    <row r="3760" spans="1:2">
      <c r="A3760" s="3">
        <f ca="1">IFERROR(__xludf.DUMMYFUNCTION("""COMPUTED_VALUE"""),43805.6666666666)</f>
        <v>43805.666666666599</v>
      </c>
      <c r="B3760" s="1">
        <f ca="1">IFERROR(__xludf.DUMMYFUNCTION("""COMPUTED_VALUE"""),67.68)</f>
        <v>67.680000000000007</v>
      </c>
    </row>
    <row r="3761" spans="1:2">
      <c r="A3761" s="3">
        <f ca="1">IFERROR(__xludf.DUMMYFUNCTION("""COMPUTED_VALUE"""),43808.6666666666)</f>
        <v>43808.666666666599</v>
      </c>
      <c r="B3761" s="1">
        <f ca="1">IFERROR(__xludf.DUMMYFUNCTION("""COMPUTED_VALUE"""),66.73)</f>
        <v>66.73</v>
      </c>
    </row>
    <row r="3762" spans="1:2">
      <c r="A3762" s="3">
        <f ca="1">IFERROR(__xludf.DUMMYFUNCTION("""COMPUTED_VALUE"""),43809.6666666666)</f>
        <v>43809.666666666599</v>
      </c>
      <c r="B3762" s="1">
        <f ca="1">IFERROR(__xludf.DUMMYFUNCTION("""COMPUTED_VALUE"""),67.12)</f>
        <v>67.12</v>
      </c>
    </row>
    <row r="3763" spans="1:2">
      <c r="A3763" s="3">
        <f ca="1">IFERROR(__xludf.DUMMYFUNCTION("""COMPUTED_VALUE"""),43810.6666666666)</f>
        <v>43810.666666666599</v>
      </c>
      <c r="B3763" s="1">
        <f ca="1">IFERROR(__xludf.DUMMYFUNCTION("""COMPUTED_VALUE"""),67.69)</f>
        <v>67.69</v>
      </c>
    </row>
    <row r="3764" spans="1:2">
      <c r="A3764" s="3">
        <f ca="1">IFERROR(__xludf.DUMMYFUNCTION("""COMPUTED_VALUE"""),43811.6666666666)</f>
        <v>43811.666666666599</v>
      </c>
      <c r="B3764" s="1">
        <f ca="1">IFERROR(__xludf.DUMMYFUNCTION("""COMPUTED_VALUE"""),67.86)</f>
        <v>67.86</v>
      </c>
    </row>
    <row r="3765" spans="1:2">
      <c r="A3765" s="3">
        <f ca="1">IFERROR(__xludf.DUMMYFUNCTION("""COMPUTED_VALUE"""),43812.6666666666)</f>
        <v>43812.666666666599</v>
      </c>
      <c r="B3765" s="1">
        <f ca="1">IFERROR(__xludf.DUMMYFUNCTION("""COMPUTED_VALUE"""),68.79)</f>
        <v>68.790000000000006</v>
      </c>
    </row>
    <row r="3766" spans="1:2">
      <c r="A3766" s="3">
        <f ca="1">IFERROR(__xludf.DUMMYFUNCTION("""COMPUTED_VALUE"""),43815.6666666666)</f>
        <v>43815.666666666599</v>
      </c>
      <c r="B3766" s="1">
        <f ca="1">IFERROR(__xludf.DUMMYFUNCTION("""COMPUTED_VALUE"""),69.97)</f>
        <v>69.97</v>
      </c>
    </row>
    <row r="3767" spans="1:2">
      <c r="A3767" s="3">
        <f ca="1">IFERROR(__xludf.DUMMYFUNCTION("""COMPUTED_VALUE"""),43816.6666666666)</f>
        <v>43816.666666666599</v>
      </c>
      <c r="B3767" s="1">
        <f ca="1">IFERROR(__xludf.DUMMYFUNCTION("""COMPUTED_VALUE"""),70.1)</f>
        <v>70.099999999999994</v>
      </c>
    </row>
    <row r="3768" spans="1:2">
      <c r="A3768" s="3">
        <f ca="1">IFERROR(__xludf.DUMMYFUNCTION("""COMPUTED_VALUE"""),43817.6666666666)</f>
        <v>43817.666666666599</v>
      </c>
      <c r="B3768" s="1">
        <f ca="1">IFERROR(__xludf.DUMMYFUNCTION("""COMPUTED_VALUE"""),69.94)</f>
        <v>69.94</v>
      </c>
    </row>
    <row r="3769" spans="1:2">
      <c r="A3769" s="3">
        <f ca="1">IFERROR(__xludf.DUMMYFUNCTION("""COMPUTED_VALUE"""),43818.6666666666)</f>
        <v>43818.666666666599</v>
      </c>
      <c r="B3769" s="1">
        <f ca="1">IFERROR(__xludf.DUMMYFUNCTION("""COMPUTED_VALUE"""),70.01)</f>
        <v>70.010000000000005</v>
      </c>
    </row>
    <row r="3770" spans="1:2">
      <c r="A3770" s="3">
        <f ca="1">IFERROR(__xludf.DUMMYFUNCTION("""COMPUTED_VALUE"""),43819.6666666666)</f>
        <v>43819.666666666599</v>
      </c>
      <c r="B3770" s="1">
        <f ca="1">IFERROR(__xludf.DUMMYFUNCTION("""COMPUTED_VALUE"""),69.86)</f>
        <v>69.86</v>
      </c>
    </row>
    <row r="3771" spans="1:2">
      <c r="A3771" s="3">
        <f ca="1">IFERROR(__xludf.DUMMYFUNCTION("""COMPUTED_VALUE"""),43822.6666666666)</f>
        <v>43822.666666666599</v>
      </c>
      <c r="B3771" s="1">
        <f ca="1">IFERROR(__xludf.DUMMYFUNCTION("""COMPUTED_VALUE"""),71)</f>
        <v>71</v>
      </c>
    </row>
    <row r="3772" spans="1:2">
      <c r="A3772" s="3">
        <f ca="1">IFERROR(__xludf.DUMMYFUNCTION("""COMPUTED_VALUE"""),43823.5416666666)</f>
        <v>43823.541666666599</v>
      </c>
      <c r="B3772" s="1">
        <f ca="1">IFERROR(__xludf.DUMMYFUNCTION("""COMPUTED_VALUE"""),71.07)</f>
        <v>71.069999999999993</v>
      </c>
    </row>
    <row r="3773" spans="1:2">
      <c r="A3773" s="3">
        <f ca="1">IFERROR(__xludf.DUMMYFUNCTION("""COMPUTED_VALUE"""),43825.6666666666)</f>
        <v>43825.666666666599</v>
      </c>
      <c r="B3773" s="1">
        <f ca="1">IFERROR(__xludf.DUMMYFUNCTION("""COMPUTED_VALUE"""),72.48)</f>
        <v>72.48</v>
      </c>
    </row>
    <row r="3774" spans="1:2">
      <c r="A3774" s="3">
        <f ca="1">IFERROR(__xludf.DUMMYFUNCTION("""COMPUTED_VALUE"""),43826.6666666666)</f>
        <v>43826.666666666599</v>
      </c>
      <c r="B3774" s="1">
        <f ca="1">IFERROR(__xludf.DUMMYFUNCTION("""COMPUTED_VALUE"""),72.45)</f>
        <v>72.45</v>
      </c>
    </row>
    <row r="3775" spans="1:2">
      <c r="A3775" s="3">
        <f ca="1">IFERROR(__xludf.DUMMYFUNCTION("""COMPUTED_VALUE"""),43829.6666666666)</f>
        <v>43829.666666666599</v>
      </c>
      <c r="B3775" s="1">
        <f ca="1">IFERROR(__xludf.DUMMYFUNCTION("""COMPUTED_VALUE"""),72.88)</f>
        <v>72.88</v>
      </c>
    </row>
    <row r="3776" spans="1:2">
      <c r="A3776" s="3">
        <f ca="1">IFERROR(__xludf.DUMMYFUNCTION("""COMPUTED_VALUE"""),43830.6666666666)</f>
        <v>43830.666666666599</v>
      </c>
      <c r="B3776" s="1">
        <f ca="1">IFERROR(__xludf.DUMMYFUNCTION("""COMPUTED_VALUE"""),73.41)</f>
        <v>73.41</v>
      </c>
    </row>
    <row r="3777" spans="1:2">
      <c r="A3777" s="3">
        <f ca="1">IFERROR(__xludf.DUMMYFUNCTION("""COMPUTED_VALUE"""),43832.6666666666)</f>
        <v>43832.666666666599</v>
      </c>
      <c r="B3777" s="1">
        <f ca="1">IFERROR(__xludf.DUMMYFUNCTION("""COMPUTED_VALUE"""),75.09)</f>
        <v>75.09</v>
      </c>
    </row>
    <row r="3778" spans="1:2">
      <c r="A3778" s="3">
        <f ca="1">IFERROR(__xludf.DUMMYFUNCTION("""COMPUTED_VALUE"""),43833.6666666666)</f>
        <v>43833.666666666599</v>
      </c>
      <c r="B3778" s="1">
        <f ca="1">IFERROR(__xludf.DUMMYFUNCTION("""COMPUTED_VALUE"""),74.36)</f>
        <v>74.36</v>
      </c>
    </row>
    <row r="3779" spans="1:2">
      <c r="A3779" s="3">
        <f ca="1">IFERROR(__xludf.DUMMYFUNCTION("""COMPUTED_VALUE"""),43836.6666666666)</f>
        <v>43836.666666666599</v>
      </c>
      <c r="B3779" s="1">
        <f ca="1">IFERROR(__xludf.DUMMYFUNCTION("""COMPUTED_VALUE"""),74.95)</f>
        <v>74.95</v>
      </c>
    </row>
    <row r="3780" spans="1:2">
      <c r="A3780" s="3">
        <f ca="1">IFERROR(__xludf.DUMMYFUNCTION("""COMPUTED_VALUE"""),43837.6666666666)</f>
        <v>43837.666666666599</v>
      </c>
      <c r="B3780" s="1">
        <f ca="1">IFERROR(__xludf.DUMMYFUNCTION("""COMPUTED_VALUE"""),74.6)</f>
        <v>74.599999999999994</v>
      </c>
    </row>
    <row r="3781" spans="1:2">
      <c r="A3781" s="3">
        <f ca="1">IFERROR(__xludf.DUMMYFUNCTION("""COMPUTED_VALUE"""),43838.6666666666)</f>
        <v>43838.666666666599</v>
      </c>
      <c r="B3781" s="1">
        <f ca="1">IFERROR(__xludf.DUMMYFUNCTION("""COMPUTED_VALUE"""),75.8)</f>
        <v>75.8</v>
      </c>
    </row>
    <row r="3782" spans="1:2">
      <c r="A3782" s="3">
        <f ca="1">IFERROR(__xludf.DUMMYFUNCTION("""COMPUTED_VALUE"""),43839.6666666666)</f>
        <v>43839.666666666599</v>
      </c>
      <c r="B3782" s="1">
        <f ca="1">IFERROR(__xludf.DUMMYFUNCTION("""COMPUTED_VALUE"""),77.41)</f>
        <v>77.41</v>
      </c>
    </row>
    <row r="3783" spans="1:2">
      <c r="A3783" s="3">
        <f ca="1">IFERROR(__xludf.DUMMYFUNCTION("""COMPUTED_VALUE"""),43840.6666666666)</f>
        <v>43840.666666666599</v>
      </c>
      <c r="B3783" s="1">
        <f ca="1">IFERROR(__xludf.DUMMYFUNCTION("""COMPUTED_VALUE"""),77.58)</f>
        <v>77.58</v>
      </c>
    </row>
    <row r="3784" spans="1:2">
      <c r="A3784" s="3">
        <f ca="1">IFERROR(__xludf.DUMMYFUNCTION("""COMPUTED_VALUE"""),43843.6666666666)</f>
        <v>43843.666666666599</v>
      </c>
      <c r="B3784" s="1">
        <f ca="1">IFERROR(__xludf.DUMMYFUNCTION("""COMPUTED_VALUE"""),79.24)</f>
        <v>79.239999999999995</v>
      </c>
    </row>
    <row r="3785" spans="1:2">
      <c r="A3785" s="3">
        <f ca="1">IFERROR(__xludf.DUMMYFUNCTION("""COMPUTED_VALUE"""),43844.6666666666)</f>
        <v>43844.666666666599</v>
      </c>
      <c r="B3785" s="1">
        <f ca="1">IFERROR(__xludf.DUMMYFUNCTION("""COMPUTED_VALUE"""),78.17)</f>
        <v>78.17</v>
      </c>
    </row>
    <row r="3786" spans="1:2">
      <c r="A3786" s="3">
        <f ca="1">IFERROR(__xludf.DUMMYFUNCTION("""COMPUTED_VALUE"""),43845.6666666666)</f>
        <v>43845.666666666599</v>
      </c>
      <c r="B3786" s="1">
        <f ca="1">IFERROR(__xludf.DUMMYFUNCTION("""COMPUTED_VALUE"""),77.83)</f>
        <v>77.83</v>
      </c>
    </row>
    <row r="3787" spans="1:2">
      <c r="A3787" s="3">
        <f ca="1">IFERROR(__xludf.DUMMYFUNCTION("""COMPUTED_VALUE"""),43846.6666666666)</f>
        <v>43846.666666666599</v>
      </c>
      <c r="B3787" s="1">
        <f ca="1">IFERROR(__xludf.DUMMYFUNCTION("""COMPUTED_VALUE"""),78.81)</f>
        <v>78.81</v>
      </c>
    </row>
    <row r="3788" spans="1:2">
      <c r="A3788" s="3">
        <f ca="1">IFERROR(__xludf.DUMMYFUNCTION("""COMPUTED_VALUE"""),43847.6666666666)</f>
        <v>43847.666666666599</v>
      </c>
      <c r="B3788" s="1">
        <f ca="1">IFERROR(__xludf.DUMMYFUNCTION("""COMPUTED_VALUE"""),79.68)</f>
        <v>79.680000000000007</v>
      </c>
    </row>
    <row r="3789" spans="1:2">
      <c r="A3789" s="3">
        <f ca="1">IFERROR(__xludf.DUMMYFUNCTION("""COMPUTED_VALUE"""),43851.6666666666)</f>
        <v>43851.666666666599</v>
      </c>
      <c r="B3789" s="1">
        <f ca="1">IFERROR(__xludf.DUMMYFUNCTION("""COMPUTED_VALUE"""),79.14)</f>
        <v>79.14</v>
      </c>
    </row>
    <row r="3790" spans="1:2">
      <c r="A3790" s="3">
        <f ca="1">IFERROR(__xludf.DUMMYFUNCTION("""COMPUTED_VALUE"""),43852.6666666666)</f>
        <v>43852.666666666599</v>
      </c>
      <c r="B3790" s="1">
        <f ca="1">IFERROR(__xludf.DUMMYFUNCTION("""COMPUTED_VALUE"""),79.43)</f>
        <v>79.430000000000007</v>
      </c>
    </row>
    <row r="3791" spans="1:2">
      <c r="A3791" s="3">
        <f ca="1">IFERROR(__xludf.DUMMYFUNCTION("""COMPUTED_VALUE"""),43853.6666666666)</f>
        <v>43853.666666666599</v>
      </c>
      <c r="B3791" s="1">
        <f ca="1">IFERROR(__xludf.DUMMYFUNCTION("""COMPUTED_VALUE"""),79.81)</f>
        <v>79.81</v>
      </c>
    </row>
    <row r="3792" spans="1:2">
      <c r="A3792" s="3">
        <f ca="1">IFERROR(__xludf.DUMMYFUNCTION("""COMPUTED_VALUE"""),43854.6666666666)</f>
        <v>43854.666666666599</v>
      </c>
      <c r="B3792" s="1">
        <f ca="1">IFERROR(__xludf.DUMMYFUNCTION("""COMPUTED_VALUE"""),79.58)</f>
        <v>79.58</v>
      </c>
    </row>
    <row r="3793" spans="1:2">
      <c r="A3793" s="3">
        <f ca="1">IFERROR(__xludf.DUMMYFUNCTION("""COMPUTED_VALUE"""),43857.6666666666)</f>
        <v>43857.666666666599</v>
      </c>
      <c r="B3793" s="1">
        <f ca="1">IFERROR(__xludf.DUMMYFUNCTION("""COMPUTED_VALUE"""),77.24)</f>
        <v>77.239999999999995</v>
      </c>
    </row>
    <row r="3794" spans="1:2">
      <c r="A3794" s="3">
        <f ca="1">IFERROR(__xludf.DUMMYFUNCTION("""COMPUTED_VALUE"""),43858.6666666666)</f>
        <v>43858.666666666599</v>
      </c>
      <c r="B3794" s="1">
        <f ca="1">IFERROR(__xludf.DUMMYFUNCTION("""COMPUTED_VALUE"""),79.42)</f>
        <v>79.42</v>
      </c>
    </row>
    <row r="3795" spans="1:2">
      <c r="A3795" s="3">
        <f ca="1">IFERROR(__xludf.DUMMYFUNCTION("""COMPUTED_VALUE"""),43859.6666666666)</f>
        <v>43859.666666666599</v>
      </c>
      <c r="B3795" s="1">
        <f ca="1">IFERROR(__xludf.DUMMYFUNCTION("""COMPUTED_VALUE"""),81.08)</f>
        <v>81.08</v>
      </c>
    </row>
    <row r="3796" spans="1:2">
      <c r="A3796" s="3">
        <f ca="1">IFERROR(__xludf.DUMMYFUNCTION("""COMPUTED_VALUE"""),43860.6666666666)</f>
        <v>43860.666666666599</v>
      </c>
      <c r="B3796" s="1">
        <f ca="1">IFERROR(__xludf.DUMMYFUNCTION("""COMPUTED_VALUE"""),80.97)</f>
        <v>80.97</v>
      </c>
    </row>
    <row r="3797" spans="1:2">
      <c r="A3797" s="3">
        <f ca="1">IFERROR(__xludf.DUMMYFUNCTION("""COMPUTED_VALUE"""),43861.6666666666)</f>
        <v>43861.666666666599</v>
      </c>
      <c r="B3797" s="1">
        <f ca="1">IFERROR(__xludf.DUMMYFUNCTION("""COMPUTED_VALUE"""),77.38)</f>
        <v>77.38</v>
      </c>
    </row>
    <row r="3798" spans="1:2">
      <c r="A3798" s="3">
        <f ca="1">IFERROR(__xludf.DUMMYFUNCTION("""COMPUTED_VALUE"""),43864.6666666666)</f>
        <v>43864.666666666599</v>
      </c>
      <c r="B3798" s="1">
        <f ca="1">IFERROR(__xludf.DUMMYFUNCTION("""COMPUTED_VALUE"""),77.17)</f>
        <v>77.17</v>
      </c>
    </row>
    <row r="3799" spans="1:2">
      <c r="A3799" s="3">
        <f ca="1">IFERROR(__xludf.DUMMYFUNCTION("""COMPUTED_VALUE"""),43865.6666666666)</f>
        <v>43865.666666666599</v>
      </c>
      <c r="B3799" s="1">
        <f ca="1">IFERROR(__xludf.DUMMYFUNCTION("""COMPUTED_VALUE"""),79.71)</f>
        <v>79.709999999999994</v>
      </c>
    </row>
    <row r="3800" spans="1:2">
      <c r="A3800" s="3">
        <f ca="1">IFERROR(__xludf.DUMMYFUNCTION("""COMPUTED_VALUE"""),43866.6666666666)</f>
        <v>43866.666666666599</v>
      </c>
      <c r="B3800" s="1">
        <f ca="1">IFERROR(__xludf.DUMMYFUNCTION("""COMPUTED_VALUE"""),80.36)</f>
        <v>80.36</v>
      </c>
    </row>
    <row r="3801" spans="1:2">
      <c r="A3801" s="3">
        <f ca="1">IFERROR(__xludf.DUMMYFUNCTION("""COMPUTED_VALUE"""),43867.6666666666)</f>
        <v>43867.666666666599</v>
      </c>
      <c r="B3801" s="1">
        <f ca="1">IFERROR(__xludf.DUMMYFUNCTION("""COMPUTED_VALUE"""),81.3)</f>
        <v>81.3</v>
      </c>
    </row>
    <row r="3802" spans="1:2">
      <c r="A3802" s="3">
        <f ca="1">IFERROR(__xludf.DUMMYFUNCTION("""COMPUTED_VALUE"""),43868.6666666666)</f>
        <v>43868.666666666599</v>
      </c>
      <c r="B3802" s="1">
        <f ca="1">IFERROR(__xludf.DUMMYFUNCTION("""COMPUTED_VALUE"""),80.01)</f>
        <v>80.010000000000005</v>
      </c>
    </row>
    <row r="3803" spans="1:2">
      <c r="A3803" s="3">
        <f ca="1">IFERROR(__xludf.DUMMYFUNCTION("""COMPUTED_VALUE"""),43871.6666666666)</f>
        <v>43871.666666666599</v>
      </c>
      <c r="B3803" s="1">
        <f ca="1">IFERROR(__xludf.DUMMYFUNCTION("""COMPUTED_VALUE"""),80.39)</f>
        <v>80.39</v>
      </c>
    </row>
    <row r="3804" spans="1:2">
      <c r="A3804" s="3">
        <f ca="1">IFERROR(__xludf.DUMMYFUNCTION("""COMPUTED_VALUE"""),43872.6666666666)</f>
        <v>43872.666666666599</v>
      </c>
      <c r="B3804" s="1">
        <f ca="1">IFERROR(__xludf.DUMMYFUNCTION("""COMPUTED_VALUE"""),79.9)</f>
        <v>79.900000000000006</v>
      </c>
    </row>
    <row r="3805" spans="1:2">
      <c r="A3805" s="3">
        <f ca="1">IFERROR(__xludf.DUMMYFUNCTION("""COMPUTED_VALUE"""),43873.6666666666)</f>
        <v>43873.666666666599</v>
      </c>
      <c r="B3805" s="1">
        <f ca="1">IFERROR(__xludf.DUMMYFUNCTION("""COMPUTED_VALUE"""),81.8)</f>
        <v>81.8</v>
      </c>
    </row>
    <row r="3806" spans="1:2">
      <c r="A3806" s="3">
        <f ca="1">IFERROR(__xludf.DUMMYFUNCTION("""COMPUTED_VALUE"""),43874.6666666666)</f>
        <v>43874.666666666599</v>
      </c>
      <c r="B3806" s="1">
        <f ca="1">IFERROR(__xludf.DUMMYFUNCTION("""COMPUTED_VALUE"""),81.22)</f>
        <v>81.22</v>
      </c>
    </row>
    <row r="3807" spans="1:2">
      <c r="A3807" s="3">
        <f ca="1">IFERROR(__xludf.DUMMYFUNCTION("""COMPUTED_VALUE"""),43875.6666666666)</f>
        <v>43875.666666666599</v>
      </c>
      <c r="B3807" s="1">
        <f ca="1">IFERROR(__xludf.DUMMYFUNCTION("""COMPUTED_VALUE"""),81.24)</f>
        <v>81.239999999999995</v>
      </c>
    </row>
    <row r="3808" spans="1:2">
      <c r="A3808" s="3">
        <f ca="1">IFERROR(__xludf.DUMMYFUNCTION("""COMPUTED_VALUE"""),43879.6666666666)</f>
        <v>43879.666666666599</v>
      </c>
      <c r="B3808" s="1">
        <f ca="1">IFERROR(__xludf.DUMMYFUNCTION("""COMPUTED_VALUE"""),79.75)</f>
        <v>79.75</v>
      </c>
    </row>
    <row r="3809" spans="1:2">
      <c r="A3809" s="3">
        <f ca="1">IFERROR(__xludf.DUMMYFUNCTION("""COMPUTED_VALUE"""),43880.6666666666)</f>
        <v>43880.666666666599</v>
      </c>
      <c r="B3809" s="1">
        <f ca="1">IFERROR(__xludf.DUMMYFUNCTION("""COMPUTED_VALUE"""),80.91)</f>
        <v>80.91</v>
      </c>
    </row>
    <row r="3810" spans="1:2">
      <c r="A3810" s="3">
        <f ca="1">IFERROR(__xludf.DUMMYFUNCTION("""COMPUTED_VALUE"""),43881.6666666666)</f>
        <v>43881.666666666599</v>
      </c>
      <c r="B3810" s="1">
        <f ca="1">IFERROR(__xludf.DUMMYFUNCTION("""COMPUTED_VALUE"""),80.08)</f>
        <v>80.08</v>
      </c>
    </row>
    <row r="3811" spans="1:2">
      <c r="A3811" s="3">
        <f ca="1">IFERROR(__xludf.DUMMYFUNCTION("""COMPUTED_VALUE"""),43882.6666666666)</f>
        <v>43882.666666666599</v>
      </c>
      <c r="B3811" s="1">
        <f ca="1">IFERROR(__xludf.DUMMYFUNCTION("""COMPUTED_VALUE"""),78.26)</f>
        <v>78.260000000000005</v>
      </c>
    </row>
    <row r="3812" spans="1:2">
      <c r="A3812" s="3">
        <f ca="1">IFERROR(__xludf.DUMMYFUNCTION("""COMPUTED_VALUE"""),43885.6666666666)</f>
        <v>43885.666666666599</v>
      </c>
      <c r="B3812" s="1">
        <f ca="1">IFERROR(__xludf.DUMMYFUNCTION("""COMPUTED_VALUE"""),74.55)</f>
        <v>74.55</v>
      </c>
    </row>
    <row r="3813" spans="1:2">
      <c r="A3813" s="3">
        <f ca="1">IFERROR(__xludf.DUMMYFUNCTION("""COMPUTED_VALUE"""),43886.6666666666)</f>
        <v>43886.666666666599</v>
      </c>
      <c r="B3813" s="1">
        <f ca="1">IFERROR(__xludf.DUMMYFUNCTION("""COMPUTED_VALUE"""),72.02)</f>
        <v>72.02</v>
      </c>
    </row>
    <row r="3814" spans="1:2">
      <c r="A3814" s="3">
        <f ca="1">IFERROR(__xludf.DUMMYFUNCTION("""COMPUTED_VALUE"""),43887.6666666666)</f>
        <v>43887.666666666599</v>
      </c>
      <c r="B3814" s="1">
        <f ca="1">IFERROR(__xludf.DUMMYFUNCTION("""COMPUTED_VALUE"""),73.16)</f>
        <v>73.16</v>
      </c>
    </row>
    <row r="3815" spans="1:2">
      <c r="A3815" s="3">
        <f ca="1">IFERROR(__xludf.DUMMYFUNCTION("""COMPUTED_VALUE"""),43888.6666666666)</f>
        <v>43888.666666666599</v>
      </c>
      <c r="B3815" s="1">
        <f ca="1">IFERROR(__xludf.DUMMYFUNCTION("""COMPUTED_VALUE"""),68.38)</f>
        <v>68.38</v>
      </c>
    </row>
    <row r="3816" spans="1:2">
      <c r="A3816" s="3">
        <f ca="1">IFERROR(__xludf.DUMMYFUNCTION("""COMPUTED_VALUE"""),43889.6666666666)</f>
        <v>43889.666666666599</v>
      </c>
      <c r="B3816" s="1">
        <f ca="1">IFERROR(__xludf.DUMMYFUNCTION("""COMPUTED_VALUE"""),68.34)</f>
        <v>68.34</v>
      </c>
    </row>
    <row r="3817" spans="1:2">
      <c r="A3817" s="3">
        <f ca="1">IFERROR(__xludf.DUMMYFUNCTION("""COMPUTED_VALUE"""),43892.6666666666)</f>
        <v>43892.666666666599</v>
      </c>
      <c r="B3817" s="1">
        <f ca="1">IFERROR(__xludf.DUMMYFUNCTION("""COMPUTED_VALUE"""),74.7)</f>
        <v>74.7</v>
      </c>
    </row>
    <row r="3818" spans="1:2">
      <c r="A3818" s="3">
        <f ca="1">IFERROR(__xludf.DUMMYFUNCTION("""COMPUTED_VALUE"""),43893.6666666666)</f>
        <v>43893.666666666599</v>
      </c>
      <c r="B3818" s="1">
        <f ca="1">IFERROR(__xludf.DUMMYFUNCTION("""COMPUTED_VALUE"""),72.33)</f>
        <v>72.33</v>
      </c>
    </row>
    <row r="3819" spans="1:2">
      <c r="A3819" s="3">
        <f ca="1">IFERROR(__xludf.DUMMYFUNCTION("""COMPUTED_VALUE"""),43894.6666666666)</f>
        <v>43894.666666666599</v>
      </c>
      <c r="B3819" s="1">
        <f ca="1">IFERROR(__xludf.DUMMYFUNCTION("""COMPUTED_VALUE"""),75.69)</f>
        <v>75.69</v>
      </c>
    </row>
    <row r="3820" spans="1:2">
      <c r="A3820" s="3">
        <f ca="1">IFERROR(__xludf.DUMMYFUNCTION("""COMPUTED_VALUE"""),43895.6666666666)</f>
        <v>43895.666666666599</v>
      </c>
      <c r="B3820" s="1">
        <f ca="1">IFERROR(__xludf.DUMMYFUNCTION("""COMPUTED_VALUE"""),73.23)</f>
        <v>73.23</v>
      </c>
    </row>
    <row r="3821" spans="1:2">
      <c r="A3821" s="3">
        <f ca="1">IFERROR(__xludf.DUMMYFUNCTION("""COMPUTED_VALUE"""),43896.6666666666)</f>
        <v>43896.666666666599</v>
      </c>
      <c r="B3821" s="1">
        <f ca="1">IFERROR(__xludf.DUMMYFUNCTION("""COMPUTED_VALUE"""),72.26)</f>
        <v>72.260000000000005</v>
      </c>
    </row>
    <row r="3822" spans="1:2">
      <c r="A3822" s="3">
        <f ca="1">IFERROR(__xludf.DUMMYFUNCTION("""COMPUTED_VALUE"""),43899.6666666666)</f>
        <v>43899.666666666599</v>
      </c>
      <c r="B3822" s="1">
        <f ca="1">IFERROR(__xludf.DUMMYFUNCTION("""COMPUTED_VALUE"""),66.54)</f>
        <v>66.540000000000006</v>
      </c>
    </row>
    <row r="3823" spans="1:2">
      <c r="A3823" s="3">
        <f ca="1">IFERROR(__xludf.DUMMYFUNCTION("""COMPUTED_VALUE"""),43900.6666666666)</f>
        <v>43900.666666666599</v>
      </c>
      <c r="B3823" s="1">
        <f ca="1">IFERROR(__xludf.DUMMYFUNCTION("""COMPUTED_VALUE"""),71.33)</f>
        <v>71.33</v>
      </c>
    </row>
    <row r="3824" spans="1:2">
      <c r="A3824" s="3">
        <f ca="1">IFERROR(__xludf.DUMMYFUNCTION("""COMPUTED_VALUE"""),43901.6666666666)</f>
        <v>43901.666666666599</v>
      </c>
      <c r="B3824" s="1">
        <f ca="1">IFERROR(__xludf.DUMMYFUNCTION("""COMPUTED_VALUE"""),68.86)</f>
        <v>68.86</v>
      </c>
    </row>
    <row r="3825" spans="1:2">
      <c r="A3825" s="3">
        <f ca="1">IFERROR(__xludf.DUMMYFUNCTION("""COMPUTED_VALUE"""),43902.6666666666)</f>
        <v>43902.666666666599</v>
      </c>
      <c r="B3825" s="1">
        <f ca="1">IFERROR(__xludf.DUMMYFUNCTION("""COMPUTED_VALUE"""),62.06)</f>
        <v>62.06</v>
      </c>
    </row>
    <row r="3826" spans="1:2">
      <c r="A3826" s="3">
        <f ca="1">IFERROR(__xludf.DUMMYFUNCTION("""COMPUTED_VALUE"""),43903.6666666666)</f>
        <v>43903.666666666599</v>
      </c>
      <c r="B3826" s="1">
        <f ca="1">IFERROR(__xludf.DUMMYFUNCTION("""COMPUTED_VALUE"""),69.49)</f>
        <v>69.489999999999995</v>
      </c>
    </row>
    <row r="3827" spans="1:2">
      <c r="A3827" s="3">
        <f ca="1">IFERROR(__xludf.DUMMYFUNCTION("""COMPUTED_VALUE"""),43906.6666666666)</f>
        <v>43906.666666666599</v>
      </c>
      <c r="B3827" s="1">
        <f ca="1">IFERROR(__xludf.DUMMYFUNCTION("""COMPUTED_VALUE"""),60.55)</f>
        <v>60.55</v>
      </c>
    </row>
    <row r="3828" spans="1:2">
      <c r="A3828" s="3">
        <f ca="1">IFERROR(__xludf.DUMMYFUNCTION("""COMPUTED_VALUE"""),43907.6666666666)</f>
        <v>43907.666666666599</v>
      </c>
      <c r="B3828" s="1">
        <f ca="1">IFERROR(__xludf.DUMMYFUNCTION("""COMPUTED_VALUE"""),63.22)</f>
        <v>63.22</v>
      </c>
    </row>
    <row r="3829" spans="1:2">
      <c r="A3829" s="3">
        <f ca="1">IFERROR(__xludf.DUMMYFUNCTION("""COMPUTED_VALUE"""),43908.6666666666)</f>
        <v>43908.666666666599</v>
      </c>
      <c r="B3829" s="1">
        <f ca="1">IFERROR(__xludf.DUMMYFUNCTION("""COMPUTED_VALUE"""),61.67)</f>
        <v>61.67</v>
      </c>
    </row>
    <row r="3830" spans="1:2">
      <c r="A3830" s="3">
        <f ca="1">IFERROR(__xludf.DUMMYFUNCTION("""COMPUTED_VALUE"""),43909.6666666666)</f>
        <v>43909.666666666599</v>
      </c>
      <c r="B3830" s="1">
        <f ca="1">IFERROR(__xludf.DUMMYFUNCTION("""COMPUTED_VALUE"""),61.2)</f>
        <v>61.2</v>
      </c>
    </row>
    <row r="3831" spans="1:2">
      <c r="A3831" s="3">
        <f ca="1">IFERROR(__xludf.DUMMYFUNCTION("""COMPUTED_VALUE"""),43910.6666666666)</f>
        <v>43910.666666666599</v>
      </c>
      <c r="B3831" s="1">
        <f ca="1">IFERROR(__xludf.DUMMYFUNCTION("""COMPUTED_VALUE"""),57.31)</f>
        <v>57.31</v>
      </c>
    </row>
    <row r="3832" spans="1:2">
      <c r="A3832" s="3">
        <f ca="1">IFERROR(__xludf.DUMMYFUNCTION("""COMPUTED_VALUE"""),43913.6666666666)</f>
        <v>43913.666666666599</v>
      </c>
      <c r="B3832" s="1">
        <f ca="1">IFERROR(__xludf.DUMMYFUNCTION("""COMPUTED_VALUE"""),56.09)</f>
        <v>56.09</v>
      </c>
    </row>
    <row r="3833" spans="1:2">
      <c r="A3833" s="3">
        <f ca="1">IFERROR(__xludf.DUMMYFUNCTION("""COMPUTED_VALUE"""),43914.6666666666)</f>
        <v>43914.666666666599</v>
      </c>
      <c r="B3833" s="1">
        <f ca="1">IFERROR(__xludf.DUMMYFUNCTION("""COMPUTED_VALUE"""),61.72)</f>
        <v>61.72</v>
      </c>
    </row>
    <row r="3834" spans="1:2">
      <c r="A3834" s="3">
        <f ca="1">IFERROR(__xludf.DUMMYFUNCTION("""COMPUTED_VALUE"""),43915.6666666666)</f>
        <v>43915.666666666599</v>
      </c>
      <c r="B3834" s="1">
        <f ca="1">IFERROR(__xludf.DUMMYFUNCTION("""COMPUTED_VALUE"""),61.38)</f>
        <v>61.38</v>
      </c>
    </row>
    <row r="3835" spans="1:2">
      <c r="A3835" s="3">
        <f ca="1">IFERROR(__xludf.DUMMYFUNCTION("""COMPUTED_VALUE"""),43916.6666666666)</f>
        <v>43916.666666666599</v>
      </c>
      <c r="B3835" s="1">
        <f ca="1">IFERROR(__xludf.DUMMYFUNCTION("""COMPUTED_VALUE"""),64.61)</f>
        <v>64.61</v>
      </c>
    </row>
    <row r="3836" spans="1:2">
      <c r="A3836" s="3">
        <f ca="1">IFERROR(__xludf.DUMMYFUNCTION("""COMPUTED_VALUE"""),43917.6666666666)</f>
        <v>43917.666666666599</v>
      </c>
      <c r="B3836" s="1">
        <f ca="1">IFERROR(__xludf.DUMMYFUNCTION("""COMPUTED_VALUE"""),61.94)</f>
        <v>61.94</v>
      </c>
    </row>
    <row r="3837" spans="1:2">
      <c r="A3837" s="3">
        <f ca="1">IFERROR(__xludf.DUMMYFUNCTION("""COMPUTED_VALUE"""),43920.6666666666)</f>
        <v>43920.666666666599</v>
      </c>
      <c r="B3837" s="1">
        <f ca="1">IFERROR(__xludf.DUMMYFUNCTION("""COMPUTED_VALUE"""),63.7)</f>
        <v>63.7</v>
      </c>
    </row>
    <row r="3838" spans="1:2">
      <c r="A3838" s="3">
        <f ca="1">IFERROR(__xludf.DUMMYFUNCTION("""COMPUTED_VALUE"""),43921.6666666666)</f>
        <v>43921.666666666599</v>
      </c>
      <c r="B3838" s="1">
        <f ca="1">IFERROR(__xludf.DUMMYFUNCTION("""COMPUTED_VALUE"""),63.57)</f>
        <v>63.57</v>
      </c>
    </row>
    <row r="3839" spans="1:2">
      <c r="A3839" s="3">
        <f ca="1">IFERROR(__xludf.DUMMYFUNCTION("""COMPUTED_VALUE"""),43922.6666666666)</f>
        <v>43922.666666666599</v>
      </c>
      <c r="B3839" s="1">
        <f ca="1">IFERROR(__xludf.DUMMYFUNCTION("""COMPUTED_VALUE"""),60.23)</f>
        <v>60.23</v>
      </c>
    </row>
    <row r="3840" spans="1:2">
      <c r="A3840" s="3">
        <f ca="1">IFERROR(__xludf.DUMMYFUNCTION("""COMPUTED_VALUE"""),43923.6666666666)</f>
        <v>43923.666666666599</v>
      </c>
      <c r="B3840" s="1">
        <f ca="1">IFERROR(__xludf.DUMMYFUNCTION("""COMPUTED_VALUE"""),61.23)</f>
        <v>61.23</v>
      </c>
    </row>
    <row r="3841" spans="1:2">
      <c r="A3841" s="3">
        <f ca="1">IFERROR(__xludf.DUMMYFUNCTION("""COMPUTED_VALUE"""),43924.6666666666)</f>
        <v>43924.666666666599</v>
      </c>
      <c r="B3841" s="1">
        <f ca="1">IFERROR(__xludf.DUMMYFUNCTION("""COMPUTED_VALUE"""),60.35)</f>
        <v>60.35</v>
      </c>
    </row>
    <row r="3842" spans="1:2">
      <c r="A3842" s="3">
        <f ca="1">IFERROR(__xludf.DUMMYFUNCTION("""COMPUTED_VALUE"""),43927.6666666666)</f>
        <v>43927.666666666599</v>
      </c>
      <c r="B3842" s="1">
        <f ca="1">IFERROR(__xludf.DUMMYFUNCTION("""COMPUTED_VALUE"""),65.62)</f>
        <v>65.62</v>
      </c>
    </row>
    <row r="3843" spans="1:2">
      <c r="A3843" s="3">
        <f ca="1">IFERROR(__xludf.DUMMYFUNCTION("""COMPUTED_VALUE"""),43928.6666666666)</f>
        <v>43928.666666666599</v>
      </c>
      <c r="B3843" s="1">
        <f ca="1">IFERROR(__xludf.DUMMYFUNCTION("""COMPUTED_VALUE"""),64.86)</f>
        <v>64.86</v>
      </c>
    </row>
    <row r="3844" spans="1:2">
      <c r="A3844" s="3">
        <f ca="1">IFERROR(__xludf.DUMMYFUNCTION("""COMPUTED_VALUE"""),43929.6666666666)</f>
        <v>43929.666666666599</v>
      </c>
      <c r="B3844" s="1">
        <f ca="1">IFERROR(__xludf.DUMMYFUNCTION("""COMPUTED_VALUE"""),66.52)</f>
        <v>66.52</v>
      </c>
    </row>
    <row r="3845" spans="1:2">
      <c r="A3845" s="3">
        <f ca="1">IFERROR(__xludf.DUMMYFUNCTION("""COMPUTED_VALUE"""),43930.6666666666)</f>
        <v>43930.666666666599</v>
      </c>
      <c r="B3845" s="1">
        <f ca="1">IFERROR(__xludf.DUMMYFUNCTION("""COMPUTED_VALUE"""),67)</f>
        <v>67</v>
      </c>
    </row>
    <row r="3846" spans="1:2">
      <c r="A3846" s="3">
        <f ca="1">IFERROR(__xludf.DUMMYFUNCTION("""COMPUTED_VALUE"""),43934.6666666666)</f>
        <v>43934.666666666599</v>
      </c>
      <c r="B3846" s="1">
        <f ca="1">IFERROR(__xludf.DUMMYFUNCTION("""COMPUTED_VALUE"""),68.31)</f>
        <v>68.31</v>
      </c>
    </row>
    <row r="3847" spans="1:2">
      <c r="A3847" s="3">
        <f ca="1">IFERROR(__xludf.DUMMYFUNCTION("""COMPUTED_VALUE"""),43935.6666666666)</f>
        <v>43935.666666666599</v>
      </c>
      <c r="B3847" s="1">
        <f ca="1">IFERROR(__xludf.DUMMYFUNCTION("""COMPUTED_VALUE"""),71.76)</f>
        <v>71.760000000000005</v>
      </c>
    </row>
    <row r="3848" spans="1:2">
      <c r="A3848" s="3">
        <f ca="1">IFERROR(__xludf.DUMMYFUNCTION("""COMPUTED_VALUE"""),43936.6666666666)</f>
        <v>43936.666666666599</v>
      </c>
      <c r="B3848" s="1">
        <f ca="1">IFERROR(__xludf.DUMMYFUNCTION("""COMPUTED_VALUE"""),71.11)</f>
        <v>71.11</v>
      </c>
    </row>
    <row r="3849" spans="1:2">
      <c r="A3849" s="3">
        <f ca="1">IFERROR(__xludf.DUMMYFUNCTION("""COMPUTED_VALUE"""),43937.6666666666)</f>
        <v>43937.666666666599</v>
      </c>
      <c r="B3849" s="1">
        <f ca="1">IFERROR(__xludf.DUMMYFUNCTION("""COMPUTED_VALUE"""),71.67)</f>
        <v>71.67</v>
      </c>
    </row>
    <row r="3850" spans="1:2">
      <c r="A3850" s="3">
        <f ca="1">IFERROR(__xludf.DUMMYFUNCTION("""COMPUTED_VALUE"""),43938.6666666666)</f>
        <v>43938.666666666599</v>
      </c>
      <c r="B3850" s="1">
        <f ca="1">IFERROR(__xludf.DUMMYFUNCTION("""COMPUTED_VALUE"""),70.7)</f>
        <v>70.7</v>
      </c>
    </row>
    <row r="3851" spans="1:2">
      <c r="A3851" s="3">
        <f ca="1">IFERROR(__xludf.DUMMYFUNCTION("""COMPUTED_VALUE"""),43941.6666666666)</f>
        <v>43941.666666666599</v>
      </c>
      <c r="B3851" s="1">
        <f ca="1">IFERROR(__xludf.DUMMYFUNCTION("""COMPUTED_VALUE"""),69.23)</f>
        <v>69.23</v>
      </c>
    </row>
    <row r="3852" spans="1:2">
      <c r="A3852" s="3">
        <f ca="1">IFERROR(__xludf.DUMMYFUNCTION("""COMPUTED_VALUE"""),43942.6666666666)</f>
        <v>43942.666666666599</v>
      </c>
      <c r="B3852" s="1">
        <f ca="1">IFERROR(__xludf.DUMMYFUNCTION("""COMPUTED_VALUE"""),67.09)</f>
        <v>67.09</v>
      </c>
    </row>
    <row r="3853" spans="1:2">
      <c r="A3853" s="3">
        <f ca="1">IFERROR(__xludf.DUMMYFUNCTION("""COMPUTED_VALUE"""),43943.6666666666)</f>
        <v>43943.666666666599</v>
      </c>
      <c r="B3853" s="1">
        <f ca="1">IFERROR(__xludf.DUMMYFUNCTION("""COMPUTED_VALUE"""),69.03)</f>
        <v>69.03</v>
      </c>
    </row>
    <row r="3854" spans="1:2">
      <c r="A3854" s="3">
        <f ca="1">IFERROR(__xludf.DUMMYFUNCTION("""COMPUTED_VALUE"""),43944.6666666666)</f>
        <v>43944.666666666599</v>
      </c>
      <c r="B3854" s="1">
        <f ca="1">IFERROR(__xludf.DUMMYFUNCTION("""COMPUTED_VALUE"""),68.76)</f>
        <v>68.760000000000005</v>
      </c>
    </row>
    <row r="3855" spans="1:2">
      <c r="A3855" s="3">
        <f ca="1">IFERROR(__xludf.DUMMYFUNCTION("""COMPUTED_VALUE"""),43945.6666666666)</f>
        <v>43945.666666666599</v>
      </c>
      <c r="B3855" s="1">
        <f ca="1">IFERROR(__xludf.DUMMYFUNCTION("""COMPUTED_VALUE"""),70.74)</f>
        <v>70.739999999999995</v>
      </c>
    </row>
    <row r="3856" spans="1:2">
      <c r="A3856" s="3">
        <f ca="1">IFERROR(__xludf.DUMMYFUNCTION("""COMPUTED_VALUE"""),43948.6666666666)</f>
        <v>43948.666666666599</v>
      </c>
      <c r="B3856" s="1">
        <f ca="1">IFERROR(__xludf.DUMMYFUNCTION("""COMPUTED_VALUE"""),70.79)</f>
        <v>70.790000000000006</v>
      </c>
    </row>
    <row r="3857" spans="1:2">
      <c r="A3857" s="3">
        <f ca="1">IFERROR(__xludf.DUMMYFUNCTION("""COMPUTED_VALUE"""),43949.6666666666)</f>
        <v>43949.666666666599</v>
      </c>
      <c r="B3857" s="1">
        <f ca="1">IFERROR(__xludf.DUMMYFUNCTION("""COMPUTED_VALUE"""),69.65)</f>
        <v>69.650000000000006</v>
      </c>
    </row>
    <row r="3858" spans="1:2">
      <c r="A3858" s="3">
        <f ca="1">IFERROR(__xludf.DUMMYFUNCTION("""COMPUTED_VALUE"""),43950.6666666666)</f>
        <v>43950.666666666599</v>
      </c>
      <c r="B3858" s="1">
        <f ca="1">IFERROR(__xludf.DUMMYFUNCTION("""COMPUTED_VALUE"""),71.93)</f>
        <v>71.930000000000007</v>
      </c>
    </row>
    <row r="3859" spans="1:2">
      <c r="A3859" s="3">
        <f ca="1">IFERROR(__xludf.DUMMYFUNCTION("""COMPUTED_VALUE"""),43951.6666666666)</f>
        <v>43951.666666666599</v>
      </c>
      <c r="B3859" s="1">
        <f ca="1">IFERROR(__xludf.DUMMYFUNCTION("""COMPUTED_VALUE"""),73.45)</f>
        <v>73.45</v>
      </c>
    </row>
    <row r="3860" spans="1:2">
      <c r="A3860" s="3">
        <f ca="1">IFERROR(__xludf.DUMMYFUNCTION("""COMPUTED_VALUE"""),43952.6666666666)</f>
        <v>43952.666666666599</v>
      </c>
      <c r="B3860" s="1">
        <f ca="1">IFERROR(__xludf.DUMMYFUNCTION("""COMPUTED_VALUE"""),72.27)</f>
        <v>72.27</v>
      </c>
    </row>
    <row r="3861" spans="1:2">
      <c r="A3861" s="3">
        <f ca="1">IFERROR(__xludf.DUMMYFUNCTION("""COMPUTED_VALUE"""),43955.6666666666)</f>
        <v>43955.666666666599</v>
      </c>
      <c r="B3861" s="1">
        <f ca="1">IFERROR(__xludf.DUMMYFUNCTION("""COMPUTED_VALUE"""),73.29)</f>
        <v>73.290000000000006</v>
      </c>
    </row>
    <row r="3862" spans="1:2">
      <c r="A3862" s="3">
        <f ca="1">IFERROR(__xludf.DUMMYFUNCTION("""COMPUTED_VALUE"""),43956.6666666666)</f>
        <v>43956.666666666599</v>
      </c>
      <c r="B3862" s="1">
        <f ca="1">IFERROR(__xludf.DUMMYFUNCTION("""COMPUTED_VALUE"""),74.39)</f>
        <v>74.39</v>
      </c>
    </row>
    <row r="3863" spans="1:2">
      <c r="A3863" s="3">
        <f ca="1">IFERROR(__xludf.DUMMYFUNCTION("""COMPUTED_VALUE"""),43957.6666666666)</f>
        <v>43957.666666666599</v>
      </c>
      <c r="B3863" s="1">
        <f ca="1">IFERROR(__xludf.DUMMYFUNCTION("""COMPUTED_VALUE"""),75.16)</f>
        <v>75.16</v>
      </c>
    </row>
    <row r="3864" spans="1:2">
      <c r="A3864" s="3">
        <f ca="1">IFERROR(__xludf.DUMMYFUNCTION("""COMPUTED_VALUE"""),43958.6666666666)</f>
        <v>43958.666666666599</v>
      </c>
      <c r="B3864" s="1">
        <f ca="1">IFERROR(__xludf.DUMMYFUNCTION("""COMPUTED_VALUE"""),75.94)</f>
        <v>75.94</v>
      </c>
    </row>
    <row r="3865" spans="1:2">
      <c r="A3865" s="3">
        <f ca="1">IFERROR(__xludf.DUMMYFUNCTION("""COMPUTED_VALUE"""),43959.6666666666)</f>
        <v>43959.666666666599</v>
      </c>
      <c r="B3865" s="1">
        <f ca="1">IFERROR(__xludf.DUMMYFUNCTION("""COMPUTED_VALUE"""),77.53)</f>
        <v>77.53</v>
      </c>
    </row>
    <row r="3866" spans="1:2">
      <c r="A3866" s="3">
        <f ca="1">IFERROR(__xludf.DUMMYFUNCTION("""COMPUTED_VALUE"""),43962.6666666666)</f>
        <v>43962.666666666599</v>
      </c>
      <c r="B3866" s="1">
        <f ca="1">IFERROR(__xludf.DUMMYFUNCTION("""COMPUTED_VALUE"""),78.75)</f>
        <v>78.75</v>
      </c>
    </row>
    <row r="3867" spans="1:2">
      <c r="A3867" s="3">
        <f ca="1">IFERROR(__xludf.DUMMYFUNCTION("""COMPUTED_VALUE"""),43963.6666666666)</f>
        <v>43963.666666666599</v>
      </c>
      <c r="B3867" s="1">
        <f ca="1">IFERROR(__xludf.DUMMYFUNCTION("""COMPUTED_VALUE"""),77.85)</f>
        <v>77.849999999999994</v>
      </c>
    </row>
    <row r="3868" spans="1:2">
      <c r="A3868" s="3">
        <f ca="1">IFERROR(__xludf.DUMMYFUNCTION("""COMPUTED_VALUE"""),43964.6666666666)</f>
        <v>43964.666666666599</v>
      </c>
      <c r="B3868" s="1">
        <f ca="1">IFERROR(__xludf.DUMMYFUNCTION("""COMPUTED_VALUE"""),76.91)</f>
        <v>76.91</v>
      </c>
    </row>
    <row r="3869" spans="1:2">
      <c r="A3869" s="3">
        <f ca="1">IFERROR(__xludf.DUMMYFUNCTION("""COMPUTED_VALUE"""),43965.6666666666)</f>
        <v>43965.666666666599</v>
      </c>
      <c r="B3869" s="1">
        <f ca="1">IFERROR(__xludf.DUMMYFUNCTION("""COMPUTED_VALUE"""),77.39)</f>
        <v>77.39</v>
      </c>
    </row>
    <row r="3870" spans="1:2">
      <c r="A3870" s="3">
        <f ca="1">IFERROR(__xludf.DUMMYFUNCTION("""COMPUTED_VALUE"""),43966.6666666666)</f>
        <v>43966.666666666599</v>
      </c>
      <c r="B3870" s="1">
        <f ca="1">IFERROR(__xludf.DUMMYFUNCTION("""COMPUTED_VALUE"""),76.93)</f>
        <v>76.930000000000007</v>
      </c>
    </row>
    <row r="3871" spans="1:2">
      <c r="A3871" s="3">
        <f ca="1">IFERROR(__xludf.DUMMYFUNCTION("""COMPUTED_VALUE"""),43969.6666666666)</f>
        <v>43969.666666666599</v>
      </c>
      <c r="B3871" s="1">
        <f ca="1">IFERROR(__xludf.DUMMYFUNCTION("""COMPUTED_VALUE"""),78.74)</f>
        <v>78.739999999999995</v>
      </c>
    </row>
    <row r="3872" spans="1:2">
      <c r="A3872" s="3">
        <f ca="1">IFERROR(__xludf.DUMMYFUNCTION("""COMPUTED_VALUE"""),43970.6666666666)</f>
        <v>43970.666666666599</v>
      </c>
      <c r="B3872" s="1">
        <f ca="1">IFERROR(__xludf.DUMMYFUNCTION("""COMPUTED_VALUE"""),78.29)</f>
        <v>78.290000000000006</v>
      </c>
    </row>
    <row r="3873" spans="1:2">
      <c r="A3873" s="3">
        <f ca="1">IFERROR(__xludf.DUMMYFUNCTION("""COMPUTED_VALUE"""),43971.6666666666)</f>
        <v>43971.666666666599</v>
      </c>
      <c r="B3873" s="1">
        <f ca="1">IFERROR(__xludf.DUMMYFUNCTION("""COMPUTED_VALUE"""),79.81)</f>
        <v>79.81</v>
      </c>
    </row>
    <row r="3874" spans="1:2">
      <c r="A3874" s="3">
        <f ca="1">IFERROR(__xludf.DUMMYFUNCTION("""COMPUTED_VALUE"""),43972.6666666666)</f>
        <v>43972.666666666599</v>
      </c>
      <c r="B3874" s="1">
        <f ca="1">IFERROR(__xludf.DUMMYFUNCTION("""COMPUTED_VALUE"""),79.21)</f>
        <v>79.209999999999994</v>
      </c>
    </row>
    <row r="3875" spans="1:2">
      <c r="A3875" s="3">
        <f ca="1">IFERROR(__xludf.DUMMYFUNCTION("""COMPUTED_VALUE"""),43973.6666666666)</f>
        <v>43973.666666666599</v>
      </c>
      <c r="B3875" s="1">
        <f ca="1">IFERROR(__xludf.DUMMYFUNCTION("""COMPUTED_VALUE"""),79.72)</f>
        <v>79.72</v>
      </c>
    </row>
    <row r="3876" spans="1:2">
      <c r="A3876" s="3">
        <f ca="1">IFERROR(__xludf.DUMMYFUNCTION("""COMPUTED_VALUE"""),43977.6666666666)</f>
        <v>43977.666666666599</v>
      </c>
      <c r="B3876" s="1">
        <f ca="1">IFERROR(__xludf.DUMMYFUNCTION("""COMPUTED_VALUE"""),79.18)</f>
        <v>79.180000000000007</v>
      </c>
    </row>
    <row r="3877" spans="1:2">
      <c r="A3877" s="3">
        <f ca="1">IFERROR(__xludf.DUMMYFUNCTION("""COMPUTED_VALUE"""),43978.6666666666)</f>
        <v>43978.666666666599</v>
      </c>
      <c r="B3877" s="1">
        <f ca="1">IFERROR(__xludf.DUMMYFUNCTION("""COMPUTED_VALUE"""),79.53)</f>
        <v>79.53</v>
      </c>
    </row>
    <row r="3878" spans="1:2">
      <c r="A3878" s="3">
        <f ca="1">IFERROR(__xludf.DUMMYFUNCTION("""COMPUTED_VALUE"""),43979.6666666666)</f>
        <v>43979.666666666599</v>
      </c>
      <c r="B3878" s="1">
        <f ca="1">IFERROR(__xludf.DUMMYFUNCTION("""COMPUTED_VALUE"""),79.56)</f>
        <v>79.56</v>
      </c>
    </row>
    <row r="3879" spans="1:2">
      <c r="A3879" s="3">
        <f ca="1">IFERROR(__xludf.DUMMYFUNCTION("""COMPUTED_VALUE"""),43980.6666666666)</f>
        <v>43980.666666666599</v>
      </c>
      <c r="B3879" s="1">
        <f ca="1">IFERROR(__xludf.DUMMYFUNCTION("""COMPUTED_VALUE"""),79.49)</f>
        <v>79.489999999999995</v>
      </c>
    </row>
    <row r="3880" spans="1:2">
      <c r="A3880" s="3">
        <f ca="1">IFERROR(__xludf.DUMMYFUNCTION("""COMPUTED_VALUE"""),43983.6666666666)</f>
        <v>43983.666666666599</v>
      </c>
      <c r="B3880" s="1">
        <f ca="1">IFERROR(__xludf.DUMMYFUNCTION("""COMPUTED_VALUE"""),80.46)</f>
        <v>80.459999999999994</v>
      </c>
    </row>
    <row r="3881" spans="1:2">
      <c r="A3881" s="3">
        <f ca="1">IFERROR(__xludf.DUMMYFUNCTION("""COMPUTED_VALUE"""),43984.6666666666)</f>
        <v>43984.666666666599</v>
      </c>
      <c r="B3881" s="1">
        <f ca="1">IFERROR(__xludf.DUMMYFUNCTION("""COMPUTED_VALUE"""),80.83)</f>
        <v>80.83</v>
      </c>
    </row>
    <row r="3882" spans="1:2">
      <c r="A3882" s="3">
        <f ca="1">IFERROR(__xludf.DUMMYFUNCTION("""COMPUTED_VALUE"""),43985.6666666666)</f>
        <v>43985.666666666599</v>
      </c>
      <c r="B3882" s="1">
        <f ca="1">IFERROR(__xludf.DUMMYFUNCTION("""COMPUTED_VALUE"""),81.28)</f>
        <v>81.28</v>
      </c>
    </row>
    <row r="3883" spans="1:2">
      <c r="A3883" s="3">
        <f ca="1">IFERROR(__xludf.DUMMYFUNCTION("""COMPUTED_VALUE"""),43986.6666666666)</f>
        <v>43986.666666666599</v>
      </c>
      <c r="B3883" s="1">
        <f ca="1">IFERROR(__xludf.DUMMYFUNCTION("""COMPUTED_VALUE"""),80.58)</f>
        <v>80.58</v>
      </c>
    </row>
    <row r="3884" spans="1:2">
      <c r="A3884" s="3">
        <f ca="1">IFERROR(__xludf.DUMMYFUNCTION("""COMPUTED_VALUE"""),43987.6666666666)</f>
        <v>43987.666666666599</v>
      </c>
      <c r="B3884" s="1">
        <f ca="1">IFERROR(__xludf.DUMMYFUNCTION("""COMPUTED_VALUE"""),82.88)</f>
        <v>82.88</v>
      </c>
    </row>
    <row r="3885" spans="1:2">
      <c r="A3885" s="3">
        <f ca="1">IFERROR(__xludf.DUMMYFUNCTION("""COMPUTED_VALUE"""),43990.6666666666)</f>
        <v>43990.666666666599</v>
      </c>
      <c r="B3885" s="1">
        <f ca="1">IFERROR(__xludf.DUMMYFUNCTION("""COMPUTED_VALUE"""),83.37)</f>
        <v>83.37</v>
      </c>
    </row>
    <row r="3886" spans="1:2">
      <c r="A3886" s="3">
        <f ca="1">IFERROR(__xludf.DUMMYFUNCTION("""COMPUTED_VALUE"""),43991.6666666666)</f>
        <v>43991.666666666599</v>
      </c>
      <c r="B3886" s="1">
        <f ca="1">IFERROR(__xludf.DUMMYFUNCTION("""COMPUTED_VALUE"""),86)</f>
        <v>86</v>
      </c>
    </row>
    <row r="3887" spans="1:2">
      <c r="A3887" s="3">
        <f ca="1">IFERROR(__xludf.DUMMYFUNCTION("""COMPUTED_VALUE"""),43992.6666666666)</f>
        <v>43992.666666666599</v>
      </c>
      <c r="B3887" s="1">
        <f ca="1">IFERROR(__xludf.DUMMYFUNCTION("""COMPUTED_VALUE"""),88.21)</f>
        <v>88.21</v>
      </c>
    </row>
    <row r="3888" spans="1:2">
      <c r="A3888" s="3">
        <f ca="1">IFERROR(__xludf.DUMMYFUNCTION("""COMPUTED_VALUE"""),43993.6666666666)</f>
        <v>43993.666666666599</v>
      </c>
      <c r="B3888" s="1">
        <f ca="1">IFERROR(__xludf.DUMMYFUNCTION("""COMPUTED_VALUE"""),83.98)</f>
        <v>83.98</v>
      </c>
    </row>
    <row r="3889" spans="1:2">
      <c r="A3889" s="3">
        <f ca="1">IFERROR(__xludf.DUMMYFUNCTION("""COMPUTED_VALUE"""),43994.6666666666)</f>
        <v>43994.666666666599</v>
      </c>
      <c r="B3889" s="1">
        <f ca="1">IFERROR(__xludf.DUMMYFUNCTION("""COMPUTED_VALUE"""),84.7)</f>
        <v>84.7</v>
      </c>
    </row>
    <row r="3890" spans="1:2">
      <c r="A3890" s="3">
        <f ca="1">IFERROR(__xludf.DUMMYFUNCTION("""COMPUTED_VALUE"""),43997.6666666666)</f>
        <v>43997.666666666599</v>
      </c>
      <c r="B3890" s="1">
        <f ca="1">IFERROR(__xludf.DUMMYFUNCTION("""COMPUTED_VALUE"""),85.75)</f>
        <v>85.75</v>
      </c>
    </row>
    <row r="3891" spans="1:2">
      <c r="A3891" s="3">
        <f ca="1">IFERROR(__xludf.DUMMYFUNCTION("""COMPUTED_VALUE"""),43998.6666666666)</f>
        <v>43998.666666666599</v>
      </c>
      <c r="B3891" s="1">
        <f ca="1">IFERROR(__xludf.DUMMYFUNCTION("""COMPUTED_VALUE"""),88.02)</f>
        <v>88.02</v>
      </c>
    </row>
    <row r="3892" spans="1:2">
      <c r="A3892" s="3">
        <f ca="1">IFERROR(__xludf.DUMMYFUNCTION("""COMPUTED_VALUE"""),43999.6666666666)</f>
        <v>43999.666666666599</v>
      </c>
      <c r="B3892" s="1">
        <f ca="1">IFERROR(__xludf.DUMMYFUNCTION("""COMPUTED_VALUE"""),87.9)</f>
        <v>87.9</v>
      </c>
    </row>
    <row r="3893" spans="1:2">
      <c r="A3893" s="3">
        <f ca="1">IFERROR(__xludf.DUMMYFUNCTION("""COMPUTED_VALUE"""),44000.6666666666)</f>
        <v>44000.666666666599</v>
      </c>
      <c r="B3893" s="1">
        <f ca="1">IFERROR(__xludf.DUMMYFUNCTION("""COMPUTED_VALUE"""),87.93)</f>
        <v>87.93</v>
      </c>
    </row>
    <row r="3894" spans="1:2">
      <c r="A3894" s="3">
        <f ca="1">IFERROR(__xludf.DUMMYFUNCTION("""COMPUTED_VALUE"""),44001.6666666666)</f>
        <v>44001.666666666599</v>
      </c>
      <c r="B3894" s="1">
        <f ca="1">IFERROR(__xludf.DUMMYFUNCTION("""COMPUTED_VALUE"""),87.43)</f>
        <v>87.43</v>
      </c>
    </row>
    <row r="3895" spans="1:2">
      <c r="A3895" s="3">
        <f ca="1">IFERROR(__xludf.DUMMYFUNCTION("""COMPUTED_VALUE"""),44004.6666666666)</f>
        <v>44004.666666666599</v>
      </c>
      <c r="B3895" s="1">
        <f ca="1">IFERROR(__xludf.DUMMYFUNCTION("""COMPUTED_VALUE"""),89.72)</f>
        <v>89.72</v>
      </c>
    </row>
    <row r="3896" spans="1:2">
      <c r="A3896" s="3">
        <f ca="1">IFERROR(__xludf.DUMMYFUNCTION("""COMPUTED_VALUE"""),44005.6666666666)</f>
        <v>44005.666666666599</v>
      </c>
      <c r="B3896" s="1">
        <f ca="1">IFERROR(__xludf.DUMMYFUNCTION("""COMPUTED_VALUE"""),91.63)</f>
        <v>91.63</v>
      </c>
    </row>
    <row r="3897" spans="1:2">
      <c r="A3897" s="3">
        <f ca="1">IFERROR(__xludf.DUMMYFUNCTION("""COMPUTED_VALUE"""),44006.6666666666)</f>
        <v>44006.666666666599</v>
      </c>
      <c r="B3897" s="1">
        <f ca="1">IFERROR(__xludf.DUMMYFUNCTION("""COMPUTED_VALUE"""),90.02)</f>
        <v>90.02</v>
      </c>
    </row>
    <row r="3898" spans="1:2">
      <c r="A3898" s="3">
        <f ca="1">IFERROR(__xludf.DUMMYFUNCTION("""COMPUTED_VALUE"""),44007.6666666666)</f>
        <v>44007.666666666599</v>
      </c>
      <c r="B3898" s="1">
        <f ca="1">IFERROR(__xludf.DUMMYFUNCTION("""COMPUTED_VALUE"""),91.21)</f>
        <v>91.21</v>
      </c>
    </row>
    <row r="3899" spans="1:2">
      <c r="A3899" s="3">
        <f ca="1">IFERROR(__xludf.DUMMYFUNCTION("""COMPUTED_VALUE"""),44008.6666666666)</f>
        <v>44008.666666666599</v>
      </c>
      <c r="B3899" s="1">
        <f ca="1">IFERROR(__xludf.DUMMYFUNCTION("""COMPUTED_VALUE"""),88.41)</f>
        <v>88.41</v>
      </c>
    </row>
    <row r="3900" spans="1:2">
      <c r="A3900" s="3">
        <f ca="1">IFERROR(__xludf.DUMMYFUNCTION("""COMPUTED_VALUE"""),44011.6666666666)</f>
        <v>44011.666666666599</v>
      </c>
      <c r="B3900" s="1">
        <f ca="1">IFERROR(__xludf.DUMMYFUNCTION("""COMPUTED_VALUE"""),90.45)</f>
        <v>90.45</v>
      </c>
    </row>
    <row r="3901" spans="1:2">
      <c r="A3901" s="3">
        <f ca="1">IFERROR(__xludf.DUMMYFUNCTION("""COMPUTED_VALUE"""),44012.6666666666)</f>
        <v>44012.666666666599</v>
      </c>
      <c r="B3901" s="1">
        <f ca="1">IFERROR(__xludf.DUMMYFUNCTION("""COMPUTED_VALUE"""),91.2)</f>
        <v>91.2</v>
      </c>
    </row>
    <row r="3902" spans="1:2">
      <c r="A3902" s="3">
        <f ca="1">IFERROR(__xludf.DUMMYFUNCTION("""COMPUTED_VALUE"""),44013.6666666666)</f>
        <v>44013.666666666599</v>
      </c>
      <c r="B3902" s="1">
        <f ca="1">IFERROR(__xludf.DUMMYFUNCTION("""COMPUTED_VALUE"""),91.03)</f>
        <v>91.03</v>
      </c>
    </row>
    <row r="3903" spans="1:2">
      <c r="A3903" s="3">
        <f ca="1">IFERROR(__xludf.DUMMYFUNCTION("""COMPUTED_VALUE"""),44014.6666666666)</f>
        <v>44014.666666666599</v>
      </c>
      <c r="B3903" s="1">
        <f ca="1">IFERROR(__xludf.DUMMYFUNCTION("""COMPUTED_VALUE"""),91.03)</f>
        <v>91.03</v>
      </c>
    </row>
    <row r="3904" spans="1:2">
      <c r="A3904" s="3">
        <f ca="1">IFERROR(__xludf.DUMMYFUNCTION("""COMPUTED_VALUE"""),44018.6666666666)</f>
        <v>44018.666666666599</v>
      </c>
      <c r="B3904" s="1">
        <f ca="1">IFERROR(__xludf.DUMMYFUNCTION("""COMPUTED_VALUE"""),93.46)</f>
        <v>93.46</v>
      </c>
    </row>
    <row r="3905" spans="1:2">
      <c r="A3905" s="3">
        <f ca="1">IFERROR(__xludf.DUMMYFUNCTION("""COMPUTED_VALUE"""),44019.6666666666)</f>
        <v>44019.666666666599</v>
      </c>
      <c r="B3905" s="1">
        <f ca="1">IFERROR(__xludf.DUMMYFUNCTION("""COMPUTED_VALUE"""),93.17)</f>
        <v>93.17</v>
      </c>
    </row>
    <row r="3906" spans="1:2">
      <c r="A3906" s="3">
        <f ca="1">IFERROR(__xludf.DUMMYFUNCTION("""COMPUTED_VALUE"""),44020.6666666666)</f>
        <v>44020.666666666599</v>
      </c>
      <c r="B3906" s="1">
        <f ca="1">IFERROR(__xludf.DUMMYFUNCTION("""COMPUTED_VALUE"""),95.34)</f>
        <v>95.34</v>
      </c>
    </row>
    <row r="3907" spans="1:2">
      <c r="A3907" s="3">
        <f ca="1">IFERROR(__xludf.DUMMYFUNCTION("""COMPUTED_VALUE"""),44021.6666666666)</f>
        <v>44021.666666666599</v>
      </c>
      <c r="B3907" s="1">
        <f ca="1">IFERROR(__xludf.DUMMYFUNCTION("""COMPUTED_VALUE"""),95.68)</f>
        <v>95.68</v>
      </c>
    </row>
    <row r="3908" spans="1:2">
      <c r="A3908" s="3">
        <f ca="1">IFERROR(__xludf.DUMMYFUNCTION("""COMPUTED_VALUE"""),44022.6666666666)</f>
        <v>44022.666666666599</v>
      </c>
      <c r="B3908" s="1">
        <f ca="1">IFERROR(__xludf.DUMMYFUNCTION("""COMPUTED_VALUE"""),95.92)</f>
        <v>95.92</v>
      </c>
    </row>
    <row r="3909" spans="1:2">
      <c r="A3909" s="3">
        <f ca="1">IFERROR(__xludf.DUMMYFUNCTION("""COMPUTED_VALUE"""),44025.6666666666)</f>
        <v>44025.666666666599</v>
      </c>
      <c r="B3909" s="1">
        <f ca="1">IFERROR(__xludf.DUMMYFUNCTION("""COMPUTED_VALUE"""),95.48)</f>
        <v>95.48</v>
      </c>
    </row>
    <row r="3910" spans="1:2">
      <c r="A3910" s="3">
        <f ca="1">IFERROR(__xludf.DUMMYFUNCTION("""COMPUTED_VALUE"""),44026.6666666666)</f>
        <v>44026.666666666599</v>
      </c>
      <c r="B3910" s="1">
        <f ca="1">IFERROR(__xludf.DUMMYFUNCTION("""COMPUTED_VALUE"""),97.06)</f>
        <v>97.06</v>
      </c>
    </row>
    <row r="3911" spans="1:2">
      <c r="A3911" s="3">
        <f ca="1">IFERROR(__xludf.DUMMYFUNCTION("""COMPUTED_VALUE"""),44027.6666666666)</f>
        <v>44027.666666666599</v>
      </c>
      <c r="B3911" s="1">
        <f ca="1">IFERROR(__xludf.DUMMYFUNCTION("""COMPUTED_VALUE"""),97.73)</f>
        <v>97.73</v>
      </c>
    </row>
    <row r="3912" spans="1:2">
      <c r="A3912" s="3">
        <f ca="1">IFERROR(__xludf.DUMMYFUNCTION("""COMPUTED_VALUE"""),44028.6666666666)</f>
        <v>44028.666666666599</v>
      </c>
      <c r="B3912" s="1">
        <f ca="1">IFERROR(__xludf.DUMMYFUNCTION("""COMPUTED_VALUE"""),96.52)</f>
        <v>96.52</v>
      </c>
    </row>
    <row r="3913" spans="1:2">
      <c r="A3913" s="3">
        <f ca="1">IFERROR(__xludf.DUMMYFUNCTION("""COMPUTED_VALUE"""),44029.6666666666)</f>
        <v>44029.666666666599</v>
      </c>
      <c r="B3913" s="1">
        <f ca="1">IFERROR(__xludf.DUMMYFUNCTION("""COMPUTED_VALUE"""),96.33)</f>
        <v>96.33</v>
      </c>
    </row>
    <row r="3914" spans="1:2">
      <c r="A3914" s="3">
        <f ca="1">IFERROR(__xludf.DUMMYFUNCTION("""COMPUTED_VALUE"""),44032.6666666666)</f>
        <v>44032.666666666599</v>
      </c>
      <c r="B3914" s="1">
        <f ca="1">IFERROR(__xludf.DUMMYFUNCTION("""COMPUTED_VALUE"""),98.36)</f>
        <v>98.36</v>
      </c>
    </row>
    <row r="3915" spans="1:2">
      <c r="A3915" s="3">
        <f ca="1">IFERROR(__xludf.DUMMYFUNCTION("""COMPUTED_VALUE"""),44033.6666666666)</f>
        <v>44033.666666666599</v>
      </c>
      <c r="B3915" s="1">
        <f ca="1">IFERROR(__xludf.DUMMYFUNCTION("""COMPUTED_VALUE"""),97)</f>
        <v>97</v>
      </c>
    </row>
    <row r="3916" spans="1:2">
      <c r="A3916" s="3">
        <f ca="1">IFERROR(__xludf.DUMMYFUNCTION("""COMPUTED_VALUE"""),44034.6666666666)</f>
        <v>44034.666666666599</v>
      </c>
      <c r="B3916" s="1">
        <f ca="1">IFERROR(__xludf.DUMMYFUNCTION("""COMPUTED_VALUE"""),97.27)</f>
        <v>97.27</v>
      </c>
    </row>
    <row r="3917" spans="1:2">
      <c r="A3917" s="3">
        <f ca="1">IFERROR(__xludf.DUMMYFUNCTION("""COMPUTED_VALUE"""),44035.6666666666)</f>
        <v>44035.666666666599</v>
      </c>
      <c r="B3917" s="1">
        <f ca="1">IFERROR(__xludf.DUMMYFUNCTION("""COMPUTED_VALUE"""),92.85)</f>
        <v>92.85</v>
      </c>
    </row>
    <row r="3918" spans="1:2">
      <c r="A3918" s="3">
        <f ca="1">IFERROR(__xludf.DUMMYFUNCTION("""COMPUTED_VALUE"""),44036.6666666666)</f>
        <v>44036.666666666599</v>
      </c>
      <c r="B3918" s="1">
        <f ca="1">IFERROR(__xludf.DUMMYFUNCTION("""COMPUTED_VALUE"""),92.62)</f>
        <v>92.62</v>
      </c>
    </row>
    <row r="3919" spans="1:2">
      <c r="A3919" s="3">
        <f ca="1">IFERROR(__xludf.DUMMYFUNCTION("""COMPUTED_VALUE"""),44039.6666666666)</f>
        <v>44039.666666666599</v>
      </c>
      <c r="B3919" s="1">
        <f ca="1">IFERROR(__xludf.DUMMYFUNCTION("""COMPUTED_VALUE"""),94.81)</f>
        <v>94.81</v>
      </c>
    </row>
    <row r="3920" spans="1:2">
      <c r="A3920" s="3">
        <f ca="1">IFERROR(__xludf.DUMMYFUNCTION("""COMPUTED_VALUE"""),44040.6666666666)</f>
        <v>44040.666666666599</v>
      </c>
      <c r="B3920" s="1">
        <f ca="1">IFERROR(__xludf.DUMMYFUNCTION("""COMPUTED_VALUE"""),93.25)</f>
        <v>93.25</v>
      </c>
    </row>
    <row r="3921" spans="1:2">
      <c r="A3921" s="3">
        <f ca="1">IFERROR(__xludf.DUMMYFUNCTION("""COMPUTED_VALUE"""),44041.6666666666)</f>
        <v>44041.666666666599</v>
      </c>
      <c r="B3921" s="1">
        <f ca="1">IFERROR(__xludf.DUMMYFUNCTION("""COMPUTED_VALUE"""),95.04)</f>
        <v>95.04</v>
      </c>
    </row>
    <row r="3922" spans="1:2">
      <c r="A3922" s="3">
        <f ca="1">IFERROR(__xludf.DUMMYFUNCTION("""COMPUTED_VALUE"""),44042.6666666666)</f>
        <v>44042.666666666599</v>
      </c>
      <c r="B3922" s="1">
        <f ca="1">IFERROR(__xludf.DUMMYFUNCTION("""COMPUTED_VALUE"""),96.19)</f>
        <v>96.19</v>
      </c>
    </row>
    <row r="3923" spans="1:2">
      <c r="A3923" s="3">
        <f ca="1">IFERROR(__xludf.DUMMYFUNCTION("""COMPUTED_VALUE"""),44043.6666666666)</f>
        <v>44043.666666666599</v>
      </c>
      <c r="B3923" s="1">
        <f ca="1">IFERROR(__xludf.DUMMYFUNCTION("""COMPUTED_VALUE"""),106.26)</f>
        <v>106.26</v>
      </c>
    </row>
    <row r="3924" spans="1:2">
      <c r="A3924" s="3">
        <f ca="1">IFERROR(__xludf.DUMMYFUNCTION("""COMPUTED_VALUE"""),44046.6666666666)</f>
        <v>44046.666666666599</v>
      </c>
      <c r="B3924" s="1">
        <f ca="1">IFERROR(__xludf.DUMMYFUNCTION("""COMPUTED_VALUE"""),108.94)</f>
        <v>108.94</v>
      </c>
    </row>
    <row r="3925" spans="1:2">
      <c r="A3925" s="3">
        <f ca="1">IFERROR(__xludf.DUMMYFUNCTION("""COMPUTED_VALUE"""),44047.6666666666)</f>
        <v>44047.666666666599</v>
      </c>
      <c r="B3925" s="1">
        <f ca="1">IFERROR(__xludf.DUMMYFUNCTION("""COMPUTED_VALUE"""),109.67)</f>
        <v>109.67</v>
      </c>
    </row>
    <row r="3926" spans="1:2">
      <c r="A3926" s="3">
        <f ca="1">IFERROR(__xludf.DUMMYFUNCTION("""COMPUTED_VALUE"""),44048.6666666666)</f>
        <v>44048.666666666599</v>
      </c>
      <c r="B3926" s="1">
        <f ca="1">IFERROR(__xludf.DUMMYFUNCTION("""COMPUTED_VALUE"""),110.06)</f>
        <v>110.06</v>
      </c>
    </row>
    <row r="3927" spans="1:2">
      <c r="A3927" s="3">
        <f ca="1">IFERROR(__xludf.DUMMYFUNCTION("""COMPUTED_VALUE"""),44049.6666666666)</f>
        <v>44049.666666666599</v>
      </c>
      <c r="B3927" s="1">
        <f ca="1">IFERROR(__xludf.DUMMYFUNCTION("""COMPUTED_VALUE"""),113.9)</f>
        <v>113.9</v>
      </c>
    </row>
    <row r="3928" spans="1:2">
      <c r="A3928" s="3">
        <f ca="1">IFERROR(__xludf.DUMMYFUNCTION("""COMPUTED_VALUE"""),44050.6666666666)</f>
        <v>44050.666666666599</v>
      </c>
      <c r="B3928" s="1">
        <f ca="1">IFERROR(__xludf.DUMMYFUNCTION("""COMPUTED_VALUE"""),111.11)</f>
        <v>111.11</v>
      </c>
    </row>
    <row r="3929" spans="1:2">
      <c r="A3929" s="3">
        <f ca="1">IFERROR(__xludf.DUMMYFUNCTION("""COMPUTED_VALUE"""),44053.6666666666)</f>
        <v>44053.666666666599</v>
      </c>
      <c r="B3929" s="1">
        <f ca="1">IFERROR(__xludf.DUMMYFUNCTION("""COMPUTED_VALUE"""),112.73)</f>
        <v>112.73</v>
      </c>
    </row>
    <row r="3930" spans="1:2">
      <c r="A3930" s="3">
        <f ca="1">IFERROR(__xludf.DUMMYFUNCTION("""COMPUTED_VALUE"""),44054.6666666666)</f>
        <v>44054.666666666599</v>
      </c>
      <c r="B3930" s="1">
        <f ca="1">IFERROR(__xludf.DUMMYFUNCTION("""COMPUTED_VALUE"""),109.38)</f>
        <v>109.38</v>
      </c>
    </row>
    <row r="3931" spans="1:2">
      <c r="A3931" s="3">
        <f ca="1">IFERROR(__xludf.DUMMYFUNCTION("""COMPUTED_VALUE"""),44055.6666666666)</f>
        <v>44055.666666666599</v>
      </c>
      <c r="B3931" s="1">
        <f ca="1">IFERROR(__xludf.DUMMYFUNCTION("""COMPUTED_VALUE"""),113.01)</f>
        <v>113.01</v>
      </c>
    </row>
    <row r="3932" spans="1:2">
      <c r="A3932" s="3">
        <f ca="1">IFERROR(__xludf.DUMMYFUNCTION("""COMPUTED_VALUE"""),44056.6666666666)</f>
        <v>44056.666666666599</v>
      </c>
      <c r="B3932" s="1">
        <f ca="1">IFERROR(__xludf.DUMMYFUNCTION("""COMPUTED_VALUE"""),115.01)</f>
        <v>115.01</v>
      </c>
    </row>
    <row r="3933" spans="1:2">
      <c r="A3933" s="3">
        <f ca="1">IFERROR(__xludf.DUMMYFUNCTION("""COMPUTED_VALUE"""),44057.6666666666)</f>
        <v>44057.666666666599</v>
      </c>
      <c r="B3933" s="1">
        <f ca="1">IFERROR(__xludf.DUMMYFUNCTION("""COMPUTED_VALUE"""),114.91)</f>
        <v>114.91</v>
      </c>
    </row>
    <row r="3934" spans="1:2">
      <c r="A3934" s="3">
        <f ca="1">IFERROR(__xludf.DUMMYFUNCTION("""COMPUTED_VALUE"""),44060.6666666666)</f>
        <v>44060.666666666599</v>
      </c>
      <c r="B3934" s="1">
        <f ca="1">IFERROR(__xludf.DUMMYFUNCTION("""COMPUTED_VALUE"""),114.61)</f>
        <v>114.61</v>
      </c>
    </row>
    <row r="3935" spans="1:2">
      <c r="A3935" s="3">
        <f ca="1">IFERROR(__xludf.DUMMYFUNCTION("""COMPUTED_VALUE"""),44061.6666666666)</f>
        <v>44061.666666666599</v>
      </c>
      <c r="B3935" s="1">
        <f ca="1">IFERROR(__xludf.DUMMYFUNCTION("""COMPUTED_VALUE"""),115.56)</f>
        <v>115.56</v>
      </c>
    </row>
    <row r="3936" spans="1:2">
      <c r="A3936" s="3">
        <f ca="1">IFERROR(__xludf.DUMMYFUNCTION("""COMPUTED_VALUE"""),44062.6666666666)</f>
        <v>44062.666666666599</v>
      </c>
      <c r="B3936" s="1">
        <f ca="1">IFERROR(__xludf.DUMMYFUNCTION("""COMPUTED_VALUE"""),115.71)</f>
        <v>115.71</v>
      </c>
    </row>
    <row r="3937" spans="1:2">
      <c r="A3937" s="3">
        <f ca="1">IFERROR(__xludf.DUMMYFUNCTION("""COMPUTED_VALUE"""),44063.6666666666)</f>
        <v>44063.666666666599</v>
      </c>
      <c r="B3937" s="1">
        <f ca="1">IFERROR(__xludf.DUMMYFUNCTION("""COMPUTED_VALUE"""),118.28)</f>
        <v>118.28</v>
      </c>
    </row>
    <row r="3938" spans="1:2">
      <c r="A3938" s="3">
        <f ca="1">IFERROR(__xludf.DUMMYFUNCTION("""COMPUTED_VALUE"""),44064.6666666666)</f>
        <v>44064.666666666599</v>
      </c>
      <c r="B3938" s="1">
        <f ca="1">IFERROR(__xludf.DUMMYFUNCTION("""COMPUTED_VALUE"""),124.37)</f>
        <v>124.37</v>
      </c>
    </row>
    <row r="3939" spans="1:2">
      <c r="A3939" s="3">
        <f ca="1">IFERROR(__xludf.DUMMYFUNCTION("""COMPUTED_VALUE"""),44067.6666666666)</f>
        <v>44067.666666666599</v>
      </c>
      <c r="B3939" s="1">
        <f ca="1">IFERROR(__xludf.DUMMYFUNCTION("""COMPUTED_VALUE"""),125.86)</f>
        <v>125.86</v>
      </c>
    </row>
    <row r="3940" spans="1:2">
      <c r="A3940" s="3">
        <f ca="1">IFERROR(__xludf.DUMMYFUNCTION("""COMPUTED_VALUE"""),44068.6666666666)</f>
        <v>44068.666666666599</v>
      </c>
      <c r="B3940" s="1">
        <f ca="1">IFERROR(__xludf.DUMMYFUNCTION("""COMPUTED_VALUE"""),124.83)</f>
        <v>124.83</v>
      </c>
    </row>
    <row r="3941" spans="1:2">
      <c r="A3941" s="3">
        <f ca="1">IFERROR(__xludf.DUMMYFUNCTION("""COMPUTED_VALUE"""),44069.6666666666)</f>
        <v>44069.666666666599</v>
      </c>
      <c r="B3941" s="1">
        <f ca="1">IFERROR(__xludf.DUMMYFUNCTION("""COMPUTED_VALUE"""),126.52)</f>
        <v>126.52</v>
      </c>
    </row>
    <row r="3942" spans="1:2">
      <c r="A3942" s="3">
        <f ca="1">IFERROR(__xludf.DUMMYFUNCTION("""COMPUTED_VALUE"""),44070.6666666666)</f>
        <v>44070.666666666599</v>
      </c>
      <c r="B3942" s="1">
        <f ca="1">IFERROR(__xludf.DUMMYFUNCTION("""COMPUTED_VALUE"""),125.01)</f>
        <v>125.01</v>
      </c>
    </row>
    <row r="3943" spans="1:2">
      <c r="A3943" s="3">
        <f ca="1">IFERROR(__xludf.DUMMYFUNCTION("""COMPUTED_VALUE"""),44071.6666666666)</f>
        <v>44071.666666666599</v>
      </c>
      <c r="B3943" s="1">
        <f ca="1">IFERROR(__xludf.DUMMYFUNCTION("""COMPUTED_VALUE"""),124.81)</f>
        <v>124.81</v>
      </c>
    </row>
    <row r="3944" spans="1:2">
      <c r="A3944" s="3">
        <f ca="1">IFERROR(__xludf.DUMMYFUNCTION("""COMPUTED_VALUE"""),44074.6666666666)</f>
        <v>44074.666666666599</v>
      </c>
      <c r="B3944" s="1">
        <f ca="1">IFERROR(__xludf.DUMMYFUNCTION("""COMPUTED_VALUE"""),129.04)</f>
        <v>129.04</v>
      </c>
    </row>
    <row r="3945" spans="1:2">
      <c r="A3945" s="3">
        <f ca="1">IFERROR(__xludf.DUMMYFUNCTION("""COMPUTED_VALUE"""),44075.6666666666)</f>
        <v>44075.666666666599</v>
      </c>
      <c r="B3945" s="1">
        <f ca="1">IFERROR(__xludf.DUMMYFUNCTION("""COMPUTED_VALUE"""),134.18)</f>
        <v>134.18</v>
      </c>
    </row>
    <row r="3946" spans="1:2">
      <c r="A3946" s="3">
        <f ca="1">IFERROR(__xludf.DUMMYFUNCTION("""COMPUTED_VALUE"""),44076.6666666666)</f>
        <v>44076.666666666599</v>
      </c>
      <c r="B3946" s="1">
        <f ca="1">IFERROR(__xludf.DUMMYFUNCTION("""COMPUTED_VALUE"""),131.4)</f>
        <v>131.4</v>
      </c>
    </row>
    <row r="3947" spans="1:2">
      <c r="A3947" s="3">
        <f ca="1">IFERROR(__xludf.DUMMYFUNCTION("""COMPUTED_VALUE"""),44077.6666666666)</f>
        <v>44077.666666666599</v>
      </c>
      <c r="B3947" s="1">
        <f ca="1">IFERROR(__xludf.DUMMYFUNCTION("""COMPUTED_VALUE"""),120.88)</f>
        <v>120.88</v>
      </c>
    </row>
    <row r="3948" spans="1:2">
      <c r="A3948" s="3">
        <f ca="1">IFERROR(__xludf.DUMMYFUNCTION("""COMPUTED_VALUE"""),44078.6666666666)</f>
        <v>44078.666666666599</v>
      </c>
      <c r="B3948" s="1">
        <f ca="1">IFERROR(__xludf.DUMMYFUNCTION("""COMPUTED_VALUE"""),120.96)</f>
        <v>120.96</v>
      </c>
    </row>
    <row r="3949" spans="1:2">
      <c r="A3949" s="3">
        <f ca="1">IFERROR(__xludf.DUMMYFUNCTION("""COMPUTED_VALUE"""),44082.6666666666)</f>
        <v>44082.666666666599</v>
      </c>
      <c r="B3949" s="1">
        <f ca="1">IFERROR(__xludf.DUMMYFUNCTION("""COMPUTED_VALUE"""),112.82)</f>
        <v>112.82</v>
      </c>
    </row>
    <row r="3950" spans="1:2">
      <c r="A3950" s="3">
        <f ca="1">IFERROR(__xludf.DUMMYFUNCTION("""COMPUTED_VALUE"""),44083.6666666666)</f>
        <v>44083.666666666599</v>
      </c>
      <c r="B3950" s="1">
        <f ca="1">IFERROR(__xludf.DUMMYFUNCTION("""COMPUTED_VALUE"""),117.32)</f>
        <v>117.32</v>
      </c>
    </row>
    <row r="3951" spans="1:2">
      <c r="A3951" s="3">
        <f ca="1">IFERROR(__xludf.DUMMYFUNCTION("""COMPUTED_VALUE"""),44084.6666666666)</f>
        <v>44084.666666666599</v>
      </c>
      <c r="B3951" s="1">
        <f ca="1">IFERROR(__xludf.DUMMYFUNCTION("""COMPUTED_VALUE"""),113.49)</f>
        <v>113.49</v>
      </c>
    </row>
    <row r="3952" spans="1:2">
      <c r="A3952" s="3">
        <f ca="1">IFERROR(__xludf.DUMMYFUNCTION("""COMPUTED_VALUE"""),44085.6666666666)</f>
        <v>44085.666666666599</v>
      </c>
      <c r="B3952" s="1">
        <f ca="1">IFERROR(__xludf.DUMMYFUNCTION("""COMPUTED_VALUE"""),112)</f>
        <v>112</v>
      </c>
    </row>
    <row r="3953" spans="1:2">
      <c r="A3953" s="3">
        <f ca="1">IFERROR(__xludf.DUMMYFUNCTION("""COMPUTED_VALUE"""),44088.6666666666)</f>
        <v>44088.666666666599</v>
      </c>
      <c r="B3953" s="1">
        <f ca="1">IFERROR(__xludf.DUMMYFUNCTION("""COMPUTED_VALUE"""),115.36)</f>
        <v>115.36</v>
      </c>
    </row>
    <row r="3954" spans="1:2">
      <c r="A3954" s="3">
        <f ca="1">IFERROR(__xludf.DUMMYFUNCTION("""COMPUTED_VALUE"""),44089.6666666666)</f>
        <v>44089.666666666599</v>
      </c>
      <c r="B3954" s="1">
        <f ca="1">IFERROR(__xludf.DUMMYFUNCTION("""COMPUTED_VALUE"""),115.54)</f>
        <v>115.54</v>
      </c>
    </row>
    <row r="3955" spans="1:2">
      <c r="A3955" s="3">
        <f ca="1">IFERROR(__xludf.DUMMYFUNCTION("""COMPUTED_VALUE"""),44090.6666666666)</f>
        <v>44090.666666666599</v>
      </c>
      <c r="B3955" s="1">
        <f ca="1">IFERROR(__xludf.DUMMYFUNCTION("""COMPUTED_VALUE"""),112.13)</f>
        <v>112.13</v>
      </c>
    </row>
    <row r="3956" spans="1:2">
      <c r="A3956" s="3">
        <f ca="1">IFERROR(__xludf.DUMMYFUNCTION("""COMPUTED_VALUE"""),44091.6666666666)</f>
        <v>44091.666666666599</v>
      </c>
      <c r="B3956" s="1">
        <f ca="1">IFERROR(__xludf.DUMMYFUNCTION("""COMPUTED_VALUE"""),110.34)</f>
        <v>110.34</v>
      </c>
    </row>
    <row r="3957" spans="1:2">
      <c r="A3957" s="3">
        <f ca="1">IFERROR(__xludf.DUMMYFUNCTION("""COMPUTED_VALUE"""),44092.6666666666)</f>
        <v>44092.666666666599</v>
      </c>
      <c r="B3957" s="1">
        <f ca="1">IFERROR(__xludf.DUMMYFUNCTION("""COMPUTED_VALUE"""),106.84)</f>
        <v>106.84</v>
      </c>
    </row>
    <row r="3958" spans="1:2">
      <c r="A3958" s="3">
        <f ca="1">IFERROR(__xludf.DUMMYFUNCTION("""COMPUTED_VALUE"""),44095.6666666666)</f>
        <v>44095.666666666599</v>
      </c>
      <c r="B3958" s="1">
        <f ca="1">IFERROR(__xludf.DUMMYFUNCTION("""COMPUTED_VALUE"""),110.08)</f>
        <v>110.08</v>
      </c>
    </row>
    <row r="3959" spans="1:2">
      <c r="A3959" s="3">
        <f ca="1">IFERROR(__xludf.DUMMYFUNCTION("""COMPUTED_VALUE"""),44096.6666666666)</f>
        <v>44096.666666666599</v>
      </c>
      <c r="B3959" s="1">
        <f ca="1">IFERROR(__xludf.DUMMYFUNCTION("""COMPUTED_VALUE"""),111.81)</f>
        <v>111.81</v>
      </c>
    </row>
    <row r="3960" spans="1:2">
      <c r="A3960" s="3">
        <f ca="1">IFERROR(__xludf.DUMMYFUNCTION("""COMPUTED_VALUE"""),44097.6666666666)</f>
        <v>44097.666666666599</v>
      </c>
      <c r="B3960" s="1">
        <f ca="1">IFERROR(__xludf.DUMMYFUNCTION("""COMPUTED_VALUE"""),107.12)</f>
        <v>107.12</v>
      </c>
    </row>
    <row r="3961" spans="1:2">
      <c r="A3961" s="3">
        <f ca="1">IFERROR(__xludf.DUMMYFUNCTION("""COMPUTED_VALUE"""),44098.6666666666)</f>
        <v>44098.666666666599</v>
      </c>
      <c r="B3961" s="1">
        <f ca="1">IFERROR(__xludf.DUMMYFUNCTION("""COMPUTED_VALUE"""),108.22)</f>
        <v>108.22</v>
      </c>
    </row>
    <row r="3962" spans="1:2">
      <c r="A3962" s="3">
        <f ca="1">IFERROR(__xludf.DUMMYFUNCTION("""COMPUTED_VALUE"""),44099.6666666666)</f>
        <v>44099.666666666599</v>
      </c>
      <c r="B3962" s="1">
        <f ca="1">IFERROR(__xludf.DUMMYFUNCTION("""COMPUTED_VALUE"""),112.28)</f>
        <v>112.28</v>
      </c>
    </row>
    <row r="3963" spans="1:2">
      <c r="A3963" s="3">
        <f ca="1">IFERROR(__xludf.DUMMYFUNCTION("""COMPUTED_VALUE"""),44102.6666666666)</f>
        <v>44102.666666666599</v>
      </c>
      <c r="B3963" s="1">
        <f ca="1">IFERROR(__xludf.DUMMYFUNCTION("""COMPUTED_VALUE"""),114.96)</f>
        <v>114.96</v>
      </c>
    </row>
    <row r="3964" spans="1:2">
      <c r="A3964" s="3">
        <f ca="1">IFERROR(__xludf.DUMMYFUNCTION("""COMPUTED_VALUE"""),44103.6666666666)</f>
        <v>44103.666666666599</v>
      </c>
      <c r="B3964" s="1">
        <f ca="1">IFERROR(__xludf.DUMMYFUNCTION("""COMPUTED_VALUE"""),114.09)</f>
        <v>114.09</v>
      </c>
    </row>
    <row r="3965" spans="1:2">
      <c r="A3965" s="3">
        <f ca="1">IFERROR(__xludf.DUMMYFUNCTION("""COMPUTED_VALUE"""),44104.6666666666)</f>
        <v>44104.666666666599</v>
      </c>
      <c r="B3965" s="1">
        <f ca="1">IFERROR(__xludf.DUMMYFUNCTION("""COMPUTED_VALUE"""),115.81)</f>
        <v>115.81</v>
      </c>
    </row>
    <row r="3966" spans="1:2">
      <c r="A3966" s="3">
        <f ca="1">IFERROR(__xludf.DUMMYFUNCTION("""COMPUTED_VALUE"""),44105.6666666666)</f>
        <v>44105.666666666599</v>
      </c>
      <c r="B3966" s="1">
        <f ca="1">IFERROR(__xludf.DUMMYFUNCTION("""COMPUTED_VALUE"""),116.79)</f>
        <v>116.79</v>
      </c>
    </row>
    <row r="3967" spans="1:2">
      <c r="A3967" s="3">
        <f ca="1">IFERROR(__xludf.DUMMYFUNCTION("""COMPUTED_VALUE"""),44106.6666666666)</f>
        <v>44106.666666666599</v>
      </c>
      <c r="B3967" s="1">
        <f ca="1">IFERROR(__xludf.DUMMYFUNCTION("""COMPUTED_VALUE"""),113.02)</f>
        <v>113.02</v>
      </c>
    </row>
    <row r="3968" spans="1:2">
      <c r="A3968" s="3">
        <f ca="1">IFERROR(__xludf.DUMMYFUNCTION("""COMPUTED_VALUE"""),44109.6666666666)</f>
        <v>44109.666666666599</v>
      </c>
      <c r="B3968" s="1">
        <f ca="1">IFERROR(__xludf.DUMMYFUNCTION("""COMPUTED_VALUE"""),116.5)</f>
        <v>116.5</v>
      </c>
    </row>
    <row r="3969" spans="1:2">
      <c r="A3969" s="3">
        <f ca="1">IFERROR(__xludf.DUMMYFUNCTION("""COMPUTED_VALUE"""),44110.6666666666)</f>
        <v>44110.666666666599</v>
      </c>
      <c r="B3969" s="1">
        <f ca="1">IFERROR(__xludf.DUMMYFUNCTION("""COMPUTED_VALUE"""),113.16)</f>
        <v>113.16</v>
      </c>
    </row>
    <row r="3970" spans="1:2">
      <c r="A3970" s="3">
        <f ca="1">IFERROR(__xludf.DUMMYFUNCTION("""COMPUTED_VALUE"""),44111.6666666666)</f>
        <v>44111.666666666599</v>
      </c>
      <c r="B3970" s="1">
        <f ca="1">IFERROR(__xludf.DUMMYFUNCTION("""COMPUTED_VALUE"""),115.08)</f>
        <v>115.08</v>
      </c>
    </row>
    <row r="3971" spans="1:2">
      <c r="A3971" s="3">
        <f ca="1">IFERROR(__xludf.DUMMYFUNCTION("""COMPUTED_VALUE"""),44112.6666666666)</f>
        <v>44112.666666666599</v>
      </c>
      <c r="B3971" s="1">
        <f ca="1">IFERROR(__xludf.DUMMYFUNCTION("""COMPUTED_VALUE"""),114.97)</f>
        <v>114.97</v>
      </c>
    </row>
    <row r="3972" spans="1:2">
      <c r="A3972" s="3">
        <f ca="1">IFERROR(__xludf.DUMMYFUNCTION("""COMPUTED_VALUE"""),44113.6666666666)</f>
        <v>44113.666666666599</v>
      </c>
      <c r="B3972" s="1">
        <f ca="1">IFERROR(__xludf.DUMMYFUNCTION("""COMPUTED_VALUE"""),116.97)</f>
        <v>116.97</v>
      </c>
    </row>
    <row r="3973" spans="1:2">
      <c r="A3973" s="3">
        <f ca="1">IFERROR(__xludf.DUMMYFUNCTION("""COMPUTED_VALUE"""),44116.6666666666)</f>
        <v>44116.666666666599</v>
      </c>
      <c r="B3973" s="1">
        <f ca="1">IFERROR(__xludf.DUMMYFUNCTION("""COMPUTED_VALUE"""),124.4)</f>
        <v>124.4</v>
      </c>
    </row>
    <row r="3974" spans="1:2">
      <c r="A3974" s="3">
        <f ca="1">IFERROR(__xludf.DUMMYFUNCTION("""COMPUTED_VALUE"""),44117.6666666666)</f>
        <v>44117.666666666599</v>
      </c>
      <c r="B3974" s="1">
        <f ca="1">IFERROR(__xludf.DUMMYFUNCTION("""COMPUTED_VALUE"""),121.1)</f>
        <v>121.1</v>
      </c>
    </row>
    <row r="3975" spans="1:2">
      <c r="A3975" s="3">
        <f ca="1">IFERROR(__xludf.DUMMYFUNCTION("""COMPUTED_VALUE"""),44118.6666666666)</f>
        <v>44118.666666666599</v>
      </c>
      <c r="B3975" s="1">
        <f ca="1">IFERROR(__xludf.DUMMYFUNCTION("""COMPUTED_VALUE"""),121.19)</f>
        <v>121.19</v>
      </c>
    </row>
    <row r="3976" spans="1:2">
      <c r="A3976" s="3">
        <f ca="1">IFERROR(__xludf.DUMMYFUNCTION("""COMPUTED_VALUE"""),44119.6666666666)</f>
        <v>44119.666666666599</v>
      </c>
      <c r="B3976" s="1">
        <f ca="1">IFERROR(__xludf.DUMMYFUNCTION("""COMPUTED_VALUE"""),120.71)</f>
        <v>120.71</v>
      </c>
    </row>
    <row r="3977" spans="1:2">
      <c r="A3977" s="3">
        <f ca="1">IFERROR(__xludf.DUMMYFUNCTION("""COMPUTED_VALUE"""),44120.6666666666)</f>
        <v>44120.666666666599</v>
      </c>
      <c r="B3977" s="1">
        <f ca="1">IFERROR(__xludf.DUMMYFUNCTION("""COMPUTED_VALUE"""),119.02)</f>
        <v>119.02</v>
      </c>
    </row>
    <row r="3978" spans="1:2">
      <c r="A3978" s="3">
        <f ca="1">IFERROR(__xludf.DUMMYFUNCTION("""COMPUTED_VALUE"""),44123.6666666666)</f>
        <v>44123.666666666599</v>
      </c>
      <c r="B3978" s="1">
        <f ca="1">IFERROR(__xludf.DUMMYFUNCTION("""COMPUTED_VALUE"""),115.98)</f>
        <v>115.98</v>
      </c>
    </row>
    <row r="3979" spans="1:2">
      <c r="A3979" s="3">
        <f ca="1">IFERROR(__xludf.DUMMYFUNCTION("""COMPUTED_VALUE"""),44124.6666666666)</f>
        <v>44124.666666666599</v>
      </c>
      <c r="B3979" s="1">
        <f ca="1">IFERROR(__xludf.DUMMYFUNCTION("""COMPUTED_VALUE"""),117.51)</f>
        <v>117.51</v>
      </c>
    </row>
    <row r="3980" spans="1:2">
      <c r="A3980" s="3">
        <f ca="1">IFERROR(__xludf.DUMMYFUNCTION("""COMPUTED_VALUE"""),44125.6666666666)</f>
        <v>44125.666666666599</v>
      </c>
      <c r="B3980" s="1">
        <f ca="1">IFERROR(__xludf.DUMMYFUNCTION("""COMPUTED_VALUE"""),116.87)</f>
        <v>116.87</v>
      </c>
    </row>
    <row r="3981" spans="1:2">
      <c r="A3981" s="3">
        <f ca="1">IFERROR(__xludf.DUMMYFUNCTION("""COMPUTED_VALUE"""),44126.6666666666)</f>
        <v>44126.666666666599</v>
      </c>
      <c r="B3981" s="1">
        <f ca="1">IFERROR(__xludf.DUMMYFUNCTION("""COMPUTED_VALUE"""),115.75)</f>
        <v>115.75</v>
      </c>
    </row>
    <row r="3982" spans="1:2">
      <c r="A3982" s="3">
        <f ca="1">IFERROR(__xludf.DUMMYFUNCTION("""COMPUTED_VALUE"""),44127.6666666666)</f>
        <v>44127.666666666599</v>
      </c>
      <c r="B3982" s="1">
        <f ca="1">IFERROR(__xludf.DUMMYFUNCTION("""COMPUTED_VALUE"""),115.04)</f>
        <v>115.04</v>
      </c>
    </row>
    <row r="3983" spans="1:2">
      <c r="A3983" s="3">
        <f ca="1">IFERROR(__xludf.DUMMYFUNCTION("""COMPUTED_VALUE"""),44130.6666666666)</f>
        <v>44130.666666666599</v>
      </c>
      <c r="B3983" s="1">
        <f ca="1">IFERROR(__xludf.DUMMYFUNCTION("""COMPUTED_VALUE"""),115.05)</f>
        <v>115.05</v>
      </c>
    </row>
    <row r="3984" spans="1:2">
      <c r="A3984" s="3">
        <f ca="1">IFERROR(__xludf.DUMMYFUNCTION("""COMPUTED_VALUE"""),44131.6666666666)</f>
        <v>44131.666666666599</v>
      </c>
      <c r="B3984" s="1">
        <f ca="1">IFERROR(__xludf.DUMMYFUNCTION("""COMPUTED_VALUE"""),116.6)</f>
        <v>116.6</v>
      </c>
    </row>
    <row r="3985" spans="1:2">
      <c r="A3985" s="3">
        <f ca="1">IFERROR(__xludf.DUMMYFUNCTION("""COMPUTED_VALUE"""),44132.6666666666)</f>
        <v>44132.666666666599</v>
      </c>
      <c r="B3985" s="1">
        <f ca="1">IFERROR(__xludf.DUMMYFUNCTION("""COMPUTED_VALUE"""),111.2)</f>
        <v>111.2</v>
      </c>
    </row>
    <row r="3986" spans="1:2">
      <c r="A3986" s="3">
        <f ca="1">IFERROR(__xludf.DUMMYFUNCTION("""COMPUTED_VALUE"""),44133.6666666666)</f>
        <v>44133.666666666599</v>
      </c>
      <c r="B3986" s="1">
        <f ca="1">IFERROR(__xludf.DUMMYFUNCTION("""COMPUTED_VALUE"""),115.32)</f>
        <v>115.32</v>
      </c>
    </row>
    <row r="3987" spans="1:2">
      <c r="A3987" s="3">
        <f ca="1">IFERROR(__xludf.DUMMYFUNCTION("""COMPUTED_VALUE"""),44134.6666666666)</f>
        <v>44134.666666666599</v>
      </c>
      <c r="B3987" s="1">
        <f ca="1">IFERROR(__xludf.DUMMYFUNCTION("""COMPUTED_VALUE"""),108.86)</f>
        <v>108.86</v>
      </c>
    </row>
    <row r="3988" spans="1:2">
      <c r="A3988" s="3">
        <f ca="1">IFERROR(__xludf.DUMMYFUNCTION("""COMPUTED_VALUE"""),44137.6666666666)</f>
        <v>44137.666666666599</v>
      </c>
      <c r="B3988" s="1">
        <f ca="1">IFERROR(__xludf.DUMMYFUNCTION("""COMPUTED_VALUE"""),108.77)</f>
        <v>108.77</v>
      </c>
    </row>
    <row r="3989" spans="1:2">
      <c r="A3989" s="3">
        <f ca="1">IFERROR(__xludf.DUMMYFUNCTION("""COMPUTED_VALUE"""),44138.6666666666)</f>
        <v>44138.666666666599</v>
      </c>
      <c r="B3989" s="1">
        <f ca="1">IFERROR(__xludf.DUMMYFUNCTION("""COMPUTED_VALUE"""),110.44)</f>
        <v>110.44</v>
      </c>
    </row>
    <row r="3990" spans="1:2">
      <c r="A3990" s="3">
        <f ca="1">IFERROR(__xludf.DUMMYFUNCTION("""COMPUTED_VALUE"""),44139.6666666666)</f>
        <v>44139.666666666599</v>
      </c>
      <c r="B3990" s="1">
        <f ca="1">IFERROR(__xludf.DUMMYFUNCTION("""COMPUTED_VALUE"""),114.95)</f>
        <v>114.95</v>
      </c>
    </row>
    <row r="3991" spans="1:2">
      <c r="A3991" s="3">
        <f ca="1">IFERROR(__xludf.DUMMYFUNCTION("""COMPUTED_VALUE"""),44140.6666666666)</f>
        <v>44140.666666666599</v>
      </c>
      <c r="B3991" s="1">
        <f ca="1">IFERROR(__xludf.DUMMYFUNCTION("""COMPUTED_VALUE"""),119.03)</f>
        <v>119.03</v>
      </c>
    </row>
    <row r="3992" spans="1:2">
      <c r="A3992" s="3">
        <f ca="1">IFERROR(__xludf.DUMMYFUNCTION("""COMPUTED_VALUE"""),44141.6666666666)</f>
        <v>44141.666666666599</v>
      </c>
      <c r="B3992" s="1">
        <f ca="1">IFERROR(__xludf.DUMMYFUNCTION("""COMPUTED_VALUE"""),118.69)</f>
        <v>118.69</v>
      </c>
    </row>
    <row r="3993" spans="1:2">
      <c r="A3993" s="3">
        <f ca="1">IFERROR(__xludf.DUMMYFUNCTION("""COMPUTED_VALUE"""),44144.6666666666)</f>
        <v>44144.666666666599</v>
      </c>
      <c r="B3993" s="1">
        <f ca="1">IFERROR(__xludf.DUMMYFUNCTION("""COMPUTED_VALUE"""),116.32)</f>
        <v>116.32</v>
      </c>
    </row>
    <row r="3994" spans="1:2">
      <c r="A3994" s="3">
        <f ca="1">IFERROR(__xludf.DUMMYFUNCTION("""COMPUTED_VALUE"""),44145.6666666666)</f>
        <v>44145.666666666599</v>
      </c>
      <c r="B3994" s="1">
        <f ca="1">IFERROR(__xludf.DUMMYFUNCTION("""COMPUTED_VALUE"""),115.97)</f>
        <v>115.97</v>
      </c>
    </row>
    <row r="3995" spans="1:2">
      <c r="A3995" s="3">
        <f ca="1">IFERROR(__xludf.DUMMYFUNCTION("""COMPUTED_VALUE"""),44146.6666666666)</f>
        <v>44146.666666666599</v>
      </c>
      <c r="B3995" s="1">
        <f ca="1">IFERROR(__xludf.DUMMYFUNCTION("""COMPUTED_VALUE"""),119.49)</f>
        <v>119.49</v>
      </c>
    </row>
    <row r="3996" spans="1:2">
      <c r="A3996" s="3">
        <f ca="1">IFERROR(__xludf.DUMMYFUNCTION("""COMPUTED_VALUE"""),44147.6666666666)</f>
        <v>44147.666666666599</v>
      </c>
      <c r="B3996" s="1">
        <f ca="1">IFERROR(__xludf.DUMMYFUNCTION("""COMPUTED_VALUE"""),119.21)</f>
        <v>119.21</v>
      </c>
    </row>
    <row r="3997" spans="1:2">
      <c r="A3997" s="3">
        <f ca="1">IFERROR(__xludf.DUMMYFUNCTION("""COMPUTED_VALUE"""),44148.6666666666)</f>
        <v>44148.666666666599</v>
      </c>
      <c r="B3997" s="1">
        <f ca="1">IFERROR(__xludf.DUMMYFUNCTION("""COMPUTED_VALUE"""),119.26)</f>
        <v>119.26</v>
      </c>
    </row>
    <row r="3998" spans="1:2">
      <c r="A3998" s="3">
        <f ca="1">IFERROR(__xludf.DUMMYFUNCTION("""COMPUTED_VALUE"""),44151.6666666666)</f>
        <v>44151.666666666599</v>
      </c>
      <c r="B3998" s="1">
        <f ca="1">IFERROR(__xludf.DUMMYFUNCTION("""COMPUTED_VALUE"""),120.3)</f>
        <v>120.3</v>
      </c>
    </row>
    <row r="3999" spans="1:2">
      <c r="A3999" s="3">
        <f ca="1">IFERROR(__xludf.DUMMYFUNCTION("""COMPUTED_VALUE"""),44152.6666666666)</f>
        <v>44152.666666666599</v>
      </c>
      <c r="B3999" s="1">
        <f ca="1">IFERROR(__xludf.DUMMYFUNCTION("""COMPUTED_VALUE"""),119.39)</f>
        <v>119.39</v>
      </c>
    </row>
    <row r="4000" spans="1:2">
      <c r="A4000" s="3">
        <f ca="1">IFERROR(__xludf.DUMMYFUNCTION("""COMPUTED_VALUE"""),44153.6666666666)</f>
        <v>44153.666666666599</v>
      </c>
      <c r="B4000" s="1">
        <f ca="1">IFERROR(__xludf.DUMMYFUNCTION("""COMPUTED_VALUE"""),118.03)</f>
        <v>118.03</v>
      </c>
    </row>
    <row r="4001" spans="1:2">
      <c r="A4001" s="3">
        <f ca="1">IFERROR(__xludf.DUMMYFUNCTION("""COMPUTED_VALUE"""),44154.6666666666)</f>
        <v>44154.666666666599</v>
      </c>
      <c r="B4001" s="1">
        <f ca="1">IFERROR(__xludf.DUMMYFUNCTION("""COMPUTED_VALUE"""),118.64)</f>
        <v>118.64</v>
      </c>
    </row>
    <row r="4002" spans="1:2">
      <c r="A4002" s="3">
        <f ca="1">IFERROR(__xludf.DUMMYFUNCTION("""COMPUTED_VALUE"""),44155.6666666666)</f>
        <v>44155.666666666599</v>
      </c>
      <c r="B4002" s="1">
        <f ca="1">IFERROR(__xludf.DUMMYFUNCTION("""COMPUTED_VALUE"""),117.34)</f>
        <v>117.34</v>
      </c>
    </row>
    <row r="4003" spans="1:2">
      <c r="A4003" s="3">
        <f ca="1">IFERROR(__xludf.DUMMYFUNCTION("""COMPUTED_VALUE"""),44158.6666666666)</f>
        <v>44158.666666666599</v>
      </c>
      <c r="B4003" s="1">
        <f ca="1">IFERROR(__xludf.DUMMYFUNCTION("""COMPUTED_VALUE"""),113.85)</f>
        <v>113.85</v>
      </c>
    </row>
    <row r="4004" spans="1:2">
      <c r="A4004" s="3">
        <f ca="1">IFERROR(__xludf.DUMMYFUNCTION("""COMPUTED_VALUE"""),44159.6666666666)</f>
        <v>44159.666666666599</v>
      </c>
      <c r="B4004" s="1">
        <f ca="1">IFERROR(__xludf.DUMMYFUNCTION("""COMPUTED_VALUE"""),115.17)</f>
        <v>115.17</v>
      </c>
    </row>
    <row r="4005" spans="1:2">
      <c r="A4005" s="3">
        <f ca="1">IFERROR(__xludf.DUMMYFUNCTION("""COMPUTED_VALUE"""),44160.6666666666)</f>
        <v>44160.666666666599</v>
      </c>
      <c r="B4005" s="1">
        <f ca="1">IFERROR(__xludf.DUMMYFUNCTION("""COMPUTED_VALUE"""),116.03)</f>
        <v>116.03</v>
      </c>
    </row>
    <row r="4006" spans="1:2">
      <c r="A4006" s="3">
        <f ca="1">IFERROR(__xludf.DUMMYFUNCTION("""COMPUTED_VALUE"""),44162.5416666666)</f>
        <v>44162.541666666599</v>
      </c>
      <c r="B4006" s="1">
        <f ca="1">IFERROR(__xludf.DUMMYFUNCTION("""COMPUTED_VALUE"""),116.59)</f>
        <v>116.59</v>
      </c>
    </row>
    <row r="4007" spans="1:2">
      <c r="A4007" s="3">
        <f ca="1">IFERROR(__xludf.DUMMYFUNCTION("""COMPUTED_VALUE"""),44165.6666666666)</f>
        <v>44165.666666666599</v>
      </c>
      <c r="B4007" s="1">
        <f ca="1">IFERROR(__xludf.DUMMYFUNCTION("""COMPUTED_VALUE"""),119.05)</f>
        <v>119.05</v>
      </c>
    </row>
    <row r="4008" spans="1:2">
      <c r="A4008" s="3">
        <f ca="1">IFERROR(__xludf.DUMMYFUNCTION("""COMPUTED_VALUE"""),44166.6666666666)</f>
        <v>44166.666666666599</v>
      </c>
      <c r="B4008" s="1">
        <f ca="1">IFERROR(__xludf.DUMMYFUNCTION("""COMPUTED_VALUE"""),122.72)</f>
        <v>122.72</v>
      </c>
    </row>
    <row r="4009" spans="1:2">
      <c r="A4009" s="3">
        <f ca="1">IFERROR(__xludf.DUMMYFUNCTION("""COMPUTED_VALUE"""),44167.6666666666)</f>
        <v>44167.666666666599</v>
      </c>
      <c r="B4009" s="1">
        <f ca="1">IFERROR(__xludf.DUMMYFUNCTION("""COMPUTED_VALUE"""),123.08)</f>
        <v>123.08</v>
      </c>
    </row>
    <row r="4010" spans="1:2">
      <c r="A4010" s="3">
        <f ca="1">IFERROR(__xludf.DUMMYFUNCTION("""COMPUTED_VALUE"""),44168.6666666666)</f>
        <v>44168.666666666599</v>
      </c>
      <c r="B4010" s="1">
        <f ca="1">IFERROR(__xludf.DUMMYFUNCTION("""COMPUTED_VALUE"""),122.94)</f>
        <v>122.94</v>
      </c>
    </row>
    <row r="4011" spans="1:2">
      <c r="A4011" s="3">
        <f ca="1">IFERROR(__xludf.DUMMYFUNCTION("""COMPUTED_VALUE"""),44169.6666666666)</f>
        <v>44169.666666666599</v>
      </c>
      <c r="B4011" s="1">
        <f ca="1">IFERROR(__xludf.DUMMYFUNCTION("""COMPUTED_VALUE"""),122.25)</f>
        <v>122.25</v>
      </c>
    </row>
    <row r="4012" spans="1:2">
      <c r="A4012" s="3">
        <f ca="1">IFERROR(__xludf.DUMMYFUNCTION("""COMPUTED_VALUE"""),44172.6666666666)</f>
        <v>44172.666666666599</v>
      </c>
      <c r="B4012" s="1">
        <f ca="1">IFERROR(__xludf.DUMMYFUNCTION("""COMPUTED_VALUE"""),123.75)</f>
        <v>123.75</v>
      </c>
    </row>
    <row r="4013" spans="1:2">
      <c r="A4013" s="3">
        <f ca="1">IFERROR(__xludf.DUMMYFUNCTION("""COMPUTED_VALUE"""),44173.6666666666)</f>
        <v>44173.666666666599</v>
      </c>
      <c r="B4013" s="1">
        <f ca="1">IFERROR(__xludf.DUMMYFUNCTION("""COMPUTED_VALUE"""),124.38)</f>
        <v>124.38</v>
      </c>
    </row>
    <row r="4014" spans="1:2">
      <c r="A4014" s="3">
        <f ca="1">IFERROR(__xludf.DUMMYFUNCTION("""COMPUTED_VALUE"""),44174.6666666666)</f>
        <v>44174.666666666599</v>
      </c>
      <c r="B4014" s="1">
        <f ca="1">IFERROR(__xludf.DUMMYFUNCTION("""COMPUTED_VALUE"""),121.78)</f>
        <v>121.78</v>
      </c>
    </row>
    <row r="4015" spans="1:2">
      <c r="A4015" s="3">
        <f ca="1">IFERROR(__xludf.DUMMYFUNCTION("""COMPUTED_VALUE"""),44175.6666666666)</f>
        <v>44175.666666666599</v>
      </c>
      <c r="B4015" s="1">
        <f ca="1">IFERROR(__xludf.DUMMYFUNCTION("""COMPUTED_VALUE"""),123.24)</f>
        <v>123.24</v>
      </c>
    </row>
    <row r="4016" spans="1:2">
      <c r="A4016" s="3">
        <f ca="1">IFERROR(__xludf.DUMMYFUNCTION("""COMPUTED_VALUE"""),44176.6666666666)</f>
        <v>44176.666666666599</v>
      </c>
      <c r="B4016" s="1">
        <f ca="1">IFERROR(__xludf.DUMMYFUNCTION("""COMPUTED_VALUE"""),122.41)</f>
        <v>122.41</v>
      </c>
    </row>
    <row r="4017" spans="1:2">
      <c r="A4017" s="3">
        <f ca="1">IFERROR(__xludf.DUMMYFUNCTION("""COMPUTED_VALUE"""),44179.6666666666)</f>
        <v>44179.666666666599</v>
      </c>
      <c r="B4017" s="1">
        <f ca="1">IFERROR(__xludf.DUMMYFUNCTION("""COMPUTED_VALUE"""),121.78)</f>
        <v>121.78</v>
      </c>
    </row>
    <row r="4018" spans="1:2">
      <c r="A4018" s="3">
        <f ca="1">IFERROR(__xludf.DUMMYFUNCTION("""COMPUTED_VALUE"""),44180.6666666666)</f>
        <v>44180.666666666599</v>
      </c>
      <c r="B4018" s="1">
        <f ca="1">IFERROR(__xludf.DUMMYFUNCTION("""COMPUTED_VALUE"""),127.88)</f>
        <v>127.88</v>
      </c>
    </row>
    <row r="4019" spans="1:2">
      <c r="A4019" s="3">
        <f ca="1">IFERROR(__xludf.DUMMYFUNCTION("""COMPUTED_VALUE"""),44181.6666666666)</f>
        <v>44181.666666666599</v>
      </c>
      <c r="B4019" s="1">
        <f ca="1">IFERROR(__xludf.DUMMYFUNCTION("""COMPUTED_VALUE"""),127.81)</f>
        <v>127.81</v>
      </c>
    </row>
    <row r="4020" spans="1:2">
      <c r="A4020" s="3">
        <f ca="1">IFERROR(__xludf.DUMMYFUNCTION("""COMPUTED_VALUE"""),44182.6666666666)</f>
        <v>44182.666666666599</v>
      </c>
      <c r="B4020" s="1">
        <f ca="1">IFERROR(__xludf.DUMMYFUNCTION("""COMPUTED_VALUE"""),128.7)</f>
        <v>128.69999999999999</v>
      </c>
    </row>
    <row r="4021" spans="1:2">
      <c r="A4021" s="3">
        <f ca="1">IFERROR(__xludf.DUMMYFUNCTION("""COMPUTED_VALUE"""),44183.6666666666)</f>
        <v>44183.666666666599</v>
      </c>
      <c r="B4021" s="1">
        <f ca="1">IFERROR(__xludf.DUMMYFUNCTION("""COMPUTED_VALUE"""),126.66)</f>
        <v>126.66</v>
      </c>
    </row>
    <row r="4022" spans="1:2">
      <c r="A4022" s="3">
        <f ca="1">IFERROR(__xludf.DUMMYFUNCTION("""COMPUTED_VALUE"""),44186.6666666666)</f>
        <v>44186.666666666599</v>
      </c>
      <c r="B4022" s="1">
        <f ca="1">IFERROR(__xludf.DUMMYFUNCTION("""COMPUTED_VALUE"""),128.23)</f>
        <v>128.22999999999999</v>
      </c>
    </row>
    <row r="4023" spans="1:2">
      <c r="A4023" s="3">
        <f ca="1">IFERROR(__xludf.DUMMYFUNCTION("""COMPUTED_VALUE"""),44187.6666666666)</f>
        <v>44187.666666666599</v>
      </c>
      <c r="B4023" s="1">
        <f ca="1">IFERROR(__xludf.DUMMYFUNCTION("""COMPUTED_VALUE"""),131.88)</f>
        <v>131.88</v>
      </c>
    </row>
    <row r="4024" spans="1:2">
      <c r="A4024" s="3">
        <f ca="1">IFERROR(__xludf.DUMMYFUNCTION("""COMPUTED_VALUE"""),44188.6666666666)</f>
        <v>44188.666666666599</v>
      </c>
      <c r="B4024" s="1">
        <f ca="1">IFERROR(__xludf.DUMMYFUNCTION("""COMPUTED_VALUE"""),130.96)</f>
        <v>130.96</v>
      </c>
    </row>
    <row r="4025" spans="1:2">
      <c r="A4025" s="3">
        <f ca="1">IFERROR(__xludf.DUMMYFUNCTION("""COMPUTED_VALUE"""),44189.5416666666)</f>
        <v>44189.541666666599</v>
      </c>
      <c r="B4025" s="1">
        <f ca="1">IFERROR(__xludf.DUMMYFUNCTION("""COMPUTED_VALUE"""),131.97)</f>
        <v>131.97</v>
      </c>
    </row>
    <row r="4026" spans="1:2">
      <c r="A4026" s="3">
        <f ca="1">IFERROR(__xludf.DUMMYFUNCTION("""COMPUTED_VALUE"""),44193.6666666666)</f>
        <v>44193.666666666599</v>
      </c>
      <c r="B4026" s="1">
        <f ca="1">IFERROR(__xludf.DUMMYFUNCTION("""COMPUTED_VALUE"""),136.69)</f>
        <v>136.69</v>
      </c>
    </row>
    <row r="4027" spans="1:2">
      <c r="A4027" s="3">
        <f ca="1">IFERROR(__xludf.DUMMYFUNCTION("""COMPUTED_VALUE"""),44194.6666666666)</f>
        <v>44194.666666666599</v>
      </c>
      <c r="B4027" s="1">
        <f ca="1">IFERROR(__xludf.DUMMYFUNCTION("""COMPUTED_VALUE"""),134.87)</f>
        <v>134.87</v>
      </c>
    </row>
    <row r="4028" spans="1:2">
      <c r="A4028" s="3">
        <f ca="1">IFERROR(__xludf.DUMMYFUNCTION("""COMPUTED_VALUE"""),44195.6666666666)</f>
        <v>44195.666666666599</v>
      </c>
      <c r="B4028" s="1">
        <f ca="1">IFERROR(__xludf.DUMMYFUNCTION("""COMPUTED_VALUE"""),133.72)</f>
        <v>133.72</v>
      </c>
    </row>
    <row r="4029" spans="1:2">
      <c r="A4029" s="3">
        <f ca="1">IFERROR(__xludf.DUMMYFUNCTION("""COMPUTED_VALUE"""),44196.6666666666)</f>
        <v>44196.666666666599</v>
      </c>
      <c r="B4029" s="1">
        <f ca="1">IFERROR(__xludf.DUMMYFUNCTION("""COMPUTED_VALUE"""),132.69)</f>
        <v>132.69</v>
      </c>
    </row>
    <row r="4030" spans="1:2">
      <c r="A4030" s="3">
        <f ca="1">IFERROR(__xludf.DUMMYFUNCTION("""COMPUTED_VALUE"""),44200.6666666666)</f>
        <v>44200.666666666599</v>
      </c>
      <c r="B4030" s="1">
        <f ca="1">IFERROR(__xludf.DUMMYFUNCTION("""COMPUTED_VALUE"""),129.41)</f>
        <v>129.41</v>
      </c>
    </row>
    <row r="4031" spans="1:2">
      <c r="A4031" s="3">
        <f ca="1">IFERROR(__xludf.DUMMYFUNCTION("""COMPUTED_VALUE"""),44201.6666666666)</f>
        <v>44201.666666666599</v>
      </c>
      <c r="B4031" s="1">
        <f ca="1">IFERROR(__xludf.DUMMYFUNCTION("""COMPUTED_VALUE"""),131.01)</f>
        <v>131.01</v>
      </c>
    </row>
    <row r="4032" spans="1:2">
      <c r="A4032" s="3">
        <f ca="1">IFERROR(__xludf.DUMMYFUNCTION("""COMPUTED_VALUE"""),44202.6666666666)</f>
        <v>44202.666666666599</v>
      </c>
      <c r="B4032" s="1">
        <f ca="1">IFERROR(__xludf.DUMMYFUNCTION("""COMPUTED_VALUE"""),126.6)</f>
        <v>126.6</v>
      </c>
    </row>
    <row r="4033" spans="1:2">
      <c r="A4033" s="3">
        <f ca="1">IFERROR(__xludf.DUMMYFUNCTION("""COMPUTED_VALUE"""),44203.6666666666)</f>
        <v>44203.666666666599</v>
      </c>
      <c r="B4033" s="1">
        <f ca="1">IFERROR(__xludf.DUMMYFUNCTION("""COMPUTED_VALUE"""),130.92)</f>
        <v>130.91999999999999</v>
      </c>
    </row>
    <row r="4034" spans="1:2">
      <c r="A4034" s="3">
        <f ca="1">IFERROR(__xludf.DUMMYFUNCTION("""COMPUTED_VALUE"""),44204.6666666666)</f>
        <v>44204.666666666599</v>
      </c>
      <c r="B4034" s="1">
        <f ca="1">IFERROR(__xludf.DUMMYFUNCTION("""COMPUTED_VALUE"""),132.05)</f>
        <v>132.05000000000001</v>
      </c>
    </row>
    <row r="4035" spans="1:2">
      <c r="A4035" s="3">
        <f ca="1">IFERROR(__xludf.DUMMYFUNCTION("""COMPUTED_VALUE"""),44207.6666666666)</f>
        <v>44207.666666666599</v>
      </c>
      <c r="B4035" s="1">
        <f ca="1">IFERROR(__xludf.DUMMYFUNCTION("""COMPUTED_VALUE"""),128.98)</f>
        <v>128.97999999999999</v>
      </c>
    </row>
    <row r="4036" spans="1:2">
      <c r="A4036" s="3">
        <f ca="1">IFERROR(__xludf.DUMMYFUNCTION("""COMPUTED_VALUE"""),44208.6666666666)</f>
        <v>44208.666666666599</v>
      </c>
      <c r="B4036" s="1">
        <f ca="1">IFERROR(__xludf.DUMMYFUNCTION("""COMPUTED_VALUE"""),128.8)</f>
        <v>128.80000000000001</v>
      </c>
    </row>
    <row r="4037" spans="1:2">
      <c r="A4037" s="3">
        <f ca="1">IFERROR(__xludf.DUMMYFUNCTION("""COMPUTED_VALUE"""),44209.6666666666)</f>
        <v>44209.666666666599</v>
      </c>
      <c r="B4037" s="1">
        <f ca="1">IFERROR(__xludf.DUMMYFUNCTION("""COMPUTED_VALUE"""),130.89)</f>
        <v>130.88999999999999</v>
      </c>
    </row>
    <row r="4038" spans="1:2">
      <c r="A4038" s="3">
        <f ca="1">IFERROR(__xludf.DUMMYFUNCTION("""COMPUTED_VALUE"""),44210.6666666666)</f>
        <v>44210.666666666599</v>
      </c>
      <c r="B4038" s="1">
        <f ca="1">IFERROR(__xludf.DUMMYFUNCTION("""COMPUTED_VALUE"""),128.91)</f>
        <v>128.91</v>
      </c>
    </row>
    <row r="4039" spans="1:2">
      <c r="A4039" s="3">
        <f ca="1">IFERROR(__xludf.DUMMYFUNCTION("""COMPUTED_VALUE"""),44211.6666666666)</f>
        <v>44211.666666666599</v>
      </c>
      <c r="B4039" s="1">
        <f ca="1">IFERROR(__xludf.DUMMYFUNCTION("""COMPUTED_VALUE"""),127.14)</f>
        <v>127.14</v>
      </c>
    </row>
    <row r="4040" spans="1:2">
      <c r="A4040" s="3">
        <f ca="1">IFERROR(__xludf.DUMMYFUNCTION("""COMPUTED_VALUE"""),44215.6666666666)</f>
        <v>44215.666666666599</v>
      </c>
      <c r="B4040" s="1">
        <f ca="1">IFERROR(__xludf.DUMMYFUNCTION("""COMPUTED_VALUE"""),127.83)</f>
        <v>127.83</v>
      </c>
    </row>
    <row r="4041" spans="1:2">
      <c r="A4041" s="3">
        <f ca="1">IFERROR(__xludf.DUMMYFUNCTION("""COMPUTED_VALUE"""),44216.6666666666)</f>
        <v>44216.666666666599</v>
      </c>
      <c r="B4041" s="1">
        <f ca="1">IFERROR(__xludf.DUMMYFUNCTION("""COMPUTED_VALUE"""),132.03)</f>
        <v>132.03</v>
      </c>
    </row>
    <row r="4042" spans="1:2">
      <c r="A4042" s="3">
        <f ca="1">IFERROR(__xludf.DUMMYFUNCTION("""COMPUTED_VALUE"""),44217.6666666666)</f>
        <v>44217.666666666599</v>
      </c>
      <c r="B4042" s="1">
        <f ca="1">IFERROR(__xludf.DUMMYFUNCTION("""COMPUTED_VALUE"""),136.87)</f>
        <v>136.87</v>
      </c>
    </row>
    <row r="4043" spans="1:2">
      <c r="A4043" s="3">
        <f ca="1">IFERROR(__xludf.DUMMYFUNCTION("""COMPUTED_VALUE"""),44218.6666666666)</f>
        <v>44218.666666666599</v>
      </c>
      <c r="B4043" s="1">
        <f ca="1">IFERROR(__xludf.DUMMYFUNCTION("""COMPUTED_VALUE"""),139.07)</f>
        <v>139.07</v>
      </c>
    </row>
    <row r="4044" spans="1:2">
      <c r="A4044" s="3">
        <f ca="1">IFERROR(__xludf.DUMMYFUNCTION("""COMPUTED_VALUE"""),44221.6666666666)</f>
        <v>44221.666666666599</v>
      </c>
      <c r="B4044" s="1">
        <f ca="1">IFERROR(__xludf.DUMMYFUNCTION("""COMPUTED_VALUE"""),142.92)</f>
        <v>142.91999999999999</v>
      </c>
    </row>
    <row r="4045" spans="1:2">
      <c r="A4045" s="3">
        <f ca="1">IFERROR(__xludf.DUMMYFUNCTION("""COMPUTED_VALUE"""),44222.6666666666)</f>
        <v>44222.666666666599</v>
      </c>
      <c r="B4045" s="1">
        <f ca="1">IFERROR(__xludf.DUMMYFUNCTION("""COMPUTED_VALUE"""),143.16)</f>
        <v>143.16</v>
      </c>
    </row>
    <row r="4046" spans="1:2">
      <c r="A4046" s="3">
        <f ca="1">IFERROR(__xludf.DUMMYFUNCTION("""COMPUTED_VALUE"""),44223.6666666666)</f>
        <v>44223.666666666599</v>
      </c>
      <c r="B4046" s="1">
        <f ca="1">IFERROR(__xludf.DUMMYFUNCTION("""COMPUTED_VALUE"""),142.06)</f>
        <v>142.06</v>
      </c>
    </row>
    <row r="4047" spans="1:2">
      <c r="A4047" s="3">
        <f ca="1">IFERROR(__xludf.DUMMYFUNCTION("""COMPUTED_VALUE"""),44224.6666666666)</f>
        <v>44224.666666666599</v>
      </c>
      <c r="B4047" s="1">
        <f ca="1">IFERROR(__xludf.DUMMYFUNCTION("""COMPUTED_VALUE"""),137.09)</f>
        <v>137.09</v>
      </c>
    </row>
    <row r="4048" spans="1:2">
      <c r="A4048" s="3">
        <f ca="1">IFERROR(__xludf.DUMMYFUNCTION("""COMPUTED_VALUE"""),44225.6666666666)</f>
        <v>44225.666666666599</v>
      </c>
      <c r="B4048" s="1">
        <f ca="1">IFERROR(__xludf.DUMMYFUNCTION("""COMPUTED_VALUE"""),131.96)</f>
        <v>131.96</v>
      </c>
    </row>
    <row r="4049" spans="1:2">
      <c r="A4049" s="3">
        <f ca="1">IFERROR(__xludf.DUMMYFUNCTION("""COMPUTED_VALUE"""),44228.6666666666)</f>
        <v>44228.666666666599</v>
      </c>
      <c r="B4049" s="1">
        <f ca="1">IFERROR(__xludf.DUMMYFUNCTION("""COMPUTED_VALUE"""),134.14)</f>
        <v>134.13999999999999</v>
      </c>
    </row>
    <row r="4050" spans="1:2">
      <c r="A4050" s="3">
        <f ca="1">IFERROR(__xludf.DUMMYFUNCTION("""COMPUTED_VALUE"""),44229.6666666666)</f>
        <v>44229.666666666599</v>
      </c>
      <c r="B4050" s="1">
        <f ca="1">IFERROR(__xludf.DUMMYFUNCTION("""COMPUTED_VALUE"""),134.99)</f>
        <v>134.99</v>
      </c>
    </row>
    <row r="4051" spans="1:2">
      <c r="A4051" s="3">
        <f ca="1">IFERROR(__xludf.DUMMYFUNCTION("""COMPUTED_VALUE"""),44230.6666666666)</f>
        <v>44230.666666666599</v>
      </c>
      <c r="B4051" s="1">
        <f ca="1">IFERROR(__xludf.DUMMYFUNCTION("""COMPUTED_VALUE"""),133.94)</f>
        <v>133.94</v>
      </c>
    </row>
    <row r="4052" spans="1:2">
      <c r="A4052" s="3">
        <f ca="1">IFERROR(__xludf.DUMMYFUNCTION("""COMPUTED_VALUE"""),44231.6666666666)</f>
        <v>44231.666666666599</v>
      </c>
      <c r="B4052" s="1">
        <f ca="1">IFERROR(__xludf.DUMMYFUNCTION("""COMPUTED_VALUE"""),137.39)</f>
        <v>137.38999999999999</v>
      </c>
    </row>
    <row r="4053" spans="1:2">
      <c r="A4053" s="3">
        <f ca="1">IFERROR(__xludf.DUMMYFUNCTION("""COMPUTED_VALUE"""),44232.6666666666)</f>
        <v>44232.666666666599</v>
      </c>
      <c r="B4053" s="1">
        <f ca="1">IFERROR(__xludf.DUMMYFUNCTION("""COMPUTED_VALUE"""),136.76)</f>
        <v>136.76</v>
      </c>
    </row>
    <row r="4054" spans="1:2">
      <c r="A4054" s="3">
        <f ca="1">IFERROR(__xludf.DUMMYFUNCTION("""COMPUTED_VALUE"""),44235.6666666666)</f>
        <v>44235.666666666599</v>
      </c>
      <c r="B4054" s="1">
        <f ca="1">IFERROR(__xludf.DUMMYFUNCTION("""COMPUTED_VALUE"""),136.91)</f>
        <v>136.91</v>
      </c>
    </row>
    <row r="4055" spans="1:2">
      <c r="A4055" s="3">
        <f ca="1">IFERROR(__xludf.DUMMYFUNCTION("""COMPUTED_VALUE"""),44236.6666666666)</f>
        <v>44236.666666666599</v>
      </c>
      <c r="B4055" s="1">
        <f ca="1">IFERROR(__xludf.DUMMYFUNCTION("""COMPUTED_VALUE"""),136.01)</f>
        <v>136.01</v>
      </c>
    </row>
    <row r="4056" spans="1:2">
      <c r="A4056" s="3">
        <f ca="1">IFERROR(__xludf.DUMMYFUNCTION("""COMPUTED_VALUE"""),44237.6666666666)</f>
        <v>44237.666666666599</v>
      </c>
      <c r="B4056" s="1">
        <f ca="1">IFERROR(__xludf.DUMMYFUNCTION("""COMPUTED_VALUE"""),135.39)</f>
        <v>135.38999999999999</v>
      </c>
    </row>
    <row r="4057" spans="1:2">
      <c r="A4057" s="3">
        <f ca="1">IFERROR(__xludf.DUMMYFUNCTION("""COMPUTED_VALUE"""),44238.6666666666)</f>
        <v>44238.666666666599</v>
      </c>
      <c r="B4057" s="1">
        <f ca="1">IFERROR(__xludf.DUMMYFUNCTION("""COMPUTED_VALUE"""),135.13)</f>
        <v>135.13</v>
      </c>
    </row>
    <row r="4058" spans="1:2">
      <c r="A4058" s="3">
        <f ca="1">IFERROR(__xludf.DUMMYFUNCTION("""COMPUTED_VALUE"""),44239.6666666666)</f>
        <v>44239.666666666599</v>
      </c>
      <c r="B4058" s="1">
        <f ca="1">IFERROR(__xludf.DUMMYFUNCTION("""COMPUTED_VALUE"""),135.37)</f>
        <v>135.37</v>
      </c>
    </row>
    <row r="4059" spans="1:2">
      <c r="A4059" s="3">
        <f ca="1">IFERROR(__xludf.DUMMYFUNCTION("""COMPUTED_VALUE"""),44243.6666666666)</f>
        <v>44243.666666666599</v>
      </c>
      <c r="B4059" s="1">
        <f ca="1">IFERROR(__xludf.DUMMYFUNCTION("""COMPUTED_VALUE"""),133.19)</f>
        <v>133.19</v>
      </c>
    </row>
    <row r="4060" spans="1:2">
      <c r="A4060" s="3">
        <f ca="1">IFERROR(__xludf.DUMMYFUNCTION("""COMPUTED_VALUE"""),44244.6666666666)</f>
        <v>44244.666666666599</v>
      </c>
      <c r="B4060" s="1">
        <f ca="1">IFERROR(__xludf.DUMMYFUNCTION("""COMPUTED_VALUE"""),130.84)</f>
        <v>130.84</v>
      </c>
    </row>
    <row r="4061" spans="1:2">
      <c r="A4061" s="3">
        <f ca="1">IFERROR(__xludf.DUMMYFUNCTION("""COMPUTED_VALUE"""),44245.6666666666)</f>
        <v>44245.666666666599</v>
      </c>
      <c r="B4061" s="1">
        <f ca="1">IFERROR(__xludf.DUMMYFUNCTION("""COMPUTED_VALUE"""),129.71)</f>
        <v>129.71</v>
      </c>
    </row>
    <row r="4062" spans="1:2">
      <c r="A4062" s="3">
        <f ca="1">IFERROR(__xludf.DUMMYFUNCTION("""COMPUTED_VALUE"""),44246.6666666666)</f>
        <v>44246.666666666599</v>
      </c>
      <c r="B4062" s="1">
        <f ca="1">IFERROR(__xludf.DUMMYFUNCTION("""COMPUTED_VALUE"""),129.87)</f>
        <v>129.87</v>
      </c>
    </row>
    <row r="4063" spans="1:2">
      <c r="A4063" s="3">
        <f ca="1">IFERROR(__xludf.DUMMYFUNCTION("""COMPUTED_VALUE"""),44249.6666666666)</f>
        <v>44249.666666666599</v>
      </c>
      <c r="B4063" s="1">
        <f ca="1">IFERROR(__xludf.DUMMYFUNCTION("""COMPUTED_VALUE"""),126)</f>
        <v>126</v>
      </c>
    </row>
    <row r="4064" spans="1:2">
      <c r="A4064" s="3">
        <f ca="1">IFERROR(__xludf.DUMMYFUNCTION("""COMPUTED_VALUE"""),44250.6666666666)</f>
        <v>44250.666666666599</v>
      </c>
      <c r="B4064" s="1">
        <f ca="1">IFERROR(__xludf.DUMMYFUNCTION("""COMPUTED_VALUE"""),125.86)</f>
        <v>125.86</v>
      </c>
    </row>
    <row r="4065" spans="1:2">
      <c r="A4065" s="3">
        <f ca="1">IFERROR(__xludf.DUMMYFUNCTION("""COMPUTED_VALUE"""),44251.6666666666)</f>
        <v>44251.666666666599</v>
      </c>
      <c r="B4065" s="1">
        <f ca="1">IFERROR(__xludf.DUMMYFUNCTION("""COMPUTED_VALUE"""),125.35)</f>
        <v>125.35</v>
      </c>
    </row>
    <row r="4066" spans="1:2">
      <c r="A4066" s="3">
        <f ca="1">IFERROR(__xludf.DUMMYFUNCTION("""COMPUTED_VALUE"""),44252.6666666666)</f>
        <v>44252.666666666599</v>
      </c>
      <c r="B4066" s="1">
        <f ca="1">IFERROR(__xludf.DUMMYFUNCTION("""COMPUTED_VALUE"""),120.99)</f>
        <v>120.99</v>
      </c>
    </row>
    <row r="4067" spans="1:2">
      <c r="A4067" s="3">
        <f ca="1">IFERROR(__xludf.DUMMYFUNCTION("""COMPUTED_VALUE"""),44253.6666666666)</f>
        <v>44253.666666666599</v>
      </c>
      <c r="B4067" s="1">
        <f ca="1">IFERROR(__xludf.DUMMYFUNCTION("""COMPUTED_VALUE"""),121.26)</f>
        <v>121.26</v>
      </c>
    </row>
    <row r="4068" spans="1:2">
      <c r="A4068" s="3">
        <f ca="1">IFERROR(__xludf.DUMMYFUNCTION("""COMPUTED_VALUE"""),44256.6666666666)</f>
        <v>44256.666666666599</v>
      </c>
      <c r="B4068" s="1">
        <f ca="1">IFERROR(__xludf.DUMMYFUNCTION("""COMPUTED_VALUE"""),127.79)</f>
        <v>127.79</v>
      </c>
    </row>
    <row r="4069" spans="1:2">
      <c r="A4069" s="3">
        <f ca="1">IFERROR(__xludf.DUMMYFUNCTION("""COMPUTED_VALUE"""),44257.6666666666)</f>
        <v>44257.666666666599</v>
      </c>
      <c r="B4069" s="1">
        <f ca="1">IFERROR(__xludf.DUMMYFUNCTION("""COMPUTED_VALUE"""),125.12)</f>
        <v>125.12</v>
      </c>
    </row>
    <row r="4070" spans="1:2">
      <c r="A4070" s="3">
        <f ca="1">IFERROR(__xludf.DUMMYFUNCTION("""COMPUTED_VALUE"""),44258.6666666666)</f>
        <v>44258.666666666599</v>
      </c>
      <c r="B4070" s="1">
        <f ca="1">IFERROR(__xludf.DUMMYFUNCTION("""COMPUTED_VALUE"""),122.06)</f>
        <v>122.06</v>
      </c>
    </row>
    <row r="4071" spans="1:2">
      <c r="A4071" s="3">
        <f ca="1">IFERROR(__xludf.DUMMYFUNCTION("""COMPUTED_VALUE"""),44259.6666666666)</f>
        <v>44259.666666666599</v>
      </c>
      <c r="B4071" s="1">
        <f ca="1">IFERROR(__xludf.DUMMYFUNCTION("""COMPUTED_VALUE"""),120.13)</f>
        <v>120.13</v>
      </c>
    </row>
    <row r="4072" spans="1:2">
      <c r="A4072" s="3">
        <f ca="1">IFERROR(__xludf.DUMMYFUNCTION("""COMPUTED_VALUE"""),44260.6666666666)</f>
        <v>44260.666666666599</v>
      </c>
      <c r="B4072" s="1">
        <f ca="1">IFERROR(__xludf.DUMMYFUNCTION("""COMPUTED_VALUE"""),121.42)</f>
        <v>121.42</v>
      </c>
    </row>
    <row r="4073" spans="1:2">
      <c r="A4073" s="3">
        <f ca="1">IFERROR(__xludf.DUMMYFUNCTION("""COMPUTED_VALUE"""),44263.6666666666)</f>
        <v>44263.666666666599</v>
      </c>
      <c r="B4073" s="1">
        <f ca="1">IFERROR(__xludf.DUMMYFUNCTION("""COMPUTED_VALUE"""),116.36)</f>
        <v>116.36</v>
      </c>
    </row>
    <row r="4074" spans="1:2">
      <c r="A4074" s="3">
        <f ca="1">IFERROR(__xludf.DUMMYFUNCTION("""COMPUTED_VALUE"""),44264.6666666666)</f>
        <v>44264.666666666599</v>
      </c>
      <c r="B4074" s="1">
        <f ca="1">IFERROR(__xludf.DUMMYFUNCTION("""COMPUTED_VALUE"""),121.09)</f>
        <v>121.09</v>
      </c>
    </row>
    <row r="4075" spans="1:2">
      <c r="A4075" s="3">
        <f ca="1">IFERROR(__xludf.DUMMYFUNCTION("""COMPUTED_VALUE"""),44265.6666666666)</f>
        <v>44265.666666666599</v>
      </c>
      <c r="B4075" s="1">
        <f ca="1">IFERROR(__xludf.DUMMYFUNCTION("""COMPUTED_VALUE"""),119.98)</f>
        <v>119.98</v>
      </c>
    </row>
    <row r="4076" spans="1:2">
      <c r="A4076" s="3">
        <f ca="1">IFERROR(__xludf.DUMMYFUNCTION("""COMPUTED_VALUE"""),44266.6666666666)</f>
        <v>44266.666666666599</v>
      </c>
      <c r="B4076" s="1">
        <f ca="1">IFERROR(__xludf.DUMMYFUNCTION("""COMPUTED_VALUE"""),121.96)</f>
        <v>121.96</v>
      </c>
    </row>
    <row r="4077" spans="1:2">
      <c r="A4077" s="3">
        <f ca="1">IFERROR(__xludf.DUMMYFUNCTION("""COMPUTED_VALUE"""),44267.6666666666)</f>
        <v>44267.666666666599</v>
      </c>
      <c r="B4077" s="1">
        <f ca="1">IFERROR(__xludf.DUMMYFUNCTION("""COMPUTED_VALUE"""),121.03)</f>
        <v>121.03</v>
      </c>
    </row>
    <row r="4078" spans="1:2">
      <c r="A4078" s="3">
        <f ca="1">IFERROR(__xludf.DUMMYFUNCTION("""COMPUTED_VALUE"""),44270.6666666666)</f>
        <v>44270.666666666599</v>
      </c>
      <c r="B4078" s="1">
        <f ca="1">IFERROR(__xludf.DUMMYFUNCTION("""COMPUTED_VALUE"""),123.99)</f>
        <v>123.99</v>
      </c>
    </row>
    <row r="4079" spans="1:2">
      <c r="A4079" s="3">
        <f ca="1">IFERROR(__xludf.DUMMYFUNCTION("""COMPUTED_VALUE"""),44271.6666666666)</f>
        <v>44271.666666666599</v>
      </c>
      <c r="B4079" s="1">
        <f ca="1">IFERROR(__xludf.DUMMYFUNCTION("""COMPUTED_VALUE"""),125.57)</f>
        <v>125.57</v>
      </c>
    </row>
    <row r="4080" spans="1:2">
      <c r="A4080" s="3">
        <f ca="1">IFERROR(__xludf.DUMMYFUNCTION("""COMPUTED_VALUE"""),44272.6666666666)</f>
        <v>44272.666666666599</v>
      </c>
      <c r="B4080" s="1">
        <f ca="1">IFERROR(__xludf.DUMMYFUNCTION("""COMPUTED_VALUE"""),124.76)</f>
        <v>124.76</v>
      </c>
    </row>
    <row r="4081" spans="1:2">
      <c r="A4081" s="3">
        <f ca="1">IFERROR(__xludf.DUMMYFUNCTION("""COMPUTED_VALUE"""),44273.6666666666)</f>
        <v>44273.666666666599</v>
      </c>
      <c r="B4081" s="1">
        <f ca="1">IFERROR(__xludf.DUMMYFUNCTION("""COMPUTED_VALUE"""),120.53)</f>
        <v>120.53</v>
      </c>
    </row>
    <row r="4082" spans="1:2">
      <c r="A4082" s="3">
        <f ca="1">IFERROR(__xludf.DUMMYFUNCTION("""COMPUTED_VALUE"""),44274.6666666666)</f>
        <v>44274.666666666599</v>
      </c>
      <c r="B4082" s="1">
        <f ca="1">IFERROR(__xludf.DUMMYFUNCTION("""COMPUTED_VALUE"""),119.99)</f>
        <v>119.99</v>
      </c>
    </row>
    <row r="4083" spans="1:2">
      <c r="A4083" s="3">
        <f ca="1">IFERROR(__xludf.DUMMYFUNCTION("""COMPUTED_VALUE"""),44277.6666666666)</f>
        <v>44277.666666666599</v>
      </c>
      <c r="B4083" s="1">
        <f ca="1">IFERROR(__xludf.DUMMYFUNCTION("""COMPUTED_VALUE"""),123.39)</f>
        <v>123.39</v>
      </c>
    </row>
    <row r="4084" spans="1:2">
      <c r="A4084" s="3">
        <f ca="1">IFERROR(__xludf.DUMMYFUNCTION("""COMPUTED_VALUE"""),44278.6666666666)</f>
        <v>44278.666666666599</v>
      </c>
      <c r="B4084" s="1">
        <f ca="1">IFERROR(__xludf.DUMMYFUNCTION("""COMPUTED_VALUE"""),122.54)</f>
        <v>122.54</v>
      </c>
    </row>
    <row r="4085" spans="1:2">
      <c r="A4085" s="3">
        <f ca="1">IFERROR(__xludf.DUMMYFUNCTION("""COMPUTED_VALUE"""),44279.6666666666)</f>
        <v>44279.666666666599</v>
      </c>
      <c r="B4085" s="1">
        <f ca="1">IFERROR(__xludf.DUMMYFUNCTION("""COMPUTED_VALUE"""),120.09)</f>
        <v>120.09</v>
      </c>
    </row>
    <row r="4086" spans="1:2">
      <c r="A4086" s="3">
        <f ca="1">IFERROR(__xludf.DUMMYFUNCTION("""COMPUTED_VALUE"""),44280.6666666666)</f>
        <v>44280.666666666599</v>
      </c>
      <c r="B4086" s="1">
        <f ca="1">IFERROR(__xludf.DUMMYFUNCTION("""COMPUTED_VALUE"""),120.59)</f>
        <v>120.59</v>
      </c>
    </row>
    <row r="4087" spans="1:2">
      <c r="A4087" s="3">
        <f ca="1">IFERROR(__xludf.DUMMYFUNCTION("""COMPUTED_VALUE"""),44281.6666666666)</f>
        <v>44281.666666666599</v>
      </c>
      <c r="B4087" s="1">
        <f ca="1">IFERROR(__xludf.DUMMYFUNCTION("""COMPUTED_VALUE"""),121.21)</f>
        <v>121.21</v>
      </c>
    </row>
    <row r="4088" spans="1:2">
      <c r="A4088" s="3">
        <f ca="1">IFERROR(__xludf.DUMMYFUNCTION("""COMPUTED_VALUE"""),44284.6666666666)</f>
        <v>44284.666666666599</v>
      </c>
      <c r="B4088" s="1">
        <f ca="1">IFERROR(__xludf.DUMMYFUNCTION("""COMPUTED_VALUE"""),121.39)</f>
        <v>121.39</v>
      </c>
    </row>
    <row r="4089" spans="1:2">
      <c r="A4089" s="3">
        <f ca="1">IFERROR(__xludf.DUMMYFUNCTION("""COMPUTED_VALUE"""),44285.6666666666)</f>
        <v>44285.666666666599</v>
      </c>
      <c r="B4089" s="1">
        <f ca="1">IFERROR(__xludf.DUMMYFUNCTION("""COMPUTED_VALUE"""),119.9)</f>
        <v>119.9</v>
      </c>
    </row>
    <row r="4090" spans="1:2">
      <c r="A4090" s="3">
        <f ca="1">IFERROR(__xludf.DUMMYFUNCTION("""COMPUTED_VALUE"""),44286.6666666666)</f>
        <v>44286.666666666599</v>
      </c>
      <c r="B4090" s="1">
        <f ca="1">IFERROR(__xludf.DUMMYFUNCTION("""COMPUTED_VALUE"""),122.15)</f>
        <v>122.15</v>
      </c>
    </row>
    <row r="4091" spans="1:2">
      <c r="A4091" s="3">
        <f ca="1">IFERROR(__xludf.DUMMYFUNCTION("""COMPUTED_VALUE"""),44287.6666666666)</f>
        <v>44287.666666666599</v>
      </c>
      <c r="B4091" s="1">
        <f ca="1">IFERROR(__xludf.DUMMYFUNCTION("""COMPUTED_VALUE"""),123)</f>
        <v>123</v>
      </c>
    </row>
    <row r="4092" spans="1:2">
      <c r="A4092" s="3">
        <f ca="1">IFERROR(__xludf.DUMMYFUNCTION("""COMPUTED_VALUE"""),44291.6666666666)</f>
        <v>44291.666666666599</v>
      </c>
      <c r="B4092" s="1">
        <f ca="1">IFERROR(__xludf.DUMMYFUNCTION("""COMPUTED_VALUE"""),125.9)</f>
        <v>125.9</v>
      </c>
    </row>
    <row r="4093" spans="1:2">
      <c r="A4093" s="3">
        <f ca="1">IFERROR(__xludf.DUMMYFUNCTION("""COMPUTED_VALUE"""),44292.6666666666)</f>
        <v>44292.666666666599</v>
      </c>
      <c r="B4093" s="1">
        <f ca="1">IFERROR(__xludf.DUMMYFUNCTION("""COMPUTED_VALUE"""),126.21)</f>
        <v>126.21</v>
      </c>
    </row>
    <row r="4094" spans="1:2">
      <c r="A4094" s="3">
        <f ca="1">IFERROR(__xludf.DUMMYFUNCTION("""COMPUTED_VALUE"""),44293.6666666666)</f>
        <v>44293.666666666599</v>
      </c>
      <c r="B4094" s="1">
        <f ca="1">IFERROR(__xludf.DUMMYFUNCTION("""COMPUTED_VALUE"""),127.9)</f>
        <v>127.9</v>
      </c>
    </row>
    <row r="4095" spans="1:2">
      <c r="A4095" s="3">
        <f ca="1">IFERROR(__xludf.DUMMYFUNCTION("""COMPUTED_VALUE"""),44294.6666666666)</f>
        <v>44294.666666666599</v>
      </c>
      <c r="B4095" s="1">
        <f ca="1">IFERROR(__xludf.DUMMYFUNCTION("""COMPUTED_VALUE"""),130.36)</f>
        <v>130.36000000000001</v>
      </c>
    </row>
    <row r="4096" spans="1:2">
      <c r="A4096" s="3">
        <f ca="1">IFERROR(__xludf.DUMMYFUNCTION("""COMPUTED_VALUE"""),44295.6666666666)</f>
        <v>44295.666666666599</v>
      </c>
      <c r="B4096" s="1">
        <f ca="1">IFERROR(__xludf.DUMMYFUNCTION("""COMPUTED_VALUE"""),133)</f>
        <v>133</v>
      </c>
    </row>
    <row r="4097" spans="1:2">
      <c r="A4097" s="3">
        <f ca="1">IFERROR(__xludf.DUMMYFUNCTION("""COMPUTED_VALUE"""),44298.6666666666)</f>
        <v>44298.666666666599</v>
      </c>
      <c r="B4097" s="1">
        <f ca="1">IFERROR(__xludf.DUMMYFUNCTION("""COMPUTED_VALUE"""),131.24)</f>
        <v>131.24</v>
      </c>
    </row>
    <row r="4098" spans="1:2">
      <c r="A4098" s="3">
        <f ca="1">IFERROR(__xludf.DUMMYFUNCTION("""COMPUTED_VALUE"""),44299.6666666666)</f>
        <v>44299.666666666599</v>
      </c>
      <c r="B4098" s="1">
        <f ca="1">IFERROR(__xludf.DUMMYFUNCTION("""COMPUTED_VALUE"""),134.43)</f>
        <v>134.43</v>
      </c>
    </row>
    <row r="4099" spans="1:2">
      <c r="A4099" s="3">
        <f ca="1">IFERROR(__xludf.DUMMYFUNCTION("""COMPUTED_VALUE"""),44300.6666666666)</f>
        <v>44300.666666666599</v>
      </c>
      <c r="B4099" s="1">
        <f ca="1">IFERROR(__xludf.DUMMYFUNCTION("""COMPUTED_VALUE"""),132.03)</f>
        <v>132.03</v>
      </c>
    </row>
    <row r="4100" spans="1:2">
      <c r="A4100" s="3">
        <f ca="1">IFERROR(__xludf.DUMMYFUNCTION("""COMPUTED_VALUE"""),44301.6666666666)</f>
        <v>44301.666666666599</v>
      </c>
      <c r="B4100" s="1">
        <f ca="1">IFERROR(__xludf.DUMMYFUNCTION("""COMPUTED_VALUE"""),134.5)</f>
        <v>134.5</v>
      </c>
    </row>
    <row r="4101" spans="1:2">
      <c r="A4101" s="3">
        <f ca="1">IFERROR(__xludf.DUMMYFUNCTION("""COMPUTED_VALUE"""),44302.6666666666)</f>
        <v>44302.666666666599</v>
      </c>
      <c r="B4101" s="1">
        <f ca="1">IFERROR(__xludf.DUMMYFUNCTION("""COMPUTED_VALUE"""),134.16)</f>
        <v>134.16</v>
      </c>
    </row>
    <row r="4102" spans="1:2">
      <c r="A4102" s="3">
        <f ca="1">IFERROR(__xludf.DUMMYFUNCTION("""COMPUTED_VALUE"""),44305.6666666666)</f>
        <v>44305.666666666599</v>
      </c>
      <c r="B4102" s="1">
        <f ca="1">IFERROR(__xludf.DUMMYFUNCTION("""COMPUTED_VALUE"""),134.84)</f>
        <v>134.84</v>
      </c>
    </row>
    <row r="4103" spans="1:2">
      <c r="A4103" s="3">
        <f ca="1">IFERROR(__xludf.DUMMYFUNCTION("""COMPUTED_VALUE"""),44306.6666666666)</f>
        <v>44306.666666666599</v>
      </c>
      <c r="B4103" s="1">
        <f ca="1">IFERROR(__xludf.DUMMYFUNCTION("""COMPUTED_VALUE"""),133.11)</f>
        <v>133.11000000000001</v>
      </c>
    </row>
    <row r="4104" spans="1:2">
      <c r="A4104" s="3">
        <f ca="1">IFERROR(__xludf.DUMMYFUNCTION("""COMPUTED_VALUE"""),44307.6666666666)</f>
        <v>44307.666666666599</v>
      </c>
      <c r="B4104" s="1">
        <f ca="1">IFERROR(__xludf.DUMMYFUNCTION("""COMPUTED_VALUE"""),133.5)</f>
        <v>133.5</v>
      </c>
    </row>
    <row r="4105" spans="1:2">
      <c r="A4105" s="3">
        <f ca="1">IFERROR(__xludf.DUMMYFUNCTION("""COMPUTED_VALUE"""),44308.6666666666)</f>
        <v>44308.666666666599</v>
      </c>
      <c r="B4105" s="1">
        <f ca="1">IFERROR(__xludf.DUMMYFUNCTION("""COMPUTED_VALUE"""),131.94)</f>
        <v>131.94</v>
      </c>
    </row>
    <row r="4106" spans="1:2">
      <c r="A4106" s="3">
        <f ca="1">IFERROR(__xludf.DUMMYFUNCTION("""COMPUTED_VALUE"""),44309.6666666666)</f>
        <v>44309.666666666599</v>
      </c>
      <c r="B4106" s="1">
        <f ca="1">IFERROR(__xludf.DUMMYFUNCTION("""COMPUTED_VALUE"""),134.32)</f>
        <v>134.32</v>
      </c>
    </row>
    <row r="4107" spans="1:2">
      <c r="A4107" s="3">
        <f ca="1">IFERROR(__xludf.DUMMYFUNCTION("""COMPUTED_VALUE"""),44312.6666666666)</f>
        <v>44312.666666666599</v>
      </c>
      <c r="B4107" s="1">
        <f ca="1">IFERROR(__xludf.DUMMYFUNCTION("""COMPUTED_VALUE"""),134.72)</f>
        <v>134.72</v>
      </c>
    </row>
    <row r="4108" spans="1:2">
      <c r="A4108" s="3">
        <f ca="1">IFERROR(__xludf.DUMMYFUNCTION("""COMPUTED_VALUE"""),44313.6666666666)</f>
        <v>44313.666666666599</v>
      </c>
      <c r="B4108" s="1">
        <f ca="1">IFERROR(__xludf.DUMMYFUNCTION("""COMPUTED_VALUE"""),134.39)</f>
        <v>134.38999999999999</v>
      </c>
    </row>
    <row r="4109" spans="1:2">
      <c r="A4109" s="3">
        <f ca="1">IFERROR(__xludf.DUMMYFUNCTION("""COMPUTED_VALUE"""),44314.6666666666)</f>
        <v>44314.666666666599</v>
      </c>
      <c r="B4109" s="1">
        <f ca="1">IFERROR(__xludf.DUMMYFUNCTION("""COMPUTED_VALUE"""),133.58)</f>
        <v>133.58000000000001</v>
      </c>
    </row>
    <row r="4110" spans="1:2">
      <c r="A4110" s="3">
        <f ca="1">IFERROR(__xludf.DUMMYFUNCTION("""COMPUTED_VALUE"""),44315.6666666666)</f>
        <v>44315.666666666599</v>
      </c>
      <c r="B4110" s="1">
        <f ca="1">IFERROR(__xludf.DUMMYFUNCTION("""COMPUTED_VALUE"""),133.48)</f>
        <v>133.47999999999999</v>
      </c>
    </row>
    <row r="4111" spans="1:2">
      <c r="A4111" s="3">
        <f ca="1">IFERROR(__xludf.DUMMYFUNCTION("""COMPUTED_VALUE"""),44316.6666666666)</f>
        <v>44316.666666666599</v>
      </c>
      <c r="B4111" s="1">
        <f ca="1">IFERROR(__xludf.DUMMYFUNCTION("""COMPUTED_VALUE"""),131.46)</f>
        <v>131.46</v>
      </c>
    </row>
    <row r="4112" spans="1:2">
      <c r="A4112" s="3">
        <f ca="1">IFERROR(__xludf.DUMMYFUNCTION("""COMPUTED_VALUE"""),44319.6666666666)</f>
        <v>44319.666666666599</v>
      </c>
      <c r="B4112" s="1">
        <f ca="1">IFERROR(__xludf.DUMMYFUNCTION("""COMPUTED_VALUE"""),132.54)</f>
        <v>132.54</v>
      </c>
    </row>
    <row r="4113" spans="1:2">
      <c r="A4113" s="3">
        <f ca="1">IFERROR(__xludf.DUMMYFUNCTION("""COMPUTED_VALUE"""),44320.6666666666)</f>
        <v>44320.666666666599</v>
      </c>
      <c r="B4113" s="1">
        <f ca="1">IFERROR(__xludf.DUMMYFUNCTION("""COMPUTED_VALUE"""),127.85)</f>
        <v>127.85</v>
      </c>
    </row>
    <row r="4114" spans="1:2">
      <c r="A4114" s="3">
        <f ca="1">IFERROR(__xludf.DUMMYFUNCTION("""COMPUTED_VALUE"""),44321.6666666666)</f>
        <v>44321.666666666599</v>
      </c>
      <c r="B4114" s="1">
        <f ca="1">IFERROR(__xludf.DUMMYFUNCTION("""COMPUTED_VALUE"""),128.1)</f>
        <v>128.1</v>
      </c>
    </row>
    <row r="4115" spans="1:2">
      <c r="A4115" s="3">
        <f ca="1">IFERROR(__xludf.DUMMYFUNCTION("""COMPUTED_VALUE"""),44322.6666666666)</f>
        <v>44322.666666666599</v>
      </c>
      <c r="B4115" s="1">
        <f ca="1">IFERROR(__xludf.DUMMYFUNCTION("""COMPUTED_VALUE"""),129.74)</f>
        <v>129.74</v>
      </c>
    </row>
    <row r="4116" spans="1:2">
      <c r="A4116" s="3">
        <f ca="1">IFERROR(__xludf.DUMMYFUNCTION("""COMPUTED_VALUE"""),44323.6666666666)</f>
        <v>44323.666666666599</v>
      </c>
      <c r="B4116" s="1">
        <f ca="1">IFERROR(__xludf.DUMMYFUNCTION("""COMPUTED_VALUE"""),130.21)</f>
        <v>130.21</v>
      </c>
    </row>
    <row r="4117" spans="1:2">
      <c r="A4117" s="3">
        <f ca="1">IFERROR(__xludf.DUMMYFUNCTION("""COMPUTED_VALUE"""),44326.6666666666)</f>
        <v>44326.666666666599</v>
      </c>
      <c r="B4117" s="1">
        <f ca="1">IFERROR(__xludf.DUMMYFUNCTION("""COMPUTED_VALUE"""),126.85)</f>
        <v>126.85</v>
      </c>
    </row>
    <row r="4118" spans="1:2">
      <c r="A4118" s="3">
        <f ca="1">IFERROR(__xludf.DUMMYFUNCTION("""COMPUTED_VALUE"""),44327.6666666666)</f>
        <v>44327.666666666599</v>
      </c>
      <c r="B4118" s="1">
        <f ca="1">IFERROR(__xludf.DUMMYFUNCTION("""COMPUTED_VALUE"""),125.91)</f>
        <v>125.91</v>
      </c>
    </row>
    <row r="4119" spans="1:2">
      <c r="A4119" s="3">
        <f ca="1">IFERROR(__xludf.DUMMYFUNCTION("""COMPUTED_VALUE"""),44328.6666666666)</f>
        <v>44328.666666666599</v>
      </c>
      <c r="B4119" s="1">
        <f ca="1">IFERROR(__xludf.DUMMYFUNCTION("""COMPUTED_VALUE"""),122.77)</f>
        <v>122.77</v>
      </c>
    </row>
    <row r="4120" spans="1:2">
      <c r="A4120" s="3">
        <f ca="1">IFERROR(__xludf.DUMMYFUNCTION("""COMPUTED_VALUE"""),44329.6666666666)</f>
        <v>44329.666666666599</v>
      </c>
      <c r="B4120" s="1">
        <f ca="1">IFERROR(__xludf.DUMMYFUNCTION("""COMPUTED_VALUE"""),124.97)</f>
        <v>124.97</v>
      </c>
    </row>
    <row r="4121" spans="1:2">
      <c r="A4121" s="3">
        <f ca="1">IFERROR(__xludf.DUMMYFUNCTION("""COMPUTED_VALUE"""),44330.6666666666)</f>
        <v>44330.666666666599</v>
      </c>
      <c r="B4121" s="1">
        <f ca="1">IFERROR(__xludf.DUMMYFUNCTION("""COMPUTED_VALUE"""),127.45)</f>
        <v>127.45</v>
      </c>
    </row>
    <row r="4122" spans="1:2">
      <c r="A4122" s="3">
        <f ca="1">IFERROR(__xludf.DUMMYFUNCTION("""COMPUTED_VALUE"""),44333.6666666666)</f>
        <v>44333.666666666599</v>
      </c>
      <c r="B4122" s="1">
        <f ca="1">IFERROR(__xludf.DUMMYFUNCTION("""COMPUTED_VALUE"""),126.27)</f>
        <v>126.27</v>
      </c>
    </row>
    <row r="4123" spans="1:2">
      <c r="A4123" s="3">
        <f ca="1">IFERROR(__xludf.DUMMYFUNCTION("""COMPUTED_VALUE"""),44334.6666666666)</f>
        <v>44334.666666666599</v>
      </c>
      <c r="B4123" s="1">
        <f ca="1">IFERROR(__xludf.DUMMYFUNCTION("""COMPUTED_VALUE"""),124.85)</f>
        <v>124.85</v>
      </c>
    </row>
    <row r="4124" spans="1:2">
      <c r="A4124" s="3">
        <f ca="1">IFERROR(__xludf.DUMMYFUNCTION("""COMPUTED_VALUE"""),44335.6666666666)</f>
        <v>44335.666666666599</v>
      </c>
      <c r="B4124" s="1">
        <f ca="1">IFERROR(__xludf.DUMMYFUNCTION("""COMPUTED_VALUE"""),124.69)</f>
        <v>124.69</v>
      </c>
    </row>
    <row r="4125" spans="1:2">
      <c r="A4125" s="3">
        <f ca="1">IFERROR(__xludf.DUMMYFUNCTION("""COMPUTED_VALUE"""),44336.6666666666)</f>
        <v>44336.666666666599</v>
      </c>
      <c r="B4125" s="1">
        <f ca="1">IFERROR(__xludf.DUMMYFUNCTION("""COMPUTED_VALUE"""),127.31)</f>
        <v>127.31</v>
      </c>
    </row>
    <row r="4126" spans="1:2">
      <c r="A4126" s="3">
        <f ca="1">IFERROR(__xludf.DUMMYFUNCTION("""COMPUTED_VALUE"""),44337.6666666666)</f>
        <v>44337.666666666599</v>
      </c>
      <c r="B4126" s="1">
        <f ca="1">IFERROR(__xludf.DUMMYFUNCTION("""COMPUTED_VALUE"""),125.43)</f>
        <v>125.43</v>
      </c>
    </row>
    <row r="4127" spans="1:2">
      <c r="A4127" s="3">
        <f ca="1">IFERROR(__xludf.DUMMYFUNCTION("""COMPUTED_VALUE"""),44340.6666666666)</f>
        <v>44340.666666666599</v>
      </c>
      <c r="B4127" s="1">
        <f ca="1">IFERROR(__xludf.DUMMYFUNCTION("""COMPUTED_VALUE"""),127.1)</f>
        <v>127.1</v>
      </c>
    </row>
    <row r="4128" spans="1:2">
      <c r="A4128" s="3">
        <f ca="1">IFERROR(__xludf.DUMMYFUNCTION("""COMPUTED_VALUE"""),44341.6666666666)</f>
        <v>44341.666666666599</v>
      </c>
      <c r="B4128" s="1">
        <f ca="1">IFERROR(__xludf.DUMMYFUNCTION("""COMPUTED_VALUE"""),126.9)</f>
        <v>126.9</v>
      </c>
    </row>
    <row r="4129" spans="1:2">
      <c r="A4129" s="3">
        <f ca="1">IFERROR(__xludf.DUMMYFUNCTION("""COMPUTED_VALUE"""),44342.6666666666)</f>
        <v>44342.666666666599</v>
      </c>
      <c r="B4129" s="1">
        <f ca="1">IFERROR(__xludf.DUMMYFUNCTION("""COMPUTED_VALUE"""),126.85)</f>
        <v>126.85</v>
      </c>
    </row>
    <row r="4130" spans="1:2">
      <c r="A4130" s="3">
        <f ca="1">IFERROR(__xludf.DUMMYFUNCTION("""COMPUTED_VALUE"""),44343.6666666666)</f>
        <v>44343.666666666599</v>
      </c>
      <c r="B4130" s="1">
        <f ca="1">IFERROR(__xludf.DUMMYFUNCTION("""COMPUTED_VALUE"""),125.28)</f>
        <v>125.28</v>
      </c>
    </row>
    <row r="4131" spans="1:2">
      <c r="A4131" s="3">
        <f ca="1">IFERROR(__xludf.DUMMYFUNCTION("""COMPUTED_VALUE"""),44344.6666666666)</f>
        <v>44344.666666666599</v>
      </c>
      <c r="B4131" s="1">
        <f ca="1">IFERROR(__xludf.DUMMYFUNCTION("""COMPUTED_VALUE"""),124.61)</f>
        <v>124.61</v>
      </c>
    </row>
    <row r="4132" spans="1:2">
      <c r="A4132" s="3">
        <f ca="1">IFERROR(__xludf.DUMMYFUNCTION("""COMPUTED_VALUE"""),44348.6666666666)</f>
        <v>44348.666666666599</v>
      </c>
      <c r="B4132" s="1">
        <f ca="1">IFERROR(__xludf.DUMMYFUNCTION("""COMPUTED_VALUE"""),124.28)</f>
        <v>124.28</v>
      </c>
    </row>
    <row r="4133" spans="1:2">
      <c r="A4133" s="3">
        <f ca="1">IFERROR(__xludf.DUMMYFUNCTION("""COMPUTED_VALUE"""),44349.6666666666)</f>
        <v>44349.666666666599</v>
      </c>
      <c r="B4133" s="1">
        <f ca="1">IFERROR(__xludf.DUMMYFUNCTION("""COMPUTED_VALUE"""),125.06)</f>
        <v>125.06</v>
      </c>
    </row>
    <row r="4134" spans="1:2">
      <c r="A4134" s="3">
        <f ca="1">IFERROR(__xludf.DUMMYFUNCTION("""COMPUTED_VALUE"""),44350.6666666666)</f>
        <v>44350.666666666599</v>
      </c>
      <c r="B4134" s="1">
        <f ca="1">IFERROR(__xludf.DUMMYFUNCTION("""COMPUTED_VALUE"""),123.54)</f>
        <v>123.54</v>
      </c>
    </row>
    <row r="4135" spans="1:2">
      <c r="A4135" s="3">
        <f ca="1">IFERROR(__xludf.DUMMYFUNCTION("""COMPUTED_VALUE"""),44351.6666666666)</f>
        <v>44351.666666666599</v>
      </c>
      <c r="B4135" s="1">
        <f ca="1">IFERROR(__xludf.DUMMYFUNCTION("""COMPUTED_VALUE"""),125.89)</f>
        <v>125.89</v>
      </c>
    </row>
    <row r="4136" spans="1:2">
      <c r="A4136" s="3">
        <f ca="1">IFERROR(__xludf.DUMMYFUNCTION("""COMPUTED_VALUE"""),44354.6666666666)</f>
        <v>44354.666666666599</v>
      </c>
      <c r="B4136" s="1">
        <f ca="1">IFERROR(__xludf.DUMMYFUNCTION("""COMPUTED_VALUE"""),125.9)</f>
        <v>125.9</v>
      </c>
    </row>
    <row r="4137" spans="1:2">
      <c r="A4137" s="3">
        <f ca="1">IFERROR(__xludf.DUMMYFUNCTION("""COMPUTED_VALUE"""),44355.6666666666)</f>
        <v>44355.666666666599</v>
      </c>
      <c r="B4137" s="1">
        <f ca="1">IFERROR(__xludf.DUMMYFUNCTION("""COMPUTED_VALUE"""),126.74)</f>
        <v>126.74</v>
      </c>
    </row>
    <row r="4138" spans="1:2">
      <c r="A4138" s="3">
        <f ca="1">IFERROR(__xludf.DUMMYFUNCTION("""COMPUTED_VALUE"""),44356.6666666666)</f>
        <v>44356.666666666599</v>
      </c>
      <c r="B4138" s="1">
        <f ca="1">IFERROR(__xludf.DUMMYFUNCTION("""COMPUTED_VALUE"""),127.13)</f>
        <v>127.13</v>
      </c>
    </row>
    <row r="4139" spans="1:2">
      <c r="A4139" s="3">
        <f ca="1">IFERROR(__xludf.DUMMYFUNCTION("""COMPUTED_VALUE"""),44357.6666666666)</f>
        <v>44357.666666666599</v>
      </c>
      <c r="B4139" s="1">
        <f ca="1">IFERROR(__xludf.DUMMYFUNCTION("""COMPUTED_VALUE"""),126.11)</f>
        <v>126.11</v>
      </c>
    </row>
    <row r="4140" spans="1:2">
      <c r="A4140" s="3">
        <f ca="1">IFERROR(__xludf.DUMMYFUNCTION("""COMPUTED_VALUE"""),44358.6666666666)</f>
        <v>44358.666666666599</v>
      </c>
      <c r="B4140" s="1">
        <f ca="1">IFERROR(__xludf.DUMMYFUNCTION("""COMPUTED_VALUE"""),127.35)</f>
        <v>127.35</v>
      </c>
    </row>
    <row r="4141" spans="1:2">
      <c r="A4141" s="3">
        <f ca="1">IFERROR(__xludf.DUMMYFUNCTION("""COMPUTED_VALUE"""),44361.6666666666)</f>
        <v>44361.666666666599</v>
      </c>
      <c r="B4141" s="1">
        <f ca="1">IFERROR(__xludf.DUMMYFUNCTION("""COMPUTED_VALUE"""),130.48)</f>
        <v>130.47999999999999</v>
      </c>
    </row>
    <row r="4142" spans="1:2">
      <c r="A4142" s="3">
        <f ca="1">IFERROR(__xludf.DUMMYFUNCTION("""COMPUTED_VALUE"""),44362.6666666666)</f>
        <v>44362.666666666599</v>
      </c>
      <c r="B4142" s="1">
        <f ca="1">IFERROR(__xludf.DUMMYFUNCTION("""COMPUTED_VALUE"""),129.64)</f>
        <v>129.63999999999999</v>
      </c>
    </row>
    <row r="4143" spans="1:2">
      <c r="A4143" s="3">
        <f ca="1">IFERROR(__xludf.DUMMYFUNCTION("""COMPUTED_VALUE"""),44363.6666666666)</f>
        <v>44363.666666666599</v>
      </c>
      <c r="B4143" s="1">
        <f ca="1">IFERROR(__xludf.DUMMYFUNCTION("""COMPUTED_VALUE"""),130.15)</f>
        <v>130.15</v>
      </c>
    </row>
    <row r="4144" spans="1:2">
      <c r="A4144" s="3">
        <f ca="1">IFERROR(__xludf.DUMMYFUNCTION("""COMPUTED_VALUE"""),44364.6666666666)</f>
        <v>44364.666666666599</v>
      </c>
      <c r="B4144" s="1">
        <f ca="1">IFERROR(__xludf.DUMMYFUNCTION("""COMPUTED_VALUE"""),131.79)</f>
        <v>131.79</v>
      </c>
    </row>
    <row r="4145" spans="1:2">
      <c r="A4145" s="3">
        <f ca="1">IFERROR(__xludf.DUMMYFUNCTION("""COMPUTED_VALUE"""),44365.6666666666)</f>
        <v>44365.666666666599</v>
      </c>
      <c r="B4145" s="1">
        <f ca="1">IFERROR(__xludf.DUMMYFUNCTION("""COMPUTED_VALUE"""),130.46)</f>
        <v>130.46</v>
      </c>
    </row>
    <row r="4146" spans="1:2">
      <c r="A4146" s="3">
        <f ca="1">IFERROR(__xludf.DUMMYFUNCTION("""COMPUTED_VALUE"""),44368.6666666666)</f>
        <v>44368.666666666599</v>
      </c>
      <c r="B4146" s="1">
        <f ca="1">IFERROR(__xludf.DUMMYFUNCTION("""COMPUTED_VALUE"""),132.3)</f>
        <v>132.30000000000001</v>
      </c>
    </row>
    <row r="4147" spans="1:2">
      <c r="A4147" s="3">
        <f ca="1">IFERROR(__xludf.DUMMYFUNCTION("""COMPUTED_VALUE"""),44369.6666666666)</f>
        <v>44369.666666666599</v>
      </c>
      <c r="B4147" s="1">
        <f ca="1">IFERROR(__xludf.DUMMYFUNCTION("""COMPUTED_VALUE"""),133.98)</f>
        <v>133.97999999999999</v>
      </c>
    </row>
    <row r="4148" spans="1:2">
      <c r="A4148" s="3">
        <f ca="1">IFERROR(__xludf.DUMMYFUNCTION("""COMPUTED_VALUE"""),44370.6666666666)</f>
        <v>44370.666666666599</v>
      </c>
      <c r="B4148" s="1">
        <f ca="1">IFERROR(__xludf.DUMMYFUNCTION("""COMPUTED_VALUE"""),133.7)</f>
        <v>133.69999999999999</v>
      </c>
    </row>
    <row r="4149" spans="1:2">
      <c r="A4149" s="3">
        <f ca="1">IFERROR(__xludf.DUMMYFUNCTION("""COMPUTED_VALUE"""),44371.6666666666)</f>
        <v>44371.666666666599</v>
      </c>
      <c r="B4149" s="1">
        <f ca="1">IFERROR(__xludf.DUMMYFUNCTION("""COMPUTED_VALUE"""),133.41)</f>
        <v>133.41</v>
      </c>
    </row>
    <row r="4150" spans="1:2">
      <c r="A4150" s="3">
        <f ca="1">IFERROR(__xludf.DUMMYFUNCTION("""COMPUTED_VALUE"""),44372.6666666666)</f>
        <v>44372.666666666599</v>
      </c>
      <c r="B4150" s="1">
        <f ca="1">IFERROR(__xludf.DUMMYFUNCTION("""COMPUTED_VALUE"""),133.11)</f>
        <v>133.11000000000001</v>
      </c>
    </row>
    <row r="4151" spans="1:2">
      <c r="A4151" s="3">
        <f ca="1">IFERROR(__xludf.DUMMYFUNCTION("""COMPUTED_VALUE"""),44375.6666666666)</f>
        <v>44375.666666666599</v>
      </c>
      <c r="B4151" s="1">
        <f ca="1">IFERROR(__xludf.DUMMYFUNCTION("""COMPUTED_VALUE"""),134.78)</f>
        <v>134.78</v>
      </c>
    </row>
    <row r="4152" spans="1:2">
      <c r="A4152" s="3">
        <f ca="1">IFERROR(__xludf.DUMMYFUNCTION("""COMPUTED_VALUE"""),44376.6666666666)</f>
        <v>44376.666666666599</v>
      </c>
      <c r="B4152" s="1">
        <f ca="1">IFERROR(__xludf.DUMMYFUNCTION("""COMPUTED_VALUE"""),136.33)</f>
        <v>136.33000000000001</v>
      </c>
    </row>
    <row r="4153" spans="1:2">
      <c r="A4153" s="3">
        <f ca="1">IFERROR(__xludf.DUMMYFUNCTION("""COMPUTED_VALUE"""),44377.6666666666)</f>
        <v>44377.666666666599</v>
      </c>
      <c r="B4153" s="1">
        <f ca="1">IFERROR(__xludf.DUMMYFUNCTION("""COMPUTED_VALUE"""),136.96)</f>
        <v>136.96</v>
      </c>
    </row>
    <row r="4154" spans="1:2">
      <c r="A4154" s="3">
        <f ca="1">IFERROR(__xludf.DUMMYFUNCTION("""COMPUTED_VALUE"""),44378.6666666666)</f>
        <v>44378.666666666599</v>
      </c>
      <c r="B4154" s="1">
        <f ca="1">IFERROR(__xludf.DUMMYFUNCTION("""COMPUTED_VALUE"""),137.27)</f>
        <v>137.27000000000001</v>
      </c>
    </row>
    <row r="4155" spans="1:2">
      <c r="A4155" s="3">
        <f ca="1">IFERROR(__xludf.DUMMYFUNCTION("""COMPUTED_VALUE"""),44379.6666666666)</f>
        <v>44379.666666666599</v>
      </c>
      <c r="B4155" s="1">
        <f ca="1">IFERROR(__xludf.DUMMYFUNCTION("""COMPUTED_VALUE"""),139.96)</f>
        <v>139.96</v>
      </c>
    </row>
    <row r="4156" spans="1:2">
      <c r="A4156" s="3">
        <f ca="1">IFERROR(__xludf.DUMMYFUNCTION("""COMPUTED_VALUE"""),44383.6666666666)</f>
        <v>44383.666666666599</v>
      </c>
      <c r="B4156" s="1">
        <f ca="1">IFERROR(__xludf.DUMMYFUNCTION("""COMPUTED_VALUE"""),142.02)</f>
        <v>142.02000000000001</v>
      </c>
    </row>
    <row r="4157" spans="1:2">
      <c r="A4157" s="3">
        <f ca="1">IFERROR(__xludf.DUMMYFUNCTION("""COMPUTED_VALUE"""),44384.6666666666)</f>
        <v>44384.666666666599</v>
      </c>
      <c r="B4157" s="1">
        <f ca="1">IFERROR(__xludf.DUMMYFUNCTION("""COMPUTED_VALUE"""),144.57)</f>
        <v>144.57</v>
      </c>
    </row>
    <row r="4158" spans="1:2">
      <c r="A4158" s="3">
        <f ca="1">IFERROR(__xludf.DUMMYFUNCTION("""COMPUTED_VALUE"""),44385.6666666666)</f>
        <v>44385.666666666599</v>
      </c>
      <c r="B4158" s="1">
        <f ca="1">IFERROR(__xludf.DUMMYFUNCTION("""COMPUTED_VALUE"""),143.24)</f>
        <v>143.24</v>
      </c>
    </row>
    <row r="4159" spans="1:2">
      <c r="A4159" s="3">
        <f ca="1">IFERROR(__xludf.DUMMYFUNCTION("""COMPUTED_VALUE"""),44386.6666666666)</f>
        <v>44386.666666666599</v>
      </c>
      <c r="B4159" s="1">
        <f ca="1">IFERROR(__xludf.DUMMYFUNCTION("""COMPUTED_VALUE"""),145.11)</f>
        <v>145.11000000000001</v>
      </c>
    </row>
    <row r="4160" spans="1:2">
      <c r="A4160" s="3">
        <f ca="1">IFERROR(__xludf.DUMMYFUNCTION("""COMPUTED_VALUE"""),44389.6666666666)</f>
        <v>44389.666666666599</v>
      </c>
      <c r="B4160" s="1">
        <f ca="1">IFERROR(__xludf.DUMMYFUNCTION("""COMPUTED_VALUE"""),144.5)</f>
        <v>144.5</v>
      </c>
    </row>
    <row r="4161" spans="1:2">
      <c r="A4161" s="3">
        <f ca="1">IFERROR(__xludf.DUMMYFUNCTION("""COMPUTED_VALUE"""),44390.6666666666)</f>
        <v>44390.666666666599</v>
      </c>
      <c r="B4161" s="1">
        <f ca="1">IFERROR(__xludf.DUMMYFUNCTION("""COMPUTED_VALUE"""),145.64)</f>
        <v>145.63999999999999</v>
      </c>
    </row>
    <row r="4162" spans="1:2">
      <c r="A4162" s="3">
        <f ca="1">IFERROR(__xludf.DUMMYFUNCTION("""COMPUTED_VALUE"""),44391.6666666666)</f>
        <v>44391.666666666599</v>
      </c>
      <c r="B4162" s="1">
        <f ca="1">IFERROR(__xludf.DUMMYFUNCTION("""COMPUTED_VALUE"""),149.15)</f>
        <v>149.15</v>
      </c>
    </row>
    <row r="4163" spans="1:2">
      <c r="A4163" s="3">
        <f ca="1">IFERROR(__xludf.DUMMYFUNCTION("""COMPUTED_VALUE"""),44392.6666666666)</f>
        <v>44392.666666666599</v>
      </c>
      <c r="B4163" s="1">
        <f ca="1">IFERROR(__xludf.DUMMYFUNCTION("""COMPUTED_VALUE"""),148.48)</f>
        <v>148.47999999999999</v>
      </c>
    </row>
    <row r="4164" spans="1:2">
      <c r="A4164" s="3">
        <f ca="1">IFERROR(__xludf.DUMMYFUNCTION("""COMPUTED_VALUE"""),44393.6666666666)</f>
        <v>44393.666666666599</v>
      </c>
      <c r="B4164" s="1">
        <f ca="1">IFERROR(__xludf.DUMMYFUNCTION("""COMPUTED_VALUE"""),146.39)</f>
        <v>146.38999999999999</v>
      </c>
    </row>
    <row r="4165" spans="1:2">
      <c r="A4165" s="3">
        <f ca="1">IFERROR(__xludf.DUMMYFUNCTION("""COMPUTED_VALUE"""),44396.6666666666)</f>
        <v>44396.666666666599</v>
      </c>
      <c r="B4165" s="1">
        <f ca="1">IFERROR(__xludf.DUMMYFUNCTION("""COMPUTED_VALUE"""),142.45)</f>
        <v>142.44999999999999</v>
      </c>
    </row>
    <row r="4166" spans="1:2">
      <c r="A4166" s="3">
        <f ca="1">IFERROR(__xludf.DUMMYFUNCTION("""COMPUTED_VALUE"""),44397.6666666666)</f>
        <v>44397.666666666599</v>
      </c>
      <c r="B4166" s="1">
        <f ca="1">IFERROR(__xludf.DUMMYFUNCTION("""COMPUTED_VALUE"""),146.15)</f>
        <v>146.15</v>
      </c>
    </row>
    <row r="4167" spans="1:2">
      <c r="A4167" s="3">
        <f ca="1">IFERROR(__xludf.DUMMYFUNCTION("""COMPUTED_VALUE"""),44398.6666666666)</f>
        <v>44398.666666666599</v>
      </c>
      <c r="B4167" s="1">
        <f ca="1">IFERROR(__xludf.DUMMYFUNCTION("""COMPUTED_VALUE"""),145.4)</f>
        <v>145.4</v>
      </c>
    </row>
    <row r="4168" spans="1:2">
      <c r="A4168" s="3">
        <f ca="1">IFERROR(__xludf.DUMMYFUNCTION("""COMPUTED_VALUE"""),44399.6666666666)</f>
        <v>44399.666666666599</v>
      </c>
      <c r="B4168" s="1">
        <f ca="1">IFERROR(__xludf.DUMMYFUNCTION("""COMPUTED_VALUE"""),146.8)</f>
        <v>146.80000000000001</v>
      </c>
    </row>
    <row r="4169" spans="1:2">
      <c r="A4169" s="3">
        <f ca="1">IFERROR(__xludf.DUMMYFUNCTION("""COMPUTED_VALUE"""),44400.6666666666)</f>
        <v>44400.666666666599</v>
      </c>
      <c r="B4169" s="1">
        <f ca="1">IFERROR(__xludf.DUMMYFUNCTION("""COMPUTED_VALUE"""),148.56)</f>
        <v>148.56</v>
      </c>
    </row>
    <row r="4170" spans="1:2">
      <c r="A4170" s="3">
        <f ca="1">IFERROR(__xludf.DUMMYFUNCTION("""COMPUTED_VALUE"""),44403.6666666666)</f>
        <v>44403.666666666599</v>
      </c>
      <c r="B4170" s="1">
        <f ca="1">IFERROR(__xludf.DUMMYFUNCTION("""COMPUTED_VALUE"""),148.99)</f>
        <v>148.99</v>
      </c>
    </row>
    <row r="4171" spans="1:2">
      <c r="A4171" s="3">
        <f ca="1">IFERROR(__xludf.DUMMYFUNCTION("""COMPUTED_VALUE"""),44404.6666666666)</f>
        <v>44404.666666666599</v>
      </c>
      <c r="B4171" s="1">
        <f ca="1">IFERROR(__xludf.DUMMYFUNCTION("""COMPUTED_VALUE"""),146.77)</f>
        <v>146.77000000000001</v>
      </c>
    </row>
    <row r="4172" spans="1:2">
      <c r="A4172" s="3">
        <f ca="1">IFERROR(__xludf.DUMMYFUNCTION("""COMPUTED_VALUE"""),44405.6666666666)</f>
        <v>44405.666666666599</v>
      </c>
      <c r="B4172" s="1">
        <f ca="1">IFERROR(__xludf.DUMMYFUNCTION("""COMPUTED_VALUE"""),144.98)</f>
        <v>144.97999999999999</v>
      </c>
    </row>
    <row r="4173" spans="1:2">
      <c r="A4173" s="3">
        <f ca="1">IFERROR(__xludf.DUMMYFUNCTION("""COMPUTED_VALUE"""),44406.6666666666)</f>
        <v>44406.666666666599</v>
      </c>
      <c r="B4173" s="1">
        <f ca="1">IFERROR(__xludf.DUMMYFUNCTION("""COMPUTED_VALUE"""),145.64)</f>
        <v>145.63999999999999</v>
      </c>
    </row>
    <row r="4174" spans="1:2">
      <c r="A4174" s="3">
        <f ca="1">IFERROR(__xludf.DUMMYFUNCTION("""COMPUTED_VALUE"""),44407.6666666666)</f>
        <v>44407.666666666599</v>
      </c>
      <c r="B4174" s="1">
        <f ca="1">IFERROR(__xludf.DUMMYFUNCTION("""COMPUTED_VALUE"""),145.86)</f>
        <v>145.86000000000001</v>
      </c>
    </row>
    <row r="4175" spans="1:2">
      <c r="A4175" s="3">
        <f ca="1">IFERROR(__xludf.DUMMYFUNCTION("""COMPUTED_VALUE"""),44410.6666666666)</f>
        <v>44410.666666666599</v>
      </c>
      <c r="B4175" s="1">
        <f ca="1">IFERROR(__xludf.DUMMYFUNCTION("""COMPUTED_VALUE"""),145.52)</f>
        <v>145.52000000000001</v>
      </c>
    </row>
    <row r="4176" spans="1:2">
      <c r="A4176" s="3">
        <f ca="1">IFERROR(__xludf.DUMMYFUNCTION("""COMPUTED_VALUE"""),44411.6666666666)</f>
        <v>44411.666666666599</v>
      </c>
      <c r="B4176" s="1">
        <f ca="1">IFERROR(__xludf.DUMMYFUNCTION("""COMPUTED_VALUE"""),147.36)</f>
        <v>147.36000000000001</v>
      </c>
    </row>
    <row r="4177" spans="1:2">
      <c r="A4177" s="3">
        <f ca="1">IFERROR(__xludf.DUMMYFUNCTION("""COMPUTED_VALUE"""),44412.6666666666)</f>
        <v>44412.666666666599</v>
      </c>
      <c r="B4177" s="1">
        <f ca="1">IFERROR(__xludf.DUMMYFUNCTION("""COMPUTED_VALUE"""),146.95)</f>
        <v>146.94999999999999</v>
      </c>
    </row>
    <row r="4178" spans="1:2">
      <c r="A4178" s="3">
        <f ca="1">IFERROR(__xludf.DUMMYFUNCTION("""COMPUTED_VALUE"""),44413.6666666666)</f>
        <v>44413.666666666599</v>
      </c>
      <c r="B4178" s="1">
        <f ca="1">IFERROR(__xludf.DUMMYFUNCTION("""COMPUTED_VALUE"""),147.06)</f>
        <v>147.06</v>
      </c>
    </row>
    <row r="4179" spans="1:2">
      <c r="A4179" s="3">
        <f ca="1">IFERROR(__xludf.DUMMYFUNCTION("""COMPUTED_VALUE"""),44414.6666666666)</f>
        <v>44414.666666666599</v>
      </c>
      <c r="B4179" s="1">
        <f ca="1">IFERROR(__xludf.DUMMYFUNCTION("""COMPUTED_VALUE"""),146.14)</f>
        <v>146.13999999999999</v>
      </c>
    </row>
    <row r="4180" spans="1:2">
      <c r="A4180" s="3">
        <f ca="1">IFERROR(__xludf.DUMMYFUNCTION("""COMPUTED_VALUE"""),44417.6666666666)</f>
        <v>44417.666666666599</v>
      </c>
      <c r="B4180" s="1">
        <f ca="1">IFERROR(__xludf.DUMMYFUNCTION("""COMPUTED_VALUE"""),146.09)</f>
        <v>146.09</v>
      </c>
    </row>
    <row r="4181" spans="1:2">
      <c r="A4181" s="3">
        <f ca="1">IFERROR(__xludf.DUMMYFUNCTION("""COMPUTED_VALUE"""),44418.6666666666)</f>
        <v>44418.666666666599</v>
      </c>
      <c r="B4181" s="1">
        <f ca="1">IFERROR(__xludf.DUMMYFUNCTION("""COMPUTED_VALUE"""),145.6)</f>
        <v>145.6</v>
      </c>
    </row>
    <row r="4182" spans="1:2">
      <c r="A4182" s="3">
        <f ca="1">IFERROR(__xludf.DUMMYFUNCTION("""COMPUTED_VALUE"""),44419.6666666666)</f>
        <v>44419.666666666599</v>
      </c>
      <c r="B4182" s="1">
        <f ca="1">IFERROR(__xludf.DUMMYFUNCTION("""COMPUTED_VALUE"""),145.86)</f>
        <v>145.86000000000001</v>
      </c>
    </row>
    <row r="4183" spans="1:2">
      <c r="A4183" s="3">
        <f ca="1">IFERROR(__xludf.DUMMYFUNCTION("""COMPUTED_VALUE"""),44420.6666666666)</f>
        <v>44420.666666666599</v>
      </c>
      <c r="B4183" s="1">
        <f ca="1">IFERROR(__xludf.DUMMYFUNCTION("""COMPUTED_VALUE"""),148.89)</f>
        <v>148.88999999999999</v>
      </c>
    </row>
    <row r="4184" spans="1:2">
      <c r="A4184" s="3">
        <f ca="1">IFERROR(__xludf.DUMMYFUNCTION("""COMPUTED_VALUE"""),44421.6666666666)</f>
        <v>44421.666666666599</v>
      </c>
      <c r="B4184" s="1">
        <f ca="1">IFERROR(__xludf.DUMMYFUNCTION("""COMPUTED_VALUE"""),149.1)</f>
        <v>149.1</v>
      </c>
    </row>
    <row r="4185" spans="1:2">
      <c r="A4185" s="3">
        <f ca="1">IFERROR(__xludf.DUMMYFUNCTION("""COMPUTED_VALUE"""),44424.6666666666)</f>
        <v>44424.666666666599</v>
      </c>
      <c r="B4185" s="1">
        <f ca="1">IFERROR(__xludf.DUMMYFUNCTION("""COMPUTED_VALUE"""),151.12)</f>
        <v>151.12</v>
      </c>
    </row>
    <row r="4186" spans="1:2">
      <c r="A4186" s="3">
        <f ca="1">IFERROR(__xludf.DUMMYFUNCTION("""COMPUTED_VALUE"""),44425.6666666666)</f>
        <v>44425.666666666599</v>
      </c>
      <c r="B4186" s="1">
        <f ca="1">IFERROR(__xludf.DUMMYFUNCTION("""COMPUTED_VALUE"""),150.19)</f>
        <v>150.19</v>
      </c>
    </row>
    <row r="4187" spans="1:2">
      <c r="A4187" s="3">
        <f ca="1">IFERROR(__xludf.DUMMYFUNCTION("""COMPUTED_VALUE"""),44426.6666666666)</f>
        <v>44426.666666666599</v>
      </c>
      <c r="B4187" s="1">
        <f ca="1">IFERROR(__xludf.DUMMYFUNCTION("""COMPUTED_VALUE"""),146.36)</f>
        <v>146.36000000000001</v>
      </c>
    </row>
    <row r="4188" spans="1:2">
      <c r="A4188" s="3">
        <f ca="1">IFERROR(__xludf.DUMMYFUNCTION("""COMPUTED_VALUE"""),44427.6666666666)</f>
        <v>44427.666666666599</v>
      </c>
      <c r="B4188" s="1">
        <f ca="1">IFERROR(__xludf.DUMMYFUNCTION("""COMPUTED_VALUE"""),146.7)</f>
        <v>146.69999999999999</v>
      </c>
    </row>
    <row r="4189" spans="1:2">
      <c r="A4189" s="3">
        <f ca="1">IFERROR(__xludf.DUMMYFUNCTION("""COMPUTED_VALUE"""),44428.6666666666)</f>
        <v>44428.666666666599</v>
      </c>
      <c r="B4189" s="1">
        <f ca="1">IFERROR(__xludf.DUMMYFUNCTION("""COMPUTED_VALUE"""),148.19)</f>
        <v>148.19</v>
      </c>
    </row>
    <row r="4190" spans="1:2">
      <c r="A4190" s="3">
        <f ca="1">IFERROR(__xludf.DUMMYFUNCTION("""COMPUTED_VALUE"""),44431.6666666666)</f>
        <v>44431.666666666599</v>
      </c>
      <c r="B4190" s="1">
        <f ca="1">IFERROR(__xludf.DUMMYFUNCTION("""COMPUTED_VALUE"""),149.71)</f>
        <v>149.71</v>
      </c>
    </row>
    <row r="4191" spans="1:2">
      <c r="A4191" s="3">
        <f ca="1">IFERROR(__xludf.DUMMYFUNCTION("""COMPUTED_VALUE"""),44432.6666666666)</f>
        <v>44432.666666666599</v>
      </c>
      <c r="B4191" s="1">
        <f ca="1">IFERROR(__xludf.DUMMYFUNCTION("""COMPUTED_VALUE"""),149.62)</f>
        <v>149.62</v>
      </c>
    </row>
    <row r="4192" spans="1:2">
      <c r="A4192" s="3">
        <f ca="1">IFERROR(__xludf.DUMMYFUNCTION("""COMPUTED_VALUE"""),44433.6666666666)</f>
        <v>44433.666666666599</v>
      </c>
      <c r="B4192" s="1">
        <f ca="1">IFERROR(__xludf.DUMMYFUNCTION("""COMPUTED_VALUE"""),148.36)</f>
        <v>148.36000000000001</v>
      </c>
    </row>
    <row r="4193" spans="1:2">
      <c r="A4193" s="3">
        <f ca="1">IFERROR(__xludf.DUMMYFUNCTION("""COMPUTED_VALUE"""),44434.6666666666)</f>
        <v>44434.666666666599</v>
      </c>
      <c r="B4193" s="1">
        <f ca="1">IFERROR(__xludf.DUMMYFUNCTION("""COMPUTED_VALUE"""),147.54)</f>
        <v>147.54</v>
      </c>
    </row>
    <row r="4194" spans="1:2">
      <c r="A4194" s="3">
        <f ca="1">IFERROR(__xludf.DUMMYFUNCTION("""COMPUTED_VALUE"""),44435.6666666666)</f>
        <v>44435.666666666599</v>
      </c>
      <c r="B4194" s="1">
        <f ca="1">IFERROR(__xludf.DUMMYFUNCTION("""COMPUTED_VALUE"""),148.6)</f>
        <v>148.6</v>
      </c>
    </row>
    <row r="4195" spans="1:2">
      <c r="A4195" s="3">
        <f ca="1">IFERROR(__xludf.DUMMYFUNCTION("""COMPUTED_VALUE"""),44438.6666666666)</f>
        <v>44438.666666666599</v>
      </c>
      <c r="B4195" s="1">
        <f ca="1">IFERROR(__xludf.DUMMYFUNCTION("""COMPUTED_VALUE"""),153.12)</f>
        <v>153.12</v>
      </c>
    </row>
    <row r="4196" spans="1:2">
      <c r="A4196" s="3">
        <f ca="1">IFERROR(__xludf.DUMMYFUNCTION("""COMPUTED_VALUE"""),44439.6666666666)</f>
        <v>44439.666666666599</v>
      </c>
      <c r="B4196" s="1">
        <f ca="1">IFERROR(__xludf.DUMMYFUNCTION("""COMPUTED_VALUE"""),151.83)</f>
        <v>151.83000000000001</v>
      </c>
    </row>
    <row r="4197" spans="1:2">
      <c r="A4197" s="3">
        <f ca="1">IFERROR(__xludf.DUMMYFUNCTION("""COMPUTED_VALUE"""),44440.6666666666)</f>
        <v>44440.666666666599</v>
      </c>
      <c r="B4197" s="1">
        <f ca="1">IFERROR(__xludf.DUMMYFUNCTION("""COMPUTED_VALUE"""),152.51)</f>
        <v>152.51</v>
      </c>
    </row>
    <row r="4198" spans="1:2">
      <c r="A4198" s="3">
        <f ca="1">IFERROR(__xludf.DUMMYFUNCTION("""COMPUTED_VALUE"""),44441.6666666666)</f>
        <v>44441.666666666599</v>
      </c>
      <c r="B4198" s="1">
        <f ca="1">IFERROR(__xludf.DUMMYFUNCTION("""COMPUTED_VALUE"""),153.65)</f>
        <v>153.65</v>
      </c>
    </row>
    <row r="4199" spans="1:2">
      <c r="A4199" s="3">
        <f ca="1">IFERROR(__xludf.DUMMYFUNCTION("""COMPUTED_VALUE"""),44442.6666666666)</f>
        <v>44442.666666666599</v>
      </c>
      <c r="B4199" s="1">
        <f ca="1">IFERROR(__xludf.DUMMYFUNCTION("""COMPUTED_VALUE"""),154.3)</f>
        <v>154.30000000000001</v>
      </c>
    </row>
    <row r="4200" spans="1:2">
      <c r="A4200" s="3">
        <f ca="1">IFERROR(__xludf.DUMMYFUNCTION("""COMPUTED_VALUE"""),44446.6666666666)</f>
        <v>44446.666666666599</v>
      </c>
      <c r="B4200" s="1">
        <f ca="1">IFERROR(__xludf.DUMMYFUNCTION("""COMPUTED_VALUE"""),156.69)</f>
        <v>156.69</v>
      </c>
    </row>
    <row r="4201" spans="1:2">
      <c r="A4201" s="3">
        <f ca="1">IFERROR(__xludf.DUMMYFUNCTION("""COMPUTED_VALUE"""),44447.6666666666)</f>
        <v>44447.666666666599</v>
      </c>
      <c r="B4201" s="1">
        <f ca="1">IFERROR(__xludf.DUMMYFUNCTION("""COMPUTED_VALUE"""),155.11)</f>
        <v>155.11000000000001</v>
      </c>
    </row>
    <row r="4202" spans="1:2">
      <c r="A4202" s="3">
        <f ca="1">IFERROR(__xludf.DUMMYFUNCTION("""COMPUTED_VALUE"""),44448.6666666666)</f>
        <v>44448.666666666599</v>
      </c>
      <c r="B4202" s="1">
        <f ca="1">IFERROR(__xludf.DUMMYFUNCTION("""COMPUTED_VALUE"""),154.07)</f>
        <v>154.07</v>
      </c>
    </row>
    <row r="4203" spans="1:2">
      <c r="A4203" s="3">
        <f ca="1">IFERROR(__xludf.DUMMYFUNCTION("""COMPUTED_VALUE"""),44449.6666666666)</f>
        <v>44449.666666666599</v>
      </c>
      <c r="B4203" s="1">
        <f ca="1">IFERROR(__xludf.DUMMYFUNCTION("""COMPUTED_VALUE"""),148.97)</f>
        <v>148.97</v>
      </c>
    </row>
    <row r="4204" spans="1:2">
      <c r="A4204" s="3">
        <f ca="1">IFERROR(__xludf.DUMMYFUNCTION("""COMPUTED_VALUE"""),44452.6666666666)</f>
        <v>44452.666666666599</v>
      </c>
      <c r="B4204" s="1">
        <f ca="1">IFERROR(__xludf.DUMMYFUNCTION("""COMPUTED_VALUE"""),149.55)</f>
        <v>149.55000000000001</v>
      </c>
    </row>
    <row r="4205" spans="1:2">
      <c r="A4205" s="3">
        <f ca="1">IFERROR(__xludf.DUMMYFUNCTION("""COMPUTED_VALUE"""),44453.6666666666)</f>
        <v>44453.666666666599</v>
      </c>
      <c r="B4205" s="1">
        <f ca="1">IFERROR(__xludf.DUMMYFUNCTION("""COMPUTED_VALUE"""),148.12)</f>
        <v>148.12</v>
      </c>
    </row>
    <row r="4206" spans="1:2">
      <c r="A4206" s="3">
        <f ca="1">IFERROR(__xludf.DUMMYFUNCTION("""COMPUTED_VALUE"""),44454.6666666666)</f>
        <v>44454.666666666599</v>
      </c>
      <c r="B4206" s="1">
        <f ca="1">IFERROR(__xludf.DUMMYFUNCTION("""COMPUTED_VALUE"""),149.03)</f>
        <v>149.03</v>
      </c>
    </row>
    <row r="4207" spans="1:2">
      <c r="A4207" s="3">
        <f ca="1">IFERROR(__xludf.DUMMYFUNCTION("""COMPUTED_VALUE"""),44455.6666666666)</f>
        <v>44455.666666666599</v>
      </c>
      <c r="B4207" s="1">
        <f ca="1">IFERROR(__xludf.DUMMYFUNCTION("""COMPUTED_VALUE"""),148.79)</f>
        <v>148.79</v>
      </c>
    </row>
    <row r="4208" spans="1:2">
      <c r="A4208" s="3">
        <f ca="1">IFERROR(__xludf.DUMMYFUNCTION("""COMPUTED_VALUE"""),44456.6666666666)</f>
        <v>44456.666666666599</v>
      </c>
      <c r="B4208" s="1">
        <f ca="1">IFERROR(__xludf.DUMMYFUNCTION("""COMPUTED_VALUE"""),146.06)</f>
        <v>146.06</v>
      </c>
    </row>
    <row r="4209" spans="1:2">
      <c r="A4209" s="3">
        <f ca="1">IFERROR(__xludf.DUMMYFUNCTION("""COMPUTED_VALUE"""),44459.6666666666)</f>
        <v>44459.666666666599</v>
      </c>
      <c r="B4209" s="1">
        <f ca="1">IFERROR(__xludf.DUMMYFUNCTION("""COMPUTED_VALUE"""),142.94)</f>
        <v>142.94</v>
      </c>
    </row>
    <row r="4210" spans="1:2">
      <c r="A4210" s="3">
        <f ca="1">IFERROR(__xludf.DUMMYFUNCTION("""COMPUTED_VALUE"""),44460.6666666666)</f>
        <v>44460.666666666599</v>
      </c>
      <c r="B4210" s="1">
        <f ca="1">IFERROR(__xludf.DUMMYFUNCTION("""COMPUTED_VALUE"""),143.43)</f>
        <v>143.43</v>
      </c>
    </row>
    <row r="4211" spans="1:2">
      <c r="A4211" s="3">
        <f ca="1">IFERROR(__xludf.DUMMYFUNCTION("""COMPUTED_VALUE"""),44461.6666666666)</f>
        <v>44461.666666666599</v>
      </c>
      <c r="B4211" s="1">
        <f ca="1">IFERROR(__xludf.DUMMYFUNCTION("""COMPUTED_VALUE"""),145.85)</f>
        <v>145.85</v>
      </c>
    </row>
    <row r="4212" spans="1:2">
      <c r="A4212" s="3">
        <f ca="1">IFERROR(__xludf.DUMMYFUNCTION("""COMPUTED_VALUE"""),44462.6666666666)</f>
        <v>44462.666666666599</v>
      </c>
      <c r="B4212" s="1">
        <f ca="1">IFERROR(__xludf.DUMMYFUNCTION("""COMPUTED_VALUE"""),146.83)</f>
        <v>146.83000000000001</v>
      </c>
    </row>
    <row r="4213" spans="1:2">
      <c r="A4213" s="3">
        <f ca="1">IFERROR(__xludf.DUMMYFUNCTION("""COMPUTED_VALUE"""),44463.6666666666)</f>
        <v>44463.666666666599</v>
      </c>
      <c r="B4213" s="1">
        <f ca="1">IFERROR(__xludf.DUMMYFUNCTION("""COMPUTED_VALUE"""),146.92)</f>
        <v>146.91999999999999</v>
      </c>
    </row>
    <row r="4214" spans="1:2">
      <c r="A4214" s="3">
        <f ca="1">IFERROR(__xludf.DUMMYFUNCTION("""COMPUTED_VALUE"""),44466.6666666666)</f>
        <v>44466.666666666599</v>
      </c>
      <c r="B4214" s="1">
        <f ca="1">IFERROR(__xludf.DUMMYFUNCTION("""COMPUTED_VALUE"""),145.37)</f>
        <v>145.37</v>
      </c>
    </row>
    <row r="4215" spans="1:2">
      <c r="A4215" s="3">
        <f ca="1">IFERROR(__xludf.DUMMYFUNCTION("""COMPUTED_VALUE"""),44467.6666666666)</f>
        <v>44467.666666666599</v>
      </c>
      <c r="B4215" s="1">
        <f ca="1">IFERROR(__xludf.DUMMYFUNCTION("""COMPUTED_VALUE"""),141.91)</f>
        <v>141.91</v>
      </c>
    </row>
    <row r="4216" spans="1:2">
      <c r="A4216" s="3">
        <f ca="1">IFERROR(__xludf.DUMMYFUNCTION("""COMPUTED_VALUE"""),44468.6666666666)</f>
        <v>44468.666666666599</v>
      </c>
      <c r="B4216" s="1">
        <f ca="1">IFERROR(__xludf.DUMMYFUNCTION("""COMPUTED_VALUE"""),142.83)</f>
        <v>142.83000000000001</v>
      </c>
    </row>
    <row r="4217" spans="1:2">
      <c r="A4217" s="3">
        <f ca="1">IFERROR(__xludf.DUMMYFUNCTION("""COMPUTED_VALUE"""),44469.6666666666)</f>
        <v>44469.666666666599</v>
      </c>
      <c r="B4217" s="1">
        <f ca="1">IFERROR(__xludf.DUMMYFUNCTION("""COMPUTED_VALUE"""),141.5)</f>
        <v>141.5</v>
      </c>
    </row>
    <row r="4218" spans="1:2">
      <c r="A4218" s="3">
        <f ca="1">IFERROR(__xludf.DUMMYFUNCTION("""COMPUTED_VALUE"""),44470.6666666666)</f>
        <v>44470.666666666599</v>
      </c>
      <c r="B4218" s="1">
        <f ca="1">IFERROR(__xludf.DUMMYFUNCTION("""COMPUTED_VALUE"""),142.65)</f>
        <v>142.65</v>
      </c>
    </row>
    <row r="4219" spans="1:2">
      <c r="A4219" s="3">
        <f ca="1">IFERROR(__xludf.DUMMYFUNCTION("""COMPUTED_VALUE"""),44473.6666666666)</f>
        <v>44473.666666666599</v>
      </c>
      <c r="B4219" s="1">
        <f ca="1">IFERROR(__xludf.DUMMYFUNCTION("""COMPUTED_VALUE"""),139.14)</f>
        <v>139.13999999999999</v>
      </c>
    </row>
    <row r="4220" spans="1:2">
      <c r="A4220" s="3">
        <f ca="1">IFERROR(__xludf.DUMMYFUNCTION("""COMPUTED_VALUE"""),44474.6666666666)</f>
        <v>44474.666666666599</v>
      </c>
      <c r="B4220" s="1">
        <f ca="1">IFERROR(__xludf.DUMMYFUNCTION("""COMPUTED_VALUE"""),141.11)</f>
        <v>141.11000000000001</v>
      </c>
    </row>
    <row r="4221" spans="1:2">
      <c r="A4221" s="3">
        <f ca="1">IFERROR(__xludf.DUMMYFUNCTION("""COMPUTED_VALUE"""),44475.6666666666)</f>
        <v>44475.666666666599</v>
      </c>
      <c r="B4221" s="1">
        <f ca="1">IFERROR(__xludf.DUMMYFUNCTION("""COMPUTED_VALUE"""),142)</f>
        <v>142</v>
      </c>
    </row>
    <row r="4222" spans="1:2">
      <c r="A4222" s="3">
        <f ca="1">IFERROR(__xludf.DUMMYFUNCTION("""COMPUTED_VALUE"""),44476.6666666666)</f>
        <v>44476.666666666599</v>
      </c>
      <c r="B4222" s="1">
        <f ca="1">IFERROR(__xludf.DUMMYFUNCTION("""COMPUTED_VALUE"""),143.29)</f>
        <v>143.29</v>
      </c>
    </row>
    <row r="4223" spans="1:2">
      <c r="A4223" s="3">
        <f ca="1">IFERROR(__xludf.DUMMYFUNCTION("""COMPUTED_VALUE"""),44477.6666666666)</f>
        <v>44477.666666666599</v>
      </c>
      <c r="B4223" s="1">
        <f ca="1">IFERROR(__xludf.DUMMYFUNCTION("""COMPUTED_VALUE"""),142.9)</f>
        <v>142.9</v>
      </c>
    </row>
    <row r="4224" spans="1:2">
      <c r="A4224" s="3">
        <f ca="1">IFERROR(__xludf.DUMMYFUNCTION("""COMPUTED_VALUE"""),44480.6666666666)</f>
        <v>44480.666666666599</v>
      </c>
      <c r="B4224" s="1">
        <f ca="1">IFERROR(__xludf.DUMMYFUNCTION("""COMPUTED_VALUE"""),142.81)</f>
        <v>142.81</v>
      </c>
    </row>
    <row r="4225" spans="1:2">
      <c r="A4225" s="3">
        <f ca="1">IFERROR(__xludf.DUMMYFUNCTION("""COMPUTED_VALUE"""),44481.6666666666)</f>
        <v>44481.666666666599</v>
      </c>
      <c r="B4225" s="1">
        <f ca="1">IFERROR(__xludf.DUMMYFUNCTION("""COMPUTED_VALUE"""),141.51)</f>
        <v>141.51</v>
      </c>
    </row>
    <row r="4226" spans="1:2">
      <c r="A4226" s="3">
        <f ca="1">IFERROR(__xludf.DUMMYFUNCTION("""COMPUTED_VALUE"""),44482.6666666666)</f>
        <v>44482.666666666599</v>
      </c>
      <c r="B4226" s="1">
        <f ca="1">IFERROR(__xludf.DUMMYFUNCTION("""COMPUTED_VALUE"""),140.91)</f>
        <v>140.91</v>
      </c>
    </row>
    <row r="4227" spans="1:2">
      <c r="A4227" s="3">
        <f ca="1">IFERROR(__xludf.DUMMYFUNCTION("""COMPUTED_VALUE"""),44483.6666666666)</f>
        <v>44483.666666666599</v>
      </c>
      <c r="B4227" s="1">
        <f ca="1">IFERROR(__xludf.DUMMYFUNCTION("""COMPUTED_VALUE"""),143.76)</f>
        <v>143.76</v>
      </c>
    </row>
    <row r="4228" spans="1:2">
      <c r="A4228" s="3">
        <f ca="1">IFERROR(__xludf.DUMMYFUNCTION("""COMPUTED_VALUE"""),44484.6666666666)</f>
        <v>44484.666666666599</v>
      </c>
      <c r="B4228" s="1">
        <f ca="1">IFERROR(__xludf.DUMMYFUNCTION("""COMPUTED_VALUE"""),144.84)</f>
        <v>144.84</v>
      </c>
    </row>
    <row r="4229" spans="1:2">
      <c r="A4229" s="3">
        <f ca="1">IFERROR(__xludf.DUMMYFUNCTION("""COMPUTED_VALUE"""),44487.6666666666)</f>
        <v>44487.666666666599</v>
      </c>
      <c r="B4229" s="1">
        <f ca="1">IFERROR(__xludf.DUMMYFUNCTION("""COMPUTED_VALUE"""),146.55)</f>
        <v>146.55000000000001</v>
      </c>
    </row>
    <row r="4230" spans="1:2">
      <c r="A4230" s="3">
        <f ca="1">IFERROR(__xludf.DUMMYFUNCTION("""COMPUTED_VALUE"""),44488.6666666666)</f>
        <v>44488.666666666599</v>
      </c>
      <c r="B4230" s="1">
        <f ca="1">IFERROR(__xludf.DUMMYFUNCTION("""COMPUTED_VALUE"""),148.76)</f>
        <v>148.76</v>
      </c>
    </row>
    <row r="4231" spans="1:2">
      <c r="A4231" s="3">
        <f ca="1">IFERROR(__xludf.DUMMYFUNCTION("""COMPUTED_VALUE"""),44489.6666666666)</f>
        <v>44489.666666666599</v>
      </c>
      <c r="B4231" s="1">
        <f ca="1">IFERROR(__xludf.DUMMYFUNCTION("""COMPUTED_VALUE"""),149.26)</f>
        <v>149.26</v>
      </c>
    </row>
    <row r="4232" spans="1:2">
      <c r="A4232" s="3">
        <f ca="1">IFERROR(__xludf.DUMMYFUNCTION("""COMPUTED_VALUE"""),44490.6666666666)</f>
        <v>44490.666666666599</v>
      </c>
      <c r="B4232" s="1">
        <f ca="1">IFERROR(__xludf.DUMMYFUNCTION("""COMPUTED_VALUE"""),149.48)</f>
        <v>149.47999999999999</v>
      </c>
    </row>
    <row r="4233" spans="1:2">
      <c r="A4233" s="3">
        <f ca="1">IFERROR(__xludf.DUMMYFUNCTION("""COMPUTED_VALUE"""),44491.6666666666)</f>
        <v>44491.666666666599</v>
      </c>
      <c r="B4233" s="1">
        <f ca="1">IFERROR(__xludf.DUMMYFUNCTION("""COMPUTED_VALUE"""),148.69)</f>
        <v>148.69</v>
      </c>
    </row>
    <row r="4234" spans="1:2">
      <c r="A4234" s="3">
        <f ca="1">IFERROR(__xludf.DUMMYFUNCTION("""COMPUTED_VALUE"""),44494.6666666666)</f>
        <v>44494.666666666599</v>
      </c>
      <c r="B4234" s="1">
        <f ca="1">IFERROR(__xludf.DUMMYFUNCTION("""COMPUTED_VALUE"""),148.64)</f>
        <v>148.63999999999999</v>
      </c>
    </row>
    <row r="4235" spans="1:2">
      <c r="A4235" s="3">
        <f ca="1">IFERROR(__xludf.DUMMYFUNCTION("""COMPUTED_VALUE"""),44495.6666666666)</f>
        <v>44495.666666666599</v>
      </c>
      <c r="B4235" s="1">
        <f ca="1">IFERROR(__xludf.DUMMYFUNCTION("""COMPUTED_VALUE"""),149.32)</f>
        <v>149.32</v>
      </c>
    </row>
    <row r="4236" spans="1:2">
      <c r="A4236" s="3">
        <f ca="1">IFERROR(__xludf.DUMMYFUNCTION("""COMPUTED_VALUE"""),44496.6666666666)</f>
        <v>44496.666666666599</v>
      </c>
      <c r="B4236" s="1">
        <f ca="1">IFERROR(__xludf.DUMMYFUNCTION("""COMPUTED_VALUE"""),148.85)</f>
        <v>148.85</v>
      </c>
    </row>
    <row r="4237" spans="1:2">
      <c r="A4237" s="3">
        <f ca="1">IFERROR(__xludf.DUMMYFUNCTION("""COMPUTED_VALUE"""),44497.6666666666)</f>
        <v>44497.666666666599</v>
      </c>
      <c r="B4237" s="1">
        <f ca="1">IFERROR(__xludf.DUMMYFUNCTION("""COMPUTED_VALUE"""),152.57)</f>
        <v>152.57</v>
      </c>
    </row>
    <row r="4238" spans="1:2">
      <c r="A4238" s="3">
        <f ca="1">IFERROR(__xludf.DUMMYFUNCTION("""COMPUTED_VALUE"""),44498.6666666666)</f>
        <v>44498.666666666599</v>
      </c>
      <c r="B4238" s="1">
        <f ca="1">IFERROR(__xludf.DUMMYFUNCTION("""COMPUTED_VALUE"""),149.8)</f>
        <v>149.80000000000001</v>
      </c>
    </row>
    <row r="4239" spans="1:2">
      <c r="A4239" s="3">
        <f ca="1">IFERROR(__xludf.DUMMYFUNCTION("""COMPUTED_VALUE"""),44501.6666666666)</f>
        <v>44501.666666666599</v>
      </c>
      <c r="B4239" s="1">
        <f ca="1">IFERROR(__xludf.DUMMYFUNCTION("""COMPUTED_VALUE"""),148.96)</f>
        <v>148.96</v>
      </c>
    </row>
    <row r="4240" spans="1:2">
      <c r="A4240" s="3">
        <f ca="1">IFERROR(__xludf.DUMMYFUNCTION("""COMPUTED_VALUE"""),44502.6666666666)</f>
        <v>44502.666666666599</v>
      </c>
      <c r="B4240" s="1">
        <f ca="1">IFERROR(__xludf.DUMMYFUNCTION("""COMPUTED_VALUE"""),150.02)</f>
        <v>150.02000000000001</v>
      </c>
    </row>
    <row r="4241" spans="1:2">
      <c r="A4241" s="3">
        <f ca="1">IFERROR(__xludf.DUMMYFUNCTION("""COMPUTED_VALUE"""),44503.6666666666)</f>
        <v>44503.666666666599</v>
      </c>
      <c r="B4241" s="1">
        <f ca="1">IFERROR(__xludf.DUMMYFUNCTION("""COMPUTED_VALUE"""),151.49)</f>
        <v>151.49</v>
      </c>
    </row>
    <row r="4242" spans="1:2">
      <c r="A4242" s="3">
        <f ca="1">IFERROR(__xludf.DUMMYFUNCTION("""COMPUTED_VALUE"""),44504.6666666666)</f>
        <v>44504.666666666599</v>
      </c>
      <c r="B4242" s="1">
        <f ca="1">IFERROR(__xludf.DUMMYFUNCTION("""COMPUTED_VALUE"""),150.96)</f>
        <v>150.96</v>
      </c>
    </row>
    <row r="4243" spans="1:2">
      <c r="A4243" s="3">
        <f ca="1">IFERROR(__xludf.DUMMYFUNCTION("""COMPUTED_VALUE"""),44505.6666666666)</f>
        <v>44505.666666666599</v>
      </c>
      <c r="B4243" s="1">
        <f ca="1">IFERROR(__xludf.DUMMYFUNCTION("""COMPUTED_VALUE"""),151.28)</f>
        <v>151.28</v>
      </c>
    </row>
    <row r="4244" spans="1:2">
      <c r="A4244" s="3">
        <f ca="1">IFERROR(__xludf.DUMMYFUNCTION("""COMPUTED_VALUE"""),44508.6666666666)</f>
        <v>44508.666666666599</v>
      </c>
      <c r="B4244" s="1">
        <f ca="1">IFERROR(__xludf.DUMMYFUNCTION("""COMPUTED_VALUE"""),150.44)</f>
        <v>150.44</v>
      </c>
    </row>
    <row r="4245" spans="1:2">
      <c r="A4245" s="3">
        <f ca="1">IFERROR(__xludf.DUMMYFUNCTION("""COMPUTED_VALUE"""),44509.6666666666)</f>
        <v>44509.666666666599</v>
      </c>
      <c r="B4245" s="1">
        <f ca="1">IFERROR(__xludf.DUMMYFUNCTION("""COMPUTED_VALUE"""),150.81)</f>
        <v>150.81</v>
      </c>
    </row>
    <row r="4246" spans="1:2">
      <c r="A4246" s="3">
        <f ca="1">IFERROR(__xludf.DUMMYFUNCTION("""COMPUTED_VALUE"""),44510.6666666666)</f>
        <v>44510.666666666599</v>
      </c>
      <c r="B4246" s="1">
        <f ca="1">IFERROR(__xludf.DUMMYFUNCTION("""COMPUTED_VALUE"""),147.92)</f>
        <v>147.91999999999999</v>
      </c>
    </row>
    <row r="4247" spans="1:2">
      <c r="A4247" s="3">
        <f ca="1">IFERROR(__xludf.DUMMYFUNCTION("""COMPUTED_VALUE"""),44511.6666666666)</f>
        <v>44511.666666666599</v>
      </c>
      <c r="B4247" s="1">
        <f ca="1">IFERROR(__xludf.DUMMYFUNCTION("""COMPUTED_VALUE"""),147.87)</f>
        <v>147.87</v>
      </c>
    </row>
    <row r="4248" spans="1:2">
      <c r="A4248" s="3">
        <f ca="1">IFERROR(__xludf.DUMMYFUNCTION("""COMPUTED_VALUE"""),44512.6666666666)</f>
        <v>44512.666666666599</v>
      </c>
      <c r="B4248" s="1">
        <f ca="1">IFERROR(__xludf.DUMMYFUNCTION("""COMPUTED_VALUE"""),149.99)</f>
        <v>149.99</v>
      </c>
    </row>
    <row r="4249" spans="1:2">
      <c r="A4249" s="3">
        <f ca="1">IFERROR(__xludf.DUMMYFUNCTION("""COMPUTED_VALUE"""),44515.6666666666)</f>
        <v>44515.666666666599</v>
      </c>
      <c r="B4249" s="1">
        <f ca="1">IFERROR(__xludf.DUMMYFUNCTION("""COMPUTED_VALUE"""),150)</f>
        <v>150</v>
      </c>
    </row>
    <row r="4250" spans="1:2">
      <c r="A4250" s="3">
        <f ca="1">IFERROR(__xludf.DUMMYFUNCTION("""COMPUTED_VALUE"""),44516.6666666666)</f>
        <v>44516.666666666599</v>
      </c>
      <c r="B4250" s="1">
        <f ca="1">IFERROR(__xludf.DUMMYFUNCTION("""COMPUTED_VALUE"""),151)</f>
        <v>151</v>
      </c>
    </row>
    <row r="4251" spans="1:2">
      <c r="A4251" s="3">
        <f ca="1">IFERROR(__xludf.DUMMYFUNCTION("""COMPUTED_VALUE"""),44517.6666666666)</f>
        <v>44517.666666666599</v>
      </c>
      <c r="B4251" s="1">
        <f ca="1">IFERROR(__xludf.DUMMYFUNCTION("""COMPUTED_VALUE"""),153.49)</f>
        <v>153.49</v>
      </c>
    </row>
    <row r="4252" spans="1:2">
      <c r="A4252" s="3">
        <f ca="1">IFERROR(__xludf.DUMMYFUNCTION("""COMPUTED_VALUE"""),44518.6666666666)</f>
        <v>44518.666666666599</v>
      </c>
      <c r="B4252" s="1">
        <f ca="1">IFERROR(__xludf.DUMMYFUNCTION("""COMPUTED_VALUE"""),157.87)</f>
        <v>157.87</v>
      </c>
    </row>
    <row r="4253" spans="1:2">
      <c r="A4253" s="3">
        <f ca="1">IFERROR(__xludf.DUMMYFUNCTION("""COMPUTED_VALUE"""),44519.6666666666)</f>
        <v>44519.666666666599</v>
      </c>
      <c r="B4253" s="1">
        <f ca="1">IFERROR(__xludf.DUMMYFUNCTION("""COMPUTED_VALUE"""),160.55)</f>
        <v>160.55000000000001</v>
      </c>
    </row>
    <row r="4254" spans="1:2">
      <c r="A4254" s="3">
        <f ca="1">IFERROR(__xludf.DUMMYFUNCTION("""COMPUTED_VALUE"""),44522.6666666666)</f>
        <v>44522.666666666599</v>
      </c>
      <c r="B4254" s="1">
        <f ca="1">IFERROR(__xludf.DUMMYFUNCTION("""COMPUTED_VALUE"""),161.02)</f>
        <v>161.02000000000001</v>
      </c>
    </row>
    <row r="4255" spans="1:2">
      <c r="A4255" s="3">
        <f ca="1">IFERROR(__xludf.DUMMYFUNCTION("""COMPUTED_VALUE"""),44523.6666666666)</f>
        <v>44523.666666666599</v>
      </c>
      <c r="B4255" s="1">
        <f ca="1">IFERROR(__xludf.DUMMYFUNCTION("""COMPUTED_VALUE"""),161.41)</f>
        <v>161.41</v>
      </c>
    </row>
    <row r="4256" spans="1:2">
      <c r="A4256" s="3">
        <f ca="1">IFERROR(__xludf.DUMMYFUNCTION("""COMPUTED_VALUE"""),44524.6666666666)</f>
        <v>44524.666666666599</v>
      </c>
      <c r="B4256" s="1">
        <f ca="1">IFERROR(__xludf.DUMMYFUNCTION("""COMPUTED_VALUE"""),161.94)</f>
        <v>161.94</v>
      </c>
    </row>
    <row r="4257" spans="1:2">
      <c r="A4257" s="3">
        <f ca="1">IFERROR(__xludf.DUMMYFUNCTION("""COMPUTED_VALUE"""),44526.5416666666)</f>
        <v>44526.541666666599</v>
      </c>
      <c r="B4257" s="1">
        <f ca="1">IFERROR(__xludf.DUMMYFUNCTION("""COMPUTED_VALUE"""),156.81)</f>
        <v>156.81</v>
      </c>
    </row>
    <row r="4258" spans="1:2">
      <c r="A4258" s="3">
        <f ca="1">IFERROR(__xludf.DUMMYFUNCTION("""COMPUTED_VALUE"""),44529.6666666666)</f>
        <v>44529.666666666599</v>
      </c>
      <c r="B4258" s="1">
        <f ca="1">IFERROR(__xludf.DUMMYFUNCTION("""COMPUTED_VALUE"""),160.24)</f>
        <v>160.24</v>
      </c>
    </row>
    <row r="4259" spans="1:2">
      <c r="A4259" s="3">
        <f ca="1">IFERROR(__xludf.DUMMYFUNCTION("""COMPUTED_VALUE"""),44530.6666666666)</f>
        <v>44530.666666666599</v>
      </c>
      <c r="B4259" s="1">
        <f ca="1">IFERROR(__xludf.DUMMYFUNCTION("""COMPUTED_VALUE"""),165.3)</f>
        <v>165.3</v>
      </c>
    </row>
    <row r="4260" spans="1:2">
      <c r="A4260" s="3">
        <f ca="1">IFERROR(__xludf.DUMMYFUNCTION("""COMPUTED_VALUE"""),44531.6666666666)</f>
        <v>44531.666666666599</v>
      </c>
      <c r="B4260" s="1">
        <f ca="1">IFERROR(__xludf.DUMMYFUNCTION("""COMPUTED_VALUE"""),164.77)</f>
        <v>164.77</v>
      </c>
    </row>
    <row r="4261" spans="1:2">
      <c r="A4261" s="3">
        <f ca="1">IFERROR(__xludf.DUMMYFUNCTION("""COMPUTED_VALUE"""),44532.6666666666)</f>
        <v>44532.666666666599</v>
      </c>
      <c r="B4261" s="1">
        <f ca="1">IFERROR(__xludf.DUMMYFUNCTION("""COMPUTED_VALUE"""),163.76)</f>
        <v>163.76</v>
      </c>
    </row>
    <row r="4262" spans="1:2">
      <c r="A4262" s="3">
        <f ca="1">IFERROR(__xludf.DUMMYFUNCTION("""COMPUTED_VALUE"""),44533.6666666666)</f>
        <v>44533.666666666599</v>
      </c>
      <c r="B4262" s="1">
        <f ca="1">IFERROR(__xludf.DUMMYFUNCTION("""COMPUTED_VALUE"""),161.84)</f>
        <v>161.84</v>
      </c>
    </row>
    <row r="4263" spans="1:2">
      <c r="A4263" s="3">
        <f ca="1">IFERROR(__xludf.DUMMYFUNCTION("""COMPUTED_VALUE"""),44536.6666666666)</f>
        <v>44536.666666666599</v>
      </c>
      <c r="B4263" s="1">
        <f ca="1">IFERROR(__xludf.DUMMYFUNCTION("""COMPUTED_VALUE"""),165.32)</f>
        <v>165.32</v>
      </c>
    </row>
    <row r="4264" spans="1:2">
      <c r="A4264" s="3">
        <f ca="1">IFERROR(__xludf.DUMMYFUNCTION("""COMPUTED_VALUE"""),44537.6666666666)</f>
        <v>44537.666666666599</v>
      </c>
      <c r="B4264" s="1">
        <f ca="1">IFERROR(__xludf.DUMMYFUNCTION("""COMPUTED_VALUE"""),171.18)</f>
        <v>171.18</v>
      </c>
    </row>
    <row r="4265" spans="1:2">
      <c r="A4265" s="3">
        <f ca="1">IFERROR(__xludf.DUMMYFUNCTION("""COMPUTED_VALUE"""),44538.6666666666)</f>
        <v>44538.666666666599</v>
      </c>
      <c r="B4265" s="1">
        <f ca="1">IFERROR(__xludf.DUMMYFUNCTION("""COMPUTED_VALUE"""),175.08)</f>
        <v>175.08</v>
      </c>
    </row>
    <row r="4266" spans="1:2">
      <c r="A4266" s="3">
        <f ca="1">IFERROR(__xludf.DUMMYFUNCTION("""COMPUTED_VALUE"""),44539.6666666666)</f>
        <v>44539.666666666599</v>
      </c>
      <c r="B4266" s="1">
        <f ca="1">IFERROR(__xludf.DUMMYFUNCTION("""COMPUTED_VALUE"""),174.56)</f>
        <v>174.56</v>
      </c>
    </row>
    <row r="4267" spans="1:2">
      <c r="A4267" s="3">
        <f ca="1">IFERROR(__xludf.DUMMYFUNCTION("""COMPUTED_VALUE"""),44540.6666666666)</f>
        <v>44540.666666666599</v>
      </c>
      <c r="B4267" s="1">
        <f ca="1">IFERROR(__xludf.DUMMYFUNCTION("""COMPUTED_VALUE"""),179.45)</f>
        <v>179.45</v>
      </c>
    </row>
    <row r="4268" spans="1:2">
      <c r="A4268" s="3">
        <f ca="1">IFERROR(__xludf.DUMMYFUNCTION("""COMPUTED_VALUE"""),44543.6666666666)</f>
        <v>44543.666666666599</v>
      </c>
      <c r="B4268" s="1">
        <f ca="1">IFERROR(__xludf.DUMMYFUNCTION("""COMPUTED_VALUE"""),175.74)</f>
        <v>175.74</v>
      </c>
    </row>
    <row r="4269" spans="1:2">
      <c r="A4269" s="3">
        <f ca="1">IFERROR(__xludf.DUMMYFUNCTION("""COMPUTED_VALUE"""),44544.6666666666)</f>
        <v>44544.666666666599</v>
      </c>
      <c r="B4269" s="1">
        <f ca="1">IFERROR(__xludf.DUMMYFUNCTION("""COMPUTED_VALUE"""),174.33)</f>
        <v>174.33</v>
      </c>
    </row>
    <row r="4270" spans="1:2">
      <c r="A4270" s="3">
        <f ca="1">IFERROR(__xludf.DUMMYFUNCTION("""COMPUTED_VALUE"""),44545.6666666666)</f>
        <v>44545.666666666599</v>
      </c>
      <c r="B4270" s="1">
        <f ca="1">IFERROR(__xludf.DUMMYFUNCTION("""COMPUTED_VALUE"""),179.3)</f>
        <v>179.3</v>
      </c>
    </row>
    <row r="4271" spans="1:2">
      <c r="A4271" s="3">
        <f ca="1">IFERROR(__xludf.DUMMYFUNCTION("""COMPUTED_VALUE"""),44546.6666666666)</f>
        <v>44546.666666666599</v>
      </c>
      <c r="B4271" s="1">
        <f ca="1">IFERROR(__xludf.DUMMYFUNCTION("""COMPUTED_VALUE"""),172.26)</f>
        <v>172.26</v>
      </c>
    </row>
    <row r="4272" spans="1:2">
      <c r="A4272" s="3">
        <f ca="1">IFERROR(__xludf.DUMMYFUNCTION("""COMPUTED_VALUE"""),44547.6666666666)</f>
        <v>44547.666666666599</v>
      </c>
      <c r="B4272" s="1">
        <f ca="1">IFERROR(__xludf.DUMMYFUNCTION("""COMPUTED_VALUE"""),171.14)</f>
        <v>171.14</v>
      </c>
    </row>
    <row r="4273" spans="1:2">
      <c r="A4273" s="3">
        <f ca="1">IFERROR(__xludf.DUMMYFUNCTION("""COMPUTED_VALUE"""),44550.6666666666)</f>
        <v>44550.666666666599</v>
      </c>
      <c r="B4273" s="1">
        <f ca="1">IFERROR(__xludf.DUMMYFUNCTION("""COMPUTED_VALUE"""),169.75)</f>
        <v>169.75</v>
      </c>
    </row>
    <row r="4274" spans="1:2">
      <c r="A4274" s="3">
        <f ca="1">IFERROR(__xludf.DUMMYFUNCTION("""COMPUTED_VALUE"""),44551.6666666666)</f>
        <v>44551.666666666599</v>
      </c>
      <c r="B4274" s="1">
        <f ca="1">IFERROR(__xludf.DUMMYFUNCTION("""COMPUTED_VALUE"""),172.99)</f>
        <v>172.99</v>
      </c>
    </row>
    <row r="4275" spans="1:2">
      <c r="A4275" s="3">
        <f ca="1">IFERROR(__xludf.DUMMYFUNCTION("""COMPUTED_VALUE"""),44552.6666666666)</f>
        <v>44552.666666666599</v>
      </c>
      <c r="B4275" s="1">
        <f ca="1">IFERROR(__xludf.DUMMYFUNCTION("""COMPUTED_VALUE"""),175.64)</f>
        <v>175.64</v>
      </c>
    </row>
    <row r="4276" spans="1:2">
      <c r="A4276" s="3">
        <f ca="1">IFERROR(__xludf.DUMMYFUNCTION("""COMPUTED_VALUE"""),44553.6666666666)</f>
        <v>44553.666666666599</v>
      </c>
      <c r="B4276" s="1">
        <f ca="1">IFERROR(__xludf.DUMMYFUNCTION("""COMPUTED_VALUE"""),176.28)</f>
        <v>176.28</v>
      </c>
    </row>
    <row r="4277" spans="1:2">
      <c r="A4277" s="3">
        <f ca="1">IFERROR(__xludf.DUMMYFUNCTION("""COMPUTED_VALUE"""),44557.6666666666)</f>
        <v>44557.666666666599</v>
      </c>
      <c r="B4277" s="1">
        <f ca="1">IFERROR(__xludf.DUMMYFUNCTION("""COMPUTED_VALUE"""),180.33)</f>
        <v>180.33</v>
      </c>
    </row>
    <row r="4278" spans="1:2">
      <c r="A4278" s="3">
        <f ca="1">IFERROR(__xludf.DUMMYFUNCTION("""COMPUTED_VALUE"""),44558.6666666666)</f>
        <v>44558.666666666599</v>
      </c>
      <c r="B4278" s="1">
        <f ca="1">IFERROR(__xludf.DUMMYFUNCTION("""COMPUTED_VALUE"""),179.29)</f>
        <v>179.29</v>
      </c>
    </row>
    <row r="4279" spans="1:2">
      <c r="A4279" s="3">
        <f ca="1">IFERROR(__xludf.DUMMYFUNCTION("""COMPUTED_VALUE"""),44559.6666666666)</f>
        <v>44559.666666666599</v>
      </c>
      <c r="B4279" s="1">
        <f ca="1">IFERROR(__xludf.DUMMYFUNCTION("""COMPUTED_VALUE"""),179.38)</f>
        <v>179.38</v>
      </c>
    </row>
    <row r="4280" spans="1:2">
      <c r="A4280" s="3">
        <f ca="1">IFERROR(__xludf.DUMMYFUNCTION("""COMPUTED_VALUE"""),44560.6666666666)</f>
        <v>44560.666666666599</v>
      </c>
      <c r="B4280" s="1">
        <f ca="1">IFERROR(__xludf.DUMMYFUNCTION("""COMPUTED_VALUE"""),178.2)</f>
        <v>178.2</v>
      </c>
    </row>
    <row r="4281" spans="1:2">
      <c r="A4281" s="3">
        <f ca="1">IFERROR(__xludf.DUMMYFUNCTION("""COMPUTED_VALUE"""),44561.6666666666)</f>
        <v>44561.666666666599</v>
      </c>
      <c r="B4281" s="1">
        <f ca="1">IFERROR(__xludf.DUMMYFUNCTION("""COMPUTED_VALUE"""),177.57)</f>
        <v>177.57</v>
      </c>
    </row>
    <row r="4282" spans="1:2">
      <c r="A4282" s="3">
        <f ca="1">IFERROR(__xludf.DUMMYFUNCTION("""COMPUTED_VALUE"""),44564.6666666666)</f>
        <v>44564.666666666599</v>
      </c>
      <c r="B4282" s="1">
        <f ca="1">IFERROR(__xludf.DUMMYFUNCTION("""COMPUTED_VALUE"""),182.01)</f>
        <v>182.01</v>
      </c>
    </row>
    <row r="4283" spans="1:2">
      <c r="A4283" s="3">
        <f ca="1">IFERROR(__xludf.DUMMYFUNCTION("""COMPUTED_VALUE"""),44565.6666666666)</f>
        <v>44565.666666666599</v>
      </c>
      <c r="B4283" s="1">
        <f ca="1">IFERROR(__xludf.DUMMYFUNCTION("""COMPUTED_VALUE"""),179.7)</f>
        <v>179.7</v>
      </c>
    </row>
    <row r="4284" spans="1:2">
      <c r="A4284" s="3">
        <f ca="1">IFERROR(__xludf.DUMMYFUNCTION("""COMPUTED_VALUE"""),44566.6666666666)</f>
        <v>44566.666666666599</v>
      </c>
      <c r="B4284" s="1">
        <f ca="1">IFERROR(__xludf.DUMMYFUNCTION("""COMPUTED_VALUE"""),174.92)</f>
        <v>174.92</v>
      </c>
    </row>
    <row r="4285" spans="1:2">
      <c r="A4285" s="3">
        <f ca="1">IFERROR(__xludf.DUMMYFUNCTION("""COMPUTED_VALUE"""),44567.6666666666)</f>
        <v>44567.666666666599</v>
      </c>
      <c r="B4285" s="1">
        <f ca="1">IFERROR(__xludf.DUMMYFUNCTION("""COMPUTED_VALUE"""),172)</f>
        <v>172</v>
      </c>
    </row>
    <row r="4286" spans="1:2">
      <c r="A4286" s="3">
        <f ca="1">IFERROR(__xludf.DUMMYFUNCTION("""COMPUTED_VALUE"""),44568.6666666666)</f>
        <v>44568.666666666599</v>
      </c>
      <c r="B4286" s="1">
        <f ca="1">IFERROR(__xludf.DUMMYFUNCTION("""COMPUTED_VALUE"""),172.17)</f>
        <v>172.17</v>
      </c>
    </row>
    <row r="4287" spans="1:2">
      <c r="A4287" s="3">
        <f ca="1">IFERROR(__xludf.DUMMYFUNCTION("""COMPUTED_VALUE"""),44571.6666666666)</f>
        <v>44571.666666666599</v>
      </c>
      <c r="B4287" s="1">
        <f ca="1">IFERROR(__xludf.DUMMYFUNCTION("""COMPUTED_VALUE"""),172.19)</f>
        <v>172.19</v>
      </c>
    </row>
    <row r="4288" spans="1:2">
      <c r="A4288" s="3">
        <f ca="1">IFERROR(__xludf.DUMMYFUNCTION("""COMPUTED_VALUE"""),44572.6666666666)</f>
        <v>44572.666666666599</v>
      </c>
      <c r="B4288" s="1">
        <f ca="1">IFERROR(__xludf.DUMMYFUNCTION("""COMPUTED_VALUE"""),175.08)</f>
        <v>175.08</v>
      </c>
    </row>
    <row r="4289" spans="1:2">
      <c r="A4289" s="3">
        <f ca="1">IFERROR(__xludf.DUMMYFUNCTION("""COMPUTED_VALUE"""),44573.6666666666)</f>
        <v>44573.666666666599</v>
      </c>
      <c r="B4289" s="1">
        <f ca="1">IFERROR(__xludf.DUMMYFUNCTION("""COMPUTED_VALUE"""),175.53)</f>
        <v>175.53</v>
      </c>
    </row>
    <row r="4290" spans="1:2">
      <c r="A4290" s="3">
        <f ca="1">IFERROR(__xludf.DUMMYFUNCTION("""COMPUTED_VALUE"""),44574.6666666666)</f>
        <v>44574.666666666599</v>
      </c>
      <c r="B4290" s="1">
        <f ca="1">IFERROR(__xludf.DUMMYFUNCTION("""COMPUTED_VALUE"""),172.19)</f>
        <v>172.19</v>
      </c>
    </row>
    <row r="4291" spans="1:2">
      <c r="A4291" s="3">
        <f ca="1">IFERROR(__xludf.DUMMYFUNCTION("""COMPUTED_VALUE"""),44575.6666666666)</f>
        <v>44575.666666666599</v>
      </c>
      <c r="B4291" s="1">
        <f ca="1">IFERROR(__xludf.DUMMYFUNCTION("""COMPUTED_VALUE"""),173.07)</f>
        <v>173.07</v>
      </c>
    </row>
    <row r="4292" spans="1:2">
      <c r="A4292" s="3">
        <f ca="1">IFERROR(__xludf.DUMMYFUNCTION("""COMPUTED_VALUE"""),44579.6666666666)</f>
        <v>44579.666666666599</v>
      </c>
      <c r="B4292" s="1">
        <f ca="1">IFERROR(__xludf.DUMMYFUNCTION("""COMPUTED_VALUE"""),169.8)</f>
        <v>169.8</v>
      </c>
    </row>
    <row r="4293" spans="1:2">
      <c r="A4293" s="3">
        <f ca="1">IFERROR(__xludf.DUMMYFUNCTION("""COMPUTED_VALUE"""),44580.6666666666)</f>
        <v>44580.666666666599</v>
      </c>
      <c r="B4293" s="1">
        <f ca="1">IFERROR(__xludf.DUMMYFUNCTION("""COMPUTED_VALUE"""),166.23)</f>
        <v>166.23</v>
      </c>
    </row>
    <row r="4294" spans="1:2">
      <c r="A4294" s="3">
        <f ca="1">IFERROR(__xludf.DUMMYFUNCTION("""COMPUTED_VALUE"""),44581.6666666666)</f>
        <v>44581.666666666599</v>
      </c>
      <c r="B4294" s="1">
        <f ca="1">IFERROR(__xludf.DUMMYFUNCTION("""COMPUTED_VALUE"""),164.51)</f>
        <v>164.51</v>
      </c>
    </row>
    <row r="4295" spans="1:2">
      <c r="A4295" s="3">
        <f ca="1">IFERROR(__xludf.DUMMYFUNCTION("""COMPUTED_VALUE"""),44582.6666666666)</f>
        <v>44582.666666666599</v>
      </c>
      <c r="B4295" s="1">
        <f ca="1">IFERROR(__xludf.DUMMYFUNCTION("""COMPUTED_VALUE"""),162.41)</f>
        <v>162.41</v>
      </c>
    </row>
    <row r="4296" spans="1:2">
      <c r="A4296" s="3">
        <f ca="1">IFERROR(__xludf.DUMMYFUNCTION("""COMPUTED_VALUE"""),44585.6666666666)</f>
        <v>44585.666666666599</v>
      </c>
      <c r="B4296" s="1">
        <f ca="1">IFERROR(__xludf.DUMMYFUNCTION("""COMPUTED_VALUE"""),161.62)</f>
        <v>161.62</v>
      </c>
    </row>
    <row r="4297" spans="1:2">
      <c r="A4297" s="3">
        <f ca="1">IFERROR(__xludf.DUMMYFUNCTION("""COMPUTED_VALUE"""),44586.6666666666)</f>
        <v>44586.666666666599</v>
      </c>
      <c r="B4297" s="1">
        <f ca="1">IFERROR(__xludf.DUMMYFUNCTION("""COMPUTED_VALUE"""),159.78)</f>
        <v>159.78</v>
      </c>
    </row>
    <row r="4298" spans="1:2">
      <c r="A4298" s="3">
        <f ca="1">IFERROR(__xludf.DUMMYFUNCTION("""COMPUTED_VALUE"""),44587.6666666666)</f>
        <v>44587.666666666599</v>
      </c>
      <c r="B4298" s="1">
        <f ca="1">IFERROR(__xludf.DUMMYFUNCTION("""COMPUTED_VALUE"""),159.69)</f>
        <v>159.69</v>
      </c>
    </row>
    <row r="4299" spans="1:2">
      <c r="A4299" s="3">
        <f ca="1">IFERROR(__xludf.DUMMYFUNCTION("""COMPUTED_VALUE"""),44588.6666666666)</f>
        <v>44588.666666666599</v>
      </c>
      <c r="B4299" s="1">
        <f ca="1">IFERROR(__xludf.DUMMYFUNCTION("""COMPUTED_VALUE"""),159.22)</f>
        <v>159.22</v>
      </c>
    </row>
    <row r="4300" spans="1:2">
      <c r="A4300" s="3">
        <f ca="1">IFERROR(__xludf.DUMMYFUNCTION("""COMPUTED_VALUE"""),44589.6666666666)</f>
        <v>44589.666666666599</v>
      </c>
      <c r="B4300" s="1">
        <f ca="1">IFERROR(__xludf.DUMMYFUNCTION("""COMPUTED_VALUE"""),170.33)</f>
        <v>170.33</v>
      </c>
    </row>
    <row r="4301" spans="1:2">
      <c r="A4301" s="3">
        <f ca="1">IFERROR(__xludf.DUMMYFUNCTION("""COMPUTED_VALUE"""),44592.6666666666)</f>
        <v>44592.666666666599</v>
      </c>
      <c r="B4301" s="1">
        <f ca="1">IFERROR(__xludf.DUMMYFUNCTION("""COMPUTED_VALUE"""),174.78)</f>
        <v>174.78</v>
      </c>
    </row>
    <row r="4302" spans="1:2">
      <c r="A4302" s="3">
        <f ca="1">IFERROR(__xludf.DUMMYFUNCTION("""COMPUTED_VALUE"""),44593.6666666666)</f>
        <v>44593.666666666599</v>
      </c>
      <c r="B4302" s="1">
        <f ca="1">IFERROR(__xludf.DUMMYFUNCTION("""COMPUTED_VALUE"""),174.61)</f>
        <v>174.61</v>
      </c>
    </row>
    <row r="4303" spans="1:2">
      <c r="A4303" s="3">
        <f ca="1">IFERROR(__xludf.DUMMYFUNCTION("""COMPUTED_VALUE"""),44594.6666666666)</f>
        <v>44594.666666666599</v>
      </c>
      <c r="B4303" s="1">
        <f ca="1">IFERROR(__xludf.DUMMYFUNCTION("""COMPUTED_VALUE"""),175.84)</f>
        <v>175.84</v>
      </c>
    </row>
    <row r="4304" spans="1:2">
      <c r="A4304" s="3">
        <f ca="1">IFERROR(__xludf.DUMMYFUNCTION("""COMPUTED_VALUE"""),44595.6666666666)</f>
        <v>44595.666666666599</v>
      </c>
      <c r="B4304" s="1">
        <f ca="1">IFERROR(__xludf.DUMMYFUNCTION("""COMPUTED_VALUE"""),172.9)</f>
        <v>172.9</v>
      </c>
    </row>
    <row r="4305" spans="1:2">
      <c r="A4305" s="3">
        <f ca="1">IFERROR(__xludf.DUMMYFUNCTION("""COMPUTED_VALUE"""),44596.6666666666)</f>
        <v>44596.666666666599</v>
      </c>
      <c r="B4305" s="1">
        <f ca="1">IFERROR(__xludf.DUMMYFUNCTION("""COMPUTED_VALUE"""),172.39)</f>
        <v>172.39</v>
      </c>
    </row>
    <row r="4306" spans="1:2">
      <c r="A4306" s="3">
        <f ca="1">IFERROR(__xludf.DUMMYFUNCTION("""COMPUTED_VALUE"""),44599.6666666666)</f>
        <v>44599.666666666599</v>
      </c>
      <c r="B4306" s="1">
        <f ca="1">IFERROR(__xludf.DUMMYFUNCTION("""COMPUTED_VALUE"""),171.66)</f>
        <v>171.66</v>
      </c>
    </row>
    <row r="4307" spans="1:2">
      <c r="A4307" s="3">
        <f ca="1">IFERROR(__xludf.DUMMYFUNCTION("""COMPUTED_VALUE"""),44600.6666666666)</f>
        <v>44600.666666666599</v>
      </c>
      <c r="B4307" s="1">
        <f ca="1">IFERROR(__xludf.DUMMYFUNCTION("""COMPUTED_VALUE"""),174.83)</f>
        <v>174.83</v>
      </c>
    </row>
    <row r="4308" spans="1:2">
      <c r="A4308" s="3">
        <f ca="1">IFERROR(__xludf.DUMMYFUNCTION("""COMPUTED_VALUE"""),44601.6666666666)</f>
        <v>44601.666666666599</v>
      </c>
      <c r="B4308" s="1">
        <f ca="1">IFERROR(__xludf.DUMMYFUNCTION("""COMPUTED_VALUE"""),176.28)</f>
        <v>176.28</v>
      </c>
    </row>
    <row r="4309" spans="1:2">
      <c r="A4309" s="3">
        <f ca="1">IFERROR(__xludf.DUMMYFUNCTION("""COMPUTED_VALUE"""),44602.6666666666)</f>
        <v>44602.666666666599</v>
      </c>
      <c r="B4309" s="1">
        <f ca="1">IFERROR(__xludf.DUMMYFUNCTION("""COMPUTED_VALUE"""),172.12)</f>
        <v>172.12</v>
      </c>
    </row>
    <row r="4310" spans="1:2">
      <c r="A4310" s="3">
        <f ca="1">IFERROR(__xludf.DUMMYFUNCTION("""COMPUTED_VALUE"""),44603.6666666666)</f>
        <v>44603.666666666599</v>
      </c>
      <c r="B4310" s="1">
        <f ca="1">IFERROR(__xludf.DUMMYFUNCTION("""COMPUTED_VALUE"""),168.64)</f>
        <v>168.64</v>
      </c>
    </row>
    <row r="4311" spans="1:2">
      <c r="A4311" s="3">
        <f ca="1">IFERROR(__xludf.DUMMYFUNCTION("""COMPUTED_VALUE"""),44606.6666666666)</f>
        <v>44606.666666666599</v>
      </c>
      <c r="B4311" s="1">
        <f ca="1">IFERROR(__xludf.DUMMYFUNCTION("""COMPUTED_VALUE"""),168.88)</f>
        <v>168.88</v>
      </c>
    </row>
    <row r="4312" spans="1:2">
      <c r="A4312" s="3">
        <f ca="1">IFERROR(__xludf.DUMMYFUNCTION("""COMPUTED_VALUE"""),44607.6666666666)</f>
        <v>44607.666666666599</v>
      </c>
      <c r="B4312" s="1">
        <f ca="1">IFERROR(__xludf.DUMMYFUNCTION("""COMPUTED_VALUE"""),172.79)</f>
        <v>172.79</v>
      </c>
    </row>
    <row r="4313" spans="1:2">
      <c r="A4313" s="3">
        <f ca="1">IFERROR(__xludf.DUMMYFUNCTION("""COMPUTED_VALUE"""),44608.6666666666)</f>
        <v>44608.666666666599</v>
      </c>
      <c r="B4313" s="1">
        <f ca="1">IFERROR(__xludf.DUMMYFUNCTION("""COMPUTED_VALUE"""),172.55)</f>
        <v>172.55</v>
      </c>
    </row>
    <row r="4314" spans="1:2">
      <c r="A4314" s="3">
        <f ca="1">IFERROR(__xludf.DUMMYFUNCTION("""COMPUTED_VALUE"""),44609.6666666666)</f>
        <v>44609.666666666599</v>
      </c>
      <c r="B4314" s="1">
        <f ca="1">IFERROR(__xludf.DUMMYFUNCTION("""COMPUTED_VALUE"""),168.88)</f>
        <v>168.88</v>
      </c>
    </row>
    <row r="4315" spans="1:2">
      <c r="A4315" s="3">
        <f ca="1">IFERROR(__xludf.DUMMYFUNCTION("""COMPUTED_VALUE"""),44610.6666666666)</f>
        <v>44610.666666666599</v>
      </c>
      <c r="B4315" s="1">
        <f ca="1">IFERROR(__xludf.DUMMYFUNCTION("""COMPUTED_VALUE"""),167.3)</f>
        <v>167.3</v>
      </c>
    </row>
    <row r="4316" spans="1:2">
      <c r="A4316" s="3">
        <f ca="1">IFERROR(__xludf.DUMMYFUNCTION("""COMPUTED_VALUE"""),44614.6666666666)</f>
        <v>44614.666666666599</v>
      </c>
      <c r="B4316" s="1">
        <f ca="1">IFERROR(__xludf.DUMMYFUNCTION("""COMPUTED_VALUE"""),164.32)</f>
        <v>164.32</v>
      </c>
    </row>
    <row r="4317" spans="1:2">
      <c r="A4317" s="3">
        <f ca="1">IFERROR(__xludf.DUMMYFUNCTION("""COMPUTED_VALUE"""),44615.6666666666)</f>
        <v>44615.666666666599</v>
      </c>
      <c r="B4317" s="1">
        <f ca="1">IFERROR(__xludf.DUMMYFUNCTION("""COMPUTED_VALUE"""),160.07)</f>
        <v>160.07</v>
      </c>
    </row>
    <row r="4318" spans="1:2">
      <c r="A4318" s="3">
        <f ca="1">IFERROR(__xludf.DUMMYFUNCTION("""COMPUTED_VALUE"""),44616.6666666666)</f>
        <v>44616.666666666599</v>
      </c>
      <c r="B4318" s="1">
        <f ca="1">IFERROR(__xludf.DUMMYFUNCTION("""COMPUTED_VALUE"""),162.74)</f>
        <v>162.74</v>
      </c>
    </row>
    <row r="4319" spans="1:2">
      <c r="A4319" s="3">
        <f ca="1">IFERROR(__xludf.DUMMYFUNCTION("""COMPUTED_VALUE"""),44617.6666666666)</f>
        <v>44617.666666666599</v>
      </c>
      <c r="B4319" s="1">
        <f ca="1">IFERROR(__xludf.DUMMYFUNCTION("""COMPUTED_VALUE"""),164.85)</f>
        <v>164.85</v>
      </c>
    </row>
    <row r="4320" spans="1:2">
      <c r="A4320" s="3">
        <f ca="1">IFERROR(__xludf.DUMMYFUNCTION("""COMPUTED_VALUE"""),44620.6666666666)</f>
        <v>44620.666666666599</v>
      </c>
      <c r="B4320" s="1">
        <f ca="1">IFERROR(__xludf.DUMMYFUNCTION("""COMPUTED_VALUE"""),165.12)</f>
        <v>165.12</v>
      </c>
    </row>
    <row r="4321" spans="1:2">
      <c r="A4321" s="3">
        <f ca="1">IFERROR(__xludf.DUMMYFUNCTION("""COMPUTED_VALUE"""),44621.6666666666)</f>
        <v>44621.666666666599</v>
      </c>
      <c r="B4321" s="1">
        <f ca="1">IFERROR(__xludf.DUMMYFUNCTION("""COMPUTED_VALUE"""),163.2)</f>
        <v>163.19999999999999</v>
      </c>
    </row>
    <row r="4322" spans="1:2">
      <c r="A4322" s="3">
        <f ca="1">IFERROR(__xludf.DUMMYFUNCTION("""COMPUTED_VALUE"""),44622.6666666666)</f>
        <v>44622.666666666599</v>
      </c>
      <c r="B4322" s="1">
        <f ca="1">IFERROR(__xludf.DUMMYFUNCTION("""COMPUTED_VALUE"""),166.56)</f>
        <v>166.56</v>
      </c>
    </row>
    <row r="4323" spans="1:2">
      <c r="A4323" s="3">
        <f ca="1">IFERROR(__xludf.DUMMYFUNCTION("""COMPUTED_VALUE"""),44623.6666666666)</f>
        <v>44623.666666666599</v>
      </c>
      <c r="B4323" s="1">
        <f ca="1">IFERROR(__xludf.DUMMYFUNCTION("""COMPUTED_VALUE"""),166.23)</f>
        <v>166.23</v>
      </c>
    </row>
    <row r="4324" spans="1:2">
      <c r="A4324" s="3">
        <f ca="1">IFERROR(__xludf.DUMMYFUNCTION("""COMPUTED_VALUE"""),44624.6666666666)</f>
        <v>44624.666666666599</v>
      </c>
      <c r="B4324" s="1">
        <f ca="1">IFERROR(__xludf.DUMMYFUNCTION("""COMPUTED_VALUE"""),163.17)</f>
        <v>163.16999999999999</v>
      </c>
    </row>
    <row r="4325" spans="1:2">
      <c r="A4325" s="3">
        <f ca="1">IFERROR(__xludf.DUMMYFUNCTION("""COMPUTED_VALUE"""),44627.6666666666)</f>
        <v>44627.666666666599</v>
      </c>
      <c r="B4325" s="1">
        <f ca="1">IFERROR(__xludf.DUMMYFUNCTION("""COMPUTED_VALUE"""),159.3)</f>
        <v>159.30000000000001</v>
      </c>
    </row>
    <row r="4326" spans="1:2">
      <c r="A4326" s="3">
        <f ca="1">IFERROR(__xludf.DUMMYFUNCTION("""COMPUTED_VALUE"""),44628.6666666666)</f>
        <v>44628.666666666599</v>
      </c>
      <c r="B4326" s="1">
        <f ca="1">IFERROR(__xludf.DUMMYFUNCTION("""COMPUTED_VALUE"""),157.44)</f>
        <v>157.44</v>
      </c>
    </row>
    <row r="4327" spans="1:2">
      <c r="A4327" s="3">
        <f ca="1">IFERROR(__xludf.DUMMYFUNCTION("""COMPUTED_VALUE"""),44629.6666666666)</f>
        <v>44629.666666666599</v>
      </c>
      <c r="B4327" s="1">
        <f ca="1">IFERROR(__xludf.DUMMYFUNCTION("""COMPUTED_VALUE"""),162.95)</f>
        <v>162.94999999999999</v>
      </c>
    </row>
    <row r="4328" spans="1:2">
      <c r="A4328" s="3">
        <f ca="1">IFERROR(__xludf.DUMMYFUNCTION("""COMPUTED_VALUE"""),44630.6666666666)</f>
        <v>44630.666666666599</v>
      </c>
      <c r="B4328" s="1">
        <f ca="1">IFERROR(__xludf.DUMMYFUNCTION("""COMPUTED_VALUE"""),158.52)</f>
        <v>158.52000000000001</v>
      </c>
    </row>
    <row r="4329" spans="1:2">
      <c r="A4329" s="3">
        <f ca="1">IFERROR(__xludf.DUMMYFUNCTION("""COMPUTED_VALUE"""),44631.6666666666)</f>
        <v>44631.666666666599</v>
      </c>
      <c r="B4329" s="1">
        <f ca="1">IFERROR(__xludf.DUMMYFUNCTION("""COMPUTED_VALUE"""),154.73)</f>
        <v>154.72999999999999</v>
      </c>
    </row>
    <row r="4330" spans="1:2">
      <c r="A4330" s="3">
        <f ca="1">IFERROR(__xludf.DUMMYFUNCTION("""COMPUTED_VALUE"""),44634.6666666666)</f>
        <v>44634.666666666599</v>
      </c>
      <c r="B4330" s="1">
        <f ca="1">IFERROR(__xludf.DUMMYFUNCTION("""COMPUTED_VALUE"""),150.62)</f>
        <v>150.62</v>
      </c>
    </row>
    <row r="4331" spans="1:2">
      <c r="A4331" s="3">
        <f ca="1">IFERROR(__xludf.DUMMYFUNCTION("""COMPUTED_VALUE"""),44635.6666666666)</f>
        <v>44635.666666666599</v>
      </c>
      <c r="B4331" s="1">
        <f ca="1">IFERROR(__xludf.DUMMYFUNCTION("""COMPUTED_VALUE"""),155.09)</f>
        <v>155.09</v>
      </c>
    </row>
    <row r="4332" spans="1:2">
      <c r="A4332" s="3">
        <f ca="1">IFERROR(__xludf.DUMMYFUNCTION("""COMPUTED_VALUE"""),44636.6666666666)</f>
        <v>44636.666666666599</v>
      </c>
      <c r="B4332" s="1">
        <f ca="1">IFERROR(__xludf.DUMMYFUNCTION("""COMPUTED_VALUE"""),159.59)</f>
        <v>159.59</v>
      </c>
    </row>
    <row r="4333" spans="1:2">
      <c r="A4333" s="3">
        <f ca="1">IFERROR(__xludf.DUMMYFUNCTION("""COMPUTED_VALUE"""),44637.6666666666)</f>
        <v>44637.666666666599</v>
      </c>
      <c r="B4333" s="1">
        <f ca="1">IFERROR(__xludf.DUMMYFUNCTION("""COMPUTED_VALUE"""),160.62)</f>
        <v>160.62</v>
      </c>
    </row>
    <row r="4334" spans="1:2">
      <c r="A4334" s="3">
        <f ca="1">IFERROR(__xludf.DUMMYFUNCTION("""COMPUTED_VALUE"""),44638.6666666666)</f>
        <v>44638.666666666599</v>
      </c>
      <c r="B4334" s="1">
        <f ca="1">IFERROR(__xludf.DUMMYFUNCTION("""COMPUTED_VALUE"""),163.98)</f>
        <v>163.98</v>
      </c>
    </row>
    <row r="4335" spans="1:2">
      <c r="A4335" s="3">
        <f ca="1">IFERROR(__xludf.DUMMYFUNCTION("""COMPUTED_VALUE"""),44641.6666666666)</f>
        <v>44641.666666666599</v>
      </c>
      <c r="B4335" s="1">
        <f ca="1">IFERROR(__xludf.DUMMYFUNCTION("""COMPUTED_VALUE"""),165.38)</f>
        <v>165.38</v>
      </c>
    </row>
    <row r="4336" spans="1:2">
      <c r="A4336" s="3">
        <f ca="1">IFERROR(__xludf.DUMMYFUNCTION("""COMPUTED_VALUE"""),44642.6666666666)</f>
        <v>44642.666666666599</v>
      </c>
      <c r="B4336" s="1">
        <f ca="1">IFERROR(__xludf.DUMMYFUNCTION("""COMPUTED_VALUE"""),168.82)</f>
        <v>168.82</v>
      </c>
    </row>
    <row r="4337" spans="1:2">
      <c r="A4337" s="3">
        <f ca="1">IFERROR(__xludf.DUMMYFUNCTION("""COMPUTED_VALUE"""),44643.6666666666)</f>
        <v>44643.666666666599</v>
      </c>
      <c r="B4337" s="1">
        <f ca="1">IFERROR(__xludf.DUMMYFUNCTION("""COMPUTED_VALUE"""),170.21)</f>
        <v>170.21</v>
      </c>
    </row>
    <row r="4338" spans="1:2">
      <c r="A4338" s="3">
        <f ca="1">IFERROR(__xludf.DUMMYFUNCTION("""COMPUTED_VALUE"""),44644.6666666666)</f>
        <v>44644.666666666599</v>
      </c>
      <c r="B4338" s="1">
        <f ca="1">IFERROR(__xludf.DUMMYFUNCTION("""COMPUTED_VALUE"""),174.07)</f>
        <v>174.07</v>
      </c>
    </row>
    <row r="4339" spans="1:2">
      <c r="A4339" s="3">
        <f ca="1">IFERROR(__xludf.DUMMYFUNCTION("""COMPUTED_VALUE"""),44645.6666666666)</f>
        <v>44645.666666666599</v>
      </c>
      <c r="B4339" s="1">
        <f ca="1">IFERROR(__xludf.DUMMYFUNCTION("""COMPUTED_VALUE"""),174.72)</f>
        <v>174.72</v>
      </c>
    </row>
    <row r="4340" spans="1:2">
      <c r="A4340" s="3">
        <f ca="1">IFERROR(__xludf.DUMMYFUNCTION("""COMPUTED_VALUE"""),44648.6666666666)</f>
        <v>44648.666666666599</v>
      </c>
      <c r="B4340" s="1">
        <f ca="1">IFERROR(__xludf.DUMMYFUNCTION("""COMPUTED_VALUE"""),175.6)</f>
        <v>175.6</v>
      </c>
    </row>
    <row r="4341" spans="1:2">
      <c r="A4341" s="3">
        <f ca="1">IFERROR(__xludf.DUMMYFUNCTION("""COMPUTED_VALUE"""),44649.6666666666)</f>
        <v>44649.666666666599</v>
      </c>
      <c r="B4341" s="1">
        <f ca="1">IFERROR(__xludf.DUMMYFUNCTION("""COMPUTED_VALUE"""),178.96)</f>
        <v>178.96</v>
      </c>
    </row>
    <row r="4342" spans="1:2">
      <c r="A4342" s="3">
        <f ca="1">IFERROR(__xludf.DUMMYFUNCTION("""COMPUTED_VALUE"""),44650.6666666666)</f>
        <v>44650.666666666599</v>
      </c>
      <c r="B4342" s="1">
        <f ca="1">IFERROR(__xludf.DUMMYFUNCTION("""COMPUTED_VALUE"""),177.77)</f>
        <v>177.77</v>
      </c>
    </row>
    <row r="4343" spans="1:2">
      <c r="A4343" s="3">
        <f ca="1">IFERROR(__xludf.DUMMYFUNCTION("""COMPUTED_VALUE"""),44651.6666666666)</f>
        <v>44651.666666666599</v>
      </c>
      <c r="B4343" s="1">
        <f ca="1">IFERROR(__xludf.DUMMYFUNCTION("""COMPUTED_VALUE"""),174.61)</f>
        <v>174.61</v>
      </c>
    </row>
    <row r="4344" spans="1:2">
      <c r="A4344" s="3">
        <f ca="1">IFERROR(__xludf.DUMMYFUNCTION("""COMPUTED_VALUE"""),44652.6666666666)</f>
        <v>44652.666666666599</v>
      </c>
      <c r="B4344" s="1">
        <f ca="1">IFERROR(__xludf.DUMMYFUNCTION("""COMPUTED_VALUE"""),174.31)</f>
        <v>174.31</v>
      </c>
    </row>
    <row r="4345" spans="1:2">
      <c r="A4345" s="3">
        <f ca="1">IFERROR(__xludf.DUMMYFUNCTION("""COMPUTED_VALUE"""),44655.6666666666)</f>
        <v>44655.666666666599</v>
      </c>
      <c r="B4345" s="1">
        <f ca="1">IFERROR(__xludf.DUMMYFUNCTION("""COMPUTED_VALUE"""),178.44)</f>
        <v>178.44</v>
      </c>
    </row>
    <row r="4346" spans="1:2">
      <c r="A4346" s="3">
        <f ca="1">IFERROR(__xludf.DUMMYFUNCTION("""COMPUTED_VALUE"""),44656.6666666666)</f>
        <v>44656.666666666599</v>
      </c>
      <c r="B4346" s="1">
        <f ca="1">IFERROR(__xludf.DUMMYFUNCTION("""COMPUTED_VALUE"""),175.06)</f>
        <v>175.06</v>
      </c>
    </row>
    <row r="4347" spans="1:2">
      <c r="A4347" s="3">
        <f ca="1">IFERROR(__xludf.DUMMYFUNCTION("""COMPUTED_VALUE"""),44657.6666666666)</f>
        <v>44657.666666666599</v>
      </c>
      <c r="B4347" s="1">
        <f ca="1">IFERROR(__xludf.DUMMYFUNCTION("""COMPUTED_VALUE"""),171.83)</f>
        <v>171.83</v>
      </c>
    </row>
    <row r="4348" spans="1:2">
      <c r="A4348" s="3">
        <f ca="1">IFERROR(__xludf.DUMMYFUNCTION("""COMPUTED_VALUE"""),44658.6666666666)</f>
        <v>44658.666666666599</v>
      </c>
      <c r="B4348" s="1">
        <f ca="1">IFERROR(__xludf.DUMMYFUNCTION("""COMPUTED_VALUE"""),172.14)</f>
        <v>172.14</v>
      </c>
    </row>
    <row r="4349" spans="1:2">
      <c r="A4349" s="3">
        <f ca="1">IFERROR(__xludf.DUMMYFUNCTION("""COMPUTED_VALUE"""),44659.6666666666)</f>
        <v>44659.666666666599</v>
      </c>
      <c r="B4349" s="1">
        <f ca="1">IFERROR(__xludf.DUMMYFUNCTION("""COMPUTED_VALUE"""),170.09)</f>
        <v>170.09</v>
      </c>
    </row>
    <row r="4350" spans="1:2">
      <c r="A4350" s="3">
        <f ca="1">IFERROR(__xludf.DUMMYFUNCTION("""COMPUTED_VALUE"""),44662.6666666666)</f>
        <v>44662.666666666599</v>
      </c>
      <c r="B4350" s="1">
        <f ca="1">IFERROR(__xludf.DUMMYFUNCTION("""COMPUTED_VALUE"""),165.75)</f>
        <v>165.75</v>
      </c>
    </row>
    <row r="4351" spans="1:2">
      <c r="A4351" s="3">
        <f ca="1">IFERROR(__xludf.DUMMYFUNCTION("""COMPUTED_VALUE"""),44663.6666666666)</f>
        <v>44663.666666666599</v>
      </c>
      <c r="B4351" s="1">
        <f ca="1">IFERROR(__xludf.DUMMYFUNCTION("""COMPUTED_VALUE"""),167.66)</f>
        <v>167.66</v>
      </c>
    </row>
    <row r="4352" spans="1:2">
      <c r="A4352" s="3">
        <f ca="1">IFERROR(__xludf.DUMMYFUNCTION("""COMPUTED_VALUE"""),44664.6666666666)</f>
        <v>44664.666666666599</v>
      </c>
      <c r="B4352" s="1">
        <f ca="1">IFERROR(__xludf.DUMMYFUNCTION("""COMPUTED_VALUE"""),170.4)</f>
        <v>170.4</v>
      </c>
    </row>
    <row r="4353" spans="1:2">
      <c r="A4353" s="3">
        <f ca="1">IFERROR(__xludf.DUMMYFUNCTION("""COMPUTED_VALUE"""),44665.6666666666)</f>
        <v>44665.666666666599</v>
      </c>
      <c r="B4353" s="1">
        <f ca="1">IFERROR(__xludf.DUMMYFUNCTION("""COMPUTED_VALUE"""),165.29)</f>
        <v>165.29</v>
      </c>
    </row>
    <row r="4354" spans="1:2">
      <c r="A4354" s="3">
        <f ca="1">IFERROR(__xludf.DUMMYFUNCTION("""COMPUTED_VALUE"""),44669.6666666666)</f>
        <v>44669.666666666599</v>
      </c>
      <c r="B4354" s="1">
        <f ca="1">IFERROR(__xludf.DUMMYFUNCTION("""COMPUTED_VALUE"""),165.07)</f>
        <v>165.07</v>
      </c>
    </row>
    <row r="4355" spans="1:2">
      <c r="A4355" s="3">
        <f ca="1">IFERROR(__xludf.DUMMYFUNCTION("""COMPUTED_VALUE"""),44670.6666666666)</f>
        <v>44670.666666666599</v>
      </c>
      <c r="B4355" s="1">
        <f ca="1">IFERROR(__xludf.DUMMYFUNCTION("""COMPUTED_VALUE"""),167.4)</f>
        <v>167.4</v>
      </c>
    </row>
    <row r="4356" spans="1:2">
      <c r="A4356" s="3">
        <f ca="1">IFERROR(__xludf.DUMMYFUNCTION("""COMPUTED_VALUE"""),44671.6666666666)</f>
        <v>44671.666666666599</v>
      </c>
      <c r="B4356" s="1">
        <f ca="1">IFERROR(__xludf.DUMMYFUNCTION("""COMPUTED_VALUE"""),167.23)</f>
        <v>167.23</v>
      </c>
    </row>
    <row r="4357" spans="1:2">
      <c r="A4357" s="3">
        <f ca="1">IFERROR(__xludf.DUMMYFUNCTION("""COMPUTED_VALUE"""),44672.6666666666)</f>
        <v>44672.666666666599</v>
      </c>
      <c r="B4357" s="1">
        <f ca="1">IFERROR(__xludf.DUMMYFUNCTION("""COMPUTED_VALUE"""),166.42)</f>
        <v>166.42</v>
      </c>
    </row>
    <row r="4358" spans="1:2">
      <c r="A4358" s="3">
        <f ca="1">IFERROR(__xludf.DUMMYFUNCTION("""COMPUTED_VALUE"""),44673.6666666666)</f>
        <v>44673.666666666599</v>
      </c>
      <c r="B4358" s="1">
        <f ca="1">IFERROR(__xludf.DUMMYFUNCTION("""COMPUTED_VALUE"""),161.79)</f>
        <v>161.79</v>
      </c>
    </row>
    <row r="4359" spans="1:2">
      <c r="A4359" s="3">
        <f ca="1">IFERROR(__xludf.DUMMYFUNCTION("""COMPUTED_VALUE"""),44676.6666666666)</f>
        <v>44676.666666666599</v>
      </c>
      <c r="B4359" s="1">
        <f ca="1">IFERROR(__xludf.DUMMYFUNCTION("""COMPUTED_VALUE"""),162.88)</f>
        <v>162.88</v>
      </c>
    </row>
    <row r="4360" spans="1:2">
      <c r="A4360" s="3">
        <f ca="1">IFERROR(__xludf.DUMMYFUNCTION("""COMPUTED_VALUE"""),44677.6666666666)</f>
        <v>44677.666666666599</v>
      </c>
      <c r="B4360" s="1">
        <f ca="1">IFERROR(__xludf.DUMMYFUNCTION("""COMPUTED_VALUE"""),156.8)</f>
        <v>156.80000000000001</v>
      </c>
    </row>
    <row r="4361" spans="1:2">
      <c r="A4361" s="3">
        <f ca="1">IFERROR(__xludf.DUMMYFUNCTION("""COMPUTED_VALUE"""),44678.6666666666)</f>
        <v>44678.666666666599</v>
      </c>
      <c r="B4361" s="1">
        <f ca="1">IFERROR(__xludf.DUMMYFUNCTION("""COMPUTED_VALUE"""),156.57)</f>
        <v>156.57</v>
      </c>
    </row>
    <row r="4362" spans="1:2">
      <c r="A4362" s="3">
        <f ca="1">IFERROR(__xludf.DUMMYFUNCTION("""COMPUTED_VALUE"""),44679.6666666666)</f>
        <v>44679.666666666599</v>
      </c>
      <c r="B4362" s="1">
        <f ca="1">IFERROR(__xludf.DUMMYFUNCTION("""COMPUTED_VALUE"""),163.64)</f>
        <v>163.63999999999999</v>
      </c>
    </row>
    <row r="4363" spans="1:2">
      <c r="A4363" s="3">
        <f ca="1">IFERROR(__xludf.DUMMYFUNCTION("""COMPUTED_VALUE"""),44680.6666666666)</f>
        <v>44680.666666666599</v>
      </c>
      <c r="B4363" s="1">
        <f ca="1">IFERROR(__xludf.DUMMYFUNCTION("""COMPUTED_VALUE"""),157.65)</f>
        <v>157.65</v>
      </c>
    </row>
    <row r="4364" spans="1:2">
      <c r="A4364" s="3">
        <f ca="1">IFERROR(__xludf.DUMMYFUNCTION("""COMPUTED_VALUE"""),44683.6666666666)</f>
        <v>44683.666666666599</v>
      </c>
      <c r="B4364" s="1">
        <f ca="1">IFERROR(__xludf.DUMMYFUNCTION("""COMPUTED_VALUE"""),157.96)</f>
        <v>157.96</v>
      </c>
    </row>
    <row r="4365" spans="1:2">
      <c r="A4365" s="3">
        <f ca="1">IFERROR(__xludf.DUMMYFUNCTION("""COMPUTED_VALUE"""),44684.6666666666)</f>
        <v>44684.666666666599</v>
      </c>
      <c r="B4365" s="1">
        <f ca="1">IFERROR(__xludf.DUMMYFUNCTION("""COMPUTED_VALUE"""),159.48)</f>
        <v>159.47999999999999</v>
      </c>
    </row>
    <row r="4366" spans="1:2">
      <c r="A4366" s="3">
        <f ca="1">IFERROR(__xludf.DUMMYFUNCTION("""COMPUTED_VALUE"""),44685.6666666666)</f>
        <v>44685.666666666599</v>
      </c>
      <c r="B4366" s="1">
        <f ca="1">IFERROR(__xludf.DUMMYFUNCTION("""COMPUTED_VALUE"""),166.02)</f>
        <v>166.02</v>
      </c>
    </row>
    <row r="4367" spans="1:2">
      <c r="A4367" s="3">
        <f ca="1">IFERROR(__xludf.DUMMYFUNCTION("""COMPUTED_VALUE"""),44686.6666666666)</f>
        <v>44686.666666666599</v>
      </c>
      <c r="B4367" s="1">
        <f ca="1">IFERROR(__xludf.DUMMYFUNCTION("""COMPUTED_VALUE"""),156.77)</f>
        <v>156.77000000000001</v>
      </c>
    </row>
    <row r="4368" spans="1:2">
      <c r="A4368" s="3">
        <f ca="1">IFERROR(__xludf.DUMMYFUNCTION("""COMPUTED_VALUE"""),44687.6666666666)</f>
        <v>44687.666666666599</v>
      </c>
      <c r="B4368" s="1">
        <f ca="1">IFERROR(__xludf.DUMMYFUNCTION("""COMPUTED_VALUE"""),157.28)</f>
        <v>157.28</v>
      </c>
    </row>
    <row r="4369" spans="1:2">
      <c r="A4369" s="3">
        <f ca="1">IFERROR(__xludf.DUMMYFUNCTION("""COMPUTED_VALUE"""),44690.6666666666)</f>
        <v>44690.666666666599</v>
      </c>
      <c r="B4369" s="1">
        <f ca="1">IFERROR(__xludf.DUMMYFUNCTION("""COMPUTED_VALUE"""),152.06)</f>
        <v>152.06</v>
      </c>
    </row>
    <row r="4370" spans="1:2">
      <c r="A4370" s="3">
        <f ca="1">IFERROR(__xludf.DUMMYFUNCTION("""COMPUTED_VALUE"""),44691.6666666666)</f>
        <v>44691.666666666599</v>
      </c>
      <c r="B4370" s="1">
        <f ca="1">IFERROR(__xludf.DUMMYFUNCTION("""COMPUTED_VALUE"""),154.51)</f>
        <v>154.51</v>
      </c>
    </row>
    <row r="4371" spans="1:2">
      <c r="A4371" s="3">
        <f ca="1">IFERROR(__xludf.DUMMYFUNCTION("""COMPUTED_VALUE"""),44692.6666666666)</f>
        <v>44692.666666666599</v>
      </c>
      <c r="B4371" s="1">
        <f ca="1">IFERROR(__xludf.DUMMYFUNCTION("""COMPUTED_VALUE"""),146.5)</f>
        <v>146.5</v>
      </c>
    </row>
    <row r="4372" spans="1:2">
      <c r="A4372" s="3">
        <f ca="1">IFERROR(__xludf.DUMMYFUNCTION("""COMPUTED_VALUE"""),44693.6666666666)</f>
        <v>44693.666666666599</v>
      </c>
      <c r="B4372" s="1">
        <f ca="1">IFERROR(__xludf.DUMMYFUNCTION("""COMPUTED_VALUE"""),142.56)</f>
        <v>142.56</v>
      </c>
    </row>
    <row r="4373" spans="1:2">
      <c r="A4373" s="3">
        <f ca="1">IFERROR(__xludf.DUMMYFUNCTION("""COMPUTED_VALUE"""),44694.6666666666)</f>
        <v>44694.666666666599</v>
      </c>
      <c r="B4373" s="1">
        <f ca="1">IFERROR(__xludf.DUMMYFUNCTION("""COMPUTED_VALUE"""),147.11)</f>
        <v>147.11000000000001</v>
      </c>
    </row>
    <row r="4374" spans="1:2">
      <c r="A4374" s="3">
        <f ca="1">IFERROR(__xludf.DUMMYFUNCTION("""COMPUTED_VALUE"""),44697.6666666666)</f>
        <v>44697.666666666599</v>
      </c>
      <c r="B4374" s="1">
        <f ca="1">IFERROR(__xludf.DUMMYFUNCTION("""COMPUTED_VALUE"""),145.54)</f>
        <v>145.54</v>
      </c>
    </row>
    <row r="4375" spans="1:2">
      <c r="A4375" s="3">
        <f ca="1">IFERROR(__xludf.DUMMYFUNCTION("""COMPUTED_VALUE"""),44698.6666666666)</f>
        <v>44698.666666666599</v>
      </c>
      <c r="B4375" s="1">
        <f ca="1">IFERROR(__xludf.DUMMYFUNCTION("""COMPUTED_VALUE"""),149.24)</f>
        <v>149.24</v>
      </c>
    </row>
    <row r="4376" spans="1:2">
      <c r="A4376" s="3">
        <f ca="1">IFERROR(__xludf.DUMMYFUNCTION("""COMPUTED_VALUE"""),44699.6666666666)</f>
        <v>44699.666666666599</v>
      </c>
      <c r="B4376" s="1">
        <f ca="1">IFERROR(__xludf.DUMMYFUNCTION("""COMPUTED_VALUE"""),140.82)</f>
        <v>140.82</v>
      </c>
    </row>
    <row r="4377" spans="1:2">
      <c r="A4377" s="3">
        <f ca="1">IFERROR(__xludf.DUMMYFUNCTION("""COMPUTED_VALUE"""),44700.6666666666)</f>
        <v>44700.666666666599</v>
      </c>
      <c r="B4377" s="1">
        <f ca="1">IFERROR(__xludf.DUMMYFUNCTION("""COMPUTED_VALUE"""),137.35)</f>
        <v>137.35</v>
      </c>
    </row>
    <row r="4378" spans="1:2">
      <c r="A4378" s="3">
        <f ca="1">IFERROR(__xludf.DUMMYFUNCTION("""COMPUTED_VALUE"""),44701.6666666666)</f>
        <v>44701.666666666599</v>
      </c>
      <c r="B4378" s="1">
        <f ca="1">IFERROR(__xludf.DUMMYFUNCTION("""COMPUTED_VALUE"""),137.59)</f>
        <v>137.59</v>
      </c>
    </row>
    <row r="4379" spans="1:2">
      <c r="A4379" s="3">
        <f ca="1">IFERROR(__xludf.DUMMYFUNCTION("""COMPUTED_VALUE"""),44704.6666666666)</f>
        <v>44704.666666666599</v>
      </c>
      <c r="B4379" s="1">
        <f ca="1">IFERROR(__xludf.DUMMYFUNCTION("""COMPUTED_VALUE"""),143.11)</f>
        <v>143.11000000000001</v>
      </c>
    </row>
    <row r="4380" spans="1:2">
      <c r="A4380" s="3">
        <f ca="1">IFERROR(__xludf.DUMMYFUNCTION("""COMPUTED_VALUE"""),44705.6666666666)</f>
        <v>44705.666666666599</v>
      </c>
      <c r="B4380" s="1">
        <f ca="1">IFERROR(__xludf.DUMMYFUNCTION("""COMPUTED_VALUE"""),140.36)</f>
        <v>140.36000000000001</v>
      </c>
    </row>
    <row r="4381" spans="1:2">
      <c r="A4381" s="3">
        <f ca="1">IFERROR(__xludf.DUMMYFUNCTION("""COMPUTED_VALUE"""),44706.6666666666)</f>
        <v>44706.666666666599</v>
      </c>
      <c r="B4381" s="1">
        <f ca="1">IFERROR(__xludf.DUMMYFUNCTION("""COMPUTED_VALUE"""),140.52)</f>
        <v>140.52000000000001</v>
      </c>
    </row>
    <row r="4382" spans="1:2">
      <c r="A4382" s="3">
        <f ca="1">IFERROR(__xludf.DUMMYFUNCTION("""COMPUTED_VALUE"""),44707.6666666666)</f>
        <v>44707.666666666599</v>
      </c>
      <c r="B4382" s="1">
        <f ca="1">IFERROR(__xludf.DUMMYFUNCTION("""COMPUTED_VALUE"""),143.78)</f>
        <v>143.78</v>
      </c>
    </row>
    <row r="4383" spans="1:2">
      <c r="A4383" s="3">
        <f ca="1">IFERROR(__xludf.DUMMYFUNCTION("""COMPUTED_VALUE"""),44708.6666666666)</f>
        <v>44708.666666666599</v>
      </c>
      <c r="B4383" s="1">
        <f ca="1">IFERROR(__xludf.DUMMYFUNCTION("""COMPUTED_VALUE"""),149.64)</f>
        <v>149.63999999999999</v>
      </c>
    </row>
    <row r="4384" spans="1:2">
      <c r="A4384" s="3">
        <f ca="1">IFERROR(__xludf.DUMMYFUNCTION("""COMPUTED_VALUE"""),44712.6666666666)</f>
        <v>44712.666666666599</v>
      </c>
      <c r="B4384" s="1">
        <f ca="1">IFERROR(__xludf.DUMMYFUNCTION("""COMPUTED_VALUE"""),148.84)</f>
        <v>148.84</v>
      </c>
    </row>
    <row r="4385" spans="1:2">
      <c r="A4385" s="3">
        <f ca="1">IFERROR(__xludf.DUMMYFUNCTION("""COMPUTED_VALUE"""),44713.6666666666)</f>
        <v>44713.666666666599</v>
      </c>
      <c r="B4385" s="1">
        <f ca="1">IFERROR(__xludf.DUMMYFUNCTION("""COMPUTED_VALUE"""),148.71)</f>
        <v>148.71</v>
      </c>
    </row>
    <row r="4386" spans="1:2">
      <c r="A4386" s="3">
        <f ca="1">IFERROR(__xludf.DUMMYFUNCTION("""COMPUTED_VALUE"""),44714.6666666666)</f>
        <v>44714.666666666599</v>
      </c>
      <c r="B4386" s="1">
        <f ca="1">IFERROR(__xludf.DUMMYFUNCTION("""COMPUTED_VALUE"""),151.21)</f>
        <v>151.21</v>
      </c>
    </row>
    <row r="4387" spans="1:2">
      <c r="A4387" s="3">
        <f ca="1">IFERROR(__xludf.DUMMYFUNCTION("""COMPUTED_VALUE"""),44715.6666666666)</f>
        <v>44715.666666666599</v>
      </c>
      <c r="B4387" s="1">
        <f ca="1">IFERROR(__xludf.DUMMYFUNCTION("""COMPUTED_VALUE"""),145.38)</f>
        <v>145.38</v>
      </c>
    </row>
    <row r="4388" spans="1:2">
      <c r="A4388" s="3">
        <f ca="1">IFERROR(__xludf.DUMMYFUNCTION("""COMPUTED_VALUE"""),44718.6666666666)</f>
        <v>44718.666666666599</v>
      </c>
      <c r="B4388" s="1">
        <f ca="1">IFERROR(__xludf.DUMMYFUNCTION("""COMPUTED_VALUE"""),146.14)</f>
        <v>146.13999999999999</v>
      </c>
    </row>
    <row r="4389" spans="1:2">
      <c r="A4389" s="3">
        <f ca="1">IFERROR(__xludf.DUMMYFUNCTION("""COMPUTED_VALUE"""),44719.6666666666)</f>
        <v>44719.666666666599</v>
      </c>
      <c r="B4389" s="1">
        <f ca="1">IFERROR(__xludf.DUMMYFUNCTION("""COMPUTED_VALUE"""),148.71)</f>
        <v>148.71</v>
      </c>
    </row>
    <row r="4390" spans="1:2">
      <c r="A4390" s="3">
        <f ca="1">IFERROR(__xludf.DUMMYFUNCTION("""COMPUTED_VALUE"""),44720.6666666666)</f>
        <v>44720.666666666599</v>
      </c>
      <c r="B4390" s="1">
        <f ca="1">IFERROR(__xludf.DUMMYFUNCTION("""COMPUTED_VALUE"""),147.96)</f>
        <v>147.96</v>
      </c>
    </row>
    <row r="4391" spans="1:2">
      <c r="A4391" s="3">
        <f ca="1">IFERROR(__xludf.DUMMYFUNCTION("""COMPUTED_VALUE"""),44721.6666666666)</f>
        <v>44721.666666666599</v>
      </c>
      <c r="B4391" s="1">
        <f ca="1">IFERROR(__xludf.DUMMYFUNCTION("""COMPUTED_VALUE"""),142.64)</f>
        <v>142.63999999999999</v>
      </c>
    </row>
    <row r="4392" spans="1:2">
      <c r="A4392" s="3">
        <f ca="1">IFERROR(__xludf.DUMMYFUNCTION("""COMPUTED_VALUE"""),44722.6666666666)</f>
        <v>44722.666666666599</v>
      </c>
      <c r="B4392" s="1">
        <f ca="1">IFERROR(__xludf.DUMMYFUNCTION("""COMPUTED_VALUE"""),137.13)</f>
        <v>137.13</v>
      </c>
    </row>
    <row r="4393" spans="1:2">
      <c r="A4393" s="3">
        <f ca="1">IFERROR(__xludf.DUMMYFUNCTION("""COMPUTED_VALUE"""),44725.6666666666)</f>
        <v>44725.666666666599</v>
      </c>
      <c r="B4393" s="1">
        <f ca="1">IFERROR(__xludf.DUMMYFUNCTION("""COMPUTED_VALUE"""),131.88)</f>
        <v>131.88</v>
      </c>
    </row>
    <row r="4394" spans="1:2">
      <c r="A4394" s="3">
        <f ca="1">IFERROR(__xludf.DUMMYFUNCTION("""COMPUTED_VALUE"""),44726.6666666666)</f>
        <v>44726.666666666599</v>
      </c>
      <c r="B4394" s="1">
        <f ca="1">IFERROR(__xludf.DUMMYFUNCTION("""COMPUTED_VALUE"""),132.76)</f>
        <v>132.76</v>
      </c>
    </row>
    <row r="4395" spans="1:2">
      <c r="A4395" s="3">
        <f ca="1">IFERROR(__xludf.DUMMYFUNCTION("""COMPUTED_VALUE"""),44727.6666666666)</f>
        <v>44727.666666666599</v>
      </c>
      <c r="B4395" s="1">
        <f ca="1">IFERROR(__xludf.DUMMYFUNCTION("""COMPUTED_VALUE"""),135.43)</f>
        <v>135.43</v>
      </c>
    </row>
    <row r="4396" spans="1:2">
      <c r="A4396" s="3">
        <f ca="1">IFERROR(__xludf.DUMMYFUNCTION("""COMPUTED_VALUE"""),44728.6666666666)</f>
        <v>44728.666666666599</v>
      </c>
      <c r="B4396" s="1">
        <f ca="1">IFERROR(__xludf.DUMMYFUNCTION("""COMPUTED_VALUE"""),130.06)</f>
        <v>130.06</v>
      </c>
    </row>
    <row r="4397" spans="1:2">
      <c r="A4397" s="3">
        <f ca="1">IFERROR(__xludf.DUMMYFUNCTION("""COMPUTED_VALUE"""),44729.6666666666)</f>
        <v>44729.666666666599</v>
      </c>
      <c r="B4397" s="1">
        <f ca="1">IFERROR(__xludf.DUMMYFUNCTION("""COMPUTED_VALUE"""),131.56)</f>
        <v>131.56</v>
      </c>
    </row>
    <row r="4398" spans="1:2">
      <c r="A4398" s="3">
        <f ca="1">IFERROR(__xludf.DUMMYFUNCTION("""COMPUTED_VALUE"""),44733.6666666666)</f>
        <v>44733.666666666599</v>
      </c>
      <c r="B4398" s="1">
        <f ca="1">IFERROR(__xludf.DUMMYFUNCTION("""COMPUTED_VALUE"""),135.87)</f>
        <v>135.87</v>
      </c>
    </row>
    <row r="4399" spans="1:2">
      <c r="A4399" s="3">
        <f ca="1">IFERROR(__xludf.DUMMYFUNCTION("""COMPUTED_VALUE"""),44734.6666666666)</f>
        <v>44734.666666666599</v>
      </c>
      <c r="B4399" s="1">
        <f ca="1">IFERROR(__xludf.DUMMYFUNCTION("""COMPUTED_VALUE"""),135.35)</f>
        <v>135.35</v>
      </c>
    </row>
    <row r="4400" spans="1:2">
      <c r="A4400" s="3">
        <f ca="1">IFERROR(__xludf.DUMMYFUNCTION("""COMPUTED_VALUE"""),44735.6666666666)</f>
        <v>44735.666666666599</v>
      </c>
      <c r="B4400" s="1">
        <f ca="1">IFERROR(__xludf.DUMMYFUNCTION("""COMPUTED_VALUE"""),138.27)</f>
        <v>138.27000000000001</v>
      </c>
    </row>
    <row r="4401" spans="1:2">
      <c r="A4401" s="3">
        <f ca="1">IFERROR(__xludf.DUMMYFUNCTION("""COMPUTED_VALUE"""),44736.6666666666)</f>
        <v>44736.666666666599</v>
      </c>
      <c r="B4401" s="1">
        <f ca="1">IFERROR(__xludf.DUMMYFUNCTION("""COMPUTED_VALUE"""),141.66)</f>
        <v>141.66</v>
      </c>
    </row>
    <row r="4402" spans="1:2">
      <c r="A4402" s="3">
        <f ca="1">IFERROR(__xludf.DUMMYFUNCTION("""COMPUTED_VALUE"""),44739.6666666666)</f>
        <v>44739.666666666599</v>
      </c>
      <c r="B4402" s="1">
        <f ca="1">IFERROR(__xludf.DUMMYFUNCTION("""COMPUTED_VALUE"""),141.66)</f>
        <v>141.66</v>
      </c>
    </row>
    <row r="4403" spans="1:2">
      <c r="A4403" s="3">
        <f ca="1">IFERROR(__xludf.DUMMYFUNCTION("""COMPUTED_VALUE"""),44740.6666666666)</f>
        <v>44740.666666666599</v>
      </c>
      <c r="B4403" s="1">
        <f ca="1">IFERROR(__xludf.DUMMYFUNCTION("""COMPUTED_VALUE"""),137.44)</f>
        <v>137.44</v>
      </c>
    </row>
    <row r="4404" spans="1:2">
      <c r="A4404" s="3">
        <f ca="1">IFERROR(__xludf.DUMMYFUNCTION("""COMPUTED_VALUE"""),44741.6666666666)</f>
        <v>44741.666666666599</v>
      </c>
      <c r="B4404" s="1">
        <f ca="1">IFERROR(__xludf.DUMMYFUNCTION("""COMPUTED_VALUE"""),139.23)</f>
        <v>139.22999999999999</v>
      </c>
    </row>
    <row r="4405" spans="1:2">
      <c r="A4405" s="3">
        <f ca="1">IFERROR(__xludf.DUMMYFUNCTION("""COMPUTED_VALUE"""),44742.6666666666)</f>
        <v>44742.666666666599</v>
      </c>
      <c r="B4405" s="1">
        <f ca="1">IFERROR(__xludf.DUMMYFUNCTION("""COMPUTED_VALUE"""),136.72)</f>
        <v>136.72</v>
      </c>
    </row>
    <row r="4406" spans="1:2">
      <c r="A4406" s="3">
        <f ca="1">IFERROR(__xludf.DUMMYFUNCTION("""COMPUTED_VALUE"""),44743.6666666666)</f>
        <v>44743.666666666599</v>
      </c>
      <c r="B4406" s="1">
        <f ca="1">IFERROR(__xludf.DUMMYFUNCTION("""COMPUTED_VALUE"""),138.93)</f>
        <v>138.93</v>
      </c>
    </row>
    <row r="4407" spans="1:2">
      <c r="A4407" s="3">
        <f ca="1">IFERROR(__xludf.DUMMYFUNCTION("""COMPUTED_VALUE"""),44747.6666666666)</f>
        <v>44747.666666666599</v>
      </c>
      <c r="B4407" s="1">
        <f ca="1">IFERROR(__xludf.DUMMYFUNCTION("""COMPUTED_VALUE"""),141.56)</f>
        <v>141.56</v>
      </c>
    </row>
    <row r="4408" spans="1:2">
      <c r="A4408" s="3">
        <f ca="1">IFERROR(__xludf.DUMMYFUNCTION("""COMPUTED_VALUE"""),44748.6666666666)</f>
        <v>44748.666666666599</v>
      </c>
      <c r="B4408" s="1">
        <f ca="1">IFERROR(__xludf.DUMMYFUNCTION("""COMPUTED_VALUE"""),142.92)</f>
        <v>142.91999999999999</v>
      </c>
    </row>
    <row r="4409" spans="1:2">
      <c r="A4409" s="3">
        <f ca="1">IFERROR(__xludf.DUMMYFUNCTION("""COMPUTED_VALUE"""),44749.6666666666)</f>
        <v>44749.666666666599</v>
      </c>
      <c r="B4409" s="1">
        <f ca="1">IFERROR(__xludf.DUMMYFUNCTION("""COMPUTED_VALUE"""),146.35)</f>
        <v>146.35</v>
      </c>
    </row>
    <row r="4410" spans="1:2">
      <c r="A4410" s="3">
        <f ca="1">IFERROR(__xludf.DUMMYFUNCTION("""COMPUTED_VALUE"""),44750.6666666666)</f>
        <v>44750.666666666599</v>
      </c>
      <c r="B4410" s="1">
        <f ca="1">IFERROR(__xludf.DUMMYFUNCTION("""COMPUTED_VALUE"""),147.04)</f>
        <v>147.04</v>
      </c>
    </row>
    <row r="4411" spans="1:2">
      <c r="A4411" s="3">
        <f ca="1">IFERROR(__xludf.DUMMYFUNCTION("""COMPUTED_VALUE"""),44753.6666666666)</f>
        <v>44753.666666666599</v>
      </c>
      <c r="B4411" s="1">
        <f ca="1">IFERROR(__xludf.DUMMYFUNCTION("""COMPUTED_VALUE"""),144.87)</f>
        <v>144.87</v>
      </c>
    </row>
    <row r="4412" spans="1:2">
      <c r="A4412" s="3">
        <f ca="1">IFERROR(__xludf.DUMMYFUNCTION("""COMPUTED_VALUE"""),44754.6666666666)</f>
        <v>44754.666666666599</v>
      </c>
      <c r="B4412" s="1">
        <f ca="1">IFERROR(__xludf.DUMMYFUNCTION("""COMPUTED_VALUE"""),145.86)</f>
        <v>145.86000000000001</v>
      </c>
    </row>
    <row r="4413" spans="1:2">
      <c r="A4413" s="3">
        <f ca="1">IFERROR(__xludf.DUMMYFUNCTION("""COMPUTED_VALUE"""),44755.6666666666)</f>
        <v>44755.666666666599</v>
      </c>
      <c r="B4413" s="1">
        <f ca="1">IFERROR(__xludf.DUMMYFUNCTION("""COMPUTED_VALUE"""),145.49)</f>
        <v>145.49</v>
      </c>
    </row>
    <row r="4414" spans="1:2">
      <c r="A4414" s="3">
        <f ca="1">IFERROR(__xludf.DUMMYFUNCTION("""COMPUTED_VALUE"""),44756.6666666666)</f>
        <v>44756.666666666599</v>
      </c>
      <c r="B4414" s="1">
        <f ca="1">IFERROR(__xludf.DUMMYFUNCTION("""COMPUTED_VALUE"""),148.47)</f>
        <v>148.47</v>
      </c>
    </row>
    <row r="4415" spans="1:2">
      <c r="A4415" s="3">
        <f ca="1">IFERROR(__xludf.DUMMYFUNCTION("""COMPUTED_VALUE"""),44757.6666666666)</f>
        <v>44757.666666666599</v>
      </c>
      <c r="B4415" s="1">
        <f ca="1">IFERROR(__xludf.DUMMYFUNCTION("""COMPUTED_VALUE"""),150.17)</f>
        <v>150.16999999999999</v>
      </c>
    </row>
    <row r="4416" spans="1:2">
      <c r="A4416" s="3">
        <f ca="1">IFERROR(__xludf.DUMMYFUNCTION("""COMPUTED_VALUE"""),44760.6666666666)</f>
        <v>44760.666666666599</v>
      </c>
      <c r="B4416" s="1">
        <f ca="1">IFERROR(__xludf.DUMMYFUNCTION("""COMPUTED_VALUE"""),147.07)</f>
        <v>147.07</v>
      </c>
    </row>
    <row r="4417" spans="1:2">
      <c r="A4417" s="3">
        <f ca="1">IFERROR(__xludf.DUMMYFUNCTION("""COMPUTED_VALUE"""),44761.6666666666)</f>
        <v>44761.666666666599</v>
      </c>
      <c r="B4417" s="1">
        <f ca="1">IFERROR(__xludf.DUMMYFUNCTION("""COMPUTED_VALUE"""),151)</f>
        <v>151</v>
      </c>
    </row>
    <row r="4418" spans="1:2">
      <c r="A4418" s="3">
        <f ca="1">IFERROR(__xludf.DUMMYFUNCTION("""COMPUTED_VALUE"""),44762.6666666666)</f>
        <v>44762.666666666599</v>
      </c>
      <c r="B4418" s="1">
        <f ca="1">IFERROR(__xludf.DUMMYFUNCTION("""COMPUTED_VALUE"""),153.04)</f>
        <v>153.04</v>
      </c>
    </row>
    <row r="4419" spans="1:2">
      <c r="A4419" s="3">
        <f ca="1">IFERROR(__xludf.DUMMYFUNCTION("""COMPUTED_VALUE"""),44763.6666666666)</f>
        <v>44763.666666666599</v>
      </c>
      <c r="B4419" s="1">
        <f ca="1">IFERROR(__xludf.DUMMYFUNCTION("""COMPUTED_VALUE"""),155.35)</f>
        <v>155.35</v>
      </c>
    </row>
    <row r="4420" spans="1:2">
      <c r="A4420" s="3">
        <f ca="1">IFERROR(__xludf.DUMMYFUNCTION("""COMPUTED_VALUE"""),44764.6666666666)</f>
        <v>44764.666666666599</v>
      </c>
      <c r="B4420" s="1">
        <f ca="1">IFERROR(__xludf.DUMMYFUNCTION("""COMPUTED_VALUE"""),154.09)</f>
        <v>154.09</v>
      </c>
    </row>
    <row r="4421" spans="1:2">
      <c r="A4421" s="3">
        <f ca="1">IFERROR(__xludf.DUMMYFUNCTION("""COMPUTED_VALUE"""),44767.6666666666)</f>
        <v>44767.666666666599</v>
      </c>
      <c r="B4421" s="1">
        <f ca="1">IFERROR(__xludf.DUMMYFUNCTION("""COMPUTED_VALUE"""),152.95)</f>
        <v>152.94999999999999</v>
      </c>
    </row>
    <row r="4422" spans="1:2">
      <c r="A4422" s="3">
        <f ca="1">IFERROR(__xludf.DUMMYFUNCTION("""COMPUTED_VALUE"""),44768.6666666666)</f>
        <v>44768.666666666599</v>
      </c>
      <c r="B4422" s="1">
        <f ca="1">IFERROR(__xludf.DUMMYFUNCTION("""COMPUTED_VALUE"""),151.6)</f>
        <v>151.6</v>
      </c>
    </row>
    <row r="4423" spans="1:2">
      <c r="A4423" s="3">
        <f ca="1">IFERROR(__xludf.DUMMYFUNCTION("""COMPUTED_VALUE"""),44769.6666666666)</f>
        <v>44769.666666666599</v>
      </c>
      <c r="B4423" s="1">
        <f ca="1">IFERROR(__xludf.DUMMYFUNCTION("""COMPUTED_VALUE"""),156.79)</f>
        <v>156.79</v>
      </c>
    </row>
    <row r="4424" spans="1:2">
      <c r="A4424" s="3">
        <f ca="1">IFERROR(__xludf.DUMMYFUNCTION("""COMPUTED_VALUE"""),44770.6666666666)</f>
        <v>44770.666666666599</v>
      </c>
      <c r="B4424" s="1">
        <f ca="1">IFERROR(__xludf.DUMMYFUNCTION("""COMPUTED_VALUE"""),157.35)</f>
        <v>157.35</v>
      </c>
    </row>
    <row r="4425" spans="1:2">
      <c r="A4425" s="3">
        <f ca="1">IFERROR(__xludf.DUMMYFUNCTION("""COMPUTED_VALUE"""),44771.6666666666)</f>
        <v>44771.666666666599</v>
      </c>
      <c r="B4425" s="1">
        <f ca="1">IFERROR(__xludf.DUMMYFUNCTION("""COMPUTED_VALUE"""),162.51)</f>
        <v>162.51</v>
      </c>
    </row>
    <row r="4426" spans="1:2">
      <c r="A4426" s="3">
        <f ca="1">IFERROR(__xludf.DUMMYFUNCTION("""COMPUTED_VALUE"""),44774.6666666666)</f>
        <v>44774.666666666599</v>
      </c>
      <c r="B4426" s="1">
        <f ca="1">IFERROR(__xludf.DUMMYFUNCTION("""COMPUTED_VALUE"""),161.51)</f>
        <v>161.51</v>
      </c>
    </row>
    <row r="4427" spans="1:2">
      <c r="A4427" s="3">
        <f ca="1">IFERROR(__xludf.DUMMYFUNCTION("""COMPUTED_VALUE"""),44775.6666666666)</f>
        <v>44775.666666666599</v>
      </c>
      <c r="B4427" s="1">
        <f ca="1">IFERROR(__xludf.DUMMYFUNCTION("""COMPUTED_VALUE"""),160.01)</f>
        <v>160.01</v>
      </c>
    </row>
    <row r="4428" spans="1:2">
      <c r="A4428" s="3">
        <f ca="1">IFERROR(__xludf.DUMMYFUNCTION("""COMPUTED_VALUE"""),44776.6666666666)</f>
        <v>44776.666666666599</v>
      </c>
      <c r="B4428" s="1">
        <f ca="1">IFERROR(__xludf.DUMMYFUNCTION("""COMPUTED_VALUE"""),166.13)</f>
        <v>166.13</v>
      </c>
    </row>
    <row r="4429" spans="1:2">
      <c r="A4429" s="3">
        <f ca="1">IFERROR(__xludf.DUMMYFUNCTION("""COMPUTED_VALUE"""),44777.6666666666)</f>
        <v>44777.666666666599</v>
      </c>
      <c r="B4429" s="1">
        <f ca="1">IFERROR(__xludf.DUMMYFUNCTION("""COMPUTED_VALUE"""),165.81)</f>
        <v>165.81</v>
      </c>
    </row>
    <row r="4430" spans="1:2">
      <c r="A4430" s="3">
        <f ca="1">IFERROR(__xludf.DUMMYFUNCTION("""COMPUTED_VALUE"""),44778.6666666666)</f>
        <v>44778.666666666599</v>
      </c>
      <c r="B4430" s="1">
        <f ca="1">IFERROR(__xludf.DUMMYFUNCTION("""COMPUTED_VALUE"""),165.35)</f>
        <v>165.35</v>
      </c>
    </row>
    <row r="4431" spans="1:2">
      <c r="A4431" s="3">
        <f ca="1">IFERROR(__xludf.DUMMYFUNCTION("""COMPUTED_VALUE"""),44781.6666666666)</f>
        <v>44781.666666666599</v>
      </c>
      <c r="B4431" s="1">
        <f ca="1">IFERROR(__xludf.DUMMYFUNCTION("""COMPUTED_VALUE"""),164.87)</f>
        <v>164.87</v>
      </c>
    </row>
    <row r="4432" spans="1:2">
      <c r="A4432" s="3">
        <f ca="1">IFERROR(__xludf.DUMMYFUNCTION("""COMPUTED_VALUE"""),44782.6666666666)</f>
        <v>44782.666666666599</v>
      </c>
      <c r="B4432" s="1">
        <f ca="1">IFERROR(__xludf.DUMMYFUNCTION("""COMPUTED_VALUE"""),164.92)</f>
        <v>164.92</v>
      </c>
    </row>
    <row r="4433" spans="1:2">
      <c r="A4433" s="3">
        <f ca="1">IFERROR(__xludf.DUMMYFUNCTION("""COMPUTED_VALUE"""),44783.6666666666)</f>
        <v>44783.666666666599</v>
      </c>
      <c r="B4433" s="1">
        <f ca="1">IFERROR(__xludf.DUMMYFUNCTION("""COMPUTED_VALUE"""),169.24)</f>
        <v>169.24</v>
      </c>
    </row>
    <row r="4434" spans="1:2">
      <c r="A4434" s="3">
        <f ca="1">IFERROR(__xludf.DUMMYFUNCTION("""COMPUTED_VALUE"""),44784.6666666666)</f>
        <v>44784.666666666599</v>
      </c>
      <c r="B4434" s="1">
        <f ca="1">IFERROR(__xludf.DUMMYFUNCTION("""COMPUTED_VALUE"""),168.49)</f>
        <v>168.49</v>
      </c>
    </row>
    <row r="4435" spans="1:2">
      <c r="A4435" s="3">
        <f ca="1">IFERROR(__xludf.DUMMYFUNCTION("""COMPUTED_VALUE"""),44785.6666666666)</f>
        <v>44785.666666666599</v>
      </c>
      <c r="B4435" s="1">
        <f ca="1">IFERROR(__xludf.DUMMYFUNCTION("""COMPUTED_VALUE"""),172.1)</f>
        <v>172.1</v>
      </c>
    </row>
    <row r="4436" spans="1:2">
      <c r="A4436" s="3">
        <f ca="1">IFERROR(__xludf.DUMMYFUNCTION("""COMPUTED_VALUE"""),44788.6666666666)</f>
        <v>44788.666666666599</v>
      </c>
      <c r="B4436" s="1">
        <f ca="1">IFERROR(__xludf.DUMMYFUNCTION("""COMPUTED_VALUE"""),173.19)</f>
        <v>173.19</v>
      </c>
    </row>
    <row r="4437" spans="1:2">
      <c r="A4437" s="3">
        <f ca="1">IFERROR(__xludf.DUMMYFUNCTION("""COMPUTED_VALUE"""),44789.6666666666)</f>
        <v>44789.666666666599</v>
      </c>
      <c r="B4437" s="1">
        <f ca="1">IFERROR(__xludf.DUMMYFUNCTION("""COMPUTED_VALUE"""),173.03)</f>
        <v>173.03</v>
      </c>
    </row>
    <row r="4438" spans="1:2">
      <c r="A4438" s="3">
        <f ca="1">IFERROR(__xludf.DUMMYFUNCTION("""COMPUTED_VALUE"""),44790.6666666666)</f>
        <v>44790.666666666599</v>
      </c>
      <c r="B4438" s="1">
        <f ca="1">IFERROR(__xludf.DUMMYFUNCTION("""COMPUTED_VALUE"""),174.55)</f>
        <v>174.55</v>
      </c>
    </row>
    <row r="4439" spans="1:2">
      <c r="A4439" s="3">
        <f ca="1">IFERROR(__xludf.DUMMYFUNCTION("""COMPUTED_VALUE"""),44791.6666666666)</f>
        <v>44791.666666666599</v>
      </c>
      <c r="B4439" s="1">
        <f ca="1">IFERROR(__xludf.DUMMYFUNCTION("""COMPUTED_VALUE"""),174.15)</f>
        <v>174.15</v>
      </c>
    </row>
    <row r="4440" spans="1:2">
      <c r="A4440" s="3">
        <f ca="1">IFERROR(__xludf.DUMMYFUNCTION("""COMPUTED_VALUE"""),44792.6666666666)</f>
        <v>44792.666666666599</v>
      </c>
      <c r="B4440" s="1">
        <f ca="1">IFERROR(__xludf.DUMMYFUNCTION("""COMPUTED_VALUE"""),171.52)</f>
        <v>171.52</v>
      </c>
    </row>
    <row r="4441" spans="1:2">
      <c r="A4441" s="3">
        <f ca="1">IFERROR(__xludf.DUMMYFUNCTION("""COMPUTED_VALUE"""),44795.6666666666)</f>
        <v>44795.666666666599</v>
      </c>
      <c r="B4441" s="1">
        <f ca="1">IFERROR(__xludf.DUMMYFUNCTION("""COMPUTED_VALUE"""),167.57)</f>
        <v>167.57</v>
      </c>
    </row>
    <row r="4442" spans="1:2">
      <c r="A4442" s="3">
        <f ca="1">IFERROR(__xludf.DUMMYFUNCTION("""COMPUTED_VALUE"""),44796.6666666666)</f>
        <v>44796.666666666599</v>
      </c>
      <c r="B4442" s="1">
        <f ca="1">IFERROR(__xludf.DUMMYFUNCTION("""COMPUTED_VALUE"""),167.23)</f>
        <v>167.23</v>
      </c>
    </row>
    <row r="4443" spans="1:2">
      <c r="A4443" s="3">
        <f ca="1">IFERROR(__xludf.DUMMYFUNCTION("""COMPUTED_VALUE"""),44797.6666666666)</f>
        <v>44797.666666666599</v>
      </c>
      <c r="B4443" s="1">
        <f ca="1">IFERROR(__xludf.DUMMYFUNCTION("""COMPUTED_VALUE"""),167.53)</f>
        <v>167.53</v>
      </c>
    </row>
    <row r="4444" spans="1:2">
      <c r="A4444" s="3">
        <f ca="1">IFERROR(__xludf.DUMMYFUNCTION("""COMPUTED_VALUE"""),44798.6666666666)</f>
        <v>44798.666666666599</v>
      </c>
      <c r="B4444" s="1">
        <f ca="1">IFERROR(__xludf.DUMMYFUNCTION("""COMPUTED_VALUE"""),170.03)</f>
        <v>170.03</v>
      </c>
    </row>
    <row r="4445" spans="1:2">
      <c r="A4445" s="3">
        <f ca="1">IFERROR(__xludf.DUMMYFUNCTION("""COMPUTED_VALUE"""),44799.6666666666)</f>
        <v>44799.666666666599</v>
      </c>
      <c r="B4445" s="1">
        <f ca="1">IFERROR(__xludf.DUMMYFUNCTION("""COMPUTED_VALUE"""),163.62)</f>
        <v>163.62</v>
      </c>
    </row>
    <row r="4446" spans="1:2">
      <c r="A4446" s="3">
        <f ca="1">IFERROR(__xludf.DUMMYFUNCTION("""COMPUTED_VALUE"""),44802.6666666666)</f>
        <v>44802.666666666599</v>
      </c>
      <c r="B4446" s="1">
        <f ca="1">IFERROR(__xludf.DUMMYFUNCTION("""COMPUTED_VALUE"""),161.38)</f>
        <v>161.38</v>
      </c>
    </row>
    <row r="4447" spans="1:2">
      <c r="A4447" s="3">
        <f ca="1">IFERROR(__xludf.DUMMYFUNCTION("""COMPUTED_VALUE"""),44803.6666666666)</f>
        <v>44803.666666666599</v>
      </c>
      <c r="B4447" s="1">
        <f ca="1">IFERROR(__xludf.DUMMYFUNCTION("""COMPUTED_VALUE"""),158.91)</f>
        <v>158.91</v>
      </c>
    </row>
    <row r="4448" spans="1:2">
      <c r="A4448" s="3">
        <f ca="1">IFERROR(__xludf.DUMMYFUNCTION("""COMPUTED_VALUE"""),44804.6666666666)</f>
        <v>44804.666666666599</v>
      </c>
      <c r="B4448" s="1">
        <f ca="1">IFERROR(__xludf.DUMMYFUNCTION("""COMPUTED_VALUE"""),157.22)</f>
        <v>157.22</v>
      </c>
    </row>
    <row r="4449" spans="1:2">
      <c r="A4449" s="3">
        <f ca="1">IFERROR(__xludf.DUMMYFUNCTION("""COMPUTED_VALUE"""),44805.6666666666)</f>
        <v>44805.666666666599</v>
      </c>
      <c r="B4449" s="1">
        <f ca="1">IFERROR(__xludf.DUMMYFUNCTION("""COMPUTED_VALUE"""),157.96)</f>
        <v>157.96</v>
      </c>
    </row>
    <row r="4450" spans="1:2">
      <c r="A4450" s="3">
        <f ca="1">IFERROR(__xludf.DUMMYFUNCTION("""COMPUTED_VALUE"""),44806.6666666666)</f>
        <v>44806.666666666599</v>
      </c>
      <c r="B4450" s="1">
        <f ca="1">IFERROR(__xludf.DUMMYFUNCTION("""COMPUTED_VALUE"""),155.81)</f>
        <v>155.81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69"/>
  <sheetViews>
    <sheetView tabSelected="1" workbookViewId="0">
      <selection activeCell="D8" sqref="D8"/>
    </sheetView>
  </sheetViews>
  <sheetFormatPr defaultRowHeight="13.2"/>
  <cols>
    <col min="1" max="1" width="18" bestFit="1" customWidth="1"/>
  </cols>
  <sheetData>
    <row r="1" spans="1:2">
      <c r="A1" s="1" t="str">
        <f ca="1">IFERROR(__xludf.DUMMYFUNCTION("GOOGLEFINANCE(""TSLA"", ""price"",DATE(2005,1,1), DATE(2022,9,6), ""DAILY"")"),"Date")</f>
        <v>Date</v>
      </c>
      <c r="B1" s="1" t="str">
        <f ca="1">IFERROR(__xludf.DUMMYFUNCTION("""COMPUTED_VALUE"""),"Close")</f>
        <v>Close</v>
      </c>
    </row>
    <row r="2" spans="1:2">
      <c r="A2" s="3">
        <f ca="1">IFERROR(__xludf.DUMMYFUNCTION("""COMPUTED_VALUE"""),40358.6666666666)</f>
        <v>40358.666666666599</v>
      </c>
      <c r="B2" s="1">
        <f ca="1">IFERROR(__xludf.DUMMYFUNCTION("""COMPUTED_VALUE"""),1.59)</f>
        <v>1.59</v>
      </c>
    </row>
    <row r="3" spans="1:2">
      <c r="A3" s="3">
        <f ca="1">IFERROR(__xludf.DUMMYFUNCTION("""COMPUTED_VALUE"""),40359.6666666666)</f>
        <v>40359.666666666599</v>
      </c>
      <c r="B3" s="1">
        <f ca="1">IFERROR(__xludf.DUMMYFUNCTION("""COMPUTED_VALUE"""),1.59)</f>
        <v>1.59</v>
      </c>
    </row>
    <row r="4" spans="1:2">
      <c r="A4" s="3">
        <f ca="1">IFERROR(__xludf.DUMMYFUNCTION("""COMPUTED_VALUE"""),40360.6666666666)</f>
        <v>40360.666666666599</v>
      </c>
      <c r="B4" s="1">
        <f ca="1">IFERROR(__xludf.DUMMYFUNCTION("""COMPUTED_VALUE"""),1.46)</f>
        <v>1.46</v>
      </c>
    </row>
    <row r="5" spans="1:2">
      <c r="A5" s="3">
        <f ca="1">IFERROR(__xludf.DUMMYFUNCTION("""COMPUTED_VALUE"""),40361.6666666666)</f>
        <v>40361.666666666599</v>
      </c>
      <c r="B5" s="1">
        <f ca="1">IFERROR(__xludf.DUMMYFUNCTION("""COMPUTED_VALUE"""),1.28)</f>
        <v>1.28</v>
      </c>
    </row>
    <row r="6" spans="1:2">
      <c r="A6" s="3">
        <f ca="1">IFERROR(__xludf.DUMMYFUNCTION("""COMPUTED_VALUE"""),40365.6666666666)</f>
        <v>40365.666666666599</v>
      </c>
      <c r="B6" s="1">
        <f ca="1">IFERROR(__xludf.DUMMYFUNCTION("""COMPUTED_VALUE"""),1.07)</f>
        <v>1.07</v>
      </c>
    </row>
    <row r="7" spans="1:2">
      <c r="A7" s="3">
        <f ca="1">IFERROR(__xludf.DUMMYFUNCTION("""COMPUTED_VALUE"""),40366.6666666666)</f>
        <v>40366.666666666599</v>
      </c>
      <c r="B7" s="1">
        <f ca="1">IFERROR(__xludf.DUMMYFUNCTION("""COMPUTED_VALUE"""),1.05)</f>
        <v>1.05</v>
      </c>
    </row>
    <row r="8" spans="1:2">
      <c r="A8" s="3">
        <f ca="1">IFERROR(__xludf.DUMMYFUNCTION("""COMPUTED_VALUE"""),40367.6666666666)</f>
        <v>40367.666666666599</v>
      </c>
      <c r="B8" s="1">
        <f ca="1">IFERROR(__xludf.DUMMYFUNCTION("""COMPUTED_VALUE"""),1.16)</f>
        <v>1.1599999999999999</v>
      </c>
    </row>
    <row r="9" spans="1:2">
      <c r="A9" s="3">
        <f ca="1">IFERROR(__xludf.DUMMYFUNCTION("""COMPUTED_VALUE"""),40368.6666666666)</f>
        <v>40368.666666666599</v>
      </c>
      <c r="B9" s="1">
        <f ca="1">IFERROR(__xludf.DUMMYFUNCTION("""COMPUTED_VALUE"""),1.16)</f>
        <v>1.1599999999999999</v>
      </c>
    </row>
    <row r="10" spans="1:2">
      <c r="A10" s="3">
        <f ca="1">IFERROR(__xludf.DUMMYFUNCTION("""COMPUTED_VALUE"""),40371.6666666666)</f>
        <v>40371.666666666599</v>
      </c>
      <c r="B10" s="1">
        <f ca="1">IFERROR(__xludf.DUMMYFUNCTION("""COMPUTED_VALUE"""),1.14)</f>
        <v>1.1399999999999999</v>
      </c>
    </row>
    <row r="11" spans="1:2">
      <c r="A11" s="3">
        <f ca="1">IFERROR(__xludf.DUMMYFUNCTION("""COMPUTED_VALUE"""),40372.6666666666)</f>
        <v>40372.666666666599</v>
      </c>
      <c r="B11" s="1">
        <f ca="1">IFERROR(__xludf.DUMMYFUNCTION("""COMPUTED_VALUE"""),1.21)</f>
        <v>1.21</v>
      </c>
    </row>
    <row r="12" spans="1:2">
      <c r="A12" s="3">
        <f ca="1">IFERROR(__xludf.DUMMYFUNCTION("""COMPUTED_VALUE"""),40373.6666666666)</f>
        <v>40373.666666666599</v>
      </c>
      <c r="B12" s="1">
        <f ca="1">IFERROR(__xludf.DUMMYFUNCTION("""COMPUTED_VALUE"""),1.32)</f>
        <v>1.32</v>
      </c>
    </row>
    <row r="13" spans="1:2">
      <c r="A13" s="3">
        <f ca="1">IFERROR(__xludf.DUMMYFUNCTION("""COMPUTED_VALUE"""),40374.6666666666)</f>
        <v>40374.666666666599</v>
      </c>
      <c r="B13" s="1">
        <f ca="1">IFERROR(__xludf.DUMMYFUNCTION("""COMPUTED_VALUE"""),1.33)</f>
        <v>1.33</v>
      </c>
    </row>
    <row r="14" spans="1:2">
      <c r="A14" s="3">
        <f ca="1">IFERROR(__xludf.DUMMYFUNCTION("""COMPUTED_VALUE"""),40375.6666666666)</f>
        <v>40375.666666666599</v>
      </c>
      <c r="B14" s="1">
        <f ca="1">IFERROR(__xludf.DUMMYFUNCTION("""COMPUTED_VALUE"""),1.38)</f>
        <v>1.38</v>
      </c>
    </row>
    <row r="15" spans="1:2">
      <c r="A15" s="3">
        <f ca="1">IFERROR(__xludf.DUMMYFUNCTION("""COMPUTED_VALUE"""),40378.6666666666)</f>
        <v>40378.666666666599</v>
      </c>
      <c r="B15" s="1">
        <f ca="1">IFERROR(__xludf.DUMMYFUNCTION("""COMPUTED_VALUE"""),1.46)</f>
        <v>1.46</v>
      </c>
    </row>
    <row r="16" spans="1:2">
      <c r="A16" s="3">
        <f ca="1">IFERROR(__xludf.DUMMYFUNCTION("""COMPUTED_VALUE"""),40379.6666666666)</f>
        <v>40379.666666666599</v>
      </c>
      <c r="B16" s="1">
        <f ca="1">IFERROR(__xludf.DUMMYFUNCTION("""COMPUTED_VALUE"""),1.35)</f>
        <v>1.35</v>
      </c>
    </row>
    <row r="17" spans="1:2">
      <c r="A17" s="3">
        <f ca="1">IFERROR(__xludf.DUMMYFUNCTION("""COMPUTED_VALUE"""),40380.6666666666)</f>
        <v>40380.666666666599</v>
      </c>
      <c r="B17" s="1">
        <f ca="1">IFERROR(__xludf.DUMMYFUNCTION("""COMPUTED_VALUE"""),1.35)</f>
        <v>1.35</v>
      </c>
    </row>
    <row r="18" spans="1:2">
      <c r="A18" s="3">
        <f ca="1">IFERROR(__xludf.DUMMYFUNCTION("""COMPUTED_VALUE"""),40381.6666666666)</f>
        <v>40381.666666666599</v>
      </c>
      <c r="B18" s="1">
        <f ca="1">IFERROR(__xludf.DUMMYFUNCTION("""COMPUTED_VALUE"""),1.4)</f>
        <v>1.4</v>
      </c>
    </row>
    <row r="19" spans="1:2">
      <c r="A19" s="3">
        <f ca="1">IFERROR(__xludf.DUMMYFUNCTION("""COMPUTED_VALUE"""),40382.6666666666)</f>
        <v>40382.666666666599</v>
      </c>
      <c r="B19" s="1">
        <f ca="1">IFERROR(__xludf.DUMMYFUNCTION("""COMPUTED_VALUE"""),1.42)</f>
        <v>1.42</v>
      </c>
    </row>
    <row r="20" spans="1:2">
      <c r="A20" s="3">
        <f ca="1">IFERROR(__xludf.DUMMYFUNCTION("""COMPUTED_VALUE"""),40385.6666666666)</f>
        <v>40385.666666666599</v>
      </c>
      <c r="B20" s="1">
        <f ca="1">IFERROR(__xludf.DUMMYFUNCTION("""COMPUTED_VALUE"""),1.4)</f>
        <v>1.4</v>
      </c>
    </row>
    <row r="21" spans="1:2">
      <c r="A21" s="3">
        <f ca="1">IFERROR(__xludf.DUMMYFUNCTION("""COMPUTED_VALUE"""),40386.6666666666)</f>
        <v>40386.666666666599</v>
      </c>
      <c r="B21" s="1">
        <f ca="1">IFERROR(__xludf.DUMMYFUNCTION("""COMPUTED_VALUE"""),1.37)</f>
        <v>1.37</v>
      </c>
    </row>
    <row r="22" spans="1:2">
      <c r="A22" s="3">
        <f ca="1">IFERROR(__xludf.DUMMYFUNCTION("""COMPUTED_VALUE"""),40387.6666666666)</f>
        <v>40387.666666666599</v>
      </c>
      <c r="B22" s="1">
        <f ca="1">IFERROR(__xludf.DUMMYFUNCTION("""COMPUTED_VALUE"""),1.38)</f>
        <v>1.38</v>
      </c>
    </row>
    <row r="23" spans="1:2">
      <c r="A23" s="3">
        <f ca="1">IFERROR(__xludf.DUMMYFUNCTION("""COMPUTED_VALUE"""),40388.6666666666)</f>
        <v>40388.666666666599</v>
      </c>
      <c r="B23" s="1">
        <f ca="1">IFERROR(__xludf.DUMMYFUNCTION("""COMPUTED_VALUE"""),1.36)</f>
        <v>1.36</v>
      </c>
    </row>
    <row r="24" spans="1:2">
      <c r="A24" s="3">
        <f ca="1">IFERROR(__xludf.DUMMYFUNCTION("""COMPUTED_VALUE"""),40389.6666666666)</f>
        <v>40389.666666666599</v>
      </c>
      <c r="B24" s="1">
        <f ca="1">IFERROR(__xludf.DUMMYFUNCTION("""COMPUTED_VALUE"""),1.33)</f>
        <v>1.33</v>
      </c>
    </row>
    <row r="25" spans="1:2">
      <c r="A25" s="3">
        <f ca="1">IFERROR(__xludf.DUMMYFUNCTION("""COMPUTED_VALUE"""),40392.6666666666)</f>
        <v>40392.666666666599</v>
      </c>
      <c r="B25" s="1">
        <f ca="1">IFERROR(__xludf.DUMMYFUNCTION("""COMPUTED_VALUE"""),1.39)</f>
        <v>1.39</v>
      </c>
    </row>
    <row r="26" spans="1:2">
      <c r="A26" s="3">
        <f ca="1">IFERROR(__xludf.DUMMYFUNCTION("""COMPUTED_VALUE"""),40393.6666666666)</f>
        <v>40393.666666666599</v>
      </c>
      <c r="B26" s="1">
        <f ca="1">IFERROR(__xludf.DUMMYFUNCTION("""COMPUTED_VALUE"""),1.46)</f>
        <v>1.46</v>
      </c>
    </row>
    <row r="27" spans="1:2">
      <c r="A27" s="3">
        <f ca="1">IFERROR(__xludf.DUMMYFUNCTION("""COMPUTED_VALUE"""),40394.6666666666)</f>
        <v>40394.666666666599</v>
      </c>
      <c r="B27" s="1">
        <f ca="1">IFERROR(__xludf.DUMMYFUNCTION("""COMPUTED_VALUE"""),1.42)</f>
        <v>1.42</v>
      </c>
    </row>
    <row r="28" spans="1:2">
      <c r="A28" s="3">
        <f ca="1">IFERROR(__xludf.DUMMYFUNCTION("""COMPUTED_VALUE"""),40395.6666666666)</f>
        <v>40395.666666666599</v>
      </c>
      <c r="B28" s="1">
        <f ca="1">IFERROR(__xludf.DUMMYFUNCTION("""COMPUTED_VALUE"""),1.36)</f>
        <v>1.36</v>
      </c>
    </row>
    <row r="29" spans="1:2">
      <c r="A29" s="3">
        <f ca="1">IFERROR(__xludf.DUMMYFUNCTION("""COMPUTED_VALUE"""),40396.6666666666)</f>
        <v>40396.666666666599</v>
      </c>
      <c r="B29" s="1">
        <f ca="1">IFERROR(__xludf.DUMMYFUNCTION("""COMPUTED_VALUE"""),1.31)</f>
        <v>1.31</v>
      </c>
    </row>
    <row r="30" spans="1:2">
      <c r="A30" s="3">
        <f ca="1">IFERROR(__xludf.DUMMYFUNCTION("""COMPUTED_VALUE"""),40399.6666666666)</f>
        <v>40399.666666666599</v>
      </c>
      <c r="B30" s="1">
        <f ca="1">IFERROR(__xludf.DUMMYFUNCTION("""COMPUTED_VALUE"""),1.31)</f>
        <v>1.31</v>
      </c>
    </row>
    <row r="31" spans="1:2">
      <c r="A31" s="3">
        <f ca="1">IFERROR(__xludf.DUMMYFUNCTION("""COMPUTED_VALUE"""),40400.6666666666)</f>
        <v>40400.666666666599</v>
      </c>
      <c r="B31" s="1">
        <f ca="1">IFERROR(__xludf.DUMMYFUNCTION("""COMPUTED_VALUE"""),1.27)</f>
        <v>1.27</v>
      </c>
    </row>
    <row r="32" spans="1:2">
      <c r="A32" s="3">
        <f ca="1">IFERROR(__xludf.DUMMYFUNCTION("""COMPUTED_VALUE"""),40401.6666666666)</f>
        <v>40401.666666666599</v>
      </c>
      <c r="B32" s="1">
        <f ca="1">IFERROR(__xludf.DUMMYFUNCTION("""COMPUTED_VALUE"""),1.19)</f>
        <v>1.19</v>
      </c>
    </row>
    <row r="33" spans="1:2">
      <c r="A33" s="3">
        <f ca="1">IFERROR(__xludf.DUMMYFUNCTION("""COMPUTED_VALUE"""),40402.6666666666)</f>
        <v>40402.666666666599</v>
      </c>
      <c r="B33" s="1">
        <f ca="1">IFERROR(__xludf.DUMMYFUNCTION("""COMPUTED_VALUE"""),1.17)</f>
        <v>1.17</v>
      </c>
    </row>
    <row r="34" spans="1:2">
      <c r="A34" s="3">
        <f ca="1">IFERROR(__xludf.DUMMYFUNCTION("""COMPUTED_VALUE"""),40403.6666666666)</f>
        <v>40403.666666666599</v>
      </c>
      <c r="B34" s="1">
        <f ca="1">IFERROR(__xludf.DUMMYFUNCTION("""COMPUTED_VALUE"""),1.22)</f>
        <v>1.22</v>
      </c>
    </row>
    <row r="35" spans="1:2">
      <c r="A35" s="3">
        <f ca="1">IFERROR(__xludf.DUMMYFUNCTION("""COMPUTED_VALUE"""),40406.6666666666)</f>
        <v>40406.666666666599</v>
      </c>
      <c r="B35" s="1">
        <f ca="1">IFERROR(__xludf.DUMMYFUNCTION("""COMPUTED_VALUE"""),1.25)</f>
        <v>1.25</v>
      </c>
    </row>
    <row r="36" spans="1:2">
      <c r="A36" s="3">
        <f ca="1">IFERROR(__xludf.DUMMYFUNCTION("""COMPUTED_VALUE"""),40407.6666666666)</f>
        <v>40407.666666666599</v>
      </c>
      <c r="B36" s="1">
        <f ca="1">IFERROR(__xludf.DUMMYFUNCTION("""COMPUTED_VALUE"""),1.28)</f>
        <v>1.28</v>
      </c>
    </row>
    <row r="37" spans="1:2">
      <c r="A37" s="3">
        <f ca="1">IFERROR(__xludf.DUMMYFUNCTION("""COMPUTED_VALUE"""),40408.6666666666)</f>
        <v>40408.666666666599</v>
      </c>
      <c r="B37" s="1">
        <f ca="1">IFERROR(__xludf.DUMMYFUNCTION("""COMPUTED_VALUE"""),1.25)</f>
        <v>1.25</v>
      </c>
    </row>
    <row r="38" spans="1:2">
      <c r="A38" s="3">
        <f ca="1">IFERROR(__xludf.DUMMYFUNCTION("""COMPUTED_VALUE"""),40409.6666666666)</f>
        <v>40409.666666666599</v>
      </c>
      <c r="B38" s="1">
        <f ca="1">IFERROR(__xludf.DUMMYFUNCTION("""COMPUTED_VALUE"""),1.25)</f>
        <v>1.25</v>
      </c>
    </row>
    <row r="39" spans="1:2">
      <c r="A39" s="3">
        <f ca="1">IFERROR(__xludf.DUMMYFUNCTION("""COMPUTED_VALUE"""),40410.6666666666)</f>
        <v>40410.666666666599</v>
      </c>
      <c r="B39" s="1">
        <f ca="1">IFERROR(__xludf.DUMMYFUNCTION("""COMPUTED_VALUE"""),1.27)</f>
        <v>1.27</v>
      </c>
    </row>
    <row r="40" spans="1:2">
      <c r="A40" s="3">
        <f ca="1">IFERROR(__xludf.DUMMYFUNCTION("""COMPUTED_VALUE"""),40413.6666666666)</f>
        <v>40413.666666666599</v>
      </c>
      <c r="B40" s="1">
        <f ca="1">IFERROR(__xludf.DUMMYFUNCTION("""COMPUTED_VALUE"""),1.34)</f>
        <v>1.34</v>
      </c>
    </row>
    <row r="41" spans="1:2">
      <c r="A41" s="3">
        <f ca="1">IFERROR(__xludf.DUMMYFUNCTION("""COMPUTED_VALUE"""),40414.6666666666)</f>
        <v>40414.666666666599</v>
      </c>
      <c r="B41" s="1">
        <f ca="1">IFERROR(__xludf.DUMMYFUNCTION("""COMPUTED_VALUE"""),1.28)</f>
        <v>1.28</v>
      </c>
    </row>
    <row r="42" spans="1:2">
      <c r="A42" s="3">
        <f ca="1">IFERROR(__xludf.DUMMYFUNCTION("""COMPUTED_VALUE"""),40415.6666666666)</f>
        <v>40415.666666666599</v>
      </c>
      <c r="B42" s="1">
        <f ca="1">IFERROR(__xludf.DUMMYFUNCTION("""COMPUTED_VALUE"""),1.33)</f>
        <v>1.33</v>
      </c>
    </row>
    <row r="43" spans="1:2">
      <c r="A43" s="3">
        <f ca="1">IFERROR(__xludf.DUMMYFUNCTION("""COMPUTED_VALUE"""),40416.6666666666)</f>
        <v>40416.666666666599</v>
      </c>
      <c r="B43" s="1">
        <f ca="1">IFERROR(__xludf.DUMMYFUNCTION("""COMPUTED_VALUE"""),1.32)</f>
        <v>1.32</v>
      </c>
    </row>
    <row r="44" spans="1:2">
      <c r="A44" s="3">
        <f ca="1">IFERROR(__xludf.DUMMYFUNCTION("""COMPUTED_VALUE"""),40417.6666666666)</f>
        <v>40417.666666666599</v>
      </c>
      <c r="B44" s="1">
        <f ca="1">IFERROR(__xludf.DUMMYFUNCTION("""COMPUTED_VALUE"""),1.31)</f>
        <v>1.31</v>
      </c>
    </row>
    <row r="45" spans="1:2">
      <c r="A45" s="3">
        <f ca="1">IFERROR(__xludf.DUMMYFUNCTION("""COMPUTED_VALUE"""),40420.6666666666)</f>
        <v>40420.666666666599</v>
      </c>
      <c r="B45" s="1">
        <f ca="1">IFERROR(__xludf.DUMMYFUNCTION("""COMPUTED_VALUE"""),1.32)</f>
        <v>1.32</v>
      </c>
    </row>
    <row r="46" spans="1:2">
      <c r="A46" s="3">
        <f ca="1">IFERROR(__xludf.DUMMYFUNCTION("""COMPUTED_VALUE"""),40421.6666666666)</f>
        <v>40421.666666666599</v>
      </c>
      <c r="B46" s="1">
        <f ca="1">IFERROR(__xludf.DUMMYFUNCTION("""COMPUTED_VALUE"""),1.3)</f>
        <v>1.3</v>
      </c>
    </row>
    <row r="47" spans="1:2">
      <c r="A47" s="3">
        <f ca="1">IFERROR(__xludf.DUMMYFUNCTION("""COMPUTED_VALUE"""),40422.6666666666)</f>
        <v>40422.666666666599</v>
      </c>
      <c r="B47" s="1">
        <f ca="1">IFERROR(__xludf.DUMMYFUNCTION("""COMPUTED_VALUE"""),1.36)</f>
        <v>1.36</v>
      </c>
    </row>
    <row r="48" spans="1:2">
      <c r="A48" s="3">
        <f ca="1">IFERROR(__xludf.DUMMYFUNCTION("""COMPUTED_VALUE"""),40423.6666666666)</f>
        <v>40423.666666666599</v>
      </c>
      <c r="B48" s="1">
        <f ca="1">IFERROR(__xludf.DUMMYFUNCTION("""COMPUTED_VALUE"""),1.4)</f>
        <v>1.4</v>
      </c>
    </row>
    <row r="49" spans="1:2">
      <c r="A49" s="3">
        <f ca="1">IFERROR(__xludf.DUMMYFUNCTION("""COMPUTED_VALUE"""),40424.6666666666)</f>
        <v>40424.666666666599</v>
      </c>
      <c r="B49" s="1">
        <f ca="1">IFERROR(__xludf.DUMMYFUNCTION("""COMPUTED_VALUE"""),1.4)</f>
        <v>1.4</v>
      </c>
    </row>
    <row r="50" spans="1:2">
      <c r="A50" s="3">
        <f ca="1">IFERROR(__xludf.DUMMYFUNCTION("""COMPUTED_VALUE"""),40428.6666666666)</f>
        <v>40428.666666666599</v>
      </c>
      <c r="B50" s="1">
        <f ca="1">IFERROR(__xludf.DUMMYFUNCTION("""COMPUTED_VALUE"""),1.37)</f>
        <v>1.37</v>
      </c>
    </row>
    <row r="51" spans="1:2">
      <c r="A51" s="3">
        <f ca="1">IFERROR(__xludf.DUMMYFUNCTION("""COMPUTED_VALUE"""),40429.6666666666)</f>
        <v>40429.666666666599</v>
      </c>
      <c r="B51" s="1">
        <f ca="1">IFERROR(__xludf.DUMMYFUNCTION("""COMPUTED_VALUE"""),1.39)</f>
        <v>1.39</v>
      </c>
    </row>
    <row r="52" spans="1:2">
      <c r="A52" s="3">
        <f ca="1">IFERROR(__xludf.DUMMYFUNCTION("""COMPUTED_VALUE"""),40430.6666666666)</f>
        <v>40430.666666666599</v>
      </c>
      <c r="B52" s="1">
        <f ca="1">IFERROR(__xludf.DUMMYFUNCTION("""COMPUTED_VALUE"""),1.38)</f>
        <v>1.38</v>
      </c>
    </row>
    <row r="53" spans="1:2">
      <c r="A53" s="3">
        <f ca="1">IFERROR(__xludf.DUMMYFUNCTION("""COMPUTED_VALUE"""),40431.6666666666)</f>
        <v>40431.666666666599</v>
      </c>
      <c r="B53" s="1">
        <f ca="1">IFERROR(__xludf.DUMMYFUNCTION("""COMPUTED_VALUE"""),1.34)</f>
        <v>1.34</v>
      </c>
    </row>
    <row r="54" spans="1:2">
      <c r="A54" s="3">
        <f ca="1">IFERROR(__xludf.DUMMYFUNCTION("""COMPUTED_VALUE"""),40434.6666666666)</f>
        <v>40434.666666666599</v>
      </c>
      <c r="B54" s="1">
        <f ca="1">IFERROR(__xludf.DUMMYFUNCTION("""COMPUTED_VALUE"""),1.38)</f>
        <v>1.38</v>
      </c>
    </row>
    <row r="55" spans="1:2">
      <c r="A55" s="3">
        <f ca="1">IFERROR(__xludf.DUMMYFUNCTION("""COMPUTED_VALUE"""),40435.6666666666)</f>
        <v>40435.666666666599</v>
      </c>
      <c r="B55" s="1">
        <f ca="1">IFERROR(__xludf.DUMMYFUNCTION("""COMPUTED_VALUE"""),1.41)</f>
        <v>1.41</v>
      </c>
    </row>
    <row r="56" spans="1:2">
      <c r="A56" s="3">
        <f ca="1">IFERROR(__xludf.DUMMYFUNCTION("""COMPUTED_VALUE"""),40436.6666666666)</f>
        <v>40436.666666666599</v>
      </c>
      <c r="B56" s="1">
        <f ca="1">IFERROR(__xludf.DUMMYFUNCTION("""COMPUTED_VALUE"""),1.47)</f>
        <v>1.47</v>
      </c>
    </row>
    <row r="57" spans="1:2">
      <c r="A57" s="3">
        <f ca="1">IFERROR(__xludf.DUMMYFUNCTION("""COMPUTED_VALUE"""),40437.6666666666)</f>
        <v>40437.666666666599</v>
      </c>
      <c r="B57" s="1">
        <f ca="1">IFERROR(__xludf.DUMMYFUNCTION("""COMPUTED_VALUE"""),1.4)</f>
        <v>1.4</v>
      </c>
    </row>
    <row r="58" spans="1:2">
      <c r="A58" s="3">
        <f ca="1">IFERROR(__xludf.DUMMYFUNCTION("""COMPUTED_VALUE"""),40438.6666666666)</f>
        <v>40438.666666666599</v>
      </c>
      <c r="B58" s="1">
        <f ca="1">IFERROR(__xludf.DUMMYFUNCTION("""COMPUTED_VALUE"""),1.35)</f>
        <v>1.35</v>
      </c>
    </row>
    <row r="59" spans="1:2">
      <c r="A59" s="3">
        <f ca="1">IFERROR(__xludf.DUMMYFUNCTION("""COMPUTED_VALUE"""),40441.6666666666)</f>
        <v>40441.666666666599</v>
      </c>
      <c r="B59" s="1">
        <f ca="1">IFERROR(__xludf.DUMMYFUNCTION("""COMPUTED_VALUE"""),1.4)</f>
        <v>1.4</v>
      </c>
    </row>
    <row r="60" spans="1:2">
      <c r="A60" s="3">
        <f ca="1">IFERROR(__xludf.DUMMYFUNCTION("""COMPUTED_VALUE"""),40442.6666666666)</f>
        <v>40442.666666666599</v>
      </c>
      <c r="B60" s="1">
        <f ca="1">IFERROR(__xludf.DUMMYFUNCTION("""COMPUTED_VALUE"""),1.38)</f>
        <v>1.38</v>
      </c>
    </row>
    <row r="61" spans="1:2">
      <c r="A61" s="3">
        <f ca="1">IFERROR(__xludf.DUMMYFUNCTION("""COMPUTED_VALUE"""),40443.6666666666)</f>
        <v>40443.666666666599</v>
      </c>
      <c r="B61" s="1">
        <f ca="1">IFERROR(__xludf.DUMMYFUNCTION("""COMPUTED_VALUE"""),1.32)</f>
        <v>1.32</v>
      </c>
    </row>
    <row r="62" spans="1:2">
      <c r="A62" s="3">
        <f ca="1">IFERROR(__xludf.DUMMYFUNCTION("""COMPUTED_VALUE"""),40444.6666666666)</f>
        <v>40444.666666666599</v>
      </c>
      <c r="B62" s="1">
        <f ca="1">IFERROR(__xludf.DUMMYFUNCTION("""COMPUTED_VALUE"""),1.3)</f>
        <v>1.3</v>
      </c>
    </row>
    <row r="63" spans="1:2">
      <c r="A63" s="3">
        <f ca="1">IFERROR(__xludf.DUMMYFUNCTION("""COMPUTED_VALUE"""),40445.6666666666)</f>
        <v>40445.666666666599</v>
      </c>
      <c r="B63" s="1">
        <f ca="1">IFERROR(__xludf.DUMMYFUNCTION("""COMPUTED_VALUE"""),1.34)</f>
        <v>1.34</v>
      </c>
    </row>
    <row r="64" spans="1:2">
      <c r="A64" s="3">
        <f ca="1">IFERROR(__xludf.DUMMYFUNCTION("""COMPUTED_VALUE"""),40448.6666666666)</f>
        <v>40448.666666666599</v>
      </c>
      <c r="B64" s="1">
        <f ca="1">IFERROR(__xludf.DUMMYFUNCTION("""COMPUTED_VALUE"""),1.37)</f>
        <v>1.37</v>
      </c>
    </row>
    <row r="65" spans="1:2">
      <c r="A65" s="3">
        <f ca="1">IFERROR(__xludf.DUMMYFUNCTION("""COMPUTED_VALUE"""),40449.6666666666)</f>
        <v>40449.666666666599</v>
      </c>
      <c r="B65" s="1">
        <f ca="1">IFERROR(__xludf.DUMMYFUNCTION("""COMPUTED_VALUE"""),1.43)</f>
        <v>1.43</v>
      </c>
    </row>
    <row r="66" spans="1:2">
      <c r="A66" s="3">
        <f ca="1">IFERROR(__xludf.DUMMYFUNCTION("""COMPUTED_VALUE"""),40450.6666666666)</f>
        <v>40450.666666666599</v>
      </c>
      <c r="B66" s="1">
        <f ca="1">IFERROR(__xludf.DUMMYFUNCTION("""COMPUTED_VALUE"""),1.47)</f>
        <v>1.47</v>
      </c>
    </row>
    <row r="67" spans="1:2">
      <c r="A67" s="3">
        <f ca="1">IFERROR(__xludf.DUMMYFUNCTION("""COMPUTED_VALUE"""),40451.6666666666)</f>
        <v>40451.666666666599</v>
      </c>
      <c r="B67" s="1">
        <f ca="1">IFERROR(__xludf.DUMMYFUNCTION("""COMPUTED_VALUE"""),1.36)</f>
        <v>1.36</v>
      </c>
    </row>
    <row r="68" spans="1:2">
      <c r="A68" s="3">
        <f ca="1">IFERROR(__xludf.DUMMYFUNCTION("""COMPUTED_VALUE"""),40452.6666666666)</f>
        <v>40452.666666666599</v>
      </c>
      <c r="B68" s="1">
        <f ca="1">IFERROR(__xludf.DUMMYFUNCTION("""COMPUTED_VALUE"""),1.37)</f>
        <v>1.37</v>
      </c>
    </row>
    <row r="69" spans="1:2">
      <c r="A69" s="3">
        <f ca="1">IFERROR(__xludf.DUMMYFUNCTION("""COMPUTED_VALUE"""),40455.6666666666)</f>
        <v>40455.666666666599</v>
      </c>
      <c r="B69" s="1">
        <f ca="1">IFERROR(__xludf.DUMMYFUNCTION("""COMPUTED_VALUE"""),1.4)</f>
        <v>1.4</v>
      </c>
    </row>
    <row r="70" spans="1:2">
      <c r="A70" s="3">
        <f ca="1">IFERROR(__xludf.DUMMYFUNCTION("""COMPUTED_VALUE"""),40456.6666666666)</f>
        <v>40456.666666666599</v>
      </c>
      <c r="B70" s="1">
        <f ca="1">IFERROR(__xludf.DUMMYFUNCTION("""COMPUTED_VALUE"""),1.41)</f>
        <v>1.41</v>
      </c>
    </row>
    <row r="71" spans="1:2">
      <c r="A71" s="3">
        <f ca="1">IFERROR(__xludf.DUMMYFUNCTION("""COMPUTED_VALUE"""),40457.6666666666)</f>
        <v>40457.666666666599</v>
      </c>
      <c r="B71" s="1">
        <f ca="1">IFERROR(__xludf.DUMMYFUNCTION("""COMPUTED_VALUE"""),1.36)</f>
        <v>1.36</v>
      </c>
    </row>
    <row r="72" spans="1:2">
      <c r="A72" s="3">
        <f ca="1">IFERROR(__xludf.DUMMYFUNCTION("""COMPUTED_VALUE"""),40458.6666666666)</f>
        <v>40458.666666666599</v>
      </c>
      <c r="B72" s="1">
        <f ca="1">IFERROR(__xludf.DUMMYFUNCTION("""COMPUTED_VALUE"""),1.36)</f>
        <v>1.36</v>
      </c>
    </row>
    <row r="73" spans="1:2">
      <c r="A73" s="3">
        <f ca="1">IFERROR(__xludf.DUMMYFUNCTION("""COMPUTED_VALUE"""),40459.6666666666)</f>
        <v>40459.666666666599</v>
      </c>
      <c r="B73" s="1">
        <f ca="1">IFERROR(__xludf.DUMMYFUNCTION("""COMPUTED_VALUE"""),1.36)</f>
        <v>1.36</v>
      </c>
    </row>
    <row r="74" spans="1:2">
      <c r="A74" s="3">
        <f ca="1">IFERROR(__xludf.DUMMYFUNCTION("""COMPUTED_VALUE"""),40462.6666666666)</f>
        <v>40462.666666666599</v>
      </c>
      <c r="B74" s="1">
        <f ca="1">IFERROR(__xludf.DUMMYFUNCTION("""COMPUTED_VALUE"""),1.35)</f>
        <v>1.35</v>
      </c>
    </row>
    <row r="75" spans="1:2">
      <c r="A75" s="3">
        <f ca="1">IFERROR(__xludf.DUMMYFUNCTION("""COMPUTED_VALUE"""),40463.6666666666)</f>
        <v>40463.666666666599</v>
      </c>
      <c r="B75" s="1">
        <f ca="1">IFERROR(__xludf.DUMMYFUNCTION("""COMPUTED_VALUE"""),1.35)</f>
        <v>1.35</v>
      </c>
    </row>
    <row r="76" spans="1:2">
      <c r="A76" s="3">
        <f ca="1">IFERROR(__xludf.DUMMYFUNCTION("""COMPUTED_VALUE"""),40464.6666666666)</f>
        <v>40464.666666666599</v>
      </c>
      <c r="B76" s="1">
        <f ca="1">IFERROR(__xludf.DUMMYFUNCTION("""COMPUTED_VALUE"""),1.37)</f>
        <v>1.37</v>
      </c>
    </row>
    <row r="77" spans="1:2">
      <c r="A77" s="3">
        <f ca="1">IFERROR(__xludf.DUMMYFUNCTION("""COMPUTED_VALUE"""),40465.6666666666)</f>
        <v>40465.666666666599</v>
      </c>
      <c r="B77" s="1">
        <f ca="1">IFERROR(__xludf.DUMMYFUNCTION("""COMPUTED_VALUE"""),1.38)</f>
        <v>1.38</v>
      </c>
    </row>
    <row r="78" spans="1:2">
      <c r="A78" s="3">
        <f ca="1">IFERROR(__xludf.DUMMYFUNCTION("""COMPUTED_VALUE"""),40466.6666666666)</f>
        <v>40466.666666666599</v>
      </c>
      <c r="B78" s="1">
        <f ca="1">IFERROR(__xludf.DUMMYFUNCTION("""COMPUTED_VALUE"""),1.37)</f>
        <v>1.37</v>
      </c>
    </row>
    <row r="79" spans="1:2">
      <c r="A79" s="3">
        <f ca="1">IFERROR(__xludf.DUMMYFUNCTION("""COMPUTED_VALUE"""),40469.6666666666)</f>
        <v>40469.666666666599</v>
      </c>
      <c r="B79" s="1">
        <f ca="1">IFERROR(__xludf.DUMMYFUNCTION("""COMPUTED_VALUE"""),1.35)</f>
        <v>1.35</v>
      </c>
    </row>
    <row r="80" spans="1:2">
      <c r="A80" s="3">
        <f ca="1">IFERROR(__xludf.DUMMYFUNCTION("""COMPUTED_VALUE"""),40470.6666666666)</f>
        <v>40470.666666666599</v>
      </c>
      <c r="B80" s="1">
        <f ca="1">IFERROR(__xludf.DUMMYFUNCTION("""COMPUTED_VALUE"""),1.34)</f>
        <v>1.34</v>
      </c>
    </row>
    <row r="81" spans="1:2">
      <c r="A81" s="3">
        <f ca="1">IFERROR(__xludf.DUMMYFUNCTION("""COMPUTED_VALUE"""),40471.6666666666)</f>
        <v>40471.666666666599</v>
      </c>
      <c r="B81" s="1">
        <f ca="1">IFERROR(__xludf.DUMMYFUNCTION("""COMPUTED_VALUE"""),1.38)</f>
        <v>1.38</v>
      </c>
    </row>
    <row r="82" spans="1:2">
      <c r="A82" s="3">
        <f ca="1">IFERROR(__xludf.DUMMYFUNCTION("""COMPUTED_VALUE"""),40472.6666666666)</f>
        <v>40472.666666666599</v>
      </c>
      <c r="B82" s="1">
        <f ca="1">IFERROR(__xludf.DUMMYFUNCTION("""COMPUTED_VALUE"""),1.38)</f>
        <v>1.38</v>
      </c>
    </row>
    <row r="83" spans="1:2">
      <c r="A83" s="3">
        <f ca="1">IFERROR(__xludf.DUMMYFUNCTION("""COMPUTED_VALUE"""),40473.6666666666)</f>
        <v>40473.666666666599</v>
      </c>
      <c r="B83" s="1">
        <f ca="1">IFERROR(__xludf.DUMMYFUNCTION("""COMPUTED_VALUE"""),1.38)</f>
        <v>1.38</v>
      </c>
    </row>
    <row r="84" spans="1:2">
      <c r="A84" s="3">
        <f ca="1">IFERROR(__xludf.DUMMYFUNCTION("""COMPUTED_VALUE"""),40476.6666666666)</f>
        <v>40476.666666666599</v>
      </c>
      <c r="B84" s="1">
        <f ca="1">IFERROR(__xludf.DUMMYFUNCTION("""COMPUTED_VALUE"""),1.39)</f>
        <v>1.39</v>
      </c>
    </row>
    <row r="85" spans="1:2">
      <c r="A85" s="3">
        <f ca="1">IFERROR(__xludf.DUMMYFUNCTION("""COMPUTED_VALUE"""),40477.6666666666)</f>
        <v>40477.666666666599</v>
      </c>
      <c r="B85" s="1">
        <f ca="1">IFERROR(__xludf.DUMMYFUNCTION("""COMPUTED_VALUE"""),1.42)</f>
        <v>1.42</v>
      </c>
    </row>
    <row r="86" spans="1:2">
      <c r="A86" s="3">
        <f ca="1">IFERROR(__xludf.DUMMYFUNCTION("""COMPUTED_VALUE"""),40478.6666666666)</f>
        <v>40478.666666666599</v>
      </c>
      <c r="B86" s="1">
        <f ca="1">IFERROR(__xludf.DUMMYFUNCTION("""COMPUTED_VALUE"""),1.4)</f>
        <v>1.4</v>
      </c>
    </row>
    <row r="87" spans="1:2">
      <c r="A87" s="3">
        <f ca="1">IFERROR(__xludf.DUMMYFUNCTION("""COMPUTED_VALUE"""),40479.6666666666)</f>
        <v>40479.666666666599</v>
      </c>
      <c r="B87" s="1">
        <f ca="1">IFERROR(__xludf.DUMMYFUNCTION("""COMPUTED_VALUE"""),1.41)</f>
        <v>1.41</v>
      </c>
    </row>
    <row r="88" spans="1:2">
      <c r="A88" s="3">
        <f ca="1">IFERROR(__xludf.DUMMYFUNCTION("""COMPUTED_VALUE"""),40480.6666666666)</f>
        <v>40480.666666666599</v>
      </c>
      <c r="B88" s="1">
        <f ca="1">IFERROR(__xludf.DUMMYFUNCTION("""COMPUTED_VALUE"""),1.46)</f>
        <v>1.46</v>
      </c>
    </row>
    <row r="89" spans="1:2">
      <c r="A89" s="3">
        <f ca="1">IFERROR(__xludf.DUMMYFUNCTION("""COMPUTED_VALUE"""),40483.6666666666)</f>
        <v>40483.666666666599</v>
      </c>
      <c r="B89" s="1">
        <f ca="1">IFERROR(__xludf.DUMMYFUNCTION("""COMPUTED_VALUE"""),1.43)</f>
        <v>1.43</v>
      </c>
    </row>
    <row r="90" spans="1:2">
      <c r="A90" s="3">
        <f ca="1">IFERROR(__xludf.DUMMYFUNCTION("""COMPUTED_VALUE"""),40484.6666666666)</f>
        <v>40484.666666666599</v>
      </c>
      <c r="B90" s="1">
        <f ca="1">IFERROR(__xludf.DUMMYFUNCTION("""COMPUTED_VALUE"""),1.42)</f>
        <v>1.42</v>
      </c>
    </row>
    <row r="91" spans="1:2">
      <c r="A91" s="3">
        <f ca="1">IFERROR(__xludf.DUMMYFUNCTION("""COMPUTED_VALUE"""),40485.6666666666)</f>
        <v>40485.666666666599</v>
      </c>
      <c r="B91" s="1">
        <f ca="1">IFERROR(__xludf.DUMMYFUNCTION("""COMPUTED_VALUE"""),1.45)</f>
        <v>1.45</v>
      </c>
    </row>
    <row r="92" spans="1:2">
      <c r="A92" s="3">
        <f ca="1">IFERROR(__xludf.DUMMYFUNCTION("""COMPUTED_VALUE"""),40486.6666666666)</f>
        <v>40486.666666666599</v>
      </c>
      <c r="B92" s="1">
        <f ca="1">IFERROR(__xludf.DUMMYFUNCTION("""COMPUTED_VALUE"""),1.66)</f>
        <v>1.66</v>
      </c>
    </row>
    <row r="93" spans="1:2">
      <c r="A93" s="3">
        <f ca="1">IFERROR(__xludf.DUMMYFUNCTION("""COMPUTED_VALUE"""),40487.6666666666)</f>
        <v>40487.666666666599</v>
      </c>
      <c r="B93" s="1">
        <f ca="1">IFERROR(__xludf.DUMMYFUNCTION("""COMPUTED_VALUE"""),1.63)</f>
        <v>1.63</v>
      </c>
    </row>
    <row r="94" spans="1:2">
      <c r="A94" s="3">
        <f ca="1">IFERROR(__xludf.DUMMYFUNCTION("""COMPUTED_VALUE"""),40490.6666666666)</f>
        <v>40490.666666666599</v>
      </c>
      <c r="B94" s="1">
        <f ca="1">IFERROR(__xludf.DUMMYFUNCTION("""COMPUTED_VALUE"""),1.67)</f>
        <v>1.67</v>
      </c>
    </row>
    <row r="95" spans="1:2">
      <c r="A95" s="3">
        <f ca="1">IFERROR(__xludf.DUMMYFUNCTION("""COMPUTED_VALUE"""),40491.6666666666)</f>
        <v>40491.666666666599</v>
      </c>
      <c r="B95" s="1">
        <f ca="1">IFERROR(__xludf.DUMMYFUNCTION("""COMPUTED_VALUE"""),1.64)</f>
        <v>1.64</v>
      </c>
    </row>
    <row r="96" spans="1:2">
      <c r="A96" s="3">
        <f ca="1">IFERROR(__xludf.DUMMYFUNCTION("""COMPUTED_VALUE"""),40492.6666666666)</f>
        <v>40492.666666666599</v>
      </c>
      <c r="B96" s="1">
        <f ca="1">IFERROR(__xludf.DUMMYFUNCTION("""COMPUTED_VALUE"""),1.96)</f>
        <v>1.96</v>
      </c>
    </row>
    <row r="97" spans="1:2">
      <c r="A97" s="3">
        <f ca="1">IFERROR(__xludf.DUMMYFUNCTION("""COMPUTED_VALUE"""),40493.6666666666)</f>
        <v>40493.666666666599</v>
      </c>
      <c r="B97" s="1">
        <f ca="1">IFERROR(__xludf.DUMMYFUNCTION("""COMPUTED_VALUE"""),1.87)</f>
        <v>1.87</v>
      </c>
    </row>
    <row r="98" spans="1:2">
      <c r="A98" s="3">
        <f ca="1">IFERROR(__xludf.DUMMYFUNCTION("""COMPUTED_VALUE"""),40494.6666666666)</f>
        <v>40494.666666666599</v>
      </c>
      <c r="B98" s="1">
        <f ca="1">IFERROR(__xludf.DUMMYFUNCTION("""COMPUTED_VALUE"""),1.99)</f>
        <v>1.99</v>
      </c>
    </row>
    <row r="99" spans="1:2">
      <c r="A99" s="3">
        <f ca="1">IFERROR(__xludf.DUMMYFUNCTION("""COMPUTED_VALUE"""),40497.6666666666)</f>
        <v>40497.666666666599</v>
      </c>
      <c r="B99" s="1">
        <f ca="1">IFERROR(__xludf.DUMMYFUNCTION("""COMPUTED_VALUE"""),2.05)</f>
        <v>2.0499999999999998</v>
      </c>
    </row>
    <row r="100" spans="1:2">
      <c r="A100" s="3">
        <f ca="1">IFERROR(__xludf.DUMMYFUNCTION("""COMPUTED_VALUE"""),40498.6666666666)</f>
        <v>40498.666666666599</v>
      </c>
      <c r="B100" s="1">
        <f ca="1">IFERROR(__xludf.DUMMYFUNCTION("""COMPUTED_VALUE"""),1.98)</f>
        <v>1.98</v>
      </c>
    </row>
    <row r="101" spans="1:2">
      <c r="A101" s="3">
        <f ca="1">IFERROR(__xludf.DUMMYFUNCTION("""COMPUTED_VALUE"""),40499.6666666666)</f>
        <v>40499.666666666599</v>
      </c>
      <c r="B101" s="1">
        <f ca="1">IFERROR(__xludf.DUMMYFUNCTION("""COMPUTED_VALUE"""),1.97)</f>
        <v>1.97</v>
      </c>
    </row>
    <row r="102" spans="1:2">
      <c r="A102" s="3">
        <f ca="1">IFERROR(__xludf.DUMMYFUNCTION("""COMPUTED_VALUE"""),40500.6666666666)</f>
        <v>40500.666666666599</v>
      </c>
      <c r="B102" s="1">
        <f ca="1">IFERROR(__xludf.DUMMYFUNCTION("""COMPUTED_VALUE"""),1.99)</f>
        <v>1.99</v>
      </c>
    </row>
    <row r="103" spans="1:2">
      <c r="A103" s="3">
        <f ca="1">IFERROR(__xludf.DUMMYFUNCTION("""COMPUTED_VALUE"""),40501.6666666666)</f>
        <v>40501.666666666599</v>
      </c>
      <c r="B103" s="1">
        <f ca="1">IFERROR(__xludf.DUMMYFUNCTION("""COMPUTED_VALUE"""),2.07)</f>
        <v>2.0699999999999998</v>
      </c>
    </row>
    <row r="104" spans="1:2">
      <c r="A104" s="3">
        <f ca="1">IFERROR(__xludf.DUMMYFUNCTION("""COMPUTED_VALUE"""),40504.6666666666)</f>
        <v>40504.666666666599</v>
      </c>
      <c r="B104" s="1">
        <f ca="1">IFERROR(__xludf.DUMMYFUNCTION("""COMPUTED_VALUE"""),2.23)</f>
        <v>2.23</v>
      </c>
    </row>
    <row r="105" spans="1:2">
      <c r="A105" s="3">
        <f ca="1">IFERROR(__xludf.DUMMYFUNCTION("""COMPUTED_VALUE"""),40505.6666666666)</f>
        <v>40505.666666666599</v>
      </c>
      <c r="B105" s="1">
        <f ca="1">IFERROR(__xludf.DUMMYFUNCTION("""COMPUTED_VALUE"""),2.3)</f>
        <v>2.2999999999999998</v>
      </c>
    </row>
    <row r="106" spans="1:2">
      <c r="A106" s="3">
        <f ca="1">IFERROR(__xludf.DUMMYFUNCTION("""COMPUTED_VALUE"""),40506.6666666666)</f>
        <v>40506.666666666599</v>
      </c>
      <c r="B106" s="1">
        <f ca="1">IFERROR(__xludf.DUMMYFUNCTION("""COMPUTED_VALUE"""),2.36)</f>
        <v>2.36</v>
      </c>
    </row>
    <row r="107" spans="1:2">
      <c r="A107" s="3">
        <f ca="1">IFERROR(__xludf.DUMMYFUNCTION("""COMPUTED_VALUE"""),40508.6666666666)</f>
        <v>40508.666666666599</v>
      </c>
      <c r="B107" s="1">
        <f ca="1">IFERROR(__xludf.DUMMYFUNCTION("""COMPUTED_VALUE"""),2.35)</f>
        <v>2.35</v>
      </c>
    </row>
    <row r="108" spans="1:2">
      <c r="A108" s="3">
        <f ca="1">IFERROR(__xludf.DUMMYFUNCTION("""COMPUTED_VALUE"""),40511.6666666666)</f>
        <v>40511.666666666599</v>
      </c>
      <c r="B108" s="1">
        <f ca="1">IFERROR(__xludf.DUMMYFUNCTION("""COMPUTED_VALUE"""),2.29)</f>
        <v>2.29</v>
      </c>
    </row>
    <row r="109" spans="1:2">
      <c r="A109" s="3">
        <f ca="1">IFERROR(__xludf.DUMMYFUNCTION("""COMPUTED_VALUE"""),40512.6666666666)</f>
        <v>40512.666666666599</v>
      </c>
      <c r="B109" s="1">
        <f ca="1">IFERROR(__xludf.DUMMYFUNCTION("""COMPUTED_VALUE"""),2.36)</f>
        <v>2.36</v>
      </c>
    </row>
    <row r="110" spans="1:2">
      <c r="A110" s="3">
        <f ca="1">IFERROR(__xludf.DUMMYFUNCTION("""COMPUTED_VALUE"""),40513.6666666666)</f>
        <v>40513.666666666599</v>
      </c>
      <c r="B110" s="1">
        <f ca="1">IFERROR(__xludf.DUMMYFUNCTION("""COMPUTED_VALUE"""),2.29)</f>
        <v>2.29</v>
      </c>
    </row>
    <row r="111" spans="1:2">
      <c r="A111" s="3">
        <f ca="1">IFERROR(__xludf.DUMMYFUNCTION("""COMPUTED_VALUE"""),40514.6666666666)</f>
        <v>40514.666666666599</v>
      </c>
      <c r="B111" s="1">
        <f ca="1">IFERROR(__xludf.DUMMYFUNCTION("""COMPUTED_VALUE"""),2.16)</f>
        <v>2.16</v>
      </c>
    </row>
    <row r="112" spans="1:2">
      <c r="A112" s="3">
        <f ca="1">IFERROR(__xludf.DUMMYFUNCTION("""COMPUTED_VALUE"""),40515.6666666666)</f>
        <v>40515.666666666599</v>
      </c>
      <c r="B112" s="1">
        <f ca="1">IFERROR(__xludf.DUMMYFUNCTION("""COMPUTED_VALUE"""),2.1)</f>
        <v>2.1</v>
      </c>
    </row>
    <row r="113" spans="1:2">
      <c r="A113" s="3">
        <f ca="1">IFERROR(__xludf.DUMMYFUNCTION("""COMPUTED_VALUE"""),40518.6666666666)</f>
        <v>40518.666666666599</v>
      </c>
      <c r="B113" s="1">
        <f ca="1">IFERROR(__xludf.DUMMYFUNCTION("""COMPUTED_VALUE"""),2.02)</f>
        <v>2.02</v>
      </c>
    </row>
    <row r="114" spans="1:2">
      <c r="A114" s="3">
        <f ca="1">IFERROR(__xludf.DUMMYFUNCTION("""COMPUTED_VALUE"""),40519.6666666666)</f>
        <v>40519.666666666599</v>
      </c>
      <c r="B114" s="1">
        <f ca="1">IFERROR(__xludf.DUMMYFUNCTION("""COMPUTED_VALUE"""),2.1)</f>
        <v>2.1</v>
      </c>
    </row>
    <row r="115" spans="1:2">
      <c r="A115" s="3">
        <f ca="1">IFERROR(__xludf.DUMMYFUNCTION("""COMPUTED_VALUE"""),40520.6666666666)</f>
        <v>40520.666666666599</v>
      </c>
      <c r="B115" s="1">
        <f ca="1">IFERROR(__xludf.DUMMYFUNCTION("""COMPUTED_VALUE"""),2.16)</f>
        <v>2.16</v>
      </c>
    </row>
    <row r="116" spans="1:2">
      <c r="A116" s="3">
        <f ca="1">IFERROR(__xludf.DUMMYFUNCTION("""COMPUTED_VALUE"""),40521.6666666666)</f>
        <v>40521.666666666599</v>
      </c>
      <c r="B116" s="1">
        <f ca="1">IFERROR(__xludf.DUMMYFUNCTION("""COMPUTED_VALUE"""),2.14)</f>
        <v>2.14</v>
      </c>
    </row>
    <row r="117" spans="1:2">
      <c r="A117" s="3">
        <f ca="1">IFERROR(__xludf.DUMMYFUNCTION("""COMPUTED_VALUE"""),40522.6666666666)</f>
        <v>40522.666666666599</v>
      </c>
      <c r="B117" s="1">
        <f ca="1">IFERROR(__xludf.DUMMYFUNCTION("""COMPUTED_VALUE"""),2.1)</f>
        <v>2.1</v>
      </c>
    </row>
    <row r="118" spans="1:2">
      <c r="A118" s="3">
        <f ca="1">IFERROR(__xludf.DUMMYFUNCTION("""COMPUTED_VALUE"""),40525.6666666666)</f>
        <v>40525.666666666599</v>
      </c>
      <c r="B118" s="1">
        <f ca="1">IFERROR(__xludf.DUMMYFUNCTION("""COMPUTED_VALUE"""),2.04)</f>
        <v>2.04</v>
      </c>
    </row>
    <row r="119" spans="1:2">
      <c r="A119" s="3">
        <f ca="1">IFERROR(__xludf.DUMMYFUNCTION("""COMPUTED_VALUE"""),40526.6666666666)</f>
        <v>40526.666666666599</v>
      </c>
      <c r="B119" s="1">
        <f ca="1">IFERROR(__xludf.DUMMYFUNCTION("""COMPUTED_VALUE"""),1.9)</f>
        <v>1.9</v>
      </c>
    </row>
    <row r="120" spans="1:2">
      <c r="A120" s="3">
        <f ca="1">IFERROR(__xludf.DUMMYFUNCTION("""COMPUTED_VALUE"""),40527.6666666666)</f>
        <v>40527.666666666599</v>
      </c>
      <c r="B120" s="1">
        <f ca="1">IFERROR(__xludf.DUMMYFUNCTION("""COMPUTED_VALUE"""),1.97)</f>
        <v>1.97</v>
      </c>
    </row>
    <row r="121" spans="1:2">
      <c r="A121" s="3">
        <f ca="1">IFERROR(__xludf.DUMMYFUNCTION("""COMPUTED_VALUE"""),40528.6666666666)</f>
        <v>40528.666666666599</v>
      </c>
      <c r="B121" s="1">
        <f ca="1">IFERROR(__xludf.DUMMYFUNCTION("""COMPUTED_VALUE"""),2.05)</f>
        <v>2.0499999999999998</v>
      </c>
    </row>
    <row r="122" spans="1:2">
      <c r="A122" s="3">
        <f ca="1">IFERROR(__xludf.DUMMYFUNCTION("""COMPUTED_VALUE"""),40529.6666666666)</f>
        <v>40529.666666666599</v>
      </c>
      <c r="B122" s="1">
        <f ca="1">IFERROR(__xludf.DUMMYFUNCTION("""COMPUTED_VALUE"""),2.09)</f>
        <v>2.09</v>
      </c>
    </row>
    <row r="123" spans="1:2">
      <c r="A123" s="3">
        <f ca="1">IFERROR(__xludf.DUMMYFUNCTION("""COMPUTED_VALUE"""),40532.6666666666)</f>
        <v>40532.666666666599</v>
      </c>
      <c r="B123" s="1">
        <f ca="1">IFERROR(__xludf.DUMMYFUNCTION("""COMPUTED_VALUE"""),2.11)</f>
        <v>2.11</v>
      </c>
    </row>
    <row r="124" spans="1:2">
      <c r="A124" s="3">
        <f ca="1">IFERROR(__xludf.DUMMYFUNCTION("""COMPUTED_VALUE"""),40533.6666666666)</f>
        <v>40533.666666666599</v>
      </c>
      <c r="B124" s="1">
        <f ca="1">IFERROR(__xludf.DUMMYFUNCTION("""COMPUTED_VALUE"""),2.15)</f>
        <v>2.15</v>
      </c>
    </row>
    <row r="125" spans="1:2">
      <c r="A125" s="3">
        <f ca="1">IFERROR(__xludf.DUMMYFUNCTION("""COMPUTED_VALUE"""),40534.6666666666)</f>
        <v>40534.666666666599</v>
      </c>
      <c r="B125" s="1">
        <f ca="1">IFERROR(__xludf.DUMMYFUNCTION("""COMPUTED_VALUE"""),2.18)</f>
        <v>2.1800000000000002</v>
      </c>
    </row>
    <row r="126" spans="1:2">
      <c r="A126" s="3">
        <f ca="1">IFERROR(__xludf.DUMMYFUNCTION("""COMPUTED_VALUE"""),40535.6666666666)</f>
        <v>40535.666666666599</v>
      </c>
      <c r="B126" s="1">
        <f ca="1">IFERROR(__xludf.DUMMYFUNCTION("""COMPUTED_VALUE"""),2.01)</f>
        <v>2.0099999999999998</v>
      </c>
    </row>
    <row r="127" spans="1:2">
      <c r="A127" s="3">
        <f ca="1">IFERROR(__xludf.DUMMYFUNCTION("""COMPUTED_VALUE"""),40539.6666666666)</f>
        <v>40539.666666666599</v>
      </c>
      <c r="B127" s="1">
        <f ca="1">IFERROR(__xludf.DUMMYFUNCTION("""COMPUTED_VALUE"""),1.7)</f>
        <v>1.7</v>
      </c>
    </row>
    <row r="128" spans="1:2">
      <c r="A128" s="3">
        <f ca="1">IFERROR(__xludf.DUMMYFUNCTION("""COMPUTED_VALUE"""),40540.6666666666)</f>
        <v>40540.666666666599</v>
      </c>
      <c r="B128" s="1">
        <f ca="1">IFERROR(__xludf.DUMMYFUNCTION("""COMPUTED_VALUE"""),1.76)</f>
        <v>1.76</v>
      </c>
    </row>
    <row r="129" spans="1:2">
      <c r="A129" s="3">
        <f ca="1">IFERROR(__xludf.DUMMYFUNCTION("""COMPUTED_VALUE"""),40541.6666666666)</f>
        <v>40541.666666666599</v>
      </c>
      <c r="B129" s="1">
        <f ca="1">IFERROR(__xludf.DUMMYFUNCTION("""COMPUTED_VALUE"""),1.85)</f>
        <v>1.85</v>
      </c>
    </row>
    <row r="130" spans="1:2">
      <c r="A130" s="3">
        <f ca="1">IFERROR(__xludf.DUMMYFUNCTION("""COMPUTED_VALUE"""),40542.6666666666)</f>
        <v>40542.666666666599</v>
      </c>
      <c r="B130" s="1">
        <f ca="1">IFERROR(__xludf.DUMMYFUNCTION("""COMPUTED_VALUE"""),1.77)</f>
        <v>1.77</v>
      </c>
    </row>
    <row r="131" spans="1:2">
      <c r="A131" s="3">
        <f ca="1">IFERROR(__xludf.DUMMYFUNCTION("""COMPUTED_VALUE"""),40543.6666666666)</f>
        <v>40543.666666666599</v>
      </c>
      <c r="B131" s="1">
        <f ca="1">IFERROR(__xludf.DUMMYFUNCTION("""COMPUTED_VALUE"""),1.78)</f>
        <v>1.78</v>
      </c>
    </row>
    <row r="132" spans="1:2">
      <c r="A132" s="3">
        <f ca="1">IFERROR(__xludf.DUMMYFUNCTION("""COMPUTED_VALUE"""),40546.6666666666)</f>
        <v>40546.666666666599</v>
      </c>
      <c r="B132" s="1">
        <f ca="1">IFERROR(__xludf.DUMMYFUNCTION("""COMPUTED_VALUE"""),1.77)</f>
        <v>1.77</v>
      </c>
    </row>
    <row r="133" spans="1:2">
      <c r="A133" s="3">
        <f ca="1">IFERROR(__xludf.DUMMYFUNCTION("""COMPUTED_VALUE"""),40547.6666666666)</f>
        <v>40547.666666666599</v>
      </c>
      <c r="B133" s="1">
        <f ca="1">IFERROR(__xludf.DUMMYFUNCTION("""COMPUTED_VALUE"""),1.78)</f>
        <v>1.78</v>
      </c>
    </row>
    <row r="134" spans="1:2">
      <c r="A134" s="3">
        <f ca="1">IFERROR(__xludf.DUMMYFUNCTION("""COMPUTED_VALUE"""),40548.6666666666)</f>
        <v>40548.666666666599</v>
      </c>
      <c r="B134" s="1">
        <f ca="1">IFERROR(__xludf.DUMMYFUNCTION("""COMPUTED_VALUE"""),1.79)</f>
        <v>1.79</v>
      </c>
    </row>
    <row r="135" spans="1:2">
      <c r="A135" s="3">
        <f ca="1">IFERROR(__xludf.DUMMYFUNCTION("""COMPUTED_VALUE"""),40549.6666666666)</f>
        <v>40549.666666666599</v>
      </c>
      <c r="B135" s="1">
        <f ca="1">IFERROR(__xludf.DUMMYFUNCTION("""COMPUTED_VALUE"""),1.86)</f>
        <v>1.86</v>
      </c>
    </row>
    <row r="136" spans="1:2">
      <c r="A136" s="3">
        <f ca="1">IFERROR(__xludf.DUMMYFUNCTION("""COMPUTED_VALUE"""),40550.6666666666)</f>
        <v>40550.666666666599</v>
      </c>
      <c r="B136" s="1">
        <f ca="1">IFERROR(__xludf.DUMMYFUNCTION("""COMPUTED_VALUE"""),1.88)</f>
        <v>1.88</v>
      </c>
    </row>
    <row r="137" spans="1:2">
      <c r="A137" s="3">
        <f ca="1">IFERROR(__xludf.DUMMYFUNCTION("""COMPUTED_VALUE"""),40553.6666666666)</f>
        <v>40553.666666666599</v>
      </c>
      <c r="B137" s="1">
        <f ca="1">IFERROR(__xludf.DUMMYFUNCTION("""COMPUTED_VALUE"""),1.9)</f>
        <v>1.9</v>
      </c>
    </row>
    <row r="138" spans="1:2">
      <c r="A138" s="3">
        <f ca="1">IFERROR(__xludf.DUMMYFUNCTION("""COMPUTED_VALUE"""),40554.6666666666)</f>
        <v>40554.666666666599</v>
      </c>
      <c r="B138" s="1">
        <f ca="1">IFERROR(__xludf.DUMMYFUNCTION("""COMPUTED_VALUE"""),1.8)</f>
        <v>1.8</v>
      </c>
    </row>
    <row r="139" spans="1:2">
      <c r="A139" s="3">
        <f ca="1">IFERROR(__xludf.DUMMYFUNCTION("""COMPUTED_VALUE"""),40555.6666666666)</f>
        <v>40555.666666666599</v>
      </c>
      <c r="B139" s="1">
        <f ca="1">IFERROR(__xludf.DUMMYFUNCTION("""COMPUTED_VALUE"""),1.8)</f>
        <v>1.8</v>
      </c>
    </row>
    <row r="140" spans="1:2">
      <c r="A140" s="3">
        <f ca="1">IFERROR(__xludf.DUMMYFUNCTION("""COMPUTED_VALUE"""),40556.6666666666)</f>
        <v>40556.666666666599</v>
      </c>
      <c r="B140" s="1">
        <f ca="1">IFERROR(__xludf.DUMMYFUNCTION("""COMPUTED_VALUE"""),1.75)</f>
        <v>1.75</v>
      </c>
    </row>
    <row r="141" spans="1:2">
      <c r="A141" s="3">
        <f ca="1">IFERROR(__xludf.DUMMYFUNCTION("""COMPUTED_VALUE"""),40557.6666666666)</f>
        <v>40557.666666666599</v>
      </c>
      <c r="B141" s="1">
        <f ca="1">IFERROR(__xludf.DUMMYFUNCTION("""COMPUTED_VALUE"""),1.72)</f>
        <v>1.72</v>
      </c>
    </row>
    <row r="142" spans="1:2">
      <c r="A142" s="3">
        <f ca="1">IFERROR(__xludf.DUMMYFUNCTION("""COMPUTED_VALUE"""),40561.6666666666)</f>
        <v>40561.666666666599</v>
      </c>
      <c r="B142" s="1">
        <f ca="1">IFERROR(__xludf.DUMMYFUNCTION("""COMPUTED_VALUE"""),1.71)</f>
        <v>1.71</v>
      </c>
    </row>
    <row r="143" spans="1:2">
      <c r="A143" s="3">
        <f ca="1">IFERROR(__xludf.DUMMYFUNCTION("""COMPUTED_VALUE"""),40562.6666666666)</f>
        <v>40562.666666666599</v>
      </c>
      <c r="B143" s="1">
        <f ca="1">IFERROR(__xludf.DUMMYFUNCTION("""COMPUTED_VALUE"""),1.6)</f>
        <v>1.6</v>
      </c>
    </row>
    <row r="144" spans="1:2">
      <c r="A144" s="3">
        <f ca="1">IFERROR(__xludf.DUMMYFUNCTION("""COMPUTED_VALUE"""),40563.6666666666)</f>
        <v>40563.666666666599</v>
      </c>
      <c r="B144" s="1">
        <f ca="1">IFERROR(__xludf.DUMMYFUNCTION("""COMPUTED_VALUE"""),1.51)</f>
        <v>1.51</v>
      </c>
    </row>
    <row r="145" spans="1:2">
      <c r="A145" s="3">
        <f ca="1">IFERROR(__xludf.DUMMYFUNCTION("""COMPUTED_VALUE"""),40564.6666666666)</f>
        <v>40564.666666666599</v>
      </c>
      <c r="B145" s="1">
        <f ca="1">IFERROR(__xludf.DUMMYFUNCTION("""COMPUTED_VALUE"""),1.54)</f>
        <v>1.54</v>
      </c>
    </row>
    <row r="146" spans="1:2">
      <c r="A146" s="3">
        <f ca="1">IFERROR(__xludf.DUMMYFUNCTION("""COMPUTED_VALUE"""),40567.6666666666)</f>
        <v>40567.666666666599</v>
      </c>
      <c r="B146" s="1">
        <f ca="1">IFERROR(__xludf.DUMMYFUNCTION("""COMPUTED_VALUE"""),1.63)</f>
        <v>1.63</v>
      </c>
    </row>
    <row r="147" spans="1:2">
      <c r="A147" s="3">
        <f ca="1">IFERROR(__xludf.DUMMYFUNCTION("""COMPUTED_VALUE"""),40568.6666666666)</f>
        <v>40568.666666666599</v>
      </c>
      <c r="B147" s="1">
        <f ca="1">IFERROR(__xludf.DUMMYFUNCTION("""COMPUTED_VALUE"""),1.65)</f>
        <v>1.65</v>
      </c>
    </row>
    <row r="148" spans="1:2">
      <c r="A148" s="3">
        <f ca="1">IFERROR(__xludf.DUMMYFUNCTION("""COMPUTED_VALUE"""),40569.6666666666)</f>
        <v>40569.666666666599</v>
      </c>
      <c r="B148" s="1">
        <f ca="1">IFERROR(__xludf.DUMMYFUNCTION("""COMPUTED_VALUE"""),1.65)</f>
        <v>1.65</v>
      </c>
    </row>
    <row r="149" spans="1:2">
      <c r="A149" s="3">
        <f ca="1">IFERROR(__xludf.DUMMYFUNCTION("""COMPUTED_VALUE"""),40570.6666666666)</f>
        <v>40570.666666666599</v>
      </c>
      <c r="B149" s="1">
        <f ca="1">IFERROR(__xludf.DUMMYFUNCTION("""COMPUTED_VALUE"""),1.66)</f>
        <v>1.66</v>
      </c>
    </row>
    <row r="150" spans="1:2">
      <c r="A150" s="3">
        <f ca="1">IFERROR(__xludf.DUMMYFUNCTION("""COMPUTED_VALUE"""),40571.6666666666)</f>
        <v>40571.666666666599</v>
      </c>
      <c r="B150" s="1">
        <f ca="1">IFERROR(__xludf.DUMMYFUNCTION("""COMPUTED_VALUE"""),1.6)</f>
        <v>1.6</v>
      </c>
    </row>
    <row r="151" spans="1:2">
      <c r="A151" s="3">
        <f ca="1">IFERROR(__xludf.DUMMYFUNCTION("""COMPUTED_VALUE"""),40574.6666666666)</f>
        <v>40574.666666666599</v>
      </c>
      <c r="B151" s="1">
        <f ca="1">IFERROR(__xludf.DUMMYFUNCTION("""COMPUTED_VALUE"""),1.61)</f>
        <v>1.61</v>
      </c>
    </row>
    <row r="152" spans="1:2">
      <c r="A152" s="3">
        <f ca="1">IFERROR(__xludf.DUMMYFUNCTION("""COMPUTED_VALUE"""),40575.6666666666)</f>
        <v>40575.666666666599</v>
      </c>
      <c r="B152" s="1">
        <f ca="1">IFERROR(__xludf.DUMMYFUNCTION("""COMPUTED_VALUE"""),1.59)</f>
        <v>1.59</v>
      </c>
    </row>
    <row r="153" spans="1:2">
      <c r="A153" s="3">
        <f ca="1">IFERROR(__xludf.DUMMYFUNCTION("""COMPUTED_VALUE"""),40576.6666666666)</f>
        <v>40576.666666666599</v>
      </c>
      <c r="B153" s="1">
        <f ca="1">IFERROR(__xludf.DUMMYFUNCTION("""COMPUTED_VALUE"""),1.6)</f>
        <v>1.6</v>
      </c>
    </row>
    <row r="154" spans="1:2">
      <c r="A154" s="3">
        <f ca="1">IFERROR(__xludf.DUMMYFUNCTION("""COMPUTED_VALUE"""),40577.6666666666)</f>
        <v>40577.666666666599</v>
      </c>
      <c r="B154" s="1">
        <f ca="1">IFERROR(__xludf.DUMMYFUNCTION("""COMPUTED_VALUE"""),1.58)</f>
        <v>1.58</v>
      </c>
    </row>
    <row r="155" spans="1:2">
      <c r="A155" s="3">
        <f ca="1">IFERROR(__xludf.DUMMYFUNCTION("""COMPUTED_VALUE"""),40578.6666666666)</f>
        <v>40578.666666666599</v>
      </c>
      <c r="B155" s="1">
        <f ca="1">IFERROR(__xludf.DUMMYFUNCTION("""COMPUTED_VALUE"""),1.56)</f>
        <v>1.56</v>
      </c>
    </row>
    <row r="156" spans="1:2">
      <c r="A156" s="3">
        <f ca="1">IFERROR(__xludf.DUMMYFUNCTION("""COMPUTED_VALUE"""),40581.6666666666)</f>
        <v>40581.666666666599</v>
      </c>
      <c r="B156" s="1">
        <f ca="1">IFERROR(__xludf.DUMMYFUNCTION("""COMPUTED_VALUE"""),1.54)</f>
        <v>1.54</v>
      </c>
    </row>
    <row r="157" spans="1:2">
      <c r="A157" s="3">
        <f ca="1">IFERROR(__xludf.DUMMYFUNCTION("""COMPUTED_VALUE"""),40582.6666666666)</f>
        <v>40582.666666666599</v>
      </c>
      <c r="B157" s="1">
        <f ca="1">IFERROR(__xludf.DUMMYFUNCTION("""COMPUTED_VALUE"""),1.63)</f>
        <v>1.63</v>
      </c>
    </row>
    <row r="158" spans="1:2">
      <c r="A158" s="3">
        <f ca="1">IFERROR(__xludf.DUMMYFUNCTION("""COMPUTED_VALUE"""),40583.6666666666)</f>
        <v>40583.666666666599</v>
      </c>
      <c r="B158" s="1">
        <f ca="1">IFERROR(__xludf.DUMMYFUNCTION("""COMPUTED_VALUE"""),1.55)</f>
        <v>1.55</v>
      </c>
    </row>
    <row r="159" spans="1:2">
      <c r="A159" s="3">
        <f ca="1">IFERROR(__xludf.DUMMYFUNCTION("""COMPUTED_VALUE"""),40584.6666666666)</f>
        <v>40584.666666666599</v>
      </c>
      <c r="B159" s="1">
        <f ca="1">IFERROR(__xludf.DUMMYFUNCTION("""COMPUTED_VALUE"""),1.55)</f>
        <v>1.55</v>
      </c>
    </row>
    <row r="160" spans="1:2">
      <c r="A160" s="3">
        <f ca="1">IFERROR(__xludf.DUMMYFUNCTION("""COMPUTED_VALUE"""),40585.6666666666)</f>
        <v>40585.666666666599</v>
      </c>
      <c r="B160" s="1">
        <f ca="1">IFERROR(__xludf.DUMMYFUNCTION("""COMPUTED_VALUE"""),1.55)</f>
        <v>1.55</v>
      </c>
    </row>
    <row r="161" spans="1:2">
      <c r="A161" s="3">
        <f ca="1">IFERROR(__xludf.DUMMYFUNCTION("""COMPUTED_VALUE"""),40588.6666666666)</f>
        <v>40588.666666666599</v>
      </c>
      <c r="B161" s="1">
        <f ca="1">IFERROR(__xludf.DUMMYFUNCTION("""COMPUTED_VALUE"""),1.54)</f>
        <v>1.54</v>
      </c>
    </row>
    <row r="162" spans="1:2">
      <c r="A162" s="3">
        <f ca="1">IFERROR(__xludf.DUMMYFUNCTION("""COMPUTED_VALUE"""),40589.6666666666)</f>
        <v>40589.666666666599</v>
      </c>
      <c r="B162" s="1">
        <f ca="1">IFERROR(__xludf.DUMMYFUNCTION("""COMPUTED_VALUE"""),1.52)</f>
        <v>1.52</v>
      </c>
    </row>
    <row r="163" spans="1:2">
      <c r="A163" s="3">
        <f ca="1">IFERROR(__xludf.DUMMYFUNCTION("""COMPUTED_VALUE"""),40590.6666666666)</f>
        <v>40590.666666666599</v>
      </c>
      <c r="B163" s="1">
        <f ca="1">IFERROR(__xludf.DUMMYFUNCTION("""COMPUTED_VALUE"""),1.65)</f>
        <v>1.65</v>
      </c>
    </row>
    <row r="164" spans="1:2">
      <c r="A164" s="3">
        <f ca="1">IFERROR(__xludf.DUMMYFUNCTION("""COMPUTED_VALUE"""),40591.6666666666)</f>
        <v>40591.666666666599</v>
      </c>
      <c r="B164" s="1">
        <f ca="1">IFERROR(__xludf.DUMMYFUNCTION("""COMPUTED_VALUE"""),1.57)</f>
        <v>1.57</v>
      </c>
    </row>
    <row r="165" spans="1:2">
      <c r="A165" s="3">
        <f ca="1">IFERROR(__xludf.DUMMYFUNCTION("""COMPUTED_VALUE"""),40592.6666666666)</f>
        <v>40592.666666666599</v>
      </c>
      <c r="B165" s="1">
        <f ca="1">IFERROR(__xludf.DUMMYFUNCTION("""COMPUTED_VALUE"""),1.55)</f>
        <v>1.55</v>
      </c>
    </row>
    <row r="166" spans="1:2">
      <c r="A166" s="3">
        <f ca="1">IFERROR(__xludf.DUMMYFUNCTION("""COMPUTED_VALUE"""),40596.6666666666)</f>
        <v>40596.666666666599</v>
      </c>
      <c r="B166" s="1">
        <f ca="1">IFERROR(__xludf.DUMMYFUNCTION("""COMPUTED_VALUE"""),1.46)</f>
        <v>1.46</v>
      </c>
    </row>
    <row r="167" spans="1:2">
      <c r="A167" s="3">
        <f ca="1">IFERROR(__xludf.DUMMYFUNCTION("""COMPUTED_VALUE"""),40597.6666666666)</f>
        <v>40597.666666666599</v>
      </c>
      <c r="B167" s="1">
        <f ca="1">IFERROR(__xludf.DUMMYFUNCTION("""COMPUTED_VALUE"""),1.46)</f>
        <v>1.46</v>
      </c>
    </row>
    <row r="168" spans="1:2">
      <c r="A168" s="3">
        <f ca="1">IFERROR(__xludf.DUMMYFUNCTION("""COMPUTED_VALUE"""),40598.6666666666)</f>
        <v>40598.666666666599</v>
      </c>
      <c r="B168" s="1">
        <f ca="1">IFERROR(__xludf.DUMMYFUNCTION("""COMPUTED_VALUE"""),1.5)</f>
        <v>1.5</v>
      </c>
    </row>
    <row r="169" spans="1:2">
      <c r="A169" s="3">
        <f ca="1">IFERROR(__xludf.DUMMYFUNCTION("""COMPUTED_VALUE"""),40599.6666666666)</f>
        <v>40599.666666666599</v>
      </c>
      <c r="B169" s="1">
        <f ca="1">IFERROR(__xludf.DUMMYFUNCTION("""COMPUTED_VALUE"""),1.57)</f>
        <v>1.57</v>
      </c>
    </row>
    <row r="170" spans="1:2">
      <c r="A170" s="3">
        <f ca="1">IFERROR(__xludf.DUMMYFUNCTION("""COMPUTED_VALUE"""),40602.6666666666)</f>
        <v>40602.666666666599</v>
      </c>
      <c r="B170" s="1">
        <f ca="1">IFERROR(__xludf.DUMMYFUNCTION("""COMPUTED_VALUE"""),1.59)</f>
        <v>1.59</v>
      </c>
    </row>
    <row r="171" spans="1:2">
      <c r="A171" s="3">
        <f ca="1">IFERROR(__xludf.DUMMYFUNCTION("""COMPUTED_VALUE"""),40603.6666666666)</f>
        <v>40603.666666666599</v>
      </c>
      <c r="B171" s="1">
        <f ca="1">IFERROR(__xludf.DUMMYFUNCTION("""COMPUTED_VALUE"""),1.6)</f>
        <v>1.6</v>
      </c>
    </row>
    <row r="172" spans="1:2">
      <c r="A172" s="3">
        <f ca="1">IFERROR(__xludf.DUMMYFUNCTION("""COMPUTED_VALUE"""),40604.6666666666)</f>
        <v>40604.666666666599</v>
      </c>
      <c r="B172" s="1">
        <f ca="1">IFERROR(__xludf.DUMMYFUNCTION("""COMPUTED_VALUE"""),1.6)</f>
        <v>1.6</v>
      </c>
    </row>
    <row r="173" spans="1:2">
      <c r="A173" s="3">
        <f ca="1">IFERROR(__xludf.DUMMYFUNCTION("""COMPUTED_VALUE"""),40605.6666666666)</f>
        <v>40605.666666666599</v>
      </c>
      <c r="B173" s="1">
        <f ca="1">IFERROR(__xludf.DUMMYFUNCTION("""COMPUTED_VALUE"""),1.62)</f>
        <v>1.62</v>
      </c>
    </row>
    <row r="174" spans="1:2">
      <c r="A174" s="3">
        <f ca="1">IFERROR(__xludf.DUMMYFUNCTION("""COMPUTED_VALUE"""),40606.6666666666)</f>
        <v>40606.666666666599</v>
      </c>
      <c r="B174" s="1">
        <f ca="1">IFERROR(__xludf.DUMMYFUNCTION("""COMPUTED_VALUE"""),1.66)</f>
        <v>1.66</v>
      </c>
    </row>
    <row r="175" spans="1:2">
      <c r="A175" s="3">
        <f ca="1">IFERROR(__xludf.DUMMYFUNCTION("""COMPUTED_VALUE"""),40609.6666666666)</f>
        <v>40609.666666666599</v>
      </c>
      <c r="B175" s="1">
        <f ca="1">IFERROR(__xludf.DUMMYFUNCTION("""COMPUTED_VALUE"""),1.66)</f>
        <v>1.66</v>
      </c>
    </row>
    <row r="176" spans="1:2">
      <c r="A176" s="3">
        <f ca="1">IFERROR(__xludf.DUMMYFUNCTION("""COMPUTED_VALUE"""),40610.6666666666)</f>
        <v>40610.666666666599</v>
      </c>
      <c r="B176" s="1">
        <f ca="1">IFERROR(__xludf.DUMMYFUNCTION("""COMPUTED_VALUE"""),1.64)</f>
        <v>1.64</v>
      </c>
    </row>
    <row r="177" spans="1:2">
      <c r="A177" s="3">
        <f ca="1">IFERROR(__xludf.DUMMYFUNCTION("""COMPUTED_VALUE"""),40611.6666666666)</f>
        <v>40611.666666666599</v>
      </c>
      <c r="B177" s="1">
        <f ca="1">IFERROR(__xludf.DUMMYFUNCTION("""COMPUTED_VALUE"""),1.65)</f>
        <v>1.65</v>
      </c>
    </row>
    <row r="178" spans="1:2">
      <c r="A178" s="3">
        <f ca="1">IFERROR(__xludf.DUMMYFUNCTION("""COMPUTED_VALUE"""),40612.6666666666)</f>
        <v>40612.666666666599</v>
      </c>
      <c r="B178" s="1">
        <f ca="1">IFERROR(__xludf.DUMMYFUNCTION("""COMPUTED_VALUE"""),1.6)</f>
        <v>1.6</v>
      </c>
    </row>
    <row r="179" spans="1:2">
      <c r="A179" s="3">
        <f ca="1">IFERROR(__xludf.DUMMYFUNCTION("""COMPUTED_VALUE"""),40613.6666666666)</f>
        <v>40613.666666666599</v>
      </c>
      <c r="B179" s="1">
        <f ca="1">IFERROR(__xludf.DUMMYFUNCTION("""COMPUTED_VALUE"""),1.6)</f>
        <v>1.6</v>
      </c>
    </row>
    <row r="180" spans="1:2">
      <c r="A180" s="3">
        <f ca="1">IFERROR(__xludf.DUMMYFUNCTION("""COMPUTED_VALUE"""),40616.6666666666)</f>
        <v>40616.666666666599</v>
      </c>
      <c r="B180" s="1">
        <f ca="1">IFERROR(__xludf.DUMMYFUNCTION("""COMPUTED_VALUE"""),1.55)</f>
        <v>1.55</v>
      </c>
    </row>
    <row r="181" spans="1:2">
      <c r="A181" s="3">
        <f ca="1">IFERROR(__xludf.DUMMYFUNCTION("""COMPUTED_VALUE"""),40617.6666666666)</f>
        <v>40617.666666666599</v>
      </c>
      <c r="B181" s="1">
        <f ca="1">IFERROR(__xludf.DUMMYFUNCTION("""COMPUTED_VALUE"""),1.53)</f>
        <v>1.53</v>
      </c>
    </row>
    <row r="182" spans="1:2">
      <c r="A182" s="3">
        <f ca="1">IFERROR(__xludf.DUMMYFUNCTION("""COMPUTED_VALUE"""),40618.6666666666)</f>
        <v>40618.666666666599</v>
      </c>
      <c r="B182" s="1">
        <f ca="1">IFERROR(__xludf.DUMMYFUNCTION("""COMPUTED_VALUE"""),1.52)</f>
        <v>1.52</v>
      </c>
    </row>
    <row r="183" spans="1:2">
      <c r="A183" s="3">
        <f ca="1">IFERROR(__xludf.DUMMYFUNCTION("""COMPUTED_VALUE"""),40619.6666666666)</f>
        <v>40619.666666666599</v>
      </c>
      <c r="B183" s="1">
        <f ca="1">IFERROR(__xludf.DUMMYFUNCTION("""COMPUTED_VALUE"""),1.52)</f>
        <v>1.52</v>
      </c>
    </row>
    <row r="184" spans="1:2">
      <c r="A184" s="3">
        <f ca="1">IFERROR(__xludf.DUMMYFUNCTION("""COMPUTED_VALUE"""),40620.6666666666)</f>
        <v>40620.666666666599</v>
      </c>
      <c r="B184" s="1">
        <f ca="1">IFERROR(__xludf.DUMMYFUNCTION("""COMPUTED_VALUE"""),1.53)</f>
        <v>1.53</v>
      </c>
    </row>
    <row r="185" spans="1:2">
      <c r="A185" s="3">
        <f ca="1">IFERROR(__xludf.DUMMYFUNCTION("""COMPUTED_VALUE"""),40623.6666666666)</f>
        <v>40623.666666666599</v>
      </c>
      <c r="B185" s="1">
        <f ca="1">IFERROR(__xludf.DUMMYFUNCTION("""COMPUTED_VALUE"""),1.52)</f>
        <v>1.52</v>
      </c>
    </row>
    <row r="186" spans="1:2">
      <c r="A186" s="3">
        <f ca="1">IFERROR(__xludf.DUMMYFUNCTION("""COMPUTED_VALUE"""),40624.6666666666)</f>
        <v>40624.666666666599</v>
      </c>
      <c r="B186" s="1">
        <f ca="1">IFERROR(__xludf.DUMMYFUNCTION("""COMPUTED_VALUE"""),1.48)</f>
        <v>1.48</v>
      </c>
    </row>
    <row r="187" spans="1:2">
      <c r="A187" s="3">
        <f ca="1">IFERROR(__xludf.DUMMYFUNCTION("""COMPUTED_VALUE"""),40625.6666666666)</f>
        <v>40625.666666666599</v>
      </c>
      <c r="B187" s="1">
        <f ca="1">IFERROR(__xludf.DUMMYFUNCTION("""COMPUTED_VALUE"""),1.48)</f>
        <v>1.48</v>
      </c>
    </row>
    <row r="188" spans="1:2">
      <c r="A188" s="3">
        <f ca="1">IFERROR(__xludf.DUMMYFUNCTION("""COMPUTED_VALUE"""),40626.6666666666)</f>
        <v>40626.666666666599</v>
      </c>
      <c r="B188" s="1">
        <f ca="1">IFERROR(__xludf.DUMMYFUNCTION("""COMPUTED_VALUE"""),1.49)</f>
        <v>1.49</v>
      </c>
    </row>
    <row r="189" spans="1:2">
      <c r="A189" s="3">
        <f ca="1">IFERROR(__xludf.DUMMYFUNCTION("""COMPUTED_VALUE"""),40627.6666666666)</f>
        <v>40627.666666666599</v>
      </c>
      <c r="B189" s="1">
        <f ca="1">IFERROR(__xludf.DUMMYFUNCTION("""COMPUTED_VALUE"""),1.52)</f>
        <v>1.52</v>
      </c>
    </row>
    <row r="190" spans="1:2">
      <c r="A190" s="3">
        <f ca="1">IFERROR(__xludf.DUMMYFUNCTION("""COMPUTED_VALUE"""),40630.6666666666)</f>
        <v>40630.666666666599</v>
      </c>
      <c r="B190" s="1">
        <f ca="1">IFERROR(__xludf.DUMMYFUNCTION("""COMPUTED_VALUE"""),1.55)</f>
        <v>1.55</v>
      </c>
    </row>
    <row r="191" spans="1:2">
      <c r="A191" s="3">
        <f ca="1">IFERROR(__xludf.DUMMYFUNCTION("""COMPUTED_VALUE"""),40631.6666666666)</f>
        <v>40631.666666666599</v>
      </c>
      <c r="B191" s="1">
        <f ca="1">IFERROR(__xludf.DUMMYFUNCTION("""COMPUTED_VALUE"""),1.59)</f>
        <v>1.59</v>
      </c>
    </row>
    <row r="192" spans="1:2">
      <c r="A192" s="3">
        <f ca="1">IFERROR(__xludf.DUMMYFUNCTION("""COMPUTED_VALUE"""),40632.6666666666)</f>
        <v>40632.666666666599</v>
      </c>
      <c r="B192" s="1">
        <f ca="1">IFERROR(__xludf.DUMMYFUNCTION("""COMPUTED_VALUE"""),1.58)</f>
        <v>1.58</v>
      </c>
    </row>
    <row r="193" spans="1:2">
      <c r="A193" s="3">
        <f ca="1">IFERROR(__xludf.DUMMYFUNCTION("""COMPUTED_VALUE"""),40633.6666666666)</f>
        <v>40633.666666666599</v>
      </c>
      <c r="B193" s="1">
        <f ca="1">IFERROR(__xludf.DUMMYFUNCTION("""COMPUTED_VALUE"""),1.85)</f>
        <v>1.85</v>
      </c>
    </row>
    <row r="194" spans="1:2">
      <c r="A194" s="3">
        <f ca="1">IFERROR(__xludf.DUMMYFUNCTION("""COMPUTED_VALUE"""),40634.6666666666)</f>
        <v>40634.666666666599</v>
      </c>
      <c r="B194" s="1">
        <f ca="1">IFERROR(__xludf.DUMMYFUNCTION("""COMPUTED_VALUE"""),1.78)</f>
        <v>1.78</v>
      </c>
    </row>
    <row r="195" spans="1:2">
      <c r="A195" s="3">
        <f ca="1">IFERROR(__xludf.DUMMYFUNCTION("""COMPUTED_VALUE"""),40637.6666666666)</f>
        <v>40637.666666666599</v>
      </c>
      <c r="B195" s="1">
        <f ca="1">IFERROR(__xludf.DUMMYFUNCTION("""COMPUTED_VALUE"""),1.72)</f>
        <v>1.72</v>
      </c>
    </row>
    <row r="196" spans="1:2">
      <c r="A196" s="3">
        <f ca="1">IFERROR(__xludf.DUMMYFUNCTION("""COMPUTED_VALUE"""),40638.6666666666)</f>
        <v>40638.666666666599</v>
      </c>
      <c r="B196" s="1">
        <f ca="1">IFERROR(__xludf.DUMMYFUNCTION("""COMPUTED_VALUE"""),1.78)</f>
        <v>1.78</v>
      </c>
    </row>
    <row r="197" spans="1:2">
      <c r="A197" s="3">
        <f ca="1">IFERROR(__xludf.DUMMYFUNCTION("""COMPUTED_VALUE"""),40639.6666666666)</f>
        <v>40639.666666666599</v>
      </c>
      <c r="B197" s="1">
        <f ca="1">IFERROR(__xludf.DUMMYFUNCTION("""COMPUTED_VALUE"""),1.77)</f>
        <v>1.77</v>
      </c>
    </row>
    <row r="198" spans="1:2">
      <c r="A198" s="3">
        <f ca="1">IFERROR(__xludf.DUMMYFUNCTION("""COMPUTED_VALUE"""),40640.6666666666)</f>
        <v>40640.666666666599</v>
      </c>
      <c r="B198" s="1">
        <f ca="1">IFERROR(__xludf.DUMMYFUNCTION("""COMPUTED_VALUE"""),1.82)</f>
        <v>1.82</v>
      </c>
    </row>
    <row r="199" spans="1:2">
      <c r="A199" s="3">
        <f ca="1">IFERROR(__xludf.DUMMYFUNCTION("""COMPUTED_VALUE"""),40641.6666666666)</f>
        <v>40641.666666666599</v>
      </c>
      <c r="B199" s="1">
        <f ca="1">IFERROR(__xludf.DUMMYFUNCTION("""COMPUTED_VALUE"""),1.77)</f>
        <v>1.77</v>
      </c>
    </row>
    <row r="200" spans="1:2">
      <c r="A200" s="3">
        <f ca="1">IFERROR(__xludf.DUMMYFUNCTION("""COMPUTED_VALUE"""),40644.6666666666)</f>
        <v>40644.666666666599</v>
      </c>
      <c r="B200" s="1">
        <f ca="1">IFERROR(__xludf.DUMMYFUNCTION("""COMPUTED_VALUE"""),1.68)</f>
        <v>1.68</v>
      </c>
    </row>
    <row r="201" spans="1:2">
      <c r="A201" s="3">
        <f ca="1">IFERROR(__xludf.DUMMYFUNCTION("""COMPUTED_VALUE"""),40645.6666666666)</f>
        <v>40645.666666666599</v>
      </c>
      <c r="B201" s="1">
        <f ca="1">IFERROR(__xludf.DUMMYFUNCTION("""COMPUTED_VALUE"""),1.64)</f>
        <v>1.64</v>
      </c>
    </row>
    <row r="202" spans="1:2">
      <c r="A202" s="3">
        <f ca="1">IFERROR(__xludf.DUMMYFUNCTION("""COMPUTED_VALUE"""),40646.6666666666)</f>
        <v>40646.666666666599</v>
      </c>
      <c r="B202" s="1">
        <f ca="1">IFERROR(__xludf.DUMMYFUNCTION("""COMPUTED_VALUE"""),1.66)</f>
        <v>1.66</v>
      </c>
    </row>
    <row r="203" spans="1:2">
      <c r="A203" s="3">
        <f ca="1">IFERROR(__xludf.DUMMYFUNCTION("""COMPUTED_VALUE"""),40647.6666666666)</f>
        <v>40647.666666666599</v>
      </c>
      <c r="B203" s="1">
        <f ca="1">IFERROR(__xludf.DUMMYFUNCTION("""COMPUTED_VALUE"""),1.68)</f>
        <v>1.68</v>
      </c>
    </row>
    <row r="204" spans="1:2">
      <c r="A204" s="3">
        <f ca="1">IFERROR(__xludf.DUMMYFUNCTION("""COMPUTED_VALUE"""),40648.6666666666)</f>
        <v>40648.666666666599</v>
      </c>
      <c r="B204" s="1">
        <f ca="1">IFERROR(__xludf.DUMMYFUNCTION("""COMPUTED_VALUE"""),1.71)</f>
        <v>1.71</v>
      </c>
    </row>
    <row r="205" spans="1:2">
      <c r="A205" s="3">
        <f ca="1">IFERROR(__xludf.DUMMYFUNCTION("""COMPUTED_VALUE"""),40651.6666666666)</f>
        <v>40651.666666666599</v>
      </c>
      <c r="B205" s="1">
        <f ca="1">IFERROR(__xludf.DUMMYFUNCTION("""COMPUTED_VALUE"""),1.67)</f>
        <v>1.67</v>
      </c>
    </row>
    <row r="206" spans="1:2">
      <c r="A206" s="3">
        <f ca="1">IFERROR(__xludf.DUMMYFUNCTION("""COMPUTED_VALUE"""),40652.6666666666)</f>
        <v>40652.666666666599</v>
      </c>
      <c r="B206" s="1">
        <f ca="1">IFERROR(__xludf.DUMMYFUNCTION("""COMPUTED_VALUE"""),1.68)</f>
        <v>1.68</v>
      </c>
    </row>
    <row r="207" spans="1:2">
      <c r="A207" s="3">
        <f ca="1">IFERROR(__xludf.DUMMYFUNCTION("""COMPUTED_VALUE"""),40653.6666666666)</f>
        <v>40653.666666666599</v>
      </c>
      <c r="B207" s="1">
        <f ca="1">IFERROR(__xludf.DUMMYFUNCTION("""COMPUTED_VALUE"""),1.72)</f>
        <v>1.72</v>
      </c>
    </row>
    <row r="208" spans="1:2">
      <c r="A208" s="3">
        <f ca="1">IFERROR(__xludf.DUMMYFUNCTION("""COMPUTED_VALUE"""),40654.6666666666)</f>
        <v>40654.666666666599</v>
      </c>
      <c r="B208" s="1">
        <f ca="1">IFERROR(__xludf.DUMMYFUNCTION("""COMPUTED_VALUE"""),1.78)</f>
        <v>1.78</v>
      </c>
    </row>
    <row r="209" spans="1:2">
      <c r="A209" s="3">
        <f ca="1">IFERROR(__xludf.DUMMYFUNCTION("""COMPUTED_VALUE"""),40658.6666666666)</f>
        <v>40658.666666666599</v>
      </c>
      <c r="B209" s="1">
        <f ca="1">IFERROR(__xludf.DUMMYFUNCTION("""COMPUTED_VALUE"""),1.76)</f>
        <v>1.76</v>
      </c>
    </row>
    <row r="210" spans="1:2">
      <c r="A210" s="3">
        <f ca="1">IFERROR(__xludf.DUMMYFUNCTION("""COMPUTED_VALUE"""),40659.6666666666)</f>
        <v>40659.666666666599</v>
      </c>
      <c r="B210" s="1">
        <f ca="1">IFERROR(__xludf.DUMMYFUNCTION("""COMPUTED_VALUE"""),1.8)</f>
        <v>1.8</v>
      </c>
    </row>
    <row r="211" spans="1:2">
      <c r="A211" s="3">
        <f ca="1">IFERROR(__xludf.DUMMYFUNCTION("""COMPUTED_VALUE"""),40660.6666666666)</f>
        <v>40660.666666666599</v>
      </c>
      <c r="B211" s="1">
        <f ca="1">IFERROR(__xludf.DUMMYFUNCTION("""COMPUTED_VALUE"""),1.81)</f>
        <v>1.81</v>
      </c>
    </row>
    <row r="212" spans="1:2">
      <c r="A212" s="3">
        <f ca="1">IFERROR(__xludf.DUMMYFUNCTION("""COMPUTED_VALUE"""),40661.6666666666)</f>
        <v>40661.666666666599</v>
      </c>
      <c r="B212" s="1">
        <f ca="1">IFERROR(__xludf.DUMMYFUNCTION("""COMPUTED_VALUE"""),1.84)</f>
        <v>1.84</v>
      </c>
    </row>
    <row r="213" spans="1:2">
      <c r="A213" s="3">
        <f ca="1">IFERROR(__xludf.DUMMYFUNCTION("""COMPUTED_VALUE"""),40662.6666666666)</f>
        <v>40662.666666666599</v>
      </c>
      <c r="B213" s="1">
        <f ca="1">IFERROR(__xludf.DUMMYFUNCTION("""COMPUTED_VALUE"""),1.84)</f>
        <v>1.84</v>
      </c>
    </row>
    <row r="214" spans="1:2">
      <c r="A214" s="3">
        <f ca="1">IFERROR(__xludf.DUMMYFUNCTION("""COMPUTED_VALUE"""),40665.6666666666)</f>
        <v>40665.666666666599</v>
      </c>
      <c r="B214" s="1">
        <f ca="1">IFERROR(__xludf.DUMMYFUNCTION("""COMPUTED_VALUE"""),1.83)</f>
        <v>1.83</v>
      </c>
    </row>
    <row r="215" spans="1:2">
      <c r="A215" s="3">
        <f ca="1">IFERROR(__xludf.DUMMYFUNCTION("""COMPUTED_VALUE"""),40666.6666666666)</f>
        <v>40666.666666666599</v>
      </c>
      <c r="B215" s="1">
        <f ca="1">IFERROR(__xludf.DUMMYFUNCTION("""COMPUTED_VALUE"""),1.79)</f>
        <v>1.79</v>
      </c>
    </row>
    <row r="216" spans="1:2">
      <c r="A216" s="3">
        <f ca="1">IFERROR(__xludf.DUMMYFUNCTION("""COMPUTED_VALUE"""),40667.6666666666)</f>
        <v>40667.666666666599</v>
      </c>
      <c r="B216" s="1">
        <f ca="1">IFERROR(__xludf.DUMMYFUNCTION("""COMPUTED_VALUE"""),1.78)</f>
        <v>1.78</v>
      </c>
    </row>
    <row r="217" spans="1:2">
      <c r="A217" s="3">
        <f ca="1">IFERROR(__xludf.DUMMYFUNCTION("""COMPUTED_VALUE"""),40668.6666666666)</f>
        <v>40668.666666666599</v>
      </c>
      <c r="B217" s="1">
        <f ca="1">IFERROR(__xludf.DUMMYFUNCTION("""COMPUTED_VALUE"""),1.76)</f>
        <v>1.76</v>
      </c>
    </row>
    <row r="218" spans="1:2">
      <c r="A218" s="3">
        <f ca="1">IFERROR(__xludf.DUMMYFUNCTION("""COMPUTED_VALUE"""),40669.6666666666)</f>
        <v>40669.666666666599</v>
      </c>
      <c r="B218" s="1">
        <f ca="1">IFERROR(__xludf.DUMMYFUNCTION("""COMPUTED_VALUE"""),1.81)</f>
        <v>1.81</v>
      </c>
    </row>
    <row r="219" spans="1:2">
      <c r="A219" s="3">
        <f ca="1">IFERROR(__xludf.DUMMYFUNCTION("""COMPUTED_VALUE"""),40672.6666666666)</f>
        <v>40672.666666666599</v>
      </c>
      <c r="B219" s="1">
        <f ca="1">IFERROR(__xludf.DUMMYFUNCTION("""COMPUTED_VALUE"""),1.86)</f>
        <v>1.86</v>
      </c>
    </row>
    <row r="220" spans="1:2">
      <c r="A220" s="3">
        <f ca="1">IFERROR(__xludf.DUMMYFUNCTION("""COMPUTED_VALUE"""),40673.6666666666)</f>
        <v>40673.666666666599</v>
      </c>
      <c r="B220" s="1">
        <f ca="1">IFERROR(__xludf.DUMMYFUNCTION("""COMPUTED_VALUE"""),1.89)</f>
        <v>1.89</v>
      </c>
    </row>
    <row r="221" spans="1:2">
      <c r="A221" s="3">
        <f ca="1">IFERROR(__xludf.DUMMYFUNCTION("""COMPUTED_VALUE"""),40674.6666666666)</f>
        <v>40674.666666666599</v>
      </c>
      <c r="B221" s="1">
        <f ca="1">IFERROR(__xludf.DUMMYFUNCTION("""COMPUTED_VALUE"""),1.8)</f>
        <v>1.8</v>
      </c>
    </row>
    <row r="222" spans="1:2">
      <c r="A222" s="3">
        <f ca="1">IFERROR(__xludf.DUMMYFUNCTION("""COMPUTED_VALUE"""),40675.6666666666)</f>
        <v>40675.666666666599</v>
      </c>
      <c r="B222" s="1">
        <f ca="1">IFERROR(__xludf.DUMMYFUNCTION("""COMPUTED_VALUE"""),1.84)</f>
        <v>1.84</v>
      </c>
    </row>
    <row r="223" spans="1:2">
      <c r="A223" s="3">
        <f ca="1">IFERROR(__xludf.DUMMYFUNCTION("""COMPUTED_VALUE"""),40676.6666666666)</f>
        <v>40676.666666666599</v>
      </c>
      <c r="B223" s="1">
        <f ca="1">IFERROR(__xludf.DUMMYFUNCTION("""COMPUTED_VALUE"""),1.84)</f>
        <v>1.84</v>
      </c>
    </row>
    <row r="224" spans="1:2">
      <c r="A224" s="3">
        <f ca="1">IFERROR(__xludf.DUMMYFUNCTION("""COMPUTED_VALUE"""),40679.6666666666)</f>
        <v>40679.666666666599</v>
      </c>
      <c r="B224" s="1">
        <f ca="1">IFERROR(__xludf.DUMMYFUNCTION("""COMPUTED_VALUE"""),1.77)</f>
        <v>1.77</v>
      </c>
    </row>
    <row r="225" spans="1:2">
      <c r="A225" s="3">
        <f ca="1">IFERROR(__xludf.DUMMYFUNCTION("""COMPUTED_VALUE"""),40680.6666666666)</f>
        <v>40680.666666666599</v>
      </c>
      <c r="B225" s="1">
        <f ca="1">IFERROR(__xludf.DUMMYFUNCTION("""COMPUTED_VALUE"""),1.73)</f>
        <v>1.73</v>
      </c>
    </row>
    <row r="226" spans="1:2">
      <c r="A226" s="3">
        <f ca="1">IFERROR(__xludf.DUMMYFUNCTION("""COMPUTED_VALUE"""),40681.6666666666)</f>
        <v>40681.666666666599</v>
      </c>
      <c r="B226" s="1">
        <f ca="1">IFERROR(__xludf.DUMMYFUNCTION("""COMPUTED_VALUE"""),1.76)</f>
        <v>1.76</v>
      </c>
    </row>
    <row r="227" spans="1:2">
      <c r="A227" s="3">
        <f ca="1">IFERROR(__xludf.DUMMYFUNCTION("""COMPUTED_VALUE"""),40682.6666666666)</f>
        <v>40682.666666666599</v>
      </c>
      <c r="B227" s="1">
        <f ca="1">IFERROR(__xludf.DUMMYFUNCTION("""COMPUTED_VALUE"""),1.88)</f>
        <v>1.88</v>
      </c>
    </row>
    <row r="228" spans="1:2">
      <c r="A228" s="3">
        <f ca="1">IFERROR(__xludf.DUMMYFUNCTION("""COMPUTED_VALUE"""),40683.6666666666)</f>
        <v>40683.666666666599</v>
      </c>
      <c r="B228" s="1">
        <f ca="1">IFERROR(__xludf.DUMMYFUNCTION("""COMPUTED_VALUE"""),1.86)</f>
        <v>1.86</v>
      </c>
    </row>
    <row r="229" spans="1:2">
      <c r="A229" s="3">
        <f ca="1">IFERROR(__xludf.DUMMYFUNCTION("""COMPUTED_VALUE"""),40686.6666666666)</f>
        <v>40686.666666666599</v>
      </c>
      <c r="B229" s="1">
        <f ca="1">IFERROR(__xludf.DUMMYFUNCTION("""COMPUTED_VALUE"""),1.79)</f>
        <v>1.79</v>
      </c>
    </row>
    <row r="230" spans="1:2">
      <c r="A230" s="3">
        <f ca="1">IFERROR(__xludf.DUMMYFUNCTION("""COMPUTED_VALUE"""),40687.6666666666)</f>
        <v>40687.666666666599</v>
      </c>
      <c r="B230" s="1">
        <f ca="1">IFERROR(__xludf.DUMMYFUNCTION("""COMPUTED_VALUE"""),1.78)</f>
        <v>1.78</v>
      </c>
    </row>
    <row r="231" spans="1:2">
      <c r="A231" s="3">
        <f ca="1">IFERROR(__xludf.DUMMYFUNCTION("""COMPUTED_VALUE"""),40688.6666666666)</f>
        <v>40688.666666666599</v>
      </c>
      <c r="B231" s="1">
        <f ca="1">IFERROR(__xludf.DUMMYFUNCTION("""COMPUTED_VALUE"""),1.93)</f>
        <v>1.93</v>
      </c>
    </row>
    <row r="232" spans="1:2">
      <c r="A232" s="3">
        <f ca="1">IFERROR(__xludf.DUMMYFUNCTION("""COMPUTED_VALUE"""),40689.6666666666)</f>
        <v>40689.666666666599</v>
      </c>
      <c r="B232" s="1">
        <f ca="1">IFERROR(__xludf.DUMMYFUNCTION("""COMPUTED_VALUE"""),1.97)</f>
        <v>1.97</v>
      </c>
    </row>
    <row r="233" spans="1:2">
      <c r="A233" s="3">
        <f ca="1">IFERROR(__xludf.DUMMYFUNCTION("""COMPUTED_VALUE"""),40690.6666666666)</f>
        <v>40690.666666666599</v>
      </c>
      <c r="B233" s="1">
        <f ca="1">IFERROR(__xludf.DUMMYFUNCTION("""COMPUTED_VALUE"""),1.97)</f>
        <v>1.97</v>
      </c>
    </row>
    <row r="234" spans="1:2">
      <c r="A234" s="3">
        <f ca="1">IFERROR(__xludf.DUMMYFUNCTION("""COMPUTED_VALUE"""),40694.6666666666)</f>
        <v>40694.666666666599</v>
      </c>
      <c r="B234" s="1">
        <f ca="1">IFERROR(__xludf.DUMMYFUNCTION("""COMPUTED_VALUE"""),2.01)</f>
        <v>2.0099999999999998</v>
      </c>
    </row>
    <row r="235" spans="1:2">
      <c r="A235" s="3">
        <f ca="1">IFERROR(__xludf.DUMMYFUNCTION("""COMPUTED_VALUE"""),40695.6666666666)</f>
        <v>40695.666666666599</v>
      </c>
      <c r="B235" s="1">
        <f ca="1">IFERROR(__xludf.DUMMYFUNCTION("""COMPUTED_VALUE"""),1.9)</f>
        <v>1.9</v>
      </c>
    </row>
    <row r="236" spans="1:2">
      <c r="A236" s="3">
        <f ca="1">IFERROR(__xludf.DUMMYFUNCTION("""COMPUTED_VALUE"""),40696.6666666666)</f>
        <v>40696.666666666599</v>
      </c>
      <c r="B236" s="1">
        <f ca="1">IFERROR(__xludf.DUMMYFUNCTION("""COMPUTED_VALUE"""),1.92)</f>
        <v>1.92</v>
      </c>
    </row>
    <row r="237" spans="1:2">
      <c r="A237" s="3">
        <f ca="1">IFERROR(__xludf.DUMMYFUNCTION("""COMPUTED_VALUE"""),40697.6666666666)</f>
        <v>40697.666666666599</v>
      </c>
      <c r="B237" s="1">
        <f ca="1">IFERROR(__xludf.DUMMYFUNCTION("""COMPUTED_VALUE"""),2.01)</f>
        <v>2.0099999999999998</v>
      </c>
    </row>
    <row r="238" spans="1:2">
      <c r="A238" s="3">
        <f ca="1">IFERROR(__xludf.DUMMYFUNCTION("""COMPUTED_VALUE"""),40700.6666666666)</f>
        <v>40700.666666666599</v>
      </c>
      <c r="B238" s="1">
        <f ca="1">IFERROR(__xludf.DUMMYFUNCTION("""COMPUTED_VALUE"""),1.91)</f>
        <v>1.91</v>
      </c>
    </row>
    <row r="239" spans="1:2">
      <c r="A239" s="3">
        <f ca="1">IFERROR(__xludf.DUMMYFUNCTION("""COMPUTED_VALUE"""),40701.6666666666)</f>
        <v>40701.666666666599</v>
      </c>
      <c r="B239" s="1">
        <f ca="1">IFERROR(__xludf.DUMMYFUNCTION("""COMPUTED_VALUE"""),1.89)</f>
        <v>1.89</v>
      </c>
    </row>
    <row r="240" spans="1:2">
      <c r="A240" s="3">
        <f ca="1">IFERROR(__xludf.DUMMYFUNCTION("""COMPUTED_VALUE"""),40702.6666666666)</f>
        <v>40702.666666666599</v>
      </c>
      <c r="B240" s="1">
        <f ca="1">IFERROR(__xludf.DUMMYFUNCTION("""COMPUTED_VALUE"""),1.81)</f>
        <v>1.81</v>
      </c>
    </row>
    <row r="241" spans="1:2">
      <c r="A241" s="3">
        <f ca="1">IFERROR(__xludf.DUMMYFUNCTION("""COMPUTED_VALUE"""),40703.6666666666)</f>
        <v>40703.666666666599</v>
      </c>
      <c r="B241" s="1">
        <f ca="1">IFERROR(__xludf.DUMMYFUNCTION("""COMPUTED_VALUE"""),1.84)</f>
        <v>1.84</v>
      </c>
    </row>
    <row r="242" spans="1:2">
      <c r="A242" s="3">
        <f ca="1">IFERROR(__xludf.DUMMYFUNCTION("""COMPUTED_VALUE"""),40704.6666666666)</f>
        <v>40704.666666666599</v>
      </c>
      <c r="B242" s="1">
        <f ca="1">IFERROR(__xludf.DUMMYFUNCTION("""COMPUTED_VALUE"""),1.86)</f>
        <v>1.86</v>
      </c>
    </row>
    <row r="243" spans="1:2">
      <c r="A243" s="3">
        <f ca="1">IFERROR(__xludf.DUMMYFUNCTION("""COMPUTED_VALUE"""),40707.6666666666)</f>
        <v>40707.666666666599</v>
      </c>
      <c r="B243" s="1">
        <f ca="1">IFERROR(__xludf.DUMMYFUNCTION("""COMPUTED_VALUE"""),1.9)</f>
        <v>1.9</v>
      </c>
    </row>
    <row r="244" spans="1:2">
      <c r="A244" s="3">
        <f ca="1">IFERROR(__xludf.DUMMYFUNCTION("""COMPUTED_VALUE"""),40708.6666666666)</f>
        <v>40708.666666666599</v>
      </c>
      <c r="B244" s="1">
        <f ca="1">IFERROR(__xludf.DUMMYFUNCTION("""COMPUTED_VALUE"""),1.91)</f>
        <v>1.91</v>
      </c>
    </row>
    <row r="245" spans="1:2">
      <c r="A245" s="3">
        <f ca="1">IFERROR(__xludf.DUMMYFUNCTION("""COMPUTED_VALUE"""),40709.6666666666)</f>
        <v>40709.666666666599</v>
      </c>
      <c r="B245" s="1">
        <f ca="1">IFERROR(__xludf.DUMMYFUNCTION("""COMPUTED_VALUE"""),1.82)</f>
        <v>1.82</v>
      </c>
    </row>
    <row r="246" spans="1:2">
      <c r="A246" s="3">
        <f ca="1">IFERROR(__xludf.DUMMYFUNCTION("""COMPUTED_VALUE"""),40710.6666666666)</f>
        <v>40710.666666666599</v>
      </c>
      <c r="B246" s="1">
        <f ca="1">IFERROR(__xludf.DUMMYFUNCTION("""COMPUTED_VALUE"""),1.77)</f>
        <v>1.77</v>
      </c>
    </row>
    <row r="247" spans="1:2">
      <c r="A247" s="3">
        <f ca="1">IFERROR(__xludf.DUMMYFUNCTION("""COMPUTED_VALUE"""),40711.6666666666)</f>
        <v>40711.666666666599</v>
      </c>
      <c r="B247" s="1">
        <f ca="1">IFERROR(__xludf.DUMMYFUNCTION("""COMPUTED_VALUE"""),1.77)</f>
        <v>1.77</v>
      </c>
    </row>
    <row r="248" spans="1:2">
      <c r="A248" s="3">
        <f ca="1">IFERROR(__xludf.DUMMYFUNCTION("""COMPUTED_VALUE"""),40714.6666666666)</f>
        <v>40714.666666666599</v>
      </c>
      <c r="B248" s="1">
        <f ca="1">IFERROR(__xludf.DUMMYFUNCTION("""COMPUTED_VALUE"""),1.73)</f>
        <v>1.73</v>
      </c>
    </row>
    <row r="249" spans="1:2">
      <c r="A249" s="3">
        <f ca="1">IFERROR(__xludf.DUMMYFUNCTION("""COMPUTED_VALUE"""),40715.6666666666)</f>
        <v>40715.666666666599</v>
      </c>
      <c r="B249" s="1">
        <f ca="1">IFERROR(__xludf.DUMMYFUNCTION("""COMPUTED_VALUE"""),1.84)</f>
        <v>1.84</v>
      </c>
    </row>
    <row r="250" spans="1:2">
      <c r="A250" s="3">
        <f ca="1">IFERROR(__xludf.DUMMYFUNCTION("""COMPUTED_VALUE"""),40716.6666666666)</f>
        <v>40716.666666666599</v>
      </c>
      <c r="B250" s="1">
        <f ca="1">IFERROR(__xludf.DUMMYFUNCTION("""COMPUTED_VALUE"""),1.81)</f>
        <v>1.81</v>
      </c>
    </row>
    <row r="251" spans="1:2">
      <c r="A251" s="3">
        <f ca="1">IFERROR(__xludf.DUMMYFUNCTION("""COMPUTED_VALUE"""),40717.6666666666)</f>
        <v>40717.666666666599</v>
      </c>
      <c r="B251" s="1">
        <f ca="1">IFERROR(__xludf.DUMMYFUNCTION("""COMPUTED_VALUE"""),1.85)</f>
        <v>1.85</v>
      </c>
    </row>
    <row r="252" spans="1:2">
      <c r="A252" s="3">
        <f ca="1">IFERROR(__xludf.DUMMYFUNCTION("""COMPUTED_VALUE"""),40718.6666666666)</f>
        <v>40718.666666666599</v>
      </c>
      <c r="B252" s="1">
        <f ca="1">IFERROR(__xludf.DUMMYFUNCTION("""COMPUTED_VALUE"""),1.84)</f>
        <v>1.84</v>
      </c>
    </row>
    <row r="253" spans="1:2">
      <c r="A253" s="3">
        <f ca="1">IFERROR(__xludf.DUMMYFUNCTION("""COMPUTED_VALUE"""),40721.6666666666)</f>
        <v>40721.666666666599</v>
      </c>
      <c r="B253" s="1">
        <f ca="1">IFERROR(__xludf.DUMMYFUNCTION("""COMPUTED_VALUE"""),1.83)</f>
        <v>1.83</v>
      </c>
    </row>
    <row r="254" spans="1:2">
      <c r="A254" s="3">
        <f ca="1">IFERROR(__xludf.DUMMYFUNCTION("""COMPUTED_VALUE"""),40722.6666666666)</f>
        <v>40722.666666666599</v>
      </c>
      <c r="B254" s="1">
        <f ca="1">IFERROR(__xludf.DUMMYFUNCTION("""COMPUTED_VALUE"""),1.87)</f>
        <v>1.87</v>
      </c>
    </row>
    <row r="255" spans="1:2">
      <c r="A255" s="3">
        <f ca="1">IFERROR(__xludf.DUMMYFUNCTION("""COMPUTED_VALUE"""),40723.6666666666)</f>
        <v>40723.666666666599</v>
      </c>
      <c r="B255" s="1">
        <f ca="1">IFERROR(__xludf.DUMMYFUNCTION("""COMPUTED_VALUE"""),1.89)</f>
        <v>1.89</v>
      </c>
    </row>
    <row r="256" spans="1:2">
      <c r="A256" s="3">
        <f ca="1">IFERROR(__xludf.DUMMYFUNCTION("""COMPUTED_VALUE"""),40724.6666666666)</f>
        <v>40724.666666666599</v>
      </c>
      <c r="B256" s="1">
        <f ca="1">IFERROR(__xludf.DUMMYFUNCTION("""COMPUTED_VALUE"""),1.94)</f>
        <v>1.94</v>
      </c>
    </row>
    <row r="257" spans="1:2">
      <c r="A257" s="3">
        <f ca="1">IFERROR(__xludf.DUMMYFUNCTION("""COMPUTED_VALUE"""),40725.6666666666)</f>
        <v>40725.666666666599</v>
      </c>
      <c r="B257" s="1">
        <f ca="1">IFERROR(__xludf.DUMMYFUNCTION("""COMPUTED_VALUE"""),1.93)</f>
        <v>1.93</v>
      </c>
    </row>
    <row r="258" spans="1:2">
      <c r="A258" s="3">
        <f ca="1">IFERROR(__xludf.DUMMYFUNCTION("""COMPUTED_VALUE"""),40729.6666666666)</f>
        <v>40729.666666666599</v>
      </c>
      <c r="B258" s="1">
        <f ca="1">IFERROR(__xludf.DUMMYFUNCTION("""COMPUTED_VALUE"""),1.94)</f>
        <v>1.94</v>
      </c>
    </row>
    <row r="259" spans="1:2">
      <c r="A259" s="3">
        <f ca="1">IFERROR(__xludf.DUMMYFUNCTION("""COMPUTED_VALUE"""),40730.6666666666)</f>
        <v>40730.666666666599</v>
      </c>
      <c r="B259" s="1">
        <f ca="1">IFERROR(__xludf.DUMMYFUNCTION("""COMPUTED_VALUE"""),1.93)</f>
        <v>1.93</v>
      </c>
    </row>
    <row r="260" spans="1:2">
      <c r="A260" s="3">
        <f ca="1">IFERROR(__xludf.DUMMYFUNCTION("""COMPUTED_VALUE"""),40731.6666666666)</f>
        <v>40731.666666666599</v>
      </c>
      <c r="B260" s="1">
        <f ca="1">IFERROR(__xludf.DUMMYFUNCTION("""COMPUTED_VALUE"""),1.98)</f>
        <v>1.98</v>
      </c>
    </row>
    <row r="261" spans="1:2">
      <c r="A261" s="3">
        <f ca="1">IFERROR(__xludf.DUMMYFUNCTION("""COMPUTED_VALUE"""),40732.6666666666)</f>
        <v>40732.666666666599</v>
      </c>
      <c r="B261" s="1">
        <f ca="1">IFERROR(__xludf.DUMMYFUNCTION("""COMPUTED_VALUE"""),1.92)</f>
        <v>1.92</v>
      </c>
    </row>
    <row r="262" spans="1:2">
      <c r="A262" s="3">
        <f ca="1">IFERROR(__xludf.DUMMYFUNCTION("""COMPUTED_VALUE"""),40735.6666666666)</f>
        <v>40735.666666666599</v>
      </c>
      <c r="B262" s="1">
        <f ca="1">IFERROR(__xludf.DUMMYFUNCTION("""COMPUTED_VALUE"""),1.89)</f>
        <v>1.89</v>
      </c>
    </row>
    <row r="263" spans="1:2">
      <c r="A263" s="3">
        <f ca="1">IFERROR(__xludf.DUMMYFUNCTION("""COMPUTED_VALUE"""),40736.6666666666)</f>
        <v>40736.666666666599</v>
      </c>
      <c r="B263" s="1">
        <f ca="1">IFERROR(__xludf.DUMMYFUNCTION("""COMPUTED_VALUE"""),1.88)</f>
        <v>1.88</v>
      </c>
    </row>
    <row r="264" spans="1:2">
      <c r="A264" s="3">
        <f ca="1">IFERROR(__xludf.DUMMYFUNCTION("""COMPUTED_VALUE"""),40737.6666666666)</f>
        <v>40737.666666666599</v>
      </c>
      <c r="B264" s="1">
        <f ca="1">IFERROR(__xludf.DUMMYFUNCTION("""COMPUTED_VALUE"""),1.91)</f>
        <v>1.91</v>
      </c>
    </row>
    <row r="265" spans="1:2">
      <c r="A265" s="3">
        <f ca="1">IFERROR(__xludf.DUMMYFUNCTION("""COMPUTED_VALUE"""),40738.6666666666)</f>
        <v>40738.666666666599</v>
      </c>
      <c r="B265" s="1">
        <f ca="1">IFERROR(__xludf.DUMMYFUNCTION("""COMPUTED_VALUE"""),1.84)</f>
        <v>1.84</v>
      </c>
    </row>
    <row r="266" spans="1:2">
      <c r="A266" s="3">
        <f ca="1">IFERROR(__xludf.DUMMYFUNCTION("""COMPUTED_VALUE"""),40739.6666666666)</f>
        <v>40739.666666666599</v>
      </c>
      <c r="B266" s="1">
        <f ca="1">IFERROR(__xludf.DUMMYFUNCTION("""COMPUTED_VALUE"""),1.84)</f>
        <v>1.84</v>
      </c>
    </row>
    <row r="267" spans="1:2">
      <c r="A267" s="3">
        <f ca="1">IFERROR(__xludf.DUMMYFUNCTION("""COMPUTED_VALUE"""),40742.6666666666)</f>
        <v>40742.666666666599</v>
      </c>
      <c r="B267" s="1">
        <f ca="1">IFERROR(__xludf.DUMMYFUNCTION("""COMPUTED_VALUE"""),1.82)</f>
        <v>1.82</v>
      </c>
    </row>
    <row r="268" spans="1:2">
      <c r="A268" s="3">
        <f ca="1">IFERROR(__xludf.DUMMYFUNCTION("""COMPUTED_VALUE"""),40743.6666666666)</f>
        <v>40743.666666666599</v>
      </c>
      <c r="B268" s="1">
        <f ca="1">IFERROR(__xludf.DUMMYFUNCTION("""COMPUTED_VALUE"""),1.86)</f>
        <v>1.86</v>
      </c>
    </row>
    <row r="269" spans="1:2">
      <c r="A269" s="3">
        <f ca="1">IFERROR(__xludf.DUMMYFUNCTION("""COMPUTED_VALUE"""),40744.6666666666)</f>
        <v>40744.666666666599</v>
      </c>
      <c r="B269" s="1">
        <f ca="1">IFERROR(__xludf.DUMMYFUNCTION("""COMPUTED_VALUE"""),1.91)</f>
        <v>1.91</v>
      </c>
    </row>
    <row r="270" spans="1:2">
      <c r="A270" s="3">
        <f ca="1">IFERROR(__xludf.DUMMYFUNCTION("""COMPUTED_VALUE"""),40745.6666666666)</f>
        <v>40745.666666666599</v>
      </c>
      <c r="B270" s="1">
        <f ca="1">IFERROR(__xludf.DUMMYFUNCTION("""COMPUTED_VALUE"""),1.91)</f>
        <v>1.91</v>
      </c>
    </row>
    <row r="271" spans="1:2">
      <c r="A271" s="3">
        <f ca="1">IFERROR(__xludf.DUMMYFUNCTION("""COMPUTED_VALUE"""),40746.6666666666)</f>
        <v>40746.666666666599</v>
      </c>
      <c r="B271" s="1">
        <f ca="1">IFERROR(__xludf.DUMMYFUNCTION("""COMPUTED_VALUE"""),1.95)</f>
        <v>1.95</v>
      </c>
    </row>
    <row r="272" spans="1:2">
      <c r="A272" s="3">
        <f ca="1">IFERROR(__xludf.DUMMYFUNCTION("""COMPUTED_VALUE"""),40749.6666666666)</f>
        <v>40749.666666666599</v>
      </c>
      <c r="B272" s="1">
        <f ca="1">IFERROR(__xludf.DUMMYFUNCTION("""COMPUTED_VALUE"""),1.9)</f>
        <v>1.9</v>
      </c>
    </row>
    <row r="273" spans="1:2">
      <c r="A273" s="3">
        <f ca="1">IFERROR(__xludf.DUMMYFUNCTION("""COMPUTED_VALUE"""),40750.6666666666)</f>
        <v>40750.666666666599</v>
      </c>
      <c r="B273" s="1">
        <f ca="1">IFERROR(__xludf.DUMMYFUNCTION("""COMPUTED_VALUE"""),1.87)</f>
        <v>1.87</v>
      </c>
    </row>
    <row r="274" spans="1:2">
      <c r="A274" s="3">
        <f ca="1">IFERROR(__xludf.DUMMYFUNCTION("""COMPUTED_VALUE"""),40751.6666666666)</f>
        <v>40751.666666666599</v>
      </c>
      <c r="B274" s="1">
        <f ca="1">IFERROR(__xludf.DUMMYFUNCTION("""COMPUTED_VALUE"""),1.84)</f>
        <v>1.84</v>
      </c>
    </row>
    <row r="275" spans="1:2">
      <c r="A275" s="3">
        <f ca="1">IFERROR(__xludf.DUMMYFUNCTION("""COMPUTED_VALUE"""),40752.6666666666)</f>
        <v>40752.666666666599</v>
      </c>
      <c r="B275" s="1">
        <f ca="1">IFERROR(__xludf.DUMMYFUNCTION("""COMPUTED_VALUE"""),1.88)</f>
        <v>1.88</v>
      </c>
    </row>
    <row r="276" spans="1:2">
      <c r="A276" s="3">
        <f ca="1">IFERROR(__xludf.DUMMYFUNCTION("""COMPUTED_VALUE"""),40753.6666666666)</f>
        <v>40753.666666666599</v>
      </c>
      <c r="B276" s="1">
        <f ca="1">IFERROR(__xludf.DUMMYFUNCTION("""COMPUTED_VALUE"""),1.88)</f>
        <v>1.88</v>
      </c>
    </row>
    <row r="277" spans="1:2">
      <c r="A277" s="3">
        <f ca="1">IFERROR(__xludf.DUMMYFUNCTION("""COMPUTED_VALUE"""),40756.6666666666)</f>
        <v>40756.666666666599</v>
      </c>
      <c r="B277" s="1">
        <f ca="1">IFERROR(__xludf.DUMMYFUNCTION("""COMPUTED_VALUE"""),1.92)</f>
        <v>1.92</v>
      </c>
    </row>
    <row r="278" spans="1:2">
      <c r="A278" s="3">
        <f ca="1">IFERROR(__xludf.DUMMYFUNCTION("""COMPUTED_VALUE"""),40757.6666666666)</f>
        <v>40757.666666666599</v>
      </c>
      <c r="B278" s="1">
        <f ca="1">IFERROR(__xludf.DUMMYFUNCTION("""COMPUTED_VALUE"""),1.82)</f>
        <v>1.82</v>
      </c>
    </row>
    <row r="279" spans="1:2">
      <c r="A279" s="3">
        <f ca="1">IFERROR(__xludf.DUMMYFUNCTION("""COMPUTED_VALUE"""),40758.6666666666)</f>
        <v>40758.666666666599</v>
      </c>
      <c r="B279" s="1">
        <f ca="1">IFERROR(__xludf.DUMMYFUNCTION("""COMPUTED_VALUE"""),1.81)</f>
        <v>1.81</v>
      </c>
    </row>
    <row r="280" spans="1:2">
      <c r="A280" s="3">
        <f ca="1">IFERROR(__xludf.DUMMYFUNCTION("""COMPUTED_VALUE"""),40759.6666666666)</f>
        <v>40759.666666666599</v>
      </c>
      <c r="B280" s="1">
        <f ca="1">IFERROR(__xludf.DUMMYFUNCTION("""COMPUTED_VALUE"""),1.65)</f>
        <v>1.65</v>
      </c>
    </row>
    <row r="281" spans="1:2">
      <c r="A281" s="3">
        <f ca="1">IFERROR(__xludf.DUMMYFUNCTION("""COMPUTED_VALUE"""),40760.6666666666)</f>
        <v>40760.666666666599</v>
      </c>
      <c r="B281" s="1">
        <f ca="1">IFERROR(__xludf.DUMMYFUNCTION("""COMPUTED_VALUE"""),1.62)</f>
        <v>1.62</v>
      </c>
    </row>
    <row r="282" spans="1:2">
      <c r="A282" s="3">
        <f ca="1">IFERROR(__xludf.DUMMYFUNCTION("""COMPUTED_VALUE"""),40763.6666666666)</f>
        <v>40763.666666666599</v>
      </c>
      <c r="B282" s="1">
        <f ca="1">IFERROR(__xludf.DUMMYFUNCTION("""COMPUTED_VALUE"""),1.58)</f>
        <v>1.58</v>
      </c>
    </row>
    <row r="283" spans="1:2">
      <c r="A283" s="3">
        <f ca="1">IFERROR(__xludf.DUMMYFUNCTION("""COMPUTED_VALUE"""),40764.6666666666)</f>
        <v>40764.666666666599</v>
      </c>
      <c r="B283" s="1">
        <f ca="1">IFERROR(__xludf.DUMMYFUNCTION("""COMPUTED_VALUE"""),1.67)</f>
        <v>1.67</v>
      </c>
    </row>
    <row r="284" spans="1:2">
      <c r="A284" s="3">
        <f ca="1">IFERROR(__xludf.DUMMYFUNCTION("""COMPUTED_VALUE"""),40765.6666666666)</f>
        <v>40765.666666666599</v>
      </c>
      <c r="B284" s="1">
        <f ca="1">IFERROR(__xludf.DUMMYFUNCTION("""COMPUTED_VALUE"""),1.59)</f>
        <v>1.59</v>
      </c>
    </row>
    <row r="285" spans="1:2">
      <c r="A285" s="3">
        <f ca="1">IFERROR(__xludf.DUMMYFUNCTION("""COMPUTED_VALUE"""),40766.6666666666)</f>
        <v>40766.666666666599</v>
      </c>
      <c r="B285" s="1">
        <f ca="1">IFERROR(__xludf.DUMMYFUNCTION("""COMPUTED_VALUE"""),1.69)</f>
        <v>1.69</v>
      </c>
    </row>
    <row r="286" spans="1:2">
      <c r="A286" s="3">
        <f ca="1">IFERROR(__xludf.DUMMYFUNCTION("""COMPUTED_VALUE"""),40767.6666666666)</f>
        <v>40767.666666666599</v>
      </c>
      <c r="B286" s="1">
        <f ca="1">IFERROR(__xludf.DUMMYFUNCTION("""COMPUTED_VALUE"""),1.75)</f>
        <v>1.75</v>
      </c>
    </row>
    <row r="287" spans="1:2">
      <c r="A287" s="3">
        <f ca="1">IFERROR(__xludf.DUMMYFUNCTION("""COMPUTED_VALUE"""),40770.6666666666)</f>
        <v>40770.666666666599</v>
      </c>
      <c r="B287" s="1">
        <f ca="1">IFERROR(__xludf.DUMMYFUNCTION("""COMPUTED_VALUE"""),1.75)</f>
        <v>1.75</v>
      </c>
    </row>
    <row r="288" spans="1:2">
      <c r="A288" s="3">
        <f ca="1">IFERROR(__xludf.DUMMYFUNCTION("""COMPUTED_VALUE"""),40771.6666666666)</f>
        <v>40771.666666666599</v>
      </c>
      <c r="B288" s="1">
        <f ca="1">IFERROR(__xludf.DUMMYFUNCTION("""COMPUTED_VALUE"""),1.74)</f>
        <v>1.74</v>
      </c>
    </row>
    <row r="289" spans="1:2">
      <c r="A289" s="3">
        <f ca="1">IFERROR(__xludf.DUMMYFUNCTION("""COMPUTED_VALUE"""),40772.6666666666)</f>
        <v>40772.666666666599</v>
      </c>
      <c r="B289" s="1">
        <f ca="1">IFERROR(__xludf.DUMMYFUNCTION("""COMPUTED_VALUE"""),1.72)</f>
        <v>1.72</v>
      </c>
    </row>
    <row r="290" spans="1:2">
      <c r="A290" s="3">
        <f ca="1">IFERROR(__xludf.DUMMYFUNCTION("""COMPUTED_VALUE"""),40773.6666666666)</f>
        <v>40773.666666666599</v>
      </c>
      <c r="B290" s="1">
        <f ca="1">IFERROR(__xludf.DUMMYFUNCTION("""COMPUTED_VALUE"""),1.62)</f>
        <v>1.62</v>
      </c>
    </row>
    <row r="291" spans="1:2">
      <c r="A291" s="3">
        <f ca="1">IFERROR(__xludf.DUMMYFUNCTION("""COMPUTED_VALUE"""),40774.6666666666)</f>
        <v>40774.666666666599</v>
      </c>
      <c r="B291" s="1">
        <f ca="1">IFERROR(__xludf.DUMMYFUNCTION("""COMPUTED_VALUE"""),1.49)</f>
        <v>1.49</v>
      </c>
    </row>
    <row r="292" spans="1:2">
      <c r="A292" s="3">
        <f ca="1">IFERROR(__xludf.DUMMYFUNCTION("""COMPUTED_VALUE"""),40777.6666666666)</f>
        <v>40777.666666666599</v>
      </c>
      <c r="B292" s="1">
        <f ca="1">IFERROR(__xludf.DUMMYFUNCTION("""COMPUTED_VALUE"""),1.46)</f>
        <v>1.46</v>
      </c>
    </row>
    <row r="293" spans="1:2">
      <c r="A293" s="3">
        <f ca="1">IFERROR(__xludf.DUMMYFUNCTION("""COMPUTED_VALUE"""),40778.6666666666)</f>
        <v>40778.666666666599</v>
      </c>
      <c r="B293" s="1">
        <f ca="1">IFERROR(__xludf.DUMMYFUNCTION("""COMPUTED_VALUE"""),1.53)</f>
        <v>1.53</v>
      </c>
    </row>
    <row r="294" spans="1:2">
      <c r="A294" s="3">
        <f ca="1">IFERROR(__xludf.DUMMYFUNCTION("""COMPUTED_VALUE"""),40779.6666666666)</f>
        <v>40779.666666666599</v>
      </c>
      <c r="B294" s="1">
        <f ca="1">IFERROR(__xludf.DUMMYFUNCTION("""COMPUTED_VALUE"""),1.59)</f>
        <v>1.59</v>
      </c>
    </row>
    <row r="295" spans="1:2">
      <c r="A295" s="3">
        <f ca="1">IFERROR(__xludf.DUMMYFUNCTION("""COMPUTED_VALUE"""),40780.6666666666)</f>
        <v>40780.666666666599</v>
      </c>
      <c r="B295" s="1">
        <f ca="1">IFERROR(__xludf.DUMMYFUNCTION("""COMPUTED_VALUE"""),1.54)</f>
        <v>1.54</v>
      </c>
    </row>
    <row r="296" spans="1:2">
      <c r="A296" s="3">
        <f ca="1">IFERROR(__xludf.DUMMYFUNCTION("""COMPUTED_VALUE"""),40781.6666666666)</f>
        <v>40781.666666666599</v>
      </c>
      <c r="B296" s="1">
        <f ca="1">IFERROR(__xludf.DUMMYFUNCTION("""COMPUTED_VALUE"""),1.58)</f>
        <v>1.58</v>
      </c>
    </row>
    <row r="297" spans="1:2">
      <c r="A297" s="3">
        <f ca="1">IFERROR(__xludf.DUMMYFUNCTION("""COMPUTED_VALUE"""),40784.6666666666)</f>
        <v>40784.666666666599</v>
      </c>
      <c r="B297" s="1">
        <f ca="1">IFERROR(__xludf.DUMMYFUNCTION("""COMPUTED_VALUE"""),1.65)</f>
        <v>1.65</v>
      </c>
    </row>
    <row r="298" spans="1:2">
      <c r="A298" s="3">
        <f ca="1">IFERROR(__xludf.DUMMYFUNCTION("""COMPUTED_VALUE"""),40785.6666666666)</f>
        <v>40785.666666666599</v>
      </c>
      <c r="B298" s="1">
        <f ca="1">IFERROR(__xludf.DUMMYFUNCTION("""COMPUTED_VALUE"""),1.64)</f>
        <v>1.64</v>
      </c>
    </row>
    <row r="299" spans="1:2">
      <c r="A299" s="3">
        <f ca="1">IFERROR(__xludf.DUMMYFUNCTION("""COMPUTED_VALUE"""),40786.6666666666)</f>
        <v>40786.666666666599</v>
      </c>
      <c r="B299" s="1">
        <f ca="1">IFERROR(__xludf.DUMMYFUNCTION("""COMPUTED_VALUE"""),1.65)</f>
        <v>1.65</v>
      </c>
    </row>
    <row r="300" spans="1:2">
      <c r="A300" s="3">
        <f ca="1">IFERROR(__xludf.DUMMYFUNCTION("""COMPUTED_VALUE"""),40787.6666666666)</f>
        <v>40787.666666666599</v>
      </c>
      <c r="B300" s="1">
        <f ca="1">IFERROR(__xludf.DUMMYFUNCTION("""COMPUTED_VALUE"""),1.6)</f>
        <v>1.6</v>
      </c>
    </row>
    <row r="301" spans="1:2">
      <c r="A301" s="3">
        <f ca="1">IFERROR(__xludf.DUMMYFUNCTION("""COMPUTED_VALUE"""),40788.6666666666)</f>
        <v>40788.666666666599</v>
      </c>
      <c r="B301" s="1">
        <f ca="1">IFERROR(__xludf.DUMMYFUNCTION("""COMPUTED_VALUE"""),1.54)</f>
        <v>1.54</v>
      </c>
    </row>
    <row r="302" spans="1:2">
      <c r="A302" s="3">
        <f ca="1">IFERROR(__xludf.DUMMYFUNCTION("""COMPUTED_VALUE"""),40792.6666666666)</f>
        <v>40792.666666666599</v>
      </c>
      <c r="B302" s="1">
        <f ca="1">IFERROR(__xludf.DUMMYFUNCTION("""COMPUTED_VALUE"""),1.53)</f>
        <v>1.53</v>
      </c>
    </row>
    <row r="303" spans="1:2">
      <c r="A303" s="3">
        <f ca="1">IFERROR(__xludf.DUMMYFUNCTION("""COMPUTED_VALUE"""),40793.6666666666)</f>
        <v>40793.666666666599</v>
      </c>
      <c r="B303" s="1">
        <f ca="1">IFERROR(__xludf.DUMMYFUNCTION("""COMPUTED_VALUE"""),1.59)</f>
        <v>1.59</v>
      </c>
    </row>
    <row r="304" spans="1:2">
      <c r="A304" s="3">
        <f ca="1">IFERROR(__xludf.DUMMYFUNCTION("""COMPUTED_VALUE"""),40794.6666666666)</f>
        <v>40794.666666666599</v>
      </c>
      <c r="B304" s="1">
        <f ca="1">IFERROR(__xludf.DUMMYFUNCTION("""COMPUTED_VALUE"""),1.57)</f>
        <v>1.57</v>
      </c>
    </row>
    <row r="305" spans="1:2">
      <c r="A305" s="3">
        <f ca="1">IFERROR(__xludf.DUMMYFUNCTION("""COMPUTED_VALUE"""),40795.6666666666)</f>
        <v>40795.666666666599</v>
      </c>
      <c r="B305" s="1">
        <f ca="1">IFERROR(__xludf.DUMMYFUNCTION("""COMPUTED_VALUE"""),1.53)</f>
        <v>1.53</v>
      </c>
    </row>
    <row r="306" spans="1:2">
      <c r="A306" s="3">
        <f ca="1">IFERROR(__xludf.DUMMYFUNCTION("""COMPUTED_VALUE"""),40798.6666666666)</f>
        <v>40798.666666666599</v>
      </c>
      <c r="B306" s="1">
        <f ca="1">IFERROR(__xludf.DUMMYFUNCTION("""COMPUTED_VALUE"""),1.53)</f>
        <v>1.53</v>
      </c>
    </row>
    <row r="307" spans="1:2">
      <c r="A307" s="3">
        <f ca="1">IFERROR(__xludf.DUMMYFUNCTION("""COMPUTED_VALUE"""),40799.6666666666)</f>
        <v>40799.666666666599</v>
      </c>
      <c r="B307" s="1">
        <f ca="1">IFERROR(__xludf.DUMMYFUNCTION("""COMPUTED_VALUE"""),1.61)</f>
        <v>1.61</v>
      </c>
    </row>
    <row r="308" spans="1:2">
      <c r="A308" s="3">
        <f ca="1">IFERROR(__xludf.DUMMYFUNCTION("""COMPUTED_VALUE"""),40800.6666666666)</f>
        <v>40800.666666666599</v>
      </c>
      <c r="B308" s="1">
        <f ca="1">IFERROR(__xludf.DUMMYFUNCTION("""COMPUTED_VALUE"""),1.62)</f>
        <v>1.62</v>
      </c>
    </row>
    <row r="309" spans="1:2">
      <c r="A309" s="3">
        <f ca="1">IFERROR(__xludf.DUMMYFUNCTION("""COMPUTED_VALUE"""),40801.6666666666)</f>
        <v>40801.666666666599</v>
      </c>
      <c r="B309" s="1">
        <f ca="1">IFERROR(__xludf.DUMMYFUNCTION("""COMPUTED_VALUE"""),1.65)</f>
        <v>1.65</v>
      </c>
    </row>
    <row r="310" spans="1:2">
      <c r="A310" s="3">
        <f ca="1">IFERROR(__xludf.DUMMYFUNCTION("""COMPUTED_VALUE"""),40802.6666666666)</f>
        <v>40802.666666666599</v>
      </c>
      <c r="B310" s="1">
        <f ca="1">IFERROR(__xludf.DUMMYFUNCTION("""COMPUTED_VALUE"""),1.72)</f>
        <v>1.72</v>
      </c>
    </row>
    <row r="311" spans="1:2">
      <c r="A311" s="3">
        <f ca="1">IFERROR(__xludf.DUMMYFUNCTION("""COMPUTED_VALUE"""),40805.6666666666)</f>
        <v>40805.666666666599</v>
      </c>
      <c r="B311" s="1">
        <f ca="1">IFERROR(__xludf.DUMMYFUNCTION("""COMPUTED_VALUE"""),1.72)</f>
        <v>1.72</v>
      </c>
    </row>
    <row r="312" spans="1:2">
      <c r="A312" s="3">
        <f ca="1">IFERROR(__xludf.DUMMYFUNCTION("""COMPUTED_VALUE"""),40806.6666666666)</f>
        <v>40806.666666666599</v>
      </c>
      <c r="B312" s="1">
        <f ca="1">IFERROR(__xludf.DUMMYFUNCTION("""COMPUTED_VALUE"""),1.73)</f>
        <v>1.73</v>
      </c>
    </row>
    <row r="313" spans="1:2">
      <c r="A313" s="3">
        <f ca="1">IFERROR(__xludf.DUMMYFUNCTION("""COMPUTED_VALUE"""),40807.6666666666)</f>
        <v>40807.666666666599</v>
      </c>
      <c r="B313" s="1">
        <f ca="1">IFERROR(__xludf.DUMMYFUNCTION("""COMPUTED_VALUE"""),1.72)</f>
        <v>1.72</v>
      </c>
    </row>
    <row r="314" spans="1:2">
      <c r="A314" s="3">
        <f ca="1">IFERROR(__xludf.DUMMYFUNCTION("""COMPUTED_VALUE"""),40808.6666666666)</f>
        <v>40808.666666666599</v>
      </c>
      <c r="B314" s="1">
        <f ca="1">IFERROR(__xludf.DUMMYFUNCTION("""COMPUTED_VALUE"""),1.71)</f>
        <v>1.71</v>
      </c>
    </row>
    <row r="315" spans="1:2">
      <c r="A315" s="3">
        <f ca="1">IFERROR(__xludf.DUMMYFUNCTION("""COMPUTED_VALUE"""),40809.6666666666)</f>
        <v>40809.666666666599</v>
      </c>
      <c r="B315" s="1">
        <f ca="1">IFERROR(__xludf.DUMMYFUNCTION("""COMPUTED_VALUE"""),1.76)</f>
        <v>1.76</v>
      </c>
    </row>
    <row r="316" spans="1:2">
      <c r="A316" s="3">
        <f ca="1">IFERROR(__xludf.DUMMYFUNCTION("""COMPUTED_VALUE"""),40812.6666666666)</f>
        <v>40812.666666666599</v>
      </c>
      <c r="B316" s="1">
        <f ca="1">IFERROR(__xludf.DUMMYFUNCTION("""COMPUTED_VALUE"""),1.7)</f>
        <v>1.7</v>
      </c>
    </row>
    <row r="317" spans="1:2">
      <c r="A317" s="3">
        <f ca="1">IFERROR(__xludf.DUMMYFUNCTION("""COMPUTED_VALUE"""),40813.6666666666)</f>
        <v>40813.666666666599</v>
      </c>
      <c r="B317" s="1">
        <f ca="1">IFERROR(__xludf.DUMMYFUNCTION("""COMPUTED_VALUE"""),1.75)</f>
        <v>1.75</v>
      </c>
    </row>
    <row r="318" spans="1:2">
      <c r="A318" s="3">
        <f ca="1">IFERROR(__xludf.DUMMYFUNCTION("""COMPUTED_VALUE"""),40814.6666666666)</f>
        <v>40814.666666666599</v>
      </c>
      <c r="B318" s="1">
        <f ca="1">IFERROR(__xludf.DUMMYFUNCTION("""COMPUTED_VALUE"""),1.64)</f>
        <v>1.64</v>
      </c>
    </row>
    <row r="319" spans="1:2">
      <c r="A319" s="3">
        <f ca="1">IFERROR(__xludf.DUMMYFUNCTION("""COMPUTED_VALUE"""),40815.6666666666)</f>
        <v>40815.666666666599</v>
      </c>
      <c r="B319" s="1">
        <f ca="1">IFERROR(__xludf.DUMMYFUNCTION("""COMPUTED_VALUE"""),1.61)</f>
        <v>1.61</v>
      </c>
    </row>
    <row r="320" spans="1:2">
      <c r="A320" s="3">
        <f ca="1">IFERROR(__xludf.DUMMYFUNCTION("""COMPUTED_VALUE"""),40816.6666666666)</f>
        <v>40816.666666666599</v>
      </c>
      <c r="B320" s="1">
        <f ca="1">IFERROR(__xludf.DUMMYFUNCTION("""COMPUTED_VALUE"""),1.63)</f>
        <v>1.63</v>
      </c>
    </row>
    <row r="321" spans="1:2">
      <c r="A321" s="3">
        <f ca="1">IFERROR(__xludf.DUMMYFUNCTION("""COMPUTED_VALUE"""),40819.6666666666)</f>
        <v>40819.666666666599</v>
      </c>
      <c r="B321" s="1">
        <f ca="1">IFERROR(__xludf.DUMMYFUNCTION("""COMPUTED_VALUE"""),1.58)</f>
        <v>1.58</v>
      </c>
    </row>
    <row r="322" spans="1:2">
      <c r="A322" s="3">
        <f ca="1">IFERROR(__xludf.DUMMYFUNCTION("""COMPUTED_VALUE"""),40820.6666666666)</f>
        <v>40820.666666666599</v>
      </c>
      <c r="B322" s="1">
        <f ca="1">IFERROR(__xludf.DUMMYFUNCTION("""COMPUTED_VALUE"""),1.58)</f>
        <v>1.58</v>
      </c>
    </row>
    <row r="323" spans="1:2">
      <c r="A323" s="3">
        <f ca="1">IFERROR(__xludf.DUMMYFUNCTION("""COMPUTED_VALUE"""),40821.6666666666)</f>
        <v>40821.666666666599</v>
      </c>
      <c r="B323" s="1">
        <f ca="1">IFERROR(__xludf.DUMMYFUNCTION("""COMPUTED_VALUE"""),1.69)</f>
        <v>1.69</v>
      </c>
    </row>
    <row r="324" spans="1:2">
      <c r="A324" s="3">
        <f ca="1">IFERROR(__xludf.DUMMYFUNCTION("""COMPUTED_VALUE"""),40822.6666666666)</f>
        <v>40822.666666666599</v>
      </c>
      <c r="B324" s="1">
        <f ca="1">IFERROR(__xludf.DUMMYFUNCTION("""COMPUTED_VALUE"""),1.8)</f>
        <v>1.8</v>
      </c>
    </row>
    <row r="325" spans="1:2">
      <c r="A325" s="3">
        <f ca="1">IFERROR(__xludf.DUMMYFUNCTION("""COMPUTED_VALUE"""),40823.6666666666)</f>
        <v>40823.666666666599</v>
      </c>
      <c r="B325" s="1">
        <f ca="1">IFERROR(__xludf.DUMMYFUNCTION("""COMPUTED_VALUE"""),1.8)</f>
        <v>1.8</v>
      </c>
    </row>
    <row r="326" spans="1:2">
      <c r="A326" s="3">
        <f ca="1">IFERROR(__xludf.DUMMYFUNCTION("""COMPUTED_VALUE"""),40826.6666666666)</f>
        <v>40826.666666666599</v>
      </c>
      <c r="B326" s="1">
        <f ca="1">IFERROR(__xludf.DUMMYFUNCTION("""COMPUTED_VALUE"""),1.86)</f>
        <v>1.86</v>
      </c>
    </row>
    <row r="327" spans="1:2">
      <c r="A327" s="3">
        <f ca="1">IFERROR(__xludf.DUMMYFUNCTION("""COMPUTED_VALUE"""),40827.6666666666)</f>
        <v>40827.666666666599</v>
      </c>
      <c r="B327" s="1">
        <f ca="1">IFERROR(__xludf.DUMMYFUNCTION("""COMPUTED_VALUE"""),1.84)</f>
        <v>1.84</v>
      </c>
    </row>
    <row r="328" spans="1:2">
      <c r="A328" s="3">
        <f ca="1">IFERROR(__xludf.DUMMYFUNCTION("""COMPUTED_VALUE"""),40828.6666666666)</f>
        <v>40828.666666666599</v>
      </c>
      <c r="B328" s="1">
        <f ca="1">IFERROR(__xludf.DUMMYFUNCTION("""COMPUTED_VALUE"""),1.85)</f>
        <v>1.85</v>
      </c>
    </row>
    <row r="329" spans="1:2">
      <c r="A329" s="3">
        <f ca="1">IFERROR(__xludf.DUMMYFUNCTION("""COMPUTED_VALUE"""),40829.6666666666)</f>
        <v>40829.666666666599</v>
      </c>
      <c r="B329" s="1">
        <f ca="1">IFERROR(__xludf.DUMMYFUNCTION("""COMPUTED_VALUE"""),1.86)</f>
        <v>1.86</v>
      </c>
    </row>
    <row r="330" spans="1:2">
      <c r="A330" s="3">
        <f ca="1">IFERROR(__xludf.DUMMYFUNCTION("""COMPUTED_VALUE"""),40830.6666666666)</f>
        <v>40830.666666666599</v>
      </c>
      <c r="B330" s="1">
        <f ca="1">IFERROR(__xludf.DUMMYFUNCTION("""COMPUTED_VALUE"""),1.87)</f>
        <v>1.87</v>
      </c>
    </row>
    <row r="331" spans="1:2">
      <c r="A331" s="3">
        <f ca="1">IFERROR(__xludf.DUMMYFUNCTION("""COMPUTED_VALUE"""),40833.6666666666)</f>
        <v>40833.666666666599</v>
      </c>
      <c r="B331" s="1">
        <f ca="1">IFERROR(__xludf.DUMMYFUNCTION("""COMPUTED_VALUE"""),1.83)</f>
        <v>1.83</v>
      </c>
    </row>
    <row r="332" spans="1:2">
      <c r="A332" s="3">
        <f ca="1">IFERROR(__xludf.DUMMYFUNCTION("""COMPUTED_VALUE"""),40834.6666666666)</f>
        <v>40834.666666666599</v>
      </c>
      <c r="B332" s="1">
        <f ca="1">IFERROR(__xludf.DUMMYFUNCTION("""COMPUTED_VALUE"""),1.89)</f>
        <v>1.89</v>
      </c>
    </row>
    <row r="333" spans="1:2">
      <c r="A333" s="3">
        <f ca="1">IFERROR(__xludf.DUMMYFUNCTION("""COMPUTED_VALUE"""),40835.6666666666)</f>
        <v>40835.666666666599</v>
      </c>
      <c r="B333" s="1">
        <f ca="1">IFERROR(__xludf.DUMMYFUNCTION("""COMPUTED_VALUE"""),1.84)</f>
        <v>1.84</v>
      </c>
    </row>
    <row r="334" spans="1:2">
      <c r="A334" s="3">
        <f ca="1">IFERROR(__xludf.DUMMYFUNCTION("""COMPUTED_VALUE"""),40836.6666666666)</f>
        <v>40836.666666666599</v>
      </c>
      <c r="B334" s="1">
        <f ca="1">IFERROR(__xludf.DUMMYFUNCTION("""COMPUTED_VALUE"""),1.82)</f>
        <v>1.82</v>
      </c>
    </row>
    <row r="335" spans="1:2">
      <c r="A335" s="3">
        <f ca="1">IFERROR(__xludf.DUMMYFUNCTION("""COMPUTED_VALUE"""),40837.6666666666)</f>
        <v>40837.666666666599</v>
      </c>
      <c r="B335" s="1">
        <f ca="1">IFERROR(__xludf.DUMMYFUNCTION("""COMPUTED_VALUE"""),1.87)</f>
        <v>1.87</v>
      </c>
    </row>
    <row r="336" spans="1:2">
      <c r="A336" s="3">
        <f ca="1">IFERROR(__xludf.DUMMYFUNCTION("""COMPUTED_VALUE"""),40840.6666666666)</f>
        <v>40840.666666666599</v>
      </c>
      <c r="B336" s="1">
        <f ca="1">IFERROR(__xludf.DUMMYFUNCTION("""COMPUTED_VALUE"""),1.9)</f>
        <v>1.9</v>
      </c>
    </row>
    <row r="337" spans="1:2">
      <c r="A337" s="3">
        <f ca="1">IFERROR(__xludf.DUMMYFUNCTION("""COMPUTED_VALUE"""),40841.6666666666)</f>
        <v>40841.666666666599</v>
      </c>
      <c r="B337" s="1">
        <f ca="1">IFERROR(__xludf.DUMMYFUNCTION("""COMPUTED_VALUE"""),1.88)</f>
        <v>1.88</v>
      </c>
    </row>
    <row r="338" spans="1:2">
      <c r="A338" s="3">
        <f ca="1">IFERROR(__xludf.DUMMYFUNCTION("""COMPUTED_VALUE"""),40842.6666666666)</f>
        <v>40842.666666666599</v>
      </c>
      <c r="B338" s="1">
        <f ca="1">IFERROR(__xludf.DUMMYFUNCTION("""COMPUTED_VALUE"""),1.87)</f>
        <v>1.87</v>
      </c>
    </row>
    <row r="339" spans="1:2">
      <c r="A339" s="3">
        <f ca="1">IFERROR(__xludf.DUMMYFUNCTION("""COMPUTED_VALUE"""),40843.6666666666)</f>
        <v>40843.666666666599</v>
      </c>
      <c r="B339" s="1">
        <f ca="1">IFERROR(__xludf.DUMMYFUNCTION("""COMPUTED_VALUE"""),1.92)</f>
        <v>1.92</v>
      </c>
    </row>
    <row r="340" spans="1:2">
      <c r="A340" s="3">
        <f ca="1">IFERROR(__xludf.DUMMYFUNCTION("""COMPUTED_VALUE"""),40844.6666666666)</f>
        <v>40844.666666666599</v>
      </c>
      <c r="B340" s="1">
        <f ca="1">IFERROR(__xludf.DUMMYFUNCTION("""COMPUTED_VALUE"""),1.99)</f>
        <v>1.99</v>
      </c>
    </row>
    <row r="341" spans="1:2">
      <c r="A341" s="3">
        <f ca="1">IFERROR(__xludf.DUMMYFUNCTION("""COMPUTED_VALUE"""),40847.6666666666)</f>
        <v>40847.666666666599</v>
      </c>
      <c r="B341" s="1">
        <f ca="1">IFERROR(__xludf.DUMMYFUNCTION("""COMPUTED_VALUE"""),1.96)</f>
        <v>1.96</v>
      </c>
    </row>
    <row r="342" spans="1:2">
      <c r="A342" s="3">
        <f ca="1">IFERROR(__xludf.DUMMYFUNCTION("""COMPUTED_VALUE"""),40848.6666666666)</f>
        <v>40848.666666666599</v>
      </c>
      <c r="B342" s="1">
        <f ca="1">IFERROR(__xludf.DUMMYFUNCTION("""COMPUTED_VALUE"""),1.93)</f>
        <v>1.93</v>
      </c>
    </row>
    <row r="343" spans="1:2">
      <c r="A343" s="3">
        <f ca="1">IFERROR(__xludf.DUMMYFUNCTION("""COMPUTED_VALUE"""),40849.6666666666)</f>
        <v>40849.666666666599</v>
      </c>
      <c r="B343" s="1">
        <f ca="1">IFERROR(__xludf.DUMMYFUNCTION("""COMPUTED_VALUE"""),1.91)</f>
        <v>1.91</v>
      </c>
    </row>
    <row r="344" spans="1:2">
      <c r="A344" s="3">
        <f ca="1">IFERROR(__xludf.DUMMYFUNCTION("""COMPUTED_VALUE"""),40850.6666666666)</f>
        <v>40850.666666666599</v>
      </c>
      <c r="B344" s="1">
        <f ca="1">IFERROR(__xludf.DUMMYFUNCTION("""COMPUTED_VALUE"""),2.16)</f>
        <v>2.16</v>
      </c>
    </row>
    <row r="345" spans="1:2">
      <c r="A345" s="3">
        <f ca="1">IFERROR(__xludf.DUMMYFUNCTION("""COMPUTED_VALUE"""),40851.6666666666)</f>
        <v>40851.666666666599</v>
      </c>
      <c r="B345" s="1">
        <f ca="1">IFERROR(__xludf.DUMMYFUNCTION("""COMPUTED_VALUE"""),2.15)</f>
        <v>2.15</v>
      </c>
    </row>
    <row r="346" spans="1:2">
      <c r="A346" s="3">
        <f ca="1">IFERROR(__xludf.DUMMYFUNCTION("""COMPUTED_VALUE"""),40854.6666666666)</f>
        <v>40854.666666666599</v>
      </c>
      <c r="B346" s="1">
        <f ca="1">IFERROR(__xludf.DUMMYFUNCTION("""COMPUTED_VALUE"""),2.08)</f>
        <v>2.08</v>
      </c>
    </row>
    <row r="347" spans="1:2">
      <c r="A347" s="3">
        <f ca="1">IFERROR(__xludf.DUMMYFUNCTION("""COMPUTED_VALUE"""),40855.6666666666)</f>
        <v>40855.666666666599</v>
      </c>
      <c r="B347" s="1">
        <f ca="1">IFERROR(__xludf.DUMMYFUNCTION("""COMPUTED_VALUE"""),2.12)</f>
        <v>2.12</v>
      </c>
    </row>
    <row r="348" spans="1:2">
      <c r="A348" s="3">
        <f ca="1">IFERROR(__xludf.DUMMYFUNCTION("""COMPUTED_VALUE"""),40856.6666666666)</f>
        <v>40856.666666666599</v>
      </c>
      <c r="B348" s="1">
        <f ca="1">IFERROR(__xludf.DUMMYFUNCTION("""COMPUTED_VALUE"""),2.06)</f>
        <v>2.06</v>
      </c>
    </row>
    <row r="349" spans="1:2">
      <c r="A349" s="3">
        <f ca="1">IFERROR(__xludf.DUMMYFUNCTION("""COMPUTED_VALUE"""),40857.6666666666)</f>
        <v>40857.666666666599</v>
      </c>
      <c r="B349" s="1">
        <f ca="1">IFERROR(__xludf.DUMMYFUNCTION("""COMPUTED_VALUE"""),2.09)</f>
        <v>2.09</v>
      </c>
    </row>
    <row r="350" spans="1:2">
      <c r="A350" s="3">
        <f ca="1">IFERROR(__xludf.DUMMYFUNCTION("""COMPUTED_VALUE"""),40858.6666666666)</f>
        <v>40858.666666666599</v>
      </c>
      <c r="B350" s="1">
        <f ca="1">IFERROR(__xludf.DUMMYFUNCTION("""COMPUTED_VALUE"""),2.24)</f>
        <v>2.2400000000000002</v>
      </c>
    </row>
    <row r="351" spans="1:2">
      <c r="A351" s="3">
        <f ca="1">IFERROR(__xludf.DUMMYFUNCTION("""COMPUTED_VALUE"""),40861.6666666666)</f>
        <v>40861.666666666599</v>
      </c>
      <c r="B351" s="1">
        <f ca="1">IFERROR(__xludf.DUMMYFUNCTION("""COMPUTED_VALUE"""),2.21)</f>
        <v>2.21</v>
      </c>
    </row>
    <row r="352" spans="1:2">
      <c r="A352" s="3">
        <f ca="1">IFERROR(__xludf.DUMMYFUNCTION("""COMPUTED_VALUE"""),40862.6666666666)</f>
        <v>40862.666666666599</v>
      </c>
      <c r="B352" s="1">
        <f ca="1">IFERROR(__xludf.DUMMYFUNCTION("""COMPUTED_VALUE"""),2.26)</f>
        <v>2.2599999999999998</v>
      </c>
    </row>
    <row r="353" spans="1:2">
      <c r="A353" s="3">
        <f ca="1">IFERROR(__xludf.DUMMYFUNCTION("""COMPUTED_VALUE"""),40863.6666666666)</f>
        <v>40863.666666666599</v>
      </c>
      <c r="B353" s="1">
        <f ca="1">IFERROR(__xludf.DUMMYFUNCTION("""COMPUTED_VALUE"""),2.33)</f>
        <v>2.33</v>
      </c>
    </row>
    <row r="354" spans="1:2">
      <c r="A354" s="3">
        <f ca="1">IFERROR(__xludf.DUMMYFUNCTION("""COMPUTED_VALUE"""),40864.6666666666)</f>
        <v>40864.666666666599</v>
      </c>
      <c r="B354" s="1">
        <f ca="1">IFERROR(__xludf.DUMMYFUNCTION("""COMPUTED_VALUE"""),2.25)</f>
        <v>2.25</v>
      </c>
    </row>
    <row r="355" spans="1:2">
      <c r="A355" s="3">
        <f ca="1">IFERROR(__xludf.DUMMYFUNCTION("""COMPUTED_VALUE"""),40865.6666666666)</f>
        <v>40865.666666666599</v>
      </c>
      <c r="B355" s="1">
        <f ca="1">IFERROR(__xludf.DUMMYFUNCTION("""COMPUTED_VALUE"""),2.17)</f>
        <v>2.17</v>
      </c>
    </row>
    <row r="356" spans="1:2">
      <c r="A356" s="3">
        <f ca="1">IFERROR(__xludf.DUMMYFUNCTION("""COMPUTED_VALUE"""),40868.6666666666)</f>
        <v>40868.666666666599</v>
      </c>
      <c r="B356" s="1">
        <f ca="1">IFERROR(__xludf.DUMMYFUNCTION("""COMPUTED_VALUE"""),2.12)</f>
        <v>2.12</v>
      </c>
    </row>
    <row r="357" spans="1:2">
      <c r="A357" s="3">
        <f ca="1">IFERROR(__xludf.DUMMYFUNCTION("""COMPUTED_VALUE"""),40869.6666666666)</f>
        <v>40869.666666666599</v>
      </c>
      <c r="B357" s="1">
        <f ca="1">IFERROR(__xludf.DUMMYFUNCTION("""COMPUTED_VALUE"""),2.14)</f>
        <v>2.14</v>
      </c>
    </row>
    <row r="358" spans="1:2">
      <c r="A358" s="3">
        <f ca="1">IFERROR(__xludf.DUMMYFUNCTION("""COMPUTED_VALUE"""),40870.6666666666)</f>
        <v>40870.666666666599</v>
      </c>
      <c r="B358" s="1">
        <f ca="1">IFERROR(__xludf.DUMMYFUNCTION("""COMPUTED_VALUE"""),2.1)</f>
        <v>2.1</v>
      </c>
    </row>
    <row r="359" spans="1:2">
      <c r="A359" s="3">
        <f ca="1">IFERROR(__xludf.DUMMYFUNCTION("""COMPUTED_VALUE"""),40872.6666666666)</f>
        <v>40872.666666666599</v>
      </c>
      <c r="B359" s="1">
        <f ca="1">IFERROR(__xludf.DUMMYFUNCTION("""COMPUTED_VALUE"""),2.11)</f>
        <v>2.11</v>
      </c>
    </row>
    <row r="360" spans="1:2">
      <c r="A360" s="3">
        <f ca="1">IFERROR(__xludf.DUMMYFUNCTION("""COMPUTED_VALUE"""),40875.6666666666)</f>
        <v>40875.666666666599</v>
      </c>
      <c r="B360" s="1">
        <f ca="1">IFERROR(__xludf.DUMMYFUNCTION("""COMPUTED_VALUE"""),2.17)</f>
        <v>2.17</v>
      </c>
    </row>
    <row r="361" spans="1:2">
      <c r="A361" s="3">
        <f ca="1">IFERROR(__xludf.DUMMYFUNCTION("""COMPUTED_VALUE"""),40876.6666666666)</f>
        <v>40876.666666666599</v>
      </c>
      <c r="B361" s="1">
        <f ca="1">IFERROR(__xludf.DUMMYFUNCTION("""COMPUTED_VALUE"""),2.12)</f>
        <v>2.12</v>
      </c>
    </row>
    <row r="362" spans="1:2">
      <c r="A362" s="3">
        <f ca="1">IFERROR(__xludf.DUMMYFUNCTION("""COMPUTED_VALUE"""),40877.6666666666)</f>
        <v>40877.666666666599</v>
      </c>
      <c r="B362" s="1">
        <f ca="1">IFERROR(__xludf.DUMMYFUNCTION("""COMPUTED_VALUE"""),2.18)</f>
        <v>2.1800000000000002</v>
      </c>
    </row>
    <row r="363" spans="1:2">
      <c r="A363" s="3">
        <f ca="1">IFERROR(__xludf.DUMMYFUNCTION("""COMPUTED_VALUE"""),40878.6666666666)</f>
        <v>40878.666666666599</v>
      </c>
      <c r="B363" s="1">
        <f ca="1">IFERROR(__xludf.DUMMYFUNCTION("""COMPUTED_VALUE"""),2.17)</f>
        <v>2.17</v>
      </c>
    </row>
    <row r="364" spans="1:2">
      <c r="A364" s="3">
        <f ca="1">IFERROR(__xludf.DUMMYFUNCTION("""COMPUTED_VALUE"""),40879.6666666666)</f>
        <v>40879.666666666599</v>
      </c>
      <c r="B364" s="1">
        <f ca="1">IFERROR(__xludf.DUMMYFUNCTION("""COMPUTED_VALUE"""),2.22)</f>
        <v>2.2200000000000002</v>
      </c>
    </row>
    <row r="365" spans="1:2">
      <c r="A365" s="3">
        <f ca="1">IFERROR(__xludf.DUMMYFUNCTION("""COMPUTED_VALUE"""),40882.6666666666)</f>
        <v>40882.666666666599</v>
      </c>
      <c r="B365" s="1">
        <f ca="1">IFERROR(__xludf.DUMMYFUNCTION("""COMPUTED_VALUE"""),2.29)</f>
        <v>2.29</v>
      </c>
    </row>
    <row r="366" spans="1:2">
      <c r="A366" s="3">
        <f ca="1">IFERROR(__xludf.DUMMYFUNCTION("""COMPUTED_VALUE"""),40883.6666666666)</f>
        <v>40883.666666666599</v>
      </c>
      <c r="B366" s="1">
        <f ca="1">IFERROR(__xludf.DUMMYFUNCTION("""COMPUTED_VALUE"""),2.32)</f>
        <v>2.3199999999999998</v>
      </c>
    </row>
    <row r="367" spans="1:2">
      <c r="A367" s="3">
        <f ca="1">IFERROR(__xludf.DUMMYFUNCTION("""COMPUTED_VALUE"""),40884.6666666666)</f>
        <v>40884.666666666599</v>
      </c>
      <c r="B367" s="1">
        <f ca="1">IFERROR(__xludf.DUMMYFUNCTION("""COMPUTED_VALUE"""),2.28)</f>
        <v>2.2799999999999998</v>
      </c>
    </row>
    <row r="368" spans="1:2">
      <c r="A368" s="3">
        <f ca="1">IFERROR(__xludf.DUMMYFUNCTION("""COMPUTED_VALUE"""),40885.6666666666)</f>
        <v>40885.666666666599</v>
      </c>
      <c r="B368" s="1">
        <f ca="1">IFERROR(__xludf.DUMMYFUNCTION("""COMPUTED_VALUE"""),2.06)</f>
        <v>2.06</v>
      </c>
    </row>
    <row r="369" spans="1:2">
      <c r="A369" s="3">
        <f ca="1">IFERROR(__xludf.DUMMYFUNCTION("""COMPUTED_VALUE"""),40886.6666666666)</f>
        <v>40886.666666666599</v>
      </c>
      <c r="B369" s="1">
        <f ca="1">IFERROR(__xludf.DUMMYFUNCTION("""COMPUTED_VALUE"""),2.07)</f>
        <v>2.0699999999999998</v>
      </c>
    </row>
    <row r="370" spans="1:2">
      <c r="A370" s="3">
        <f ca="1">IFERROR(__xludf.DUMMYFUNCTION("""COMPUTED_VALUE"""),40889.6666666666)</f>
        <v>40889.666666666599</v>
      </c>
      <c r="B370" s="1">
        <f ca="1">IFERROR(__xludf.DUMMYFUNCTION("""COMPUTED_VALUE"""),2.03)</f>
        <v>2.0299999999999998</v>
      </c>
    </row>
    <row r="371" spans="1:2">
      <c r="A371" s="3">
        <f ca="1">IFERROR(__xludf.DUMMYFUNCTION("""COMPUTED_VALUE"""),40890.6666666666)</f>
        <v>40890.666666666599</v>
      </c>
      <c r="B371" s="1">
        <f ca="1">IFERROR(__xludf.DUMMYFUNCTION("""COMPUTED_VALUE"""),1.96)</f>
        <v>1.96</v>
      </c>
    </row>
    <row r="372" spans="1:2">
      <c r="A372" s="3">
        <f ca="1">IFERROR(__xludf.DUMMYFUNCTION("""COMPUTED_VALUE"""),40891.6666666666)</f>
        <v>40891.666666666599</v>
      </c>
      <c r="B372" s="1">
        <f ca="1">IFERROR(__xludf.DUMMYFUNCTION("""COMPUTED_VALUE"""),1.9)</f>
        <v>1.9</v>
      </c>
    </row>
    <row r="373" spans="1:2">
      <c r="A373" s="3">
        <f ca="1">IFERROR(__xludf.DUMMYFUNCTION("""COMPUTED_VALUE"""),40892.6666666666)</f>
        <v>40892.666666666599</v>
      </c>
      <c r="B373" s="1">
        <f ca="1">IFERROR(__xludf.DUMMYFUNCTION("""COMPUTED_VALUE"""),1.91)</f>
        <v>1.91</v>
      </c>
    </row>
    <row r="374" spans="1:2">
      <c r="A374" s="3">
        <f ca="1">IFERROR(__xludf.DUMMYFUNCTION("""COMPUTED_VALUE"""),40893.6666666666)</f>
        <v>40893.666666666599</v>
      </c>
      <c r="B374" s="1">
        <f ca="1">IFERROR(__xludf.DUMMYFUNCTION("""COMPUTED_VALUE"""),1.87)</f>
        <v>1.87</v>
      </c>
    </row>
    <row r="375" spans="1:2">
      <c r="A375" s="3">
        <f ca="1">IFERROR(__xludf.DUMMYFUNCTION("""COMPUTED_VALUE"""),40896.6666666666)</f>
        <v>40896.666666666599</v>
      </c>
      <c r="B375" s="1">
        <f ca="1">IFERROR(__xludf.DUMMYFUNCTION("""COMPUTED_VALUE"""),1.85)</f>
        <v>1.85</v>
      </c>
    </row>
    <row r="376" spans="1:2">
      <c r="A376" s="3">
        <f ca="1">IFERROR(__xludf.DUMMYFUNCTION("""COMPUTED_VALUE"""),40897.6666666666)</f>
        <v>40897.666666666599</v>
      </c>
      <c r="B376" s="1">
        <f ca="1">IFERROR(__xludf.DUMMYFUNCTION("""COMPUTED_VALUE"""),1.86)</f>
        <v>1.86</v>
      </c>
    </row>
    <row r="377" spans="1:2">
      <c r="A377" s="3">
        <f ca="1">IFERROR(__xludf.DUMMYFUNCTION("""COMPUTED_VALUE"""),40898.6666666666)</f>
        <v>40898.666666666599</v>
      </c>
      <c r="B377" s="1">
        <f ca="1">IFERROR(__xludf.DUMMYFUNCTION("""COMPUTED_VALUE"""),1.84)</f>
        <v>1.84</v>
      </c>
    </row>
    <row r="378" spans="1:2">
      <c r="A378" s="3">
        <f ca="1">IFERROR(__xludf.DUMMYFUNCTION("""COMPUTED_VALUE"""),40899.6666666666)</f>
        <v>40899.666666666599</v>
      </c>
      <c r="B378" s="1">
        <f ca="1">IFERROR(__xludf.DUMMYFUNCTION("""COMPUTED_VALUE"""),1.85)</f>
        <v>1.85</v>
      </c>
    </row>
    <row r="379" spans="1:2">
      <c r="A379" s="3">
        <f ca="1">IFERROR(__xludf.DUMMYFUNCTION("""COMPUTED_VALUE"""),40900.6666666666)</f>
        <v>40900.666666666599</v>
      </c>
      <c r="B379" s="1">
        <f ca="1">IFERROR(__xludf.DUMMYFUNCTION("""COMPUTED_VALUE"""),1.86)</f>
        <v>1.86</v>
      </c>
    </row>
    <row r="380" spans="1:2">
      <c r="A380" s="3">
        <f ca="1">IFERROR(__xludf.DUMMYFUNCTION("""COMPUTED_VALUE"""),40904.6666666666)</f>
        <v>40904.666666666599</v>
      </c>
      <c r="B380" s="1">
        <f ca="1">IFERROR(__xludf.DUMMYFUNCTION("""COMPUTED_VALUE"""),1.9)</f>
        <v>1.9</v>
      </c>
    </row>
    <row r="381" spans="1:2">
      <c r="A381" s="3">
        <f ca="1">IFERROR(__xludf.DUMMYFUNCTION("""COMPUTED_VALUE"""),40905.6666666666)</f>
        <v>40905.666666666599</v>
      </c>
      <c r="B381" s="1">
        <f ca="1">IFERROR(__xludf.DUMMYFUNCTION("""COMPUTED_VALUE"""),1.9)</f>
        <v>1.9</v>
      </c>
    </row>
    <row r="382" spans="1:2">
      <c r="A382" s="3">
        <f ca="1">IFERROR(__xludf.DUMMYFUNCTION("""COMPUTED_VALUE"""),40906.6666666666)</f>
        <v>40906.666666666599</v>
      </c>
      <c r="B382" s="1">
        <f ca="1">IFERROR(__xludf.DUMMYFUNCTION("""COMPUTED_VALUE"""),1.92)</f>
        <v>1.92</v>
      </c>
    </row>
    <row r="383" spans="1:2">
      <c r="A383" s="3">
        <f ca="1">IFERROR(__xludf.DUMMYFUNCTION("""COMPUTED_VALUE"""),40907.6666666666)</f>
        <v>40907.666666666599</v>
      </c>
      <c r="B383" s="1">
        <f ca="1">IFERROR(__xludf.DUMMYFUNCTION("""COMPUTED_VALUE"""),1.9)</f>
        <v>1.9</v>
      </c>
    </row>
    <row r="384" spans="1:2">
      <c r="A384" s="3">
        <f ca="1">IFERROR(__xludf.DUMMYFUNCTION("""COMPUTED_VALUE"""),40911.6666666666)</f>
        <v>40911.666666666599</v>
      </c>
      <c r="B384" s="1">
        <f ca="1">IFERROR(__xludf.DUMMYFUNCTION("""COMPUTED_VALUE"""),1.87)</f>
        <v>1.87</v>
      </c>
    </row>
    <row r="385" spans="1:2">
      <c r="A385" s="3">
        <f ca="1">IFERROR(__xludf.DUMMYFUNCTION("""COMPUTED_VALUE"""),40912.6666666666)</f>
        <v>40912.666666666599</v>
      </c>
      <c r="B385" s="1">
        <f ca="1">IFERROR(__xludf.DUMMYFUNCTION("""COMPUTED_VALUE"""),1.85)</f>
        <v>1.85</v>
      </c>
    </row>
    <row r="386" spans="1:2">
      <c r="A386" s="3">
        <f ca="1">IFERROR(__xludf.DUMMYFUNCTION("""COMPUTED_VALUE"""),40913.6666666666)</f>
        <v>40913.666666666599</v>
      </c>
      <c r="B386" s="1">
        <f ca="1">IFERROR(__xludf.DUMMYFUNCTION("""COMPUTED_VALUE"""),1.81)</f>
        <v>1.81</v>
      </c>
    </row>
    <row r="387" spans="1:2">
      <c r="A387" s="3">
        <f ca="1">IFERROR(__xludf.DUMMYFUNCTION("""COMPUTED_VALUE"""),40914.6666666666)</f>
        <v>40914.666666666599</v>
      </c>
      <c r="B387" s="1">
        <f ca="1">IFERROR(__xludf.DUMMYFUNCTION("""COMPUTED_VALUE"""),1.79)</f>
        <v>1.79</v>
      </c>
    </row>
    <row r="388" spans="1:2">
      <c r="A388" s="3">
        <f ca="1">IFERROR(__xludf.DUMMYFUNCTION("""COMPUTED_VALUE"""),40917.6666666666)</f>
        <v>40917.666666666599</v>
      </c>
      <c r="B388" s="1">
        <f ca="1">IFERROR(__xludf.DUMMYFUNCTION("""COMPUTED_VALUE"""),1.82)</f>
        <v>1.82</v>
      </c>
    </row>
    <row r="389" spans="1:2">
      <c r="A389" s="3">
        <f ca="1">IFERROR(__xludf.DUMMYFUNCTION("""COMPUTED_VALUE"""),40918.6666666666)</f>
        <v>40918.666666666599</v>
      </c>
      <c r="B389" s="1">
        <f ca="1">IFERROR(__xludf.DUMMYFUNCTION("""COMPUTED_VALUE"""),1.84)</f>
        <v>1.84</v>
      </c>
    </row>
    <row r="390" spans="1:2">
      <c r="A390" s="3">
        <f ca="1">IFERROR(__xludf.DUMMYFUNCTION("""COMPUTED_VALUE"""),40919.6666666666)</f>
        <v>40919.666666666599</v>
      </c>
      <c r="B390" s="1">
        <f ca="1">IFERROR(__xludf.DUMMYFUNCTION("""COMPUTED_VALUE"""),1.88)</f>
        <v>1.88</v>
      </c>
    </row>
    <row r="391" spans="1:2">
      <c r="A391" s="3">
        <f ca="1">IFERROR(__xludf.DUMMYFUNCTION("""COMPUTED_VALUE"""),40920.6666666666)</f>
        <v>40920.666666666599</v>
      </c>
      <c r="B391" s="1">
        <f ca="1">IFERROR(__xludf.DUMMYFUNCTION("""COMPUTED_VALUE"""),1.88)</f>
        <v>1.88</v>
      </c>
    </row>
    <row r="392" spans="1:2">
      <c r="A392" s="3">
        <f ca="1">IFERROR(__xludf.DUMMYFUNCTION("""COMPUTED_VALUE"""),40921.6666666666)</f>
        <v>40921.666666666599</v>
      </c>
      <c r="B392" s="1">
        <f ca="1">IFERROR(__xludf.DUMMYFUNCTION("""COMPUTED_VALUE"""),1.52)</f>
        <v>1.52</v>
      </c>
    </row>
    <row r="393" spans="1:2">
      <c r="A393" s="3">
        <f ca="1">IFERROR(__xludf.DUMMYFUNCTION("""COMPUTED_VALUE"""),40925.6666666666)</f>
        <v>40925.666666666599</v>
      </c>
      <c r="B393" s="1">
        <f ca="1">IFERROR(__xludf.DUMMYFUNCTION("""COMPUTED_VALUE"""),1.77)</f>
        <v>1.77</v>
      </c>
    </row>
    <row r="394" spans="1:2">
      <c r="A394" s="3">
        <f ca="1">IFERROR(__xludf.DUMMYFUNCTION("""COMPUTED_VALUE"""),40926.6666666666)</f>
        <v>40926.666666666599</v>
      </c>
      <c r="B394" s="1">
        <f ca="1">IFERROR(__xludf.DUMMYFUNCTION("""COMPUTED_VALUE"""),1.79)</f>
        <v>1.79</v>
      </c>
    </row>
    <row r="395" spans="1:2">
      <c r="A395" s="3">
        <f ca="1">IFERROR(__xludf.DUMMYFUNCTION("""COMPUTED_VALUE"""),40927.6666666666)</f>
        <v>40927.666666666599</v>
      </c>
      <c r="B395" s="1">
        <f ca="1">IFERROR(__xludf.DUMMYFUNCTION("""COMPUTED_VALUE"""),1.78)</f>
        <v>1.78</v>
      </c>
    </row>
    <row r="396" spans="1:2">
      <c r="A396" s="3">
        <f ca="1">IFERROR(__xludf.DUMMYFUNCTION("""COMPUTED_VALUE"""),40928.6666666666)</f>
        <v>40928.666666666599</v>
      </c>
      <c r="B396" s="1">
        <f ca="1">IFERROR(__xludf.DUMMYFUNCTION("""COMPUTED_VALUE"""),1.77)</f>
        <v>1.77</v>
      </c>
    </row>
    <row r="397" spans="1:2">
      <c r="A397" s="3">
        <f ca="1">IFERROR(__xludf.DUMMYFUNCTION("""COMPUTED_VALUE"""),40931.6666666666)</f>
        <v>40931.666666666599</v>
      </c>
      <c r="B397" s="1">
        <f ca="1">IFERROR(__xludf.DUMMYFUNCTION("""COMPUTED_VALUE"""),1.78)</f>
        <v>1.78</v>
      </c>
    </row>
    <row r="398" spans="1:2">
      <c r="A398" s="3">
        <f ca="1">IFERROR(__xludf.DUMMYFUNCTION("""COMPUTED_VALUE"""),40932.6666666666)</f>
        <v>40932.666666666599</v>
      </c>
      <c r="B398" s="1">
        <f ca="1">IFERROR(__xludf.DUMMYFUNCTION("""COMPUTED_VALUE"""),1.83)</f>
        <v>1.83</v>
      </c>
    </row>
    <row r="399" spans="1:2">
      <c r="A399" s="3">
        <f ca="1">IFERROR(__xludf.DUMMYFUNCTION("""COMPUTED_VALUE"""),40933.6666666666)</f>
        <v>40933.666666666599</v>
      </c>
      <c r="B399" s="1">
        <f ca="1">IFERROR(__xludf.DUMMYFUNCTION("""COMPUTED_VALUE"""),1.86)</f>
        <v>1.86</v>
      </c>
    </row>
    <row r="400" spans="1:2">
      <c r="A400" s="3">
        <f ca="1">IFERROR(__xludf.DUMMYFUNCTION("""COMPUTED_VALUE"""),40934.6666666666)</f>
        <v>40934.666666666599</v>
      </c>
      <c r="B400" s="1">
        <f ca="1">IFERROR(__xludf.DUMMYFUNCTION("""COMPUTED_VALUE"""),1.93)</f>
        <v>1.93</v>
      </c>
    </row>
    <row r="401" spans="1:2">
      <c r="A401" s="3">
        <f ca="1">IFERROR(__xludf.DUMMYFUNCTION("""COMPUTED_VALUE"""),40935.6666666666)</f>
        <v>40935.666666666599</v>
      </c>
      <c r="B401" s="1">
        <f ca="1">IFERROR(__xludf.DUMMYFUNCTION("""COMPUTED_VALUE"""),1.96)</f>
        <v>1.96</v>
      </c>
    </row>
    <row r="402" spans="1:2">
      <c r="A402" s="3">
        <f ca="1">IFERROR(__xludf.DUMMYFUNCTION("""COMPUTED_VALUE"""),40938.6666666666)</f>
        <v>40938.666666666599</v>
      </c>
      <c r="B402" s="1">
        <f ca="1">IFERROR(__xludf.DUMMYFUNCTION("""COMPUTED_VALUE"""),1.97)</f>
        <v>1.97</v>
      </c>
    </row>
    <row r="403" spans="1:2">
      <c r="A403" s="3">
        <f ca="1">IFERROR(__xludf.DUMMYFUNCTION("""COMPUTED_VALUE"""),40939.6666666666)</f>
        <v>40939.666666666599</v>
      </c>
      <c r="B403" s="1">
        <f ca="1">IFERROR(__xludf.DUMMYFUNCTION("""COMPUTED_VALUE"""),1.94)</f>
        <v>1.94</v>
      </c>
    </row>
    <row r="404" spans="1:2">
      <c r="A404" s="3">
        <f ca="1">IFERROR(__xludf.DUMMYFUNCTION("""COMPUTED_VALUE"""),40940.6666666666)</f>
        <v>40940.666666666599</v>
      </c>
      <c r="B404" s="1">
        <f ca="1">IFERROR(__xludf.DUMMYFUNCTION("""COMPUTED_VALUE"""),1.97)</f>
        <v>1.97</v>
      </c>
    </row>
    <row r="405" spans="1:2">
      <c r="A405" s="3">
        <f ca="1">IFERROR(__xludf.DUMMYFUNCTION("""COMPUTED_VALUE"""),40941.6666666666)</f>
        <v>40941.666666666599</v>
      </c>
      <c r="B405" s="1">
        <f ca="1">IFERROR(__xludf.DUMMYFUNCTION("""COMPUTED_VALUE"""),2.02)</f>
        <v>2.02</v>
      </c>
    </row>
    <row r="406" spans="1:2">
      <c r="A406" s="3">
        <f ca="1">IFERROR(__xludf.DUMMYFUNCTION("""COMPUTED_VALUE"""),40942.6666666666)</f>
        <v>40942.666666666599</v>
      </c>
      <c r="B406" s="1">
        <f ca="1">IFERROR(__xludf.DUMMYFUNCTION("""COMPUTED_VALUE"""),2.08)</f>
        <v>2.08</v>
      </c>
    </row>
    <row r="407" spans="1:2">
      <c r="A407" s="3">
        <f ca="1">IFERROR(__xludf.DUMMYFUNCTION("""COMPUTED_VALUE"""),40945.6666666666)</f>
        <v>40945.666666666599</v>
      </c>
      <c r="B407" s="1">
        <f ca="1">IFERROR(__xludf.DUMMYFUNCTION("""COMPUTED_VALUE"""),2.12)</f>
        <v>2.12</v>
      </c>
    </row>
    <row r="408" spans="1:2">
      <c r="A408" s="3">
        <f ca="1">IFERROR(__xludf.DUMMYFUNCTION("""COMPUTED_VALUE"""),40946.6666666666)</f>
        <v>40946.666666666599</v>
      </c>
      <c r="B408" s="1">
        <f ca="1">IFERROR(__xludf.DUMMYFUNCTION("""COMPUTED_VALUE"""),2.11)</f>
        <v>2.11</v>
      </c>
    </row>
    <row r="409" spans="1:2">
      <c r="A409" s="3">
        <f ca="1">IFERROR(__xludf.DUMMYFUNCTION("""COMPUTED_VALUE"""),40947.6666666666)</f>
        <v>40947.666666666599</v>
      </c>
      <c r="B409" s="1">
        <f ca="1">IFERROR(__xludf.DUMMYFUNCTION("""COMPUTED_VALUE"""),2.13)</f>
        <v>2.13</v>
      </c>
    </row>
    <row r="410" spans="1:2">
      <c r="A410" s="3">
        <f ca="1">IFERROR(__xludf.DUMMYFUNCTION("""COMPUTED_VALUE"""),40948.6666666666)</f>
        <v>40948.666666666599</v>
      </c>
      <c r="B410" s="1">
        <f ca="1">IFERROR(__xludf.DUMMYFUNCTION("""COMPUTED_VALUE"""),2.17)</f>
        <v>2.17</v>
      </c>
    </row>
    <row r="411" spans="1:2">
      <c r="A411" s="3">
        <f ca="1">IFERROR(__xludf.DUMMYFUNCTION("""COMPUTED_VALUE"""),40949.6666666666)</f>
        <v>40949.666666666599</v>
      </c>
      <c r="B411" s="1">
        <f ca="1">IFERROR(__xludf.DUMMYFUNCTION("""COMPUTED_VALUE"""),2.07)</f>
        <v>2.0699999999999998</v>
      </c>
    </row>
    <row r="412" spans="1:2">
      <c r="A412" s="3">
        <f ca="1">IFERROR(__xludf.DUMMYFUNCTION("""COMPUTED_VALUE"""),40952.6666666666)</f>
        <v>40952.666666666599</v>
      </c>
      <c r="B412" s="1">
        <f ca="1">IFERROR(__xludf.DUMMYFUNCTION("""COMPUTED_VALUE"""),2.1)</f>
        <v>2.1</v>
      </c>
    </row>
    <row r="413" spans="1:2">
      <c r="A413" s="3">
        <f ca="1">IFERROR(__xludf.DUMMYFUNCTION("""COMPUTED_VALUE"""),40953.6666666666)</f>
        <v>40953.666666666599</v>
      </c>
      <c r="B413" s="1">
        <f ca="1">IFERROR(__xludf.DUMMYFUNCTION("""COMPUTED_VALUE"""),2.21)</f>
        <v>2.21</v>
      </c>
    </row>
    <row r="414" spans="1:2">
      <c r="A414" s="3">
        <f ca="1">IFERROR(__xludf.DUMMYFUNCTION("""COMPUTED_VALUE"""),40954.6666666666)</f>
        <v>40954.666666666599</v>
      </c>
      <c r="B414" s="1">
        <f ca="1">IFERROR(__xludf.DUMMYFUNCTION("""COMPUTED_VALUE"""),2.24)</f>
        <v>2.2400000000000002</v>
      </c>
    </row>
    <row r="415" spans="1:2">
      <c r="A415" s="3">
        <f ca="1">IFERROR(__xludf.DUMMYFUNCTION("""COMPUTED_VALUE"""),40955.6666666666)</f>
        <v>40955.666666666599</v>
      </c>
      <c r="B415" s="1">
        <f ca="1">IFERROR(__xludf.DUMMYFUNCTION("""COMPUTED_VALUE"""),2.28)</f>
        <v>2.2799999999999998</v>
      </c>
    </row>
    <row r="416" spans="1:2">
      <c r="A416" s="3">
        <f ca="1">IFERROR(__xludf.DUMMYFUNCTION("""COMPUTED_VALUE"""),40956.6666666666)</f>
        <v>40956.666666666599</v>
      </c>
      <c r="B416" s="1">
        <f ca="1">IFERROR(__xludf.DUMMYFUNCTION("""COMPUTED_VALUE"""),2.33)</f>
        <v>2.33</v>
      </c>
    </row>
    <row r="417" spans="1:2">
      <c r="A417" s="3">
        <f ca="1">IFERROR(__xludf.DUMMYFUNCTION("""COMPUTED_VALUE"""),40960.6666666666)</f>
        <v>40960.666666666599</v>
      </c>
      <c r="B417" s="1">
        <f ca="1">IFERROR(__xludf.DUMMYFUNCTION("""COMPUTED_VALUE"""),2.3)</f>
        <v>2.2999999999999998</v>
      </c>
    </row>
    <row r="418" spans="1:2">
      <c r="A418" s="3">
        <f ca="1">IFERROR(__xludf.DUMMYFUNCTION("""COMPUTED_VALUE"""),40961.6666666666)</f>
        <v>40961.666666666599</v>
      </c>
      <c r="B418" s="1">
        <f ca="1">IFERROR(__xludf.DUMMYFUNCTION("""COMPUTED_VALUE"""),2.28)</f>
        <v>2.2799999999999998</v>
      </c>
    </row>
    <row r="419" spans="1:2">
      <c r="A419" s="3">
        <f ca="1">IFERROR(__xludf.DUMMYFUNCTION("""COMPUTED_VALUE"""),40962.6666666666)</f>
        <v>40962.666666666599</v>
      </c>
      <c r="B419" s="1">
        <f ca="1">IFERROR(__xludf.DUMMYFUNCTION("""COMPUTED_VALUE"""),2.3)</f>
        <v>2.2999999999999998</v>
      </c>
    </row>
    <row r="420" spans="1:2">
      <c r="A420" s="3">
        <f ca="1">IFERROR(__xludf.DUMMYFUNCTION("""COMPUTED_VALUE"""),40963.6666666666)</f>
        <v>40963.666666666599</v>
      </c>
      <c r="B420" s="1">
        <f ca="1">IFERROR(__xludf.DUMMYFUNCTION("""COMPUTED_VALUE"""),2.25)</f>
        <v>2.25</v>
      </c>
    </row>
    <row r="421" spans="1:2">
      <c r="A421" s="3">
        <f ca="1">IFERROR(__xludf.DUMMYFUNCTION("""COMPUTED_VALUE"""),40966.6666666666)</f>
        <v>40966.666666666599</v>
      </c>
      <c r="B421" s="1">
        <f ca="1">IFERROR(__xludf.DUMMYFUNCTION("""COMPUTED_VALUE"""),2.24)</f>
        <v>2.2400000000000002</v>
      </c>
    </row>
    <row r="422" spans="1:2">
      <c r="A422" s="3">
        <f ca="1">IFERROR(__xludf.DUMMYFUNCTION("""COMPUTED_VALUE"""),40967.6666666666)</f>
        <v>40967.666666666599</v>
      </c>
      <c r="B422" s="1">
        <f ca="1">IFERROR(__xludf.DUMMYFUNCTION("""COMPUTED_VALUE"""),2.25)</f>
        <v>2.25</v>
      </c>
    </row>
    <row r="423" spans="1:2">
      <c r="A423" s="3">
        <f ca="1">IFERROR(__xludf.DUMMYFUNCTION("""COMPUTED_VALUE"""),40968.6666666666)</f>
        <v>40968.666666666599</v>
      </c>
      <c r="B423" s="1">
        <f ca="1">IFERROR(__xludf.DUMMYFUNCTION("""COMPUTED_VALUE"""),2.23)</f>
        <v>2.23</v>
      </c>
    </row>
    <row r="424" spans="1:2">
      <c r="A424" s="3">
        <f ca="1">IFERROR(__xludf.DUMMYFUNCTION("""COMPUTED_VALUE"""),40969.6666666666)</f>
        <v>40969.666666666599</v>
      </c>
      <c r="B424" s="1">
        <f ca="1">IFERROR(__xludf.DUMMYFUNCTION("""COMPUTED_VALUE"""),2.29)</f>
        <v>2.29</v>
      </c>
    </row>
    <row r="425" spans="1:2">
      <c r="A425" s="3">
        <f ca="1">IFERROR(__xludf.DUMMYFUNCTION("""COMPUTED_VALUE"""),40970.6666666666)</f>
        <v>40970.666666666599</v>
      </c>
      <c r="B425" s="1">
        <f ca="1">IFERROR(__xludf.DUMMYFUNCTION("""COMPUTED_VALUE"""),2.27)</f>
        <v>2.27</v>
      </c>
    </row>
    <row r="426" spans="1:2">
      <c r="A426" s="3">
        <f ca="1">IFERROR(__xludf.DUMMYFUNCTION("""COMPUTED_VALUE"""),40973.6666666666)</f>
        <v>40973.666666666599</v>
      </c>
      <c r="B426" s="1">
        <f ca="1">IFERROR(__xludf.DUMMYFUNCTION("""COMPUTED_VALUE"""),2.25)</f>
        <v>2.25</v>
      </c>
    </row>
    <row r="427" spans="1:2">
      <c r="A427" s="3">
        <f ca="1">IFERROR(__xludf.DUMMYFUNCTION("""COMPUTED_VALUE"""),40974.6666666666)</f>
        <v>40974.666666666599</v>
      </c>
      <c r="B427" s="1">
        <f ca="1">IFERROR(__xludf.DUMMYFUNCTION("""COMPUTED_VALUE"""),2.21)</f>
        <v>2.21</v>
      </c>
    </row>
    <row r="428" spans="1:2">
      <c r="A428" s="3">
        <f ca="1">IFERROR(__xludf.DUMMYFUNCTION("""COMPUTED_VALUE"""),40975.6666666666)</f>
        <v>40975.666666666599</v>
      </c>
      <c r="B428" s="1">
        <f ca="1">IFERROR(__xludf.DUMMYFUNCTION("""COMPUTED_VALUE"""),2.21)</f>
        <v>2.21</v>
      </c>
    </row>
    <row r="429" spans="1:2">
      <c r="A429" s="3">
        <f ca="1">IFERROR(__xludf.DUMMYFUNCTION("""COMPUTED_VALUE"""),40976.6666666666)</f>
        <v>40976.666666666599</v>
      </c>
      <c r="B429" s="1">
        <f ca="1">IFERROR(__xludf.DUMMYFUNCTION("""COMPUTED_VALUE"""),2.2)</f>
        <v>2.2000000000000002</v>
      </c>
    </row>
    <row r="430" spans="1:2">
      <c r="A430" s="3">
        <f ca="1">IFERROR(__xludf.DUMMYFUNCTION("""COMPUTED_VALUE"""),40977.6666666666)</f>
        <v>40977.666666666599</v>
      </c>
      <c r="B430" s="1">
        <f ca="1">IFERROR(__xludf.DUMMYFUNCTION("""COMPUTED_VALUE"""),2.32)</f>
        <v>2.3199999999999998</v>
      </c>
    </row>
    <row r="431" spans="1:2">
      <c r="A431" s="3">
        <f ca="1">IFERROR(__xludf.DUMMYFUNCTION("""COMPUTED_VALUE"""),40980.6666666666)</f>
        <v>40980.666666666599</v>
      </c>
      <c r="B431" s="1">
        <f ca="1">IFERROR(__xludf.DUMMYFUNCTION("""COMPUTED_VALUE"""),2.4)</f>
        <v>2.4</v>
      </c>
    </row>
    <row r="432" spans="1:2">
      <c r="A432" s="3">
        <f ca="1">IFERROR(__xludf.DUMMYFUNCTION("""COMPUTED_VALUE"""),40981.6666666666)</f>
        <v>40981.666666666599</v>
      </c>
      <c r="B432" s="1">
        <f ca="1">IFERROR(__xludf.DUMMYFUNCTION("""COMPUTED_VALUE"""),2.41)</f>
        <v>2.41</v>
      </c>
    </row>
    <row r="433" spans="1:2">
      <c r="A433" s="3">
        <f ca="1">IFERROR(__xludf.DUMMYFUNCTION("""COMPUTED_VALUE"""),40982.6666666666)</f>
        <v>40982.666666666599</v>
      </c>
      <c r="B433" s="1">
        <f ca="1">IFERROR(__xludf.DUMMYFUNCTION("""COMPUTED_VALUE"""),2.35)</f>
        <v>2.35</v>
      </c>
    </row>
    <row r="434" spans="1:2">
      <c r="A434" s="3">
        <f ca="1">IFERROR(__xludf.DUMMYFUNCTION("""COMPUTED_VALUE"""),40983.6666666666)</f>
        <v>40983.666666666599</v>
      </c>
      <c r="B434" s="1">
        <f ca="1">IFERROR(__xludf.DUMMYFUNCTION("""COMPUTED_VALUE"""),2.33)</f>
        <v>2.33</v>
      </c>
    </row>
    <row r="435" spans="1:2">
      <c r="A435" s="3">
        <f ca="1">IFERROR(__xludf.DUMMYFUNCTION("""COMPUTED_VALUE"""),40984.6666666666)</f>
        <v>40984.666666666599</v>
      </c>
      <c r="B435" s="1">
        <f ca="1">IFERROR(__xludf.DUMMYFUNCTION("""COMPUTED_VALUE"""),2.35)</f>
        <v>2.35</v>
      </c>
    </row>
    <row r="436" spans="1:2">
      <c r="A436" s="3">
        <f ca="1">IFERROR(__xludf.DUMMYFUNCTION("""COMPUTED_VALUE"""),40987.6666666666)</f>
        <v>40987.666666666599</v>
      </c>
      <c r="B436" s="1">
        <f ca="1">IFERROR(__xludf.DUMMYFUNCTION("""COMPUTED_VALUE"""),2.33)</f>
        <v>2.33</v>
      </c>
    </row>
    <row r="437" spans="1:2">
      <c r="A437" s="3">
        <f ca="1">IFERROR(__xludf.DUMMYFUNCTION("""COMPUTED_VALUE"""),40988.6666666666)</f>
        <v>40988.666666666599</v>
      </c>
      <c r="B437" s="1">
        <f ca="1">IFERROR(__xludf.DUMMYFUNCTION("""COMPUTED_VALUE"""),2.33)</f>
        <v>2.33</v>
      </c>
    </row>
    <row r="438" spans="1:2">
      <c r="A438" s="3">
        <f ca="1">IFERROR(__xludf.DUMMYFUNCTION("""COMPUTED_VALUE"""),40989.6666666666)</f>
        <v>40989.666666666599</v>
      </c>
      <c r="B438" s="1">
        <f ca="1">IFERROR(__xludf.DUMMYFUNCTION("""COMPUTED_VALUE"""),2.34)</f>
        <v>2.34</v>
      </c>
    </row>
    <row r="439" spans="1:2">
      <c r="A439" s="3">
        <f ca="1">IFERROR(__xludf.DUMMYFUNCTION("""COMPUTED_VALUE"""),40990.6666666666)</f>
        <v>40990.666666666599</v>
      </c>
      <c r="B439" s="1">
        <f ca="1">IFERROR(__xludf.DUMMYFUNCTION("""COMPUTED_VALUE"""),2.29)</f>
        <v>2.29</v>
      </c>
    </row>
    <row r="440" spans="1:2">
      <c r="A440" s="3">
        <f ca="1">IFERROR(__xludf.DUMMYFUNCTION("""COMPUTED_VALUE"""),40991.6666666666)</f>
        <v>40991.666666666599</v>
      </c>
      <c r="B440" s="1">
        <f ca="1">IFERROR(__xludf.DUMMYFUNCTION("""COMPUTED_VALUE"""),2.27)</f>
        <v>2.27</v>
      </c>
    </row>
    <row r="441" spans="1:2">
      <c r="A441" s="3">
        <f ca="1">IFERROR(__xludf.DUMMYFUNCTION("""COMPUTED_VALUE"""),40994.6666666666)</f>
        <v>40994.666666666599</v>
      </c>
      <c r="B441" s="1">
        <f ca="1">IFERROR(__xludf.DUMMYFUNCTION("""COMPUTED_VALUE"""),2.49)</f>
        <v>2.4900000000000002</v>
      </c>
    </row>
    <row r="442" spans="1:2">
      <c r="A442" s="3">
        <f ca="1">IFERROR(__xludf.DUMMYFUNCTION("""COMPUTED_VALUE"""),40995.6666666666)</f>
        <v>40995.666666666599</v>
      </c>
      <c r="B442" s="1">
        <f ca="1">IFERROR(__xludf.DUMMYFUNCTION("""COMPUTED_VALUE"""),2.53)</f>
        <v>2.5299999999999998</v>
      </c>
    </row>
    <row r="443" spans="1:2">
      <c r="A443" s="3">
        <f ca="1">IFERROR(__xludf.DUMMYFUNCTION("""COMPUTED_VALUE"""),40996.6666666666)</f>
        <v>40996.666666666599</v>
      </c>
      <c r="B443" s="1">
        <f ca="1">IFERROR(__xludf.DUMMYFUNCTION("""COMPUTED_VALUE"""),2.52)</f>
        <v>2.52</v>
      </c>
    </row>
    <row r="444" spans="1:2">
      <c r="A444" s="3">
        <f ca="1">IFERROR(__xludf.DUMMYFUNCTION("""COMPUTED_VALUE"""),40997.6666666666)</f>
        <v>40997.666666666599</v>
      </c>
      <c r="B444" s="1">
        <f ca="1">IFERROR(__xludf.DUMMYFUNCTION("""COMPUTED_VALUE"""),2.49)</f>
        <v>2.4900000000000002</v>
      </c>
    </row>
    <row r="445" spans="1:2">
      <c r="A445" s="3">
        <f ca="1">IFERROR(__xludf.DUMMYFUNCTION("""COMPUTED_VALUE"""),40998.6666666666)</f>
        <v>40998.666666666599</v>
      </c>
      <c r="B445" s="1">
        <f ca="1">IFERROR(__xludf.DUMMYFUNCTION("""COMPUTED_VALUE"""),2.48)</f>
        <v>2.48</v>
      </c>
    </row>
    <row r="446" spans="1:2">
      <c r="A446" s="3">
        <f ca="1">IFERROR(__xludf.DUMMYFUNCTION("""COMPUTED_VALUE"""),41001.6666666666)</f>
        <v>41001.666666666599</v>
      </c>
      <c r="B446" s="1">
        <f ca="1">IFERROR(__xludf.DUMMYFUNCTION("""COMPUTED_VALUE"""),2.44)</f>
        <v>2.44</v>
      </c>
    </row>
    <row r="447" spans="1:2">
      <c r="A447" s="3">
        <f ca="1">IFERROR(__xludf.DUMMYFUNCTION("""COMPUTED_VALUE"""),41002.6666666666)</f>
        <v>41002.666666666599</v>
      </c>
      <c r="B447" s="1">
        <f ca="1">IFERROR(__xludf.DUMMYFUNCTION("""COMPUTED_VALUE"""),2.53)</f>
        <v>2.5299999999999998</v>
      </c>
    </row>
    <row r="448" spans="1:2">
      <c r="A448" s="3">
        <f ca="1">IFERROR(__xludf.DUMMYFUNCTION("""COMPUTED_VALUE"""),41003.6666666666)</f>
        <v>41003.666666666599</v>
      </c>
      <c r="B448" s="1">
        <f ca="1">IFERROR(__xludf.DUMMYFUNCTION("""COMPUTED_VALUE"""),2.33)</f>
        <v>2.33</v>
      </c>
    </row>
    <row r="449" spans="1:2">
      <c r="A449" s="3">
        <f ca="1">IFERROR(__xludf.DUMMYFUNCTION("""COMPUTED_VALUE"""),41004.6666666666)</f>
        <v>41004.666666666599</v>
      </c>
      <c r="B449" s="1">
        <f ca="1">IFERROR(__xludf.DUMMYFUNCTION("""COMPUTED_VALUE"""),2.3)</f>
        <v>2.2999999999999998</v>
      </c>
    </row>
    <row r="450" spans="1:2">
      <c r="A450" s="3">
        <f ca="1">IFERROR(__xludf.DUMMYFUNCTION("""COMPUTED_VALUE"""),41008.6666666666)</f>
        <v>41008.666666666599</v>
      </c>
      <c r="B450" s="1">
        <f ca="1">IFERROR(__xludf.DUMMYFUNCTION("""COMPUTED_VALUE"""),2.21)</f>
        <v>2.21</v>
      </c>
    </row>
    <row r="451" spans="1:2">
      <c r="A451" s="3">
        <f ca="1">IFERROR(__xludf.DUMMYFUNCTION("""COMPUTED_VALUE"""),41009.6666666666)</f>
        <v>41009.666666666599</v>
      </c>
      <c r="B451" s="1">
        <f ca="1">IFERROR(__xludf.DUMMYFUNCTION("""COMPUTED_VALUE"""),2.16)</f>
        <v>2.16</v>
      </c>
    </row>
    <row r="452" spans="1:2">
      <c r="A452" s="3">
        <f ca="1">IFERROR(__xludf.DUMMYFUNCTION("""COMPUTED_VALUE"""),41010.6666666666)</f>
        <v>41010.666666666599</v>
      </c>
      <c r="B452" s="1">
        <f ca="1">IFERROR(__xludf.DUMMYFUNCTION("""COMPUTED_VALUE"""),2.21)</f>
        <v>2.21</v>
      </c>
    </row>
    <row r="453" spans="1:2">
      <c r="A453" s="3">
        <f ca="1">IFERROR(__xludf.DUMMYFUNCTION("""COMPUTED_VALUE"""),41011.6666666666)</f>
        <v>41011.666666666599</v>
      </c>
      <c r="B453" s="1">
        <f ca="1">IFERROR(__xludf.DUMMYFUNCTION("""COMPUTED_VALUE"""),2.23)</f>
        <v>2.23</v>
      </c>
    </row>
    <row r="454" spans="1:2">
      <c r="A454" s="3">
        <f ca="1">IFERROR(__xludf.DUMMYFUNCTION("""COMPUTED_VALUE"""),41012.6666666666)</f>
        <v>41012.666666666599</v>
      </c>
      <c r="B454" s="1">
        <f ca="1">IFERROR(__xludf.DUMMYFUNCTION("""COMPUTED_VALUE"""),2.24)</f>
        <v>2.2400000000000002</v>
      </c>
    </row>
    <row r="455" spans="1:2">
      <c r="A455" s="3">
        <f ca="1">IFERROR(__xludf.DUMMYFUNCTION("""COMPUTED_VALUE"""),41015.6666666666)</f>
        <v>41015.666666666599</v>
      </c>
      <c r="B455" s="1">
        <f ca="1">IFERROR(__xludf.DUMMYFUNCTION("""COMPUTED_VALUE"""),2.15)</f>
        <v>2.15</v>
      </c>
    </row>
    <row r="456" spans="1:2">
      <c r="A456" s="3">
        <f ca="1">IFERROR(__xludf.DUMMYFUNCTION("""COMPUTED_VALUE"""),41016.6666666666)</f>
        <v>41016.666666666599</v>
      </c>
      <c r="B456" s="1">
        <f ca="1">IFERROR(__xludf.DUMMYFUNCTION("""COMPUTED_VALUE"""),2.15)</f>
        <v>2.15</v>
      </c>
    </row>
    <row r="457" spans="1:2">
      <c r="A457" s="3">
        <f ca="1">IFERROR(__xludf.DUMMYFUNCTION("""COMPUTED_VALUE"""),41017.6666666666)</f>
        <v>41017.666666666599</v>
      </c>
      <c r="B457" s="1">
        <f ca="1">IFERROR(__xludf.DUMMYFUNCTION("""COMPUTED_VALUE"""),2.18)</f>
        <v>2.1800000000000002</v>
      </c>
    </row>
    <row r="458" spans="1:2">
      <c r="A458" s="3">
        <f ca="1">IFERROR(__xludf.DUMMYFUNCTION("""COMPUTED_VALUE"""),41018.6666666666)</f>
        <v>41018.666666666599</v>
      </c>
      <c r="B458" s="1">
        <f ca="1">IFERROR(__xludf.DUMMYFUNCTION("""COMPUTED_VALUE"""),2.21)</f>
        <v>2.21</v>
      </c>
    </row>
    <row r="459" spans="1:2">
      <c r="A459" s="3">
        <f ca="1">IFERROR(__xludf.DUMMYFUNCTION("""COMPUTED_VALUE"""),41019.6666666666)</f>
        <v>41019.666666666599</v>
      </c>
      <c r="B459" s="1">
        <f ca="1">IFERROR(__xludf.DUMMYFUNCTION("""COMPUTED_VALUE"""),2.21)</f>
        <v>2.21</v>
      </c>
    </row>
    <row r="460" spans="1:2">
      <c r="A460" s="3">
        <f ca="1">IFERROR(__xludf.DUMMYFUNCTION("""COMPUTED_VALUE"""),41022.6666666666)</f>
        <v>41022.666666666599</v>
      </c>
      <c r="B460" s="1">
        <f ca="1">IFERROR(__xludf.DUMMYFUNCTION("""COMPUTED_VALUE"""),2.13)</f>
        <v>2.13</v>
      </c>
    </row>
    <row r="461" spans="1:2">
      <c r="A461" s="3">
        <f ca="1">IFERROR(__xludf.DUMMYFUNCTION("""COMPUTED_VALUE"""),41023.6666666666)</f>
        <v>41023.666666666599</v>
      </c>
      <c r="B461" s="1">
        <f ca="1">IFERROR(__xludf.DUMMYFUNCTION("""COMPUTED_VALUE"""),2.12)</f>
        <v>2.12</v>
      </c>
    </row>
    <row r="462" spans="1:2">
      <c r="A462" s="3">
        <f ca="1">IFERROR(__xludf.DUMMYFUNCTION("""COMPUTED_VALUE"""),41024.6666666666)</f>
        <v>41024.666666666599</v>
      </c>
      <c r="B462" s="1">
        <f ca="1">IFERROR(__xludf.DUMMYFUNCTION("""COMPUTED_VALUE"""),2.19)</f>
        <v>2.19</v>
      </c>
    </row>
    <row r="463" spans="1:2">
      <c r="A463" s="3">
        <f ca="1">IFERROR(__xludf.DUMMYFUNCTION("""COMPUTED_VALUE"""),41025.6666666666)</f>
        <v>41025.666666666599</v>
      </c>
      <c r="B463" s="1">
        <f ca="1">IFERROR(__xludf.DUMMYFUNCTION("""COMPUTED_VALUE"""),2.23)</f>
        <v>2.23</v>
      </c>
    </row>
    <row r="464" spans="1:2">
      <c r="A464" s="3">
        <f ca="1">IFERROR(__xludf.DUMMYFUNCTION("""COMPUTED_VALUE"""),41026.6666666666)</f>
        <v>41026.666666666599</v>
      </c>
      <c r="B464" s="1">
        <f ca="1">IFERROR(__xludf.DUMMYFUNCTION("""COMPUTED_VALUE"""),2.22)</f>
        <v>2.2200000000000002</v>
      </c>
    </row>
    <row r="465" spans="1:2">
      <c r="A465" s="3">
        <f ca="1">IFERROR(__xludf.DUMMYFUNCTION("""COMPUTED_VALUE"""),41029.6666666666)</f>
        <v>41029.666666666599</v>
      </c>
      <c r="B465" s="1">
        <f ca="1">IFERROR(__xludf.DUMMYFUNCTION("""COMPUTED_VALUE"""),2.21)</f>
        <v>2.21</v>
      </c>
    </row>
    <row r="466" spans="1:2">
      <c r="A466" s="3">
        <f ca="1">IFERROR(__xludf.DUMMYFUNCTION("""COMPUTED_VALUE"""),41030.6666666666)</f>
        <v>41030.666666666599</v>
      </c>
      <c r="B466" s="1">
        <f ca="1">IFERROR(__xludf.DUMMYFUNCTION("""COMPUTED_VALUE"""),2.25)</f>
        <v>2.25</v>
      </c>
    </row>
    <row r="467" spans="1:2">
      <c r="A467" s="3">
        <f ca="1">IFERROR(__xludf.DUMMYFUNCTION("""COMPUTED_VALUE"""),41031.6666666666)</f>
        <v>41031.666666666599</v>
      </c>
      <c r="B467" s="1">
        <f ca="1">IFERROR(__xludf.DUMMYFUNCTION("""COMPUTED_VALUE"""),2.26)</f>
        <v>2.2599999999999998</v>
      </c>
    </row>
    <row r="468" spans="1:2">
      <c r="A468" s="3">
        <f ca="1">IFERROR(__xludf.DUMMYFUNCTION("""COMPUTED_VALUE"""),41032.6666666666)</f>
        <v>41032.666666666599</v>
      </c>
      <c r="B468" s="1">
        <f ca="1">IFERROR(__xludf.DUMMYFUNCTION("""COMPUTED_VALUE"""),2.16)</f>
        <v>2.16</v>
      </c>
    </row>
    <row r="469" spans="1:2">
      <c r="A469" s="3">
        <f ca="1">IFERROR(__xludf.DUMMYFUNCTION("""COMPUTED_VALUE"""),41033.6666666666)</f>
        <v>41033.666666666599</v>
      </c>
      <c r="B469" s="1">
        <f ca="1">IFERROR(__xludf.DUMMYFUNCTION("""COMPUTED_VALUE"""),2.12)</f>
        <v>2.12</v>
      </c>
    </row>
    <row r="470" spans="1:2">
      <c r="A470" s="3">
        <f ca="1">IFERROR(__xludf.DUMMYFUNCTION("""COMPUTED_VALUE"""),41036.6666666666)</f>
        <v>41036.666666666599</v>
      </c>
      <c r="B470" s="1">
        <f ca="1">IFERROR(__xludf.DUMMYFUNCTION("""COMPUTED_VALUE"""),2.16)</f>
        <v>2.16</v>
      </c>
    </row>
    <row r="471" spans="1:2">
      <c r="A471" s="3">
        <f ca="1">IFERROR(__xludf.DUMMYFUNCTION("""COMPUTED_VALUE"""),41037.6666666666)</f>
        <v>41037.666666666599</v>
      </c>
      <c r="B471" s="1">
        <f ca="1">IFERROR(__xludf.DUMMYFUNCTION("""COMPUTED_VALUE"""),2.01)</f>
        <v>2.0099999999999998</v>
      </c>
    </row>
    <row r="472" spans="1:2">
      <c r="A472" s="3">
        <f ca="1">IFERROR(__xludf.DUMMYFUNCTION("""COMPUTED_VALUE"""),41038.6666666666)</f>
        <v>41038.666666666599</v>
      </c>
      <c r="B472" s="1">
        <f ca="1">IFERROR(__xludf.DUMMYFUNCTION("""COMPUTED_VALUE"""),2)</f>
        <v>2</v>
      </c>
    </row>
    <row r="473" spans="1:2">
      <c r="A473" s="3">
        <f ca="1">IFERROR(__xludf.DUMMYFUNCTION("""COMPUTED_VALUE"""),41039.6666666666)</f>
        <v>41039.666666666599</v>
      </c>
      <c r="B473" s="1">
        <f ca="1">IFERROR(__xludf.DUMMYFUNCTION("""COMPUTED_VALUE"""),2.2)</f>
        <v>2.2000000000000002</v>
      </c>
    </row>
    <row r="474" spans="1:2">
      <c r="A474" s="3">
        <f ca="1">IFERROR(__xludf.DUMMYFUNCTION("""COMPUTED_VALUE"""),41040.6666666666)</f>
        <v>41040.666666666599</v>
      </c>
      <c r="B474" s="1">
        <f ca="1">IFERROR(__xludf.DUMMYFUNCTION("""COMPUTED_VALUE"""),2.15)</f>
        <v>2.15</v>
      </c>
    </row>
    <row r="475" spans="1:2">
      <c r="A475" s="3">
        <f ca="1">IFERROR(__xludf.DUMMYFUNCTION("""COMPUTED_VALUE"""),41043.6666666666)</f>
        <v>41043.666666666599</v>
      </c>
      <c r="B475" s="1">
        <f ca="1">IFERROR(__xludf.DUMMYFUNCTION("""COMPUTED_VALUE"""),2)</f>
        <v>2</v>
      </c>
    </row>
    <row r="476" spans="1:2">
      <c r="A476" s="3">
        <f ca="1">IFERROR(__xludf.DUMMYFUNCTION("""COMPUTED_VALUE"""),41044.6666666666)</f>
        <v>41044.666666666599</v>
      </c>
      <c r="B476" s="1">
        <f ca="1">IFERROR(__xludf.DUMMYFUNCTION("""COMPUTED_VALUE"""),1.96)</f>
        <v>1.96</v>
      </c>
    </row>
    <row r="477" spans="1:2">
      <c r="A477" s="3">
        <f ca="1">IFERROR(__xludf.DUMMYFUNCTION("""COMPUTED_VALUE"""),41045.6666666666)</f>
        <v>41045.666666666599</v>
      </c>
      <c r="B477" s="1">
        <f ca="1">IFERROR(__xludf.DUMMYFUNCTION("""COMPUTED_VALUE"""),1.95)</f>
        <v>1.95</v>
      </c>
    </row>
    <row r="478" spans="1:2">
      <c r="A478" s="3">
        <f ca="1">IFERROR(__xludf.DUMMYFUNCTION("""COMPUTED_VALUE"""),41046.6666666666)</f>
        <v>41046.666666666599</v>
      </c>
      <c r="B478" s="1">
        <f ca="1">IFERROR(__xludf.DUMMYFUNCTION("""COMPUTED_VALUE"""),1.9)</f>
        <v>1.9</v>
      </c>
    </row>
    <row r="479" spans="1:2">
      <c r="A479" s="3">
        <f ca="1">IFERROR(__xludf.DUMMYFUNCTION("""COMPUTED_VALUE"""),41047.6666666666)</f>
        <v>41047.666666666599</v>
      </c>
      <c r="B479" s="1">
        <f ca="1">IFERROR(__xludf.DUMMYFUNCTION("""COMPUTED_VALUE"""),1.84)</f>
        <v>1.84</v>
      </c>
    </row>
    <row r="480" spans="1:2">
      <c r="A480" s="3">
        <f ca="1">IFERROR(__xludf.DUMMYFUNCTION("""COMPUTED_VALUE"""),41050.6666666666)</f>
        <v>41050.666666666599</v>
      </c>
      <c r="B480" s="1">
        <f ca="1">IFERROR(__xludf.DUMMYFUNCTION("""COMPUTED_VALUE"""),1.92)</f>
        <v>1.92</v>
      </c>
    </row>
    <row r="481" spans="1:2">
      <c r="A481" s="3">
        <f ca="1">IFERROR(__xludf.DUMMYFUNCTION("""COMPUTED_VALUE"""),41051.6666666666)</f>
        <v>41051.666666666599</v>
      </c>
      <c r="B481" s="1">
        <f ca="1">IFERROR(__xludf.DUMMYFUNCTION("""COMPUTED_VALUE"""),2.05)</f>
        <v>2.0499999999999998</v>
      </c>
    </row>
    <row r="482" spans="1:2">
      <c r="A482" s="3">
        <f ca="1">IFERROR(__xludf.DUMMYFUNCTION("""COMPUTED_VALUE"""),41052.6666666666)</f>
        <v>41052.666666666599</v>
      </c>
      <c r="B482" s="1">
        <f ca="1">IFERROR(__xludf.DUMMYFUNCTION("""COMPUTED_VALUE"""),2.07)</f>
        <v>2.0699999999999998</v>
      </c>
    </row>
    <row r="483" spans="1:2">
      <c r="A483" s="3">
        <f ca="1">IFERROR(__xludf.DUMMYFUNCTION("""COMPUTED_VALUE"""),41053.6666666666)</f>
        <v>41053.666666666599</v>
      </c>
      <c r="B483" s="1">
        <f ca="1">IFERROR(__xludf.DUMMYFUNCTION("""COMPUTED_VALUE"""),2.02)</f>
        <v>2.02</v>
      </c>
    </row>
    <row r="484" spans="1:2">
      <c r="A484" s="3">
        <f ca="1">IFERROR(__xludf.DUMMYFUNCTION("""COMPUTED_VALUE"""),41054.6666666666)</f>
        <v>41054.666666666599</v>
      </c>
      <c r="B484" s="1">
        <f ca="1">IFERROR(__xludf.DUMMYFUNCTION("""COMPUTED_VALUE"""),1.99)</f>
        <v>1.99</v>
      </c>
    </row>
    <row r="485" spans="1:2">
      <c r="A485" s="3">
        <f ca="1">IFERROR(__xludf.DUMMYFUNCTION("""COMPUTED_VALUE"""),41058.6666666666)</f>
        <v>41058.666666666599</v>
      </c>
      <c r="B485" s="1">
        <f ca="1">IFERROR(__xludf.DUMMYFUNCTION("""COMPUTED_VALUE"""),2.11)</f>
        <v>2.11</v>
      </c>
    </row>
    <row r="486" spans="1:2">
      <c r="A486" s="3">
        <f ca="1">IFERROR(__xludf.DUMMYFUNCTION("""COMPUTED_VALUE"""),41059.6666666666)</f>
        <v>41059.666666666599</v>
      </c>
      <c r="B486" s="1">
        <f ca="1">IFERROR(__xludf.DUMMYFUNCTION("""COMPUTED_VALUE"""),2.03)</f>
        <v>2.0299999999999998</v>
      </c>
    </row>
    <row r="487" spans="1:2">
      <c r="A487" s="3">
        <f ca="1">IFERROR(__xludf.DUMMYFUNCTION("""COMPUTED_VALUE"""),41060.6666666666)</f>
        <v>41060.666666666599</v>
      </c>
      <c r="B487" s="1">
        <f ca="1">IFERROR(__xludf.DUMMYFUNCTION("""COMPUTED_VALUE"""),1.97)</f>
        <v>1.97</v>
      </c>
    </row>
    <row r="488" spans="1:2">
      <c r="A488" s="3">
        <f ca="1">IFERROR(__xludf.DUMMYFUNCTION("""COMPUTED_VALUE"""),41061.6666666666)</f>
        <v>41061.666666666599</v>
      </c>
      <c r="B488" s="1">
        <f ca="1">IFERROR(__xludf.DUMMYFUNCTION("""COMPUTED_VALUE"""),1.88)</f>
        <v>1.88</v>
      </c>
    </row>
    <row r="489" spans="1:2">
      <c r="A489" s="3">
        <f ca="1">IFERROR(__xludf.DUMMYFUNCTION("""COMPUTED_VALUE"""),41064.6666666666)</f>
        <v>41064.666666666599</v>
      </c>
      <c r="B489" s="1">
        <f ca="1">IFERROR(__xludf.DUMMYFUNCTION("""COMPUTED_VALUE"""),1.86)</f>
        <v>1.86</v>
      </c>
    </row>
    <row r="490" spans="1:2">
      <c r="A490" s="3">
        <f ca="1">IFERROR(__xludf.DUMMYFUNCTION("""COMPUTED_VALUE"""),41065.6666666666)</f>
        <v>41065.666666666599</v>
      </c>
      <c r="B490" s="1">
        <f ca="1">IFERROR(__xludf.DUMMYFUNCTION("""COMPUTED_VALUE"""),1.86)</f>
        <v>1.86</v>
      </c>
    </row>
    <row r="491" spans="1:2">
      <c r="A491" s="3">
        <f ca="1">IFERROR(__xludf.DUMMYFUNCTION("""COMPUTED_VALUE"""),41066.6666666666)</f>
        <v>41066.666666666599</v>
      </c>
      <c r="B491" s="1">
        <f ca="1">IFERROR(__xludf.DUMMYFUNCTION("""COMPUTED_VALUE"""),1.95)</f>
        <v>1.95</v>
      </c>
    </row>
    <row r="492" spans="1:2">
      <c r="A492" s="3">
        <f ca="1">IFERROR(__xludf.DUMMYFUNCTION("""COMPUTED_VALUE"""),41067.6666666666)</f>
        <v>41067.666666666599</v>
      </c>
      <c r="B492" s="1">
        <f ca="1">IFERROR(__xludf.DUMMYFUNCTION("""COMPUTED_VALUE"""),1.93)</f>
        <v>1.93</v>
      </c>
    </row>
    <row r="493" spans="1:2">
      <c r="A493" s="3">
        <f ca="1">IFERROR(__xludf.DUMMYFUNCTION("""COMPUTED_VALUE"""),41068.6666666666)</f>
        <v>41068.666666666599</v>
      </c>
      <c r="B493" s="1">
        <f ca="1">IFERROR(__xludf.DUMMYFUNCTION("""COMPUTED_VALUE"""),2.01)</f>
        <v>2.0099999999999998</v>
      </c>
    </row>
    <row r="494" spans="1:2">
      <c r="A494" s="3">
        <f ca="1">IFERROR(__xludf.DUMMYFUNCTION("""COMPUTED_VALUE"""),41071.6666666666)</f>
        <v>41071.666666666599</v>
      </c>
      <c r="B494" s="1">
        <f ca="1">IFERROR(__xludf.DUMMYFUNCTION("""COMPUTED_VALUE"""),1.94)</f>
        <v>1.94</v>
      </c>
    </row>
    <row r="495" spans="1:2">
      <c r="A495" s="3">
        <f ca="1">IFERROR(__xludf.DUMMYFUNCTION("""COMPUTED_VALUE"""),41072.6666666666)</f>
        <v>41072.666666666599</v>
      </c>
      <c r="B495" s="1">
        <f ca="1">IFERROR(__xludf.DUMMYFUNCTION("""COMPUTED_VALUE"""),1.98)</f>
        <v>1.98</v>
      </c>
    </row>
    <row r="496" spans="1:2">
      <c r="A496" s="3">
        <f ca="1">IFERROR(__xludf.DUMMYFUNCTION("""COMPUTED_VALUE"""),41073.6666666666)</f>
        <v>41073.666666666599</v>
      </c>
      <c r="B496" s="1">
        <f ca="1">IFERROR(__xludf.DUMMYFUNCTION("""COMPUTED_VALUE"""),1.98)</f>
        <v>1.98</v>
      </c>
    </row>
    <row r="497" spans="1:2">
      <c r="A497" s="3">
        <f ca="1">IFERROR(__xludf.DUMMYFUNCTION("""COMPUTED_VALUE"""),41074.6666666666)</f>
        <v>41074.666666666599</v>
      </c>
      <c r="B497" s="1">
        <f ca="1">IFERROR(__xludf.DUMMYFUNCTION("""COMPUTED_VALUE"""),1.96)</f>
        <v>1.96</v>
      </c>
    </row>
    <row r="498" spans="1:2">
      <c r="A498" s="3">
        <f ca="1">IFERROR(__xludf.DUMMYFUNCTION("""COMPUTED_VALUE"""),41075.6666666666)</f>
        <v>41075.666666666599</v>
      </c>
      <c r="B498" s="1">
        <f ca="1">IFERROR(__xludf.DUMMYFUNCTION("""COMPUTED_VALUE"""),1.99)</f>
        <v>1.99</v>
      </c>
    </row>
    <row r="499" spans="1:2">
      <c r="A499" s="3">
        <f ca="1">IFERROR(__xludf.DUMMYFUNCTION("""COMPUTED_VALUE"""),41078.6666666666)</f>
        <v>41078.666666666599</v>
      </c>
      <c r="B499" s="1">
        <f ca="1">IFERROR(__xludf.DUMMYFUNCTION("""COMPUTED_VALUE"""),2.12)</f>
        <v>2.12</v>
      </c>
    </row>
    <row r="500" spans="1:2">
      <c r="A500" s="3">
        <f ca="1">IFERROR(__xludf.DUMMYFUNCTION("""COMPUTED_VALUE"""),41079.6666666666)</f>
        <v>41079.666666666599</v>
      </c>
      <c r="B500" s="1">
        <f ca="1">IFERROR(__xludf.DUMMYFUNCTION("""COMPUTED_VALUE"""),2.14)</f>
        <v>2.14</v>
      </c>
    </row>
    <row r="501" spans="1:2">
      <c r="A501" s="3">
        <f ca="1">IFERROR(__xludf.DUMMYFUNCTION("""COMPUTED_VALUE"""),41080.6666666666)</f>
        <v>41080.666666666599</v>
      </c>
      <c r="B501" s="1">
        <f ca="1">IFERROR(__xludf.DUMMYFUNCTION("""COMPUTED_VALUE"""),2.25)</f>
        <v>2.25</v>
      </c>
    </row>
    <row r="502" spans="1:2">
      <c r="A502" s="3">
        <f ca="1">IFERROR(__xludf.DUMMYFUNCTION("""COMPUTED_VALUE"""),41081.6666666666)</f>
        <v>41081.666666666599</v>
      </c>
      <c r="B502" s="1">
        <f ca="1">IFERROR(__xludf.DUMMYFUNCTION("""COMPUTED_VALUE"""),2.15)</f>
        <v>2.15</v>
      </c>
    </row>
    <row r="503" spans="1:2">
      <c r="A503" s="3">
        <f ca="1">IFERROR(__xludf.DUMMYFUNCTION("""COMPUTED_VALUE"""),41082.6666666666)</f>
        <v>41082.666666666599</v>
      </c>
      <c r="B503" s="1">
        <f ca="1">IFERROR(__xludf.DUMMYFUNCTION("""COMPUTED_VALUE"""),2.25)</f>
        <v>2.25</v>
      </c>
    </row>
    <row r="504" spans="1:2">
      <c r="A504" s="3">
        <f ca="1">IFERROR(__xludf.DUMMYFUNCTION("""COMPUTED_VALUE"""),41085.6666666666)</f>
        <v>41085.666666666599</v>
      </c>
      <c r="B504" s="1">
        <f ca="1">IFERROR(__xludf.DUMMYFUNCTION("""COMPUTED_VALUE"""),2.21)</f>
        <v>2.21</v>
      </c>
    </row>
    <row r="505" spans="1:2">
      <c r="A505" s="3">
        <f ca="1">IFERROR(__xludf.DUMMYFUNCTION("""COMPUTED_VALUE"""),41086.6666666666)</f>
        <v>41086.666666666599</v>
      </c>
      <c r="B505" s="1">
        <f ca="1">IFERROR(__xludf.DUMMYFUNCTION("""COMPUTED_VALUE"""),2.11)</f>
        <v>2.11</v>
      </c>
    </row>
    <row r="506" spans="1:2">
      <c r="A506" s="3">
        <f ca="1">IFERROR(__xludf.DUMMYFUNCTION("""COMPUTED_VALUE"""),41087.6666666666)</f>
        <v>41087.666666666599</v>
      </c>
      <c r="B506" s="1">
        <f ca="1">IFERROR(__xludf.DUMMYFUNCTION("""COMPUTED_VALUE"""),2.13)</f>
        <v>2.13</v>
      </c>
    </row>
    <row r="507" spans="1:2">
      <c r="A507" s="3">
        <f ca="1">IFERROR(__xludf.DUMMYFUNCTION("""COMPUTED_VALUE"""),41088.6666666666)</f>
        <v>41088.666666666599</v>
      </c>
      <c r="B507" s="1">
        <f ca="1">IFERROR(__xludf.DUMMYFUNCTION("""COMPUTED_VALUE"""),2.09)</f>
        <v>2.09</v>
      </c>
    </row>
    <row r="508" spans="1:2">
      <c r="A508" s="3">
        <f ca="1">IFERROR(__xludf.DUMMYFUNCTION("""COMPUTED_VALUE"""),41089.6666666666)</f>
        <v>41089.666666666599</v>
      </c>
      <c r="B508" s="1">
        <f ca="1">IFERROR(__xludf.DUMMYFUNCTION("""COMPUTED_VALUE"""),2.09)</f>
        <v>2.09</v>
      </c>
    </row>
    <row r="509" spans="1:2">
      <c r="A509" s="3">
        <f ca="1">IFERROR(__xludf.DUMMYFUNCTION("""COMPUTED_VALUE"""),41092.6666666666)</f>
        <v>41092.666666666599</v>
      </c>
      <c r="B509" s="1">
        <f ca="1">IFERROR(__xludf.DUMMYFUNCTION("""COMPUTED_VALUE"""),2.03)</f>
        <v>2.0299999999999998</v>
      </c>
    </row>
    <row r="510" spans="1:2">
      <c r="A510" s="3">
        <f ca="1">IFERROR(__xludf.DUMMYFUNCTION("""COMPUTED_VALUE"""),41093.6666666666)</f>
        <v>41093.666666666599</v>
      </c>
      <c r="B510" s="1">
        <f ca="1">IFERROR(__xludf.DUMMYFUNCTION("""COMPUTED_VALUE"""),2.04)</f>
        <v>2.04</v>
      </c>
    </row>
    <row r="511" spans="1:2">
      <c r="A511" s="3">
        <f ca="1">IFERROR(__xludf.DUMMYFUNCTION("""COMPUTED_VALUE"""),41095.6666666666)</f>
        <v>41095.666666666599</v>
      </c>
      <c r="B511" s="1">
        <f ca="1">IFERROR(__xludf.DUMMYFUNCTION("""COMPUTED_VALUE"""),2.08)</f>
        <v>2.08</v>
      </c>
    </row>
    <row r="512" spans="1:2">
      <c r="A512" s="3">
        <f ca="1">IFERROR(__xludf.DUMMYFUNCTION("""COMPUTED_VALUE"""),41096.6666666666)</f>
        <v>41096.666666666599</v>
      </c>
      <c r="B512" s="1">
        <f ca="1">IFERROR(__xludf.DUMMYFUNCTION("""COMPUTED_VALUE"""),2.07)</f>
        <v>2.0699999999999998</v>
      </c>
    </row>
    <row r="513" spans="1:2">
      <c r="A513" s="3">
        <f ca="1">IFERROR(__xludf.DUMMYFUNCTION("""COMPUTED_VALUE"""),41099.6666666666)</f>
        <v>41099.666666666599</v>
      </c>
      <c r="B513" s="1">
        <f ca="1">IFERROR(__xludf.DUMMYFUNCTION("""COMPUTED_VALUE"""),2.1)</f>
        <v>2.1</v>
      </c>
    </row>
    <row r="514" spans="1:2">
      <c r="A514" s="3">
        <f ca="1">IFERROR(__xludf.DUMMYFUNCTION("""COMPUTED_VALUE"""),41100.6666666666)</f>
        <v>41100.666666666599</v>
      </c>
      <c r="B514" s="1">
        <f ca="1">IFERROR(__xludf.DUMMYFUNCTION("""COMPUTED_VALUE"""),2.08)</f>
        <v>2.08</v>
      </c>
    </row>
    <row r="515" spans="1:2">
      <c r="A515" s="3">
        <f ca="1">IFERROR(__xludf.DUMMYFUNCTION("""COMPUTED_VALUE"""),41101.6666666666)</f>
        <v>41101.666666666599</v>
      </c>
      <c r="B515" s="1">
        <f ca="1">IFERROR(__xludf.DUMMYFUNCTION("""COMPUTED_VALUE"""),2.1)</f>
        <v>2.1</v>
      </c>
    </row>
    <row r="516" spans="1:2">
      <c r="A516" s="3">
        <f ca="1">IFERROR(__xludf.DUMMYFUNCTION("""COMPUTED_VALUE"""),41102.6666666666)</f>
        <v>41102.666666666599</v>
      </c>
      <c r="B516" s="1">
        <f ca="1">IFERROR(__xludf.DUMMYFUNCTION("""COMPUTED_VALUE"""),2.18)</f>
        <v>2.1800000000000002</v>
      </c>
    </row>
    <row r="517" spans="1:2">
      <c r="A517" s="3">
        <f ca="1">IFERROR(__xludf.DUMMYFUNCTION("""COMPUTED_VALUE"""),41103.6666666666)</f>
        <v>41103.666666666599</v>
      </c>
      <c r="B517" s="1">
        <f ca="1">IFERROR(__xludf.DUMMYFUNCTION("""COMPUTED_VALUE"""),2.28)</f>
        <v>2.2799999999999998</v>
      </c>
    </row>
    <row r="518" spans="1:2">
      <c r="A518" s="3">
        <f ca="1">IFERROR(__xludf.DUMMYFUNCTION("""COMPUTED_VALUE"""),41106.6666666666)</f>
        <v>41106.666666666599</v>
      </c>
      <c r="B518" s="1">
        <f ca="1">IFERROR(__xludf.DUMMYFUNCTION("""COMPUTED_VALUE"""),2.4)</f>
        <v>2.4</v>
      </c>
    </row>
    <row r="519" spans="1:2">
      <c r="A519" s="3">
        <f ca="1">IFERROR(__xludf.DUMMYFUNCTION("""COMPUTED_VALUE"""),41107.6666666666)</f>
        <v>41107.666666666599</v>
      </c>
      <c r="B519" s="1">
        <f ca="1">IFERROR(__xludf.DUMMYFUNCTION("""COMPUTED_VALUE"""),2.22)</f>
        <v>2.2200000000000002</v>
      </c>
    </row>
    <row r="520" spans="1:2">
      <c r="A520" s="3">
        <f ca="1">IFERROR(__xludf.DUMMYFUNCTION("""COMPUTED_VALUE"""),41108.6666666666)</f>
        <v>41108.666666666599</v>
      </c>
      <c r="B520" s="1">
        <f ca="1">IFERROR(__xludf.DUMMYFUNCTION("""COMPUTED_VALUE"""),2.14)</f>
        <v>2.14</v>
      </c>
    </row>
    <row r="521" spans="1:2">
      <c r="A521" s="3">
        <f ca="1">IFERROR(__xludf.DUMMYFUNCTION("""COMPUTED_VALUE"""),41109.6666666666)</f>
        <v>41109.666666666599</v>
      </c>
      <c r="B521" s="1">
        <f ca="1">IFERROR(__xludf.DUMMYFUNCTION("""COMPUTED_VALUE"""),2.15)</f>
        <v>2.15</v>
      </c>
    </row>
    <row r="522" spans="1:2">
      <c r="A522" s="3">
        <f ca="1">IFERROR(__xludf.DUMMYFUNCTION("""COMPUTED_VALUE"""),41110.6666666666)</f>
        <v>41110.666666666599</v>
      </c>
      <c r="B522" s="1">
        <f ca="1">IFERROR(__xludf.DUMMYFUNCTION("""COMPUTED_VALUE"""),2.12)</f>
        <v>2.12</v>
      </c>
    </row>
    <row r="523" spans="1:2">
      <c r="A523" s="3">
        <f ca="1">IFERROR(__xludf.DUMMYFUNCTION("""COMPUTED_VALUE"""),41113.6666666666)</f>
        <v>41113.666666666599</v>
      </c>
      <c r="B523" s="1">
        <f ca="1">IFERROR(__xludf.DUMMYFUNCTION("""COMPUTED_VALUE"""),2.04)</f>
        <v>2.04</v>
      </c>
    </row>
    <row r="524" spans="1:2">
      <c r="A524" s="3">
        <f ca="1">IFERROR(__xludf.DUMMYFUNCTION("""COMPUTED_VALUE"""),41114.6666666666)</f>
        <v>41114.666666666599</v>
      </c>
      <c r="B524" s="1">
        <f ca="1">IFERROR(__xludf.DUMMYFUNCTION("""COMPUTED_VALUE"""),1.99)</f>
        <v>1.99</v>
      </c>
    </row>
    <row r="525" spans="1:2">
      <c r="A525" s="3">
        <f ca="1">IFERROR(__xludf.DUMMYFUNCTION("""COMPUTED_VALUE"""),41115.6666666666)</f>
        <v>41115.666666666599</v>
      </c>
      <c r="B525" s="1">
        <f ca="1">IFERROR(__xludf.DUMMYFUNCTION("""COMPUTED_VALUE"""),1.93)</f>
        <v>1.93</v>
      </c>
    </row>
    <row r="526" spans="1:2">
      <c r="A526" s="3">
        <f ca="1">IFERROR(__xludf.DUMMYFUNCTION("""COMPUTED_VALUE"""),41116.6666666666)</f>
        <v>41116.666666666599</v>
      </c>
      <c r="B526" s="1">
        <f ca="1">IFERROR(__xludf.DUMMYFUNCTION("""COMPUTED_VALUE"""),1.88)</f>
        <v>1.88</v>
      </c>
    </row>
    <row r="527" spans="1:2">
      <c r="A527" s="3">
        <f ca="1">IFERROR(__xludf.DUMMYFUNCTION("""COMPUTED_VALUE"""),41117.6666666666)</f>
        <v>41117.666666666599</v>
      </c>
      <c r="B527" s="1">
        <f ca="1">IFERROR(__xludf.DUMMYFUNCTION("""COMPUTED_VALUE"""),1.97)</f>
        <v>1.97</v>
      </c>
    </row>
    <row r="528" spans="1:2">
      <c r="A528" s="3">
        <f ca="1">IFERROR(__xludf.DUMMYFUNCTION("""COMPUTED_VALUE"""),41120.6666666666)</f>
        <v>41120.666666666599</v>
      </c>
      <c r="B528" s="1">
        <f ca="1">IFERROR(__xludf.DUMMYFUNCTION("""COMPUTED_VALUE"""),1.82)</f>
        <v>1.82</v>
      </c>
    </row>
    <row r="529" spans="1:2">
      <c r="A529" s="3">
        <f ca="1">IFERROR(__xludf.DUMMYFUNCTION("""COMPUTED_VALUE"""),41121.6666666666)</f>
        <v>41121.666666666599</v>
      </c>
      <c r="B529" s="1">
        <f ca="1">IFERROR(__xludf.DUMMYFUNCTION("""COMPUTED_VALUE"""),1.83)</f>
        <v>1.83</v>
      </c>
    </row>
    <row r="530" spans="1:2">
      <c r="A530" s="3">
        <f ca="1">IFERROR(__xludf.DUMMYFUNCTION("""COMPUTED_VALUE"""),41122.6666666666)</f>
        <v>41122.666666666599</v>
      </c>
      <c r="B530" s="1">
        <f ca="1">IFERROR(__xludf.DUMMYFUNCTION("""COMPUTED_VALUE"""),1.75)</f>
        <v>1.75</v>
      </c>
    </row>
    <row r="531" spans="1:2">
      <c r="A531" s="3">
        <f ca="1">IFERROR(__xludf.DUMMYFUNCTION("""COMPUTED_VALUE"""),41123.6666666666)</f>
        <v>41123.666666666599</v>
      </c>
      <c r="B531" s="1">
        <f ca="1">IFERROR(__xludf.DUMMYFUNCTION("""COMPUTED_VALUE"""),1.74)</f>
        <v>1.74</v>
      </c>
    </row>
    <row r="532" spans="1:2">
      <c r="A532" s="3">
        <f ca="1">IFERROR(__xludf.DUMMYFUNCTION("""COMPUTED_VALUE"""),41124.6666666666)</f>
        <v>41124.666666666599</v>
      </c>
      <c r="B532" s="1">
        <f ca="1">IFERROR(__xludf.DUMMYFUNCTION("""COMPUTED_VALUE"""),1.82)</f>
        <v>1.82</v>
      </c>
    </row>
    <row r="533" spans="1:2">
      <c r="A533" s="3">
        <f ca="1">IFERROR(__xludf.DUMMYFUNCTION("""COMPUTED_VALUE"""),41127.6666666666)</f>
        <v>41127.666666666599</v>
      </c>
      <c r="B533" s="1">
        <f ca="1">IFERROR(__xludf.DUMMYFUNCTION("""COMPUTED_VALUE"""),1.88)</f>
        <v>1.88</v>
      </c>
    </row>
    <row r="534" spans="1:2">
      <c r="A534" s="3">
        <f ca="1">IFERROR(__xludf.DUMMYFUNCTION("""COMPUTED_VALUE"""),41128.6666666666)</f>
        <v>41128.666666666599</v>
      </c>
      <c r="B534" s="1">
        <f ca="1">IFERROR(__xludf.DUMMYFUNCTION("""COMPUTED_VALUE"""),2.02)</f>
        <v>2.02</v>
      </c>
    </row>
    <row r="535" spans="1:2">
      <c r="A535" s="3">
        <f ca="1">IFERROR(__xludf.DUMMYFUNCTION("""COMPUTED_VALUE"""),41129.6666666666)</f>
        <v>41129.666666666599</v>
      </c>
      <c r="B535" s="1">
        <f ca="1">IFERROR(__xludf.DUMMYFUNCTION("""COMPUTED_VALUE"""),1.94)</f>
        <v>1.94</v>
      </c>
    </row>
    <row r="536" spans="1:2">
      <c r="A536" s="3">
        <f ca="1">IFERROR(__xludf.DUMMYFUNCTION("""COMPUTED_VALUE"""),41130.6666666666)</f>
        <v>41130.666666666599</v>
      </c>
      <c r="B536" s="1">
        <f ca="1">IFERROR(__xludf.DUMMYFUNCTION("""COMPUTED_VALUE"""),1.96)</f>
        <v>1.96</v>
      </c>
    </row>
    <row r="537" spans="1:2">
      <c r="A537" s="3">
        <f ca="1">IFERROR(__xludf.DUMMYFUNCTION("""COMPUTED_VALUE"""),41131.6666666666)</f>
        <v>41131.666666666599</v>
      </c>
      <c r="B537" s="1">
        <f ca="1">IFERROR(__xludf.DUMMYFUNCTION("""COMPUTED_VALUE"""),2)</f>
        <v>2</v>
      </c>
    </row>
    <row r="538" spans="1:2">
      <c r="A538" s="3">
        <f ca="1">IFERROR(__xludf.DUMMYFUNCTION("""COMPUTED_VALUE"""),41134.6666666666)</f>
        <v>41134.666666666599</v>
      </c>
      <c r="B538" s="1">
        <f ca="1">IFERROR(__xludf.DUMMYFUNCTION("""COMPUTED_VALUE"""),2.08)</f>
        <v>2.08</v>
      </c>
    </row>
    <row r="539" spans="1:2">
      <c r="A539" s="3">
        <f ca="1">IFERROR(__xludf.DUMMYFUNCTION("""COMPUTED_VALUE"""),41135.6666666666)</f>
        <v>41135.666666666599</v>
      </c>
      <c r="B539" s="1">
        <f ca="1">IFERROR(__xludf.DUMMYFUNCTION("""COMPUTED_VALUE"""),1.96)</f>
        <v>1.96</v>
      </c>
    </row>
    <row r="540" spans="1:2">
      <c r="A540" s="3">
        <f ca="1">IFERROR(__xludf.DUMMYFUNCTION("""COMPUTED_VALUE"""),41136.6666666666)</f>
        <v>41136.666666666599</v>
      </c>
      <c r="B540" s="1">
        <f ca="1">IFERROR(__xludf.DUMMYFUNCTION("""COMPUTED_VALUE"""),1.96)</f>
        <v>1.96</v>
      </c>
    </row>
    <row r="541" spans="1:2">
      <c r="A541" s="3">
        <f ca="1">IFERROR(__xludf.DUMMYFUNCTION("""COMPUTED_VALUE"""),41137.6666666666)</f>
        <v>41137.666666666599</v>
      </c>
      <c r="B541" s="1">
        <f ca="1">IFERROR(__xludf.DUMMYFUNCTION("""COMPUTED_VALUE"""),2.02)</f>
        <v>2.02</v>
      </c>
    </row>
    <row r="542" spans="1:2">
      <c r="A542" s="3">
        <f ca="1">IFERROR(__xludf.DUMMYFUNCTION("""COMPUTED_VALUE"""),41138.6666666666)</f>
        <v>41138.666666666599</v>
      </c>
      <c r="B542" s="1">
        <f ca="1">IFERROR(__xludf.DUMMYFUNCTION("""COMPUTED_VALUE"""),2)</f>
        <v>2</v>
      </c>
    </row>
    <row r="543" spans="1:2">
      <c r="A543" s="3">
        <f ca="1">IFERROR(__xludf.DUMMYFUNCTION("""COMPUTED_VALUE"""),41141.6666666666)</f>
        <v>41141.666666666599</v>
      </c>
      <c r="B543" s="1">
        <f ca="1">IFERROR(__xludf.DUMMYFUNCTION("""COMPUTED_VALUE"""),1.97)</f>
        <v>1.97</v>
      </c>
    </row>
    <row r="544" spans="1:2">
      <c r="A544" s="3">
        <f ca="1">IFERROR(__xludf.DUMMYFUNCTION("""COMPUTED_VALUE"""),41142.6666666666)</f>
        <v>41142.666666666599</v>
      </c>
      <c r="B544" s="1">
        <f ca="1">IFERROR(__xludf.DUMMYFUNCTION("""COMPUTED_VALUE"""),1.94)</f>
        <v>1.94</v>
      </c>
    </row>
    <row r="545" spans="1:2">
      <c r="A545" s="3">
        <f ca="1">IFERROR(__xludf.DUMMYFUNCTION("""COMPUTED_VALUE"""),41143.6666666666)</f>
        <v>41143.666666666599</v>
      </c>
      <c r="B545" s="1">
        <f ca="1">IFERROR(__xludf.DUMMYFUNCTION("""COMPUTED_VALUE"""),2)</f>
        <v>2</v>
      </c>
    </row>
    <row r="546" spans="1:2">
      <c r="A546" s="3">
        <f ca="1">IFERROR(__xludf.DUMMYFUNCTION("""COMPUTED_VALUE"""),41144.6666666666)</f>
        <v>41144.666666666599</v>
      </c>
      <c r="B546" s="1">
        <f ca="1">IFERROR(__xludf.DUMMYFUNCTION("""COMPUTED_VALUE"""),2.05)</f>
        <v>2.0499999999999998</v>
      </c>
    </row>
    <row r="547" spans="1:2">
      <c r="A547" s="3">
        <f ca="1">IFERROR(__xludf.DUMMYFUNCTION("""COMPUTED_VALUE"""),41145.6666666666)</f>
        <v>41145.666666666599</v>
      </c>
      <c r="B547" s="1">
        <f ca="1">IFERROR(__xludf.DUMMYFUNCTION("""COMPUTED_VALUE"""),1.97)</f>
        <v>1.97</v>
      </c>
    </row>
    <row r="548" spans="1:2">
      <c r="A548" s="3">
        <f ca="1">IFERROR(__xludf.DUMMYFUNCTION("""COMPUTED_VALUE"""),41148.6666666666)</f>
        <v>41148.666666666599</v>
      </c>
      <c r="B548" s="1">
        <f ca="1">IFERROR(__xludf.DUMMYFUNCTION("""COMPUTED_VALUE"""),1.89)</f>
        <v>1.89</v>
      </c>
    </row>
    <row r="549" spans="1:2">
      <c r="A549" s="3">
        <f ca="1">IFERROR(__xludf.DUMMYFUNCTION("""COMPUTED_VALUE"""),41149.6666666666)</f>
        <v>41149.666666666599</v>
      </c>
      <c r="B549" s="1">
        <f ca="1">IFERROR(__xludf.DUMMYFUNCTION("""COMPUTED_VALUE"""),1.91)</f>
        <v>1.91</v>
      </c>
    </row>
    <row r="550" spans="1:2">
      <c r="A550" s="3">
        <f ca="1">IFERROR(__xludf.DUMMYFUNCTION("""COMPUTED_VALUE"""),41150.6666666666)</f>
        <v>41150.666666666599</v>
      </c>
      <c r="B550" s="1">
        <f ca="1">IFERROR(__xludf.DUMMYFUNCTION("""COMPUTED_VALUE"""),1.89)</f>
        <v>1.89</v>
      </c>
    </row>
    <row r="551" spans="1:2">
      <c r="A551" s="3">
        <f ca="1">IFERROR(__xludf.DUMMYFUNCTION("""COMPUTED_VALUE"""),41151.6666666666)</f>
        <v>41151.666666666599</v>
      </c>
      <c r="B551" s="1">
        <f ca="1">IFERROR(__xludf.DUMMYFUNCTION("""COMPUTED_VALUE"""),1.89)</f>
        <v>1.89</v>
      </c>
    </row>
    <row r="552" spans="1:2">
      <c r="A552" s="3">
        <f ca="1">IFERROR(__xludf.DUMMYFUNCTION("""COMPUTED_VALUE"""),41152.6666666666)</f>
        <v>41152.666666666599</v>
      </c>
      <c r="B552" s="1">
        <f ca="1">IFERROR(__xludf.DUMMYFUNCTION("""COMPUTED_VALUE"""),1.9)</f>
        <v>1.9</v>
      </c>
    </row>
    <row r="553" spans="1:2">
      <c r="A553" s="3">
        <f ca="1">IFERROR(__xludf.DUMMYFUNCTION("""COMPUTED_VALUE"""),41156.6666666666)</f>
        <v>41156.666666666599</v>
      </c>
      <c r="B553" s="1">
        <f ca="1">IFERROR(__xludf.DUMMYFUNCTION("""COMPUTED_VALUE"""),1.88)</f>
        <v>1.88</v>
      </c>
    </row>
    <row r="554" spans="1:2">
      <c r="A554" s="3">
        <f ca="1">IFERROR(__xludf.DUMMYFUNCTION("""COMPUTED_VALUE"""),41157.6666666666)</f>
        <v>41157.666666666599</v>
      </c>
      <c r="B554" s="1">
        <f ca="1">IFERROR(__xludf.DUMMYFUNCTION("""COMPUTED_VALUE"""),1.86)</f>
        <v>1.86</v>
      </c>
    </row>
    <row r="555" spans="1:2">
      <c r="A555" s="3">
        <f ca="1">IFERROR(__xludf.DUMMYFUNCTION("""COMPUTED_VALUE"""),41158.6666666666)</f>
        <v>41158.666666666599</v>
      </c>
      <c r="B555" s="1">
        <f ca="1">IFERROR(__xludf.DUMMYFUNCTION("""COMPUTED_VALUE"""),1.9)</f>
        <v>1.9</v>
      </c>
    </row>
    <row r="556" spans="1:2">
      <c r="A556" s="3">
        <f ca="1">IFERROR(__xludf.DUMMYFUNCTION("""COMPUTED_VALUE"""),41159.6666666666)</f>
        <v>41159.666666666599</v>
      </c>
      <c r="B556" s="1">
        <f ca="1">IFERROR(__xludf.DUMMYFUNCTION("""COMPUTED_VALUE"""),1.96)</f>
        <v>1.96</v>
      </c>
    </row>
    <row r="557" spans="1:2">
      <c r="A557" s="3">
        <f ca="1">IFERROR(__xludf.DUMMYFUNCTION("""COMPUTED_VALUE"""),41162.6666666666)</f>
        <v>41162.666666666599</v>
      </c>
      <c r="B557" s="1">
        <f ca="1">IFERROR(__xludf.DUMMYFUNCTION("""COMPUTED_VALUE"""),1.82)</f>
        <v>1.82</v>
      </c>
    </row>
    <row r="558" spans="1:2">
      <c r="A558" s="3">
        <f ca="1">IFERROR(__xludf.DUMMYFUNCTION("""COMPUTED_VALUE"""),41163.6666666666)</f>
        <v>41163.666666666599</v>
      </c>
      <c r="B558" s="1">
        <f ca="1">IFERROR(__xludf.DUMMYFUNCTION("""COMPUTED_VALUE"""),1.85)</f>
        <v>1.85</v>
      </c>
    </row>
    <row r="559" spans="1:2">
      <c r="A559" s="3">
        <f ca="1">IFERROR(__xludf.DUMMYFUNCTION("""COMPUTED_VALUE"""),41164.6666666666)</f>
        <v>41164.666666666599</v>
      </c>
      <c r="B559" s="1">
        <f ca="1">IFERROR(__xludf.DUMMYFUNCTION("""COMPUTED_VALUE"""),1.89)</f>
        <v>1.89</v>
      </c>
    </row>
    <row r="560" spans="1:2">
      <c r="A560" s="3">
        <f ca="1">IFERROR(__xludf.DUMMYFUNCTION("""COMPUTED_VALUE"""),41165.6666666666)</f>
        <v>41165.666666666599</v>
      </c>
      <c r="B560" s="1">
        <f ca="1">IFERROR(__xludf.DUMMYFUNCTION("""COMPUTED_VALUE"""),1.97)</f>
        <v>1.97</v>
      </c>
    </row>
    <row r="561" spans="1:2">
      <c r="A561" s="3">
        <f ca="1">IFERROR(__xludf.DUMMYFUNCTION("""COMPUTED_VALUE"""),41166.6666666666)</f>
        <v>41166.666666666599</v>
      </c>
      <c r="B561" s="1">
        <f ca="1">IFERROR(__xludf.DUMMYFUNCTION("""COMPUTED_VALUE"""),2.03)</f>
        <v>2.0299999999999998</v>
      </c>
    </row>
    <row r="562" spans="1:2">
      <c r="A562" s="3">
        <f ca="1">IFERROR(__xludf.DUMMYFUNCTION("""COMPUTED_VALUE"""),41169.6666666666)</f>
        <v>41169.666666666599</v>
      </c>
      <c r="B562" s="1">
        <f ca="1">IFERROR(__xludf.DUMMYFUNCTION("""COMPUTED_VALUE"""),2.17)</f>
        <v>2.17</v>
      </c>
    </row>
    <row r="563" spans="1:2">
      <c r="A563" s="3">
        <f ca="1">IFERROR(__xludf.DUMMYFUNCTION("""COMPUTED_VALUE"""),41170.6666666666)</f>
        <v>41170.666666666599</v>
      </c>
      <c r="B563" s="1">
        <f ca="1">IFERROR(__xludf.DUMMYFUNCTION("""COMPUTED_VALUE"""),2.09)</f>
        <v>2.09</v>
      </c>
    </row>
    <row r="564" spans="1:2">
      <c r="A564" s="3">
        <f ca="1">IFERROR(__xludf.DUMMYFUNCTION("""COMPUTED_VALUE"""),41171.6666666666)</f>
        <v>41171.666666666599</v>
      </c>
      <c r="B564" s="1">
        <f ca="1">IFERROR(__xludf.DUMMYFUNCTION("""COMPUTED_VALUE"""),2.07)</f>
        <v>2.0699999999999998</v>
      </c>
    </row>
    <row r="565" spans="1:2">
      <c r="A565" s="3">
        <f ca="1">IFERROR(__xludf.DUMMYFUNCTION("""COMPUTED_VALUE"""),41172.6666666666)</f>
        <v>41172.666666666599</v>
      </c>
      <c r="B565" s="1">
        <f ca="1">IFERROR(__xludf.DUMMYFUNCTION("""COMPUTED_VALUE"""),2.06)</f>
        <v>2.06</v>
      </c>
    </row>
    <row r="566" spans="1:2">
      <c r="A566" s="3">
        <f ca="1">IFERROR(__xludf.DUMMYFUNCTION("""COMPUTED_VALUE"""),41173.6666666666)</f>
        <v>41173.666666666599</v>
      </c>
      <c r="B566" s="1">
        <f ca="1">IFERROR(__xludf.DUMMYFUNCTION("""COMPUTED_VALUE"""),2)</f>
        <v>2</v>
      </c>
    </row>
    <row r="567" spans="1:2">
      <c r="A567" s="3">
        <f ca="1">IFERROR(__xludf.DUMMYFUNCTION("""COMPUTED_VALUE"""),41176.6666666666)</f>
        <v>41176.666666666599</v>
      </c>
      <c r="B567" s="1">
        <f ca="1">IFERROR(__xludf.DUMMYFUNCTION("""COMPUTED_VALUE"""),2.04)</f>
        <v>2.04</v>
      </c>
    </row>
    <row r="568" spans="1:2">
      <c r="A568" s="3">
        <f ca="1">IFERROR(__xludf.DUMMYFUNCTION("""COMPUTED_VALUE"""),41177.6666666666)</f>
        <v>41177.666666666599</v>
      </c>
      <c r="B568" s="1">
        <f ca="1">IFERROR(__xludf.DUMMYFUNCTION("""COMPUTED_VALUE"""),1.84)</f>
        <v>1.84</v>
      </c>
    </row>
    <row r="569" spans="1:2">
      <c r="A569" s="3">
        <f ca="1">IFERROR(__xludf.DUMMYFUNCTION("""COMPUTED_VALUE"""),41178.6666666666)</f>
        <v>41178.666666666599</v>
      </c>
      <c r="B569" s="1">
        <f ca="1">IFERROR(__xludf.DUMMYFUNCTION("""COMPUTED_VALUE"""),1.84)</f>
        <v>1.84</v>
      </c>
    </row>
    <row r="570" spans="1:2">
      <c r="A570" s="3">
        <f ca="1">IFERROR(__xludf.DUMMYFUNCTION("""COMPUTED_VALUE"""),41179.6666666666)</f>
        <v>41179.666666666599</v>
      </c>
      <c r="B570" s="1">
        <f ca="1">IFERROR(__xludf.DUMMYFUNCTION("""COMPUTED_VALUE"""),1.9)</f>
        <v>1.9</v>
      </c>
    </row>
    <row r="571" spans="1:2">
      <c r="A571" s="3">
        <f ca="1">IFERROR(__xludf.DUMMYFUNCTION("""COMPUTED_VALUE"""),41180.6666666666)</f>
        <v>41180.666666666599</v>
      </c>
      <c r="B571" s="1">
        <f ca="1">IFERROR(__xludf.DUMMYFUNCTION("""COMPUTED_VALUE"""),1.95)</f>
        <v>1.95</v>
      </c>
    </row>
    <row r="572" spans="1:2">
      <c r="A572" s="3">
        <f ca="1">IFERROR(__xludf.DUMMYFUNCTION("""COMPUTED_VALUE"""),41183.6666666666)</f>
        <v>41183.666666666599</v>
      </c>
      <c r="B572" s="1">
        <f ca="1">IFERROR(__xludf.DUMMYFUNCTION("""COMPUTED_VALUE"""),1.94)</f>
        <v>1.94</v>
      </c>
    </row>
    <row r="573" spans="1:2">
      <c r="A573" s="3">
        <f ca="1">IFERROR(__xludf.DUMMYFUNCTION("""COMPUTED_VALUE"""),41184.6666666666)</f>
        <v>41184.666666666599</v>
      </c>
      <c r="B573" s="1">
        <f ca="1">IFERROR(__xludf.DUMMYFUNCTION("""COMPUTED_VALUE"""),1.99)</f>
        <v>1.99</v>
      </c>
    </row>
    <row r="574" spans="1:2">
      <c r="A574" s="3">
        <f ca="1">IFERROR(__xludf.DUMMYFUNCTION("""COMPUTED_VALUE"""),41185.6666666666)</f>
        <v>41185.666666666599</v>
      </c>
      <c r="B574" s="1">
        <f ca="1">IFERROR(__xludf.DUMMYFUNCTION("""COMPUTED_VALUE"""),1.95)</f>
        <v>1.95</v>
      </c>
    </row>
    <row r="575" spans="1:2">
      <c r="A575" s="3">
        <f ca="1">IFERROR(__xludf.DUMMYFUNCTION("""COMPUTED_VALUE"""),41186.6666666666)</f>
        <v>41186.666666666599</v>
      </c>
      <c r="B575" s="1">
        <f ca="1">IFERROR(__xludf.DUMMYFUNCTION("""COMPUTED_VALUE"""),1.96)</f>
        <v>1.96</v>
      </c>
    </row>
    <row r="576" spans="1:2">
      <c r="A576" s="3">
        <f ca="1">IFERROR(__xludf.DUMMYFUNCTION("""COMPUTED_VALUE"""),41187.6666666666)</f>
        <v>41187.666666666599</v>
      </c>
      <c r="B576" s="1">
        <f ca="1">IFERROR(__xludf.DUMMYFUNCTION("""COMPUTED_VALUE"""),1.93)</f>
        <v>1.93</v>
      </c>
    </row>
    <row r="577" spans="1:2">
      <c r="A577" s="3">
        <f ca="1">IFERROR(__xludf.DUMMYFUNCTION("""COMPUTED_VALUE"""),41190.6666666666)</f>
        <v>41190.666666666599</v>
      </c>
      <c r="B577" s="1">
        <f ca="1">IFERROR(__xludf.DUMMYFUNCTION("""COMPUTED_VALUE"""),1.95)</f>
        <v>1.95</v>
      </c>
    </row>
    <row r="578" spans="1:2">
      <c r="A578" s="3">
        <f ca="1">IFERROR(__xludf.DUMMYFUNCTION("""COMPUTED_VALUE"""),41191.6666666666)</f>
        <v>41191.666666666599</v>
      </c>
      <c r="B578" s="1">
        <f ca="1">IFERROR(__xludf.DUMMYFUNCTION("""COMPUTED_VALUE"""),1.89)</f>
        <v>1.89</v>
      </c>
    </row>
    <row r="579" spans="1:2">
      <c r="A579" s="3">
        <f ca="1">IFERROR(__xludf.DUMMYFUNCTION("""COMPUTED_VALUE"""),41192.6666666666)</f>
        <v>41192.666666666599</v>
      </c>
      <c r="B579" s="1">
        <f ca="1">IFERROR(__xludf.DUMMYFUNCTION("""COMPUTED_VALUE"""),1.89)</f>
        <v>1.89</v>
      </c>
    </row>
    <row r="580" spans="1:2">
      <c r="A580" s="3">
        <f ca="1">IFERROR(__xludf.DUMMYFUNCTION("""COMPUTED_VALUE"""),41193.6666666666)</f>
        <v>41193.666666666599</v>
      </c>
      <c r="B580" s="1">
        <f ca="1">IFERROR(__xludf.DUMMYFUNCTION("""COMPUTED_VALUE"""),1.89)</f>
        <v>1.89</v>
      </c>
    </row>
    <row r="581" spans="1:2">
      <c r="A581" s="3">
        <f ca="1">IFERROR(__xludf.DUMMYFUNCTION("""COMPUTED_VALUE"""),41194.6666666666)</f>
        <v>41194.666666666599</v>
      </c>
      <c r="B581" s="1">
        <f ca="1">IFERROR(__xludf.DUMMYFUNCTION("""COMPUTED_VALUE"""),1.84)</f>
        <v>1.84</v>
      </c>
    </row>
    <row r="582" spans="1:2">
      <c r="A582" s="3">
        <f ca="1">IFERROR(__xludf.DUMMYFUNCTION("""COMPUTED_VALUE"""),41197.6666666666)</f>
        <v>41197.666666666599</v>
      </c>
      <c r="B582" s="1">
        <f ca="1">IFERROR(__xludf.DUMMYFUNCTION("""COMPUTED_VALUE"""),1.82)</f>
        <v>1.82</v>
      </c>
    </row>
    <row r="583" spans="1:2">
      <c r="A583" s="3">
        <f ca="1">IFERROR(__xludf.DUMMYFUNCTION("""COMPUTED_VALUE"""),41198.6666666666)</f>
        <v>41198.666666666599</v>
      </c>
      <c r="B583" s="1">
        <f ca="1">IFERROR(__xludf.DUMMYFUNCTION("""COMPUTED_VALUE"""),1.87)</f>
        <v>1.87</v>
      </c>
    </row>
    <row r="584" spans="1:2">
      <c r="A584" s="3">
        <f ca="1">IFERROR(__xludf.DUMMYFUNCTION("""COMPUTED_VALUE"""),41199.6666666666)</f>
        <v>41199.666666666599</v>
      </c>
      <c r="B584" s="1">
        <f ca="1">IFERROR(__xludf.DUMMYFUNCTION("""COMPUTED_VALUE"""),1.92)</f>
        <v>1.92</v>
      </c>
    </row>
    <row r="585" spans="1:2">
      <c r="A585" s="3">
        <f ca="1">IFERROR(__xludf.DUMMYFUNCTION("""COMPUTED_VALUE"""),41200.6666666666)</f>
        <v>41200.666666666599</v>
      </c>
      <c r="B585" s="1">
        <f ca="1">IFERROR(__xludf.DUMMYFUNCTION("""COMPUTED_VALUE"""),1.87)</f>
        <v>1.87</v>
      </c>
    </row>
    <row r="586" spans="1:2">
      <c r="A586" s="3">
        <f ca="1">IFERROR(__xludf.DUMMYFUNCTION("""COMPUTED_VALUE"""),41201.6666666666)</f>
        <v>41201.666666666599</v>
      </c>
      <c r="B586" s="1">
        <f ca="1">IFERROR(__xludf.DUMMYFUNCTION("""COMPUTED_VALUE"""),1.85)</f>
        <v>1.85</v>
      </c>
    </row>
    <row r="587" spans="1:2">
      <c r="A587" s="3">
        <f ca="1">IFERROR(__xludf.DUMMYFUNCTION("""COMPUTED_VALUE"""),41204.6666666666)</f>
        <v>41204.666666666599</v>
      </c>
      <c r="B587" s="1">
        <f ca="1">IFERROR(__xludf.DUMMYFUNCTION("""COMPUTED_VALUE"""),1.86)</f>
        <v>1.86</v>
      </c>
    </row>
    <row r="588" spans="1:2">
      <c r="A588" s="3">
        <f ca="1">IFERROR(__xludf.DUMMYFUNCTION("""COMPUTED_VALUE"""),41205.6666666666)</f>
        <v>41205.666666666599</v>
      </c>
      <c r="B588" s="1">
        <f ca="1">IFERROR(__xludf.DUMMYFUNCTION("""COMPUTED_VALUE"""),1.89)</f>
        <v>1.89</v>
      </c>
    </row>
    <row r="589" spans="1:2">
      <c r="A589" s="3">
        <f ca="1">IFERROR(__xludf.DUMMYFUNCTION("""COMPUTED_VALUE"""),41206.6666666666)</f>
        <v>41206.666666666599</v>
      </c>
      <c r="B589" s="1">
        <f ca="1">IFERROR(__xludf.DUMMYFUNCTION("""COMPUTED_VALUE"""),1.83)</f>
        <v>1.83</v>
      </c>
    </row>
    <row r="590" spans="1:2">
      <c r="A590" s="3">
        <f ca="1">IFERROR(__xludf.DUMMYFUNCTION("""COMPUTED_VALUE"""),41207.6666666666)</f>
        <v>41207.666666666599</v>
      </c>
      <c r="B590" s="1">
        <f ca="1">IFERROR(__xludf.DUMMYFUNCTION("""COMPUTED_VALUE"""),1.83)</f>
        <v>1.83</v>
      </c>
    </row>
    <row r="591" spans="1:2">
      <c r="A591" s="3">
        <f ca="1">IFERROR(__xludf.DUMMYFUNCTION("""COMPUTED_VALUE"""),41208.6666666666)</f>
        <v>41208.666666666599</v>
      </c>
      <c r="B591" s="1">
        <f ca="1">IFERROR(__xludf.DUMMYFUNCTION("""COMPUTED_VALUE"""),1.83)</f>
        <v>1.83</v>
      </c>
    </row>
    <row r="592" spans="1:2">
      <c r="A592" s="3">
        <f ca="1">IFERROR(__xludf.DUMMYFUNCTION("""COMPUTED_VALUE"""),41213.6666666666)</f>
        <v>41213.666666666599</v>
      </c>
      <c r="B592" s="1">
        <f ca="1">IFERROR(__xludf.DUMMYFUNCTION("""COMPUTED_VALUE"""),1.88)</f>
        <v>1.88</v>
      </c>
    </row>
    <row r="593" spans="1:2">
      <c r="A593" s="3">
        <f ca="1">IFERROR(__xludf.DUMMYFUNCTION("""COMPUTED_VALUE"""),41214.6666666666)</f>
        <v>41214.666666666599</v>
      </c>
      <c r="B593" s="1">
        <f ca="1">IFERROR(__xludf.DUMMYFUNCTION("""COMPUTED_VALUE"""),1.95)</f>
        <v>1.95</v>
      </c>
    </row>
    <row r="594" spans="1:2">
      <c r="A594" s="3">
        <f ca="1">IFERROR(__xludf.DUMMYFUNCTION("""COMPUTED_VALUE"""),41215.6666666666)</f>
        <v>41215.666666666599</v>
      </c>
      <c r="B594" s="1">
        <f ca="1">IFERROR(__xludf.DUMMYFUNCTION("""COMPUTED_VALUE"""),1.93)</f>
        <v>1.93</v>
      </c>
    </row>
    <row r="595" spans="1:2">
      <c r="A595" s="3">
        <f ca="1">IFERROR(__xludf.DUMMYFUNCTION("""COMPUTED_VALUE"""),41218.6666666666)</f>
        <v>41218.666666666599</v>
      </c>
      <c r="B595" s="1">
        <f ca="1">IFERROR(__xludf.DUMMYFUNCTION("""COMPUTED_VALUE"""),2.1)</f>
        <v>2.1</v>
      </c>
    </row>
    <row r="596" spans="1:2">
      <c r="A596" s="3">
        <f ca="1">IFERROR(__xludf.DUMMYFUNCTION("""COMPUTED_VALUE"""),41219.6666666666)</f>
        <v>41219.666666666599</v>
      </c>
      <c r="B596" s="1">
        <f ca="1">IFERROR(__xludf.DUMMYFUNCTION("""COMPUTED_VALUE"""),2.08)</f>
        <v>2.08</v>
      </c>
    </row>
    <row r="597" spans="1:2">
      <c r="A597" s="3">
        <f ca="1">IFERROR(__xludf.DUMMYFUNCTION("""COMPUTED_VALUE"""),41220.6666666666)</f>
        <v>41220.666666666599</v>
      </c>
      <c r="B597" s="1">
        <f ca="1">IFERROR(__xludf.DUMMYFUNCTION("""COMPUTED_VALUE"""),2.1)</f>
        <v>2.1</v>
      </c>
    </row>
    <row r="598" spans="1:2">
      <c r="A598" s="3">
        <f ca="1">IFERROR(__xludf.DUMMYFUNCTION("""COMPUTED_VALUE"""),41221.6666666666)</f>
        <v>41221.666666666599</v>
      </c>
      <c r="B598" s="1">
        <f ca="1">IFERROR(__xludf.DUMMYFUNCTION("""COMPUTED_VALUE"""),2.09)</f>
        <v>2.09</v>
      </c>
    </row>
    <row r="599" spans="1:2">
      <c r="A599" s="3">
        <f ca="1">IFERROR(__xludf.DUMMYFUNCTION("""COMPUTED_VALUE"""),41222.6666666666)</f>
        <v>41222.666666666599</v>
      </c>
      <c r="B599" s="1">
        <f ca="1">IFERROR(__xludf.DUMMYFUNCTION("""COMPUTED_VALUE"""),2.02)</f>
        <v>2.02</v>
      </c>
    </row>
    <row r="600" spans="1:2">
      <c r="A600" s="3">
        <f ca="1">IFERROR(__xludf.DUMMYFUNCTION("""COMPUTED_VALUE"""),41225.6666666666)</f>
        <v>41225.666666666599</v>
      </c>
      <c r="B600" s="1">
        <f ca="1">IFERROR(__xludf.DUMMYFUNCTION("""COMPUTED_VALUE"""),2.07)</f>
        <v>2.0699999999999998</v>
      </c>
    </row>
    <row r="601" spans="1:2">
      <c r="A601" s="3">
        <f ca="1">IFERROR(__xludf.DUMMYFUNCTION("""COMPUTED_VALUE"""),41226.6666666666)</f>
        <v>41226.666666666599</v>
      </c>
      <c r="B601" s="1">
        <f ca="1">IFERROR(__xludf.DUMMYFUNCTION("""COMPUTED_VALUE"""),2.11)</f>
        <v>2.11</v>
      </c>
    </row>
    <row r="602" spans="1:2">
      <c r="A602" s="3">
        <f ca="1">IFERROR(__xludf.DUMMYFUNCTION("""COMPUTED_VALUE"""),41227.6666666666)</f>
        <v>41227.666666666599</v>
      </c>
      <c r="B602" s="1">
        <f ca="1">IFERROR(__xludf.DUMMYFUNCTION("""COMPUTED_VALUE"""),2.09)</f>
        <v>2.09</v>
      </c>
    </row>
    <row r="603" spans="1:2">
      <c r="A603" s="3">
        <f ca="1">IFERROR(__xludf.DUMMYFUNCTION("""COMPUTED_VALUE"""),41228.6666666666)</f>
        <v>41228.666666666599</v>
      </c>
      <c r="B603" s="1">
        <f ca="1">IFERROR(__xludf.DUMMYFUNCTION("""COMPUTED_VALUE"""),2.05)</f>
        <v>2.0499999999999998</v>
      </c>
    </row>
    <row r="604" spans="1:2">
      <c r="A604" s="3">
        <f ca="1">IFERROR(__xludf.DUMMYFUNCTION("""COMPUTED_VALUE"""),41229.6666666666)</f>
        <v>41229.666666666599</v>
      </c>
      <c r="B604" s="1">
        <f ca="1">IFERROR(__xludf.DUMMYFUNCTION("""COMPUTED_VALUE"""),2.12)</f>
        <v>2.12</v>
      </c>
    </row>
    <row r="605" spans="1:2">
      <c r="A605" s="3">
        <f ca="1">IFERROR(__xludf.DUMMYFUNCTION("""COMPUTED_VALUE"""),41232.6666666666)</f>
        <v>41232.666666666599</v>
      </c>
      <c r="B605" s="1">
        <f ca="1">IFERROR(__xludf.DUMMYFUNCTION("""COMPUTED_VALUE"""),2.19)</f>
        <v>2.19</v>
      </c>
    </row>
    <row r="606" spans="1:2">
      <c r="A606" s="3">
        <f ca="1">IFERROR(__xludf.DUMMYFUNCTION("""COMPUTED_VALUE"""),41233.6666666666)</f>
        <v>41233.666666666599</v>
      </c>
      <c r="B606" s="1">
        <f ca="1">IFERROR(__xludf.DUMMYFUNCTION("""COMPUTED_VALUE"""),2.2)</f>
        <v>2.2000000000000002</v>
      </c>
    </row>
    <row r="607" spans="1:2">
      <c r="A607" s="3">
        <f ca="1">IFERROR(__xludf.DUMMYFUNCTION("""COMPUTED_VALUE"""),41234.6666666666)</f>
        <v>41234.666666666599</v>
      </c>
      <c r="B607" s="1">
        <f ca="1">IFERROR(__xludf.DUMMYFUNCTION("""COMPUTED_VALUE"""),2.16)</f>
        <v>2.16</v>
      </c>
    </row>
    <row r="608" spans="1:2">
      <c r="A608" s="3">
        <f ca="1">IFERROR(__xludf.DUMMYFUNCTION("""COMPUTED_VALUE"""),41236.6666666666)</f>
        <v>41236.666666666599</v>
      </c>
      <c r="B608" s="1">
        <f ca="1">IFERROR(__xludf.DUMMYFUNCTION("""COMPUTED_VALUE"""),2.14)</f>
        <v>2.14</v>
      </c>
    </row>
    <row r="609" spans="1:2">
      <c r="A609" s="3">
        <f ca="1">IFERROR(__xludf.DUMMYFUNCTION("""COMPUTED_VALUE"""),41239.6666666666)</f>
        <v>41239.666666666599</v>
      </c>
      <c r="B609" s="1">
        <f ca="1">IFERROR(__xludf.DUMMYFUNCTION("""COMPUTED_VALUE"""),2.15)</f>
        <v>2.15</v>
      </c>
    </row>
    <row r="610" spans="1:2">
      <c r="A610" s="3">
        <f ca="1">IFERROR(__xludf.DUMMYFUNCTION("""COMPUTED_VALUE"""),41240.6666666666)</f>
        <v>41240.666666666599</v>
      </c>
      <c r="B610" s="1">
        <f ca="1">IFERROR(__xludf.DUMMYFUNCTION("""COMPUTED_VALUE"""),2.14)</f>
        <v>2.14</v>
      </c>
    </row>
    <row r="611" spans="1:2">
      <c r="A611" s="3">
        <f ca="1">IFERROR(__xludf.DUMMYFUNCTION("""COMPUTED_VALUE"""),41241.6666666666)</f>
        <v>41241.666666666599</v>
      </c>
      <c r="B611" s="1">
        <f ca="1">IFERROR(__xludf.DUMMYFUNCTION("""COMPUTED_VALUE"""),2.22)</f>
        <v>2.2200000000000002</v>
      </c>
    </row>
    <row r="612" spans="1:2">
      <c r="A612" s="3">
        <f ca="1">IFERROR(__xludf.DUMMYFUNCTION("""COMPUTED_VALUE"""),41242.6666666666)</f>
        <v>41242.666666666599</v>
      </c>
      <c r="B612" s="1">
        <f ca="1">IFERROR(__xludf.DUMMYFUNCTION("""COMPUTED_VALUE"""),2.25)</f>
        <v>2.25</v>
      </c>
    </row>
    <row r="613" spans="1:2">
      <c r="A613" s="3">
        <f ca="1">IFERROR(__xludf.DUMMYFUNCTION("""COMPUTED_VALUE"""),41243.6666666666)</f>
        <v>41243.666666666599</v>
      </c>
      <c r="B613" s="1">
        <f ca="1">IFERROR(__xludf.DUMMYFUNCTION("""COMPUTED_VALUE"""),2.25)</f>
        <v>2.25</v>
      </c>
    </row>
    <row r="614" spans="1:2">
      <c r="A614" s="3">
        <f ca="1">IFERROR(__xludf.DUMMYFUNCTION("""COMPUTED_VALUE"""),41246.6666666666)</f>
        <v>41246.666666666599</v>
      </c>
      <c r="B614" s="1">
        <f ca="1">IFERROR(__xludf.DUMMYFUNCTION("""COMPUTED_VALUE"""),2.31)</f>
        <v>2.31</v>
      </c>
    </row>
    <row r="615" spans="1:2">
      <c r="A615" s="3">
        <f ca="1">IFERROR(__xludf.DUMMYFUNCTION("""COMPUTED_VALUE"""),41247.6666666666)</f>
        <v>41247.666666666599</v>
      </c>
      <c r="B615" s="1">
        <f ca="1">IFERROR(__xludf.DUMMYFUNCTION("""COMPUTED_VALUE"""),2.26)</f>
        <v>2.2599999999999998</v>
      </c>
    </row>
    <row r="616" spans="1:2">
      <c r="A616" s="3">
        <f ca="1">IFERROR(__xludf.DUMMYFUNCTION("""COMPUTED_VALUE"""),41248.6666666666)</f>
        <v>41248.666666666599</v>
      </c>
      <c r="B616" s="1">
        <f ca="1">IFERROR(__xludf.DUMMYFUNCTION("""COMPUTED_VALUE"""),2.25)</f>
        <v>2.25</v>
      </c>
    </row>
    <row r="617" spans="1:2">
      <c r="A617" s="3">
        <f ca="1">IFERROR(__xludf.DUMMYFUNCTION("""COMPUTED_VALUE"""),41249.6666666666)</f>
        <v>41249.666666666599</v>
      </c>
      <c r="B617" s="1">
        <f ca="1">IFERROR(__xludf.DUMMYFUNCTION("""COMPUTED_VALUE"""),2.26)</f>
        <v>2.2599999999999998</v>
      </c>
    </row>
    <row r="618" spans="1:2">
      <c r="A618" s="3">
        <f ca="1">IFERROR(__xludf.DUMMYFUNCTION("""COMPUTED_VALUE"""),41250.6666666666)</f>
        <v>41250.666666666599</v>
      </c>
      <c r="B618" s="1">
        <f ca="1">IFERROR(__xludf.DUMMYFUNCTION("""COMPUTED_VALUE"""),2.28)</f>
        <v>2.2799999999999998</v>
      </c>
    </row>
    <row r="619" spans="1:2">
      <c r="A619" s="3">
        <f ca="1">IFERROR(__xludf.DUMMYFUNCTION("""COMPUTED_VALUE"""),41253.6666666666)</f>
        <v>41253.666666666599</v>
      </c>
      <c r="B619" s="1">
        <f ca="1">IFERROR(__xludf.DUMMYFUNCTION("""COMPUTED_VALUE"""),2.3)</f>
        <v>2.2999999999999998</v>
      </c>
    </row>
    <row r="620" spans="1:2">
      <c r="A620" s="3">
        <f ca="1">IFERROR(__xludf.DUMMYFUNCTION("""COMPUTED_VALUE"""),41254.6666666666)</f>
        <v>41254.666666666599</v>
      </c>
      <c r="B620" s="1">
        <f ca="1">IFERROR(__xludf.DUMMYFUNCTION("""COMPUTED_VALUE"""),2.35)</f>
        <v>2.35</v>
      </c>
    </row>
    <row r="621" spans="1:2">
      <c r="A621" s="3">
        <f ca="1">IFERROR(__xludf.DUMMYFUNCTION("""COMPUTED_VALUE"""),41255.6666666666)</f>
        <v>41255.666666666599</v>
      </c>
      <c r="B621" s="1">
        <f ca="1">IFERROR(__xludf.DUMMYFUNCTION("""COMPUTED_VALUE"""),2.35)</f>
        <v>2.35</v>
      </c>
    </row>
    <row r="622" spans="1:2">
      <c r="A622" s="3">
        <f ca="1">IFERROR(__xludf.DUMMYFUNCTION("""COMPUTED_VALUE"""),41256.6666666666)</f>
        <v>41256.666666666599</v>
      </c>
      <c r="B622" s="1">
        <f ca="1">IFERROR(__xludf.DUMMYFUNCTION("""COMPUTED_VALUE"""),2.24)</f>
        <v>2.2400000000000002</v>
      </c>
    </row>
    <row r="623" spans="1:2">
      <c r="A623" s="3">
        <f ca="1">IFERROR(__xludf.DUMMYFUNCTION("""COMPUTED_VALUE"""),41257.6666666666)</f>
        <v>41257.666666666599</v>
      </c>
      <c r="B623" s="1">
        <f ca="1">IFERROR(__xludf.DUMMYFUNCTION("""COMPUTED_VALUE"""),2.25)</f>
        <v>2.25</v>
      </c>
    </row>
    <row r="624" spans="1:2">
      <c r="A624" s="3">
        <f ca="1">IFERROR(__xludf.DUMMYFUNCTION("""COMPUTED_VALUE"""),41260.6666666666)</f>
        <v>41260.666666666599</v>
      </c>
      <c r="B624" s="1">
        <f ca="1">IFERROR(__xludf.DUMMYFUNCTION("""COMPUTED_VALUE"""),2.29)</f>
        <v>2.29</v>
      </c>
    </row>
    <row r="625" spans="1:2">
      <c r="A625" s="3">
        <f ca="1">IFERROR(__xludf.DUMMYFUNCTION("""COMPUTED_VALUE"""),41261.6666666666)</f>
        <v>41261.666666666599</v>
      </c>
      <c r="B625" s="1">
        <f ca="1">IFERROR(__xludf.DUMMYFUNCTION("""COMPUTED_VALUE"""),2.31)</f>
        <v>2.31</v>
      </c>
    </row>
    <row r="626" spans="1:2">
      <c r="A626" s="3">
        <f ca="1">IFERROR(__xludf.DUMMYFUNCTION("""COMPUTED_VALUE"""),41262.6666666666)</f>
        <v>41262.666666666599</v>
      </c>
      <c r="B626" s="1">
        <f ca="1">IFERROR(__xludf.DUMMYFUNCTION("""COMPUTED_VALUE"""),2.31)</f>
        <v>2.31</v>
      </c>
    </row>
    <row r="627" spans="1:2">
      <c r="A627" s="3">
        <f ca="1">IFERROR(__xludf.DUMMYFUNCTION("""COMPUTED_VALUE"""),41263.6666666666)</f>
        <v>41263.666666666599</v>
      </c>
      <c r="B627" s="1">
        <f ca="1">IFERROR(__xludf.DUMMYFUNCTION("""COMPUTED_VALUE"""),2.3)</f>
        <v>2.2999999999999998</v>
      </c>
    </row>
    <row r="628" spans="1:2">
      <c r="A628" s="3">
        <f ca="1">IFERROR(__xludf.DUMMYFUNCTION("""COMPUTED_VALUE"""),41264.6666666666)</f>
        <v>41264.666666666599</v>
      </c>
      <c r="B628" s="1">
        <f ca="1">IFERROR(__xludf.DUMMYFUNCTION("""COMPUTED_VALUE"""),2.27)</f>
        <v>2.27</v>
      </c>
    </row>
    <row r="629" spans="1:2">
      <c r="A629" s="3">
        <f ca="1">IFERROR(__xludf.DUMMYFUNCTION("""COMPUTED_VALUE"""),41267.6666666666)</f>
        <v>41267.666666666599</v>
      </c>
      <c r="B629" s="1">
        <f ca="1">IFERROR(__xludf.DUMMYFUNCTION("""COMPUTED_VALUE"""),2.29)</f>
        <v>2.29</v>
      </c>
    </row>
    <row r="630" spans="1:2">
      <c r="A630" s="3">
        <f ca="1">IFERROR(__xludf.DUMMYFUNCTION("""COMPUTED_VALUE"""),41269.6666666666)</f>
        <v>41269.666666666599</v>
      </c>
      <c r="B630" s="1">
        <f ca="1">IFERROR(__xludf.DUMMYFUNCTION("""COMPUTED_VALUE"""),2.24)</f>
        <v>2.2400000000000002</v>
      </c>
    </row>
    <row r="631" spans="1:2">
      <c r="A631" s="3">
        <f ca="1">IFERROR(__xludf.DUMMYFUNCTION("""COMPUTED_VALUE"""),41270.6666666666)</f>
        <v>41270.666666666599</v>
      </c>
      <c r="B631" s="1">
        <f ca="1">IFERROR(__xludf.DUMMYFUNCTION("""COMPUTED_VALUE"""),2.25)</f>
        <v>2.25</v>
      </c>
    </row>
    <row r="632" spans="1:2">
      <c r="A632" s="3">
        <f ca="1">IFERROR(__xludf.DUMMYFUNCTION("""COMPUTED_VALUE"""),41271.6666666666)</f>
        <v>41271.666666666599</v>
      </c>
      <c r="B632" s="1">
        <f ca="1">IFERROR(__xludf.DUMMYFUNCTION("""COMPUTED_VALUE"""),2.21)</f>
        <v>2.21</v>
      </c>
    </row>
    <row r="633" spans="1:2">
      <c r="A633" s="3">
        <f ca="1">IFERROR(__xludf.DUMMYFUNCTION("""COMPUTED_VALUE"""),41274.6666666666)</f>
        <v>41274.666666666599</v>
      </c>
      <c r="B633" s="1">
        <f ca="1">IFERROR(__xludf.DUMMYFUNCTION("""COMPUTED_VALUE"""),2.26)</f>
        <v>2.2599999999999998</v>
      </c>
    </row>
    <row r="634" spans="1:2">
      <c r="A634" s="3">
        <f ca="1">IFERROR(__xludf.DUMMYFUNCTION("""COMPUTED_VALUE"""),41276.6666666666)</f>
        <v>41276.666666666599</v>
      </c>
      <c r="B634" s="1">
        <f ca="1">IFERROR(__xludf.DUMMYFUNCTION("""COMPUTED_VALUE"""),2.36)</f>
        <v>2.36</v>
      </c>
    </row>
    <row r="635" spans="1:2">
      <c r="A635" s="3">
        <f ca="1">IFERROR(__xludf.DUMMYFUNCTION("""COMPUTED_VALUE"""),41277.6666666666)</f>
        <v>41277.666666666599</v>
      </c>
      <c r="B635" s="1">
        <f ca="1">IFERROR(__xludf.DUMMYFUNCTION("""COMPUTED_VALUE"""),2.32)</f>
        <v>2.3199999999999998</v>
      </c>
    </row>
    <row r="636" spans="1:2">
      <c r="A636" s="3">
        <f ca="1">IFERROR(__xludf.DUMMYFUNCTION("""COMPUTED_VALUE"""),41278.6666666666)</f>
        <v>41278.666666666599</v>
      </c>
      <c r="B636" s="1">
        <f ca="1">IFERROR(__xludf.DUMMYFUNCTION("""COMPUTED_VALUE"""),2.29)</f>
        <v>2.29</v>
      </c>
    </row>
    <row r="637" spans="1:2">
      <c r="A637" s="3">
        <f ca="1">IFERROR(__xludf.DUMMYFUNCTION("""COMPUTED_VALUE"""),41281.6666666666)</f>
        <v>41281.666666666599</v>
      </c>
      <c r="B637" s="1">
        <f ca="1">IFERROR(__xludf.DUMMYFUNCTION("""COMPUTED_VALUE"""),2.29)</f>
        <v>2.29</v>
      </c>
    </row>
    <row r="638" spans="1:2">
      <c r="A638" s="3">
        <f ca="1">IFERROR(__xludf.DUMMYFUNCTION("""COMPUTED_VALUE"""),41282.6666666666)</f>
        <v>41282.666666666599</v>
      </c>
      <c r="B638" s="1">
        <f ca="1">IFERROR(__xludf.DUMMYFUNCTION("""COMPUTED_VALUE"""),2.25)</f>
        <v>2.25</v>
      </c>
    </row>
    <row r="639" spans="1:2">
      <c r="A639" s="3">
        <f ca="1">IFERROR(__xludf.DUMMYFUNCTION("""COMPUTED_VALUE"""),41283.6666666666)</f>
        <v>41283.666666666599</v>
      </c>
      <c r="B639" s="1">
        <f ca="1">IFERROR(__xludf.DUMMYFUNCTION("""COMPUTED_VALUE"""),2.24)</f>
        <v>2.2400000000000002</v>
      </c>
    </row>
    <row r="640" spans="1:2">
      <c r="A640" s="3">
        <f ca="1">IFERROR(__xludf.DUMMYFUNCTION("""COMPUTED_VALUE"""),41284.6666666666)</f>
        <v>41284.666666666599</v>
      </c>
      <c r="B640" s="1">
        <f ca="1">IFERROR(__xludf.DUMMYFUNCTION("""COMPUTED_VALUE"""),2.24)</f>
        <v>2.2400000000000002</v>
      </c>
    </row>
    <row r="641" spans="1:2">
      <c r="A641" s="3">
        <f ca="1">IFERROR(__xludf.DUMMYFUNCTION("""COMPUTED_VALUE"""),41285.6666666666)</f>
        <v>41285.666666666599</v>
      </c>
      <c r="B641" s="1">
        <f ca="1">IFERROR(__xludf.DUMMYFUNCTION("""COMPUTED_VALUE"""),2.19)</f>
        <v>2.19</v>
      </c>
    </row>
    <row r="642" spans="1:2">
      <c r="A642" s="3">
        <f ca="1">IFERROR(__xludf.DUMMYFUNCTION("""COMPUTED_VALUE"""),41288.6666666666)</f>
        <v>41288.666666666599</v>
      </c>
      <c r="B642" s="1">
        <f ca="1">IFERROR(__xludf.DUMMYFUNCTION("""COMPUTED_VALUE"""),2.22)</f>
        <v>2.2200000000000002</v>
      </c>
    </row>
    <row r="643" spans="1:2">
      <c r="A643" s="3">
        <f ca="1">IFERROR(__xludf.DUMMYFUNCTION("""COMPUTED_VALUE"""),41289.6666666666)</f>
        <v>41289.666666666599</v>
      </c>
      <c r="B643" s="1">
        <f ca="1">IFERROR(__xludf.DUMMYFUNCTION("""COMPUTED_VALUE"""),2.26)</f>
        <v>2.2599999999999998</v>
      </c>
    </row>
    <row r="644" spans="1:2">
      <c r="A644" s="3">
        <f ca="1">IFERROR(__xludf.DUMMYFUNCTION("""COMPUTED_VALUE"""),41290.6666666666)</f>
        <v>41290.666666666599</v>
      </c>
      <c r="B644" s="1">
        <f ca="1">IFERROR(__xludf.DUMMYFUNCTION("""COMPUTED_VALUE"""),2.27)</f>
        <v>2.27</v>
      </c>
    </row>
    <row r="645" spans="1:2">
      <c r="A645" s="3">
        <f ca="1">IFERROR(__xludf.DUMMYFUNCTION("""COMPUTED_VALUE"""),41291.6666666666)</f>
        <v>41291.666666666599</v>
      </c>
      <c r="B645" s="1">
        <f ca="1">IFERROR(__xludf.DUMMYFUNCTION("""COMPUTED_VALUE"""),2.29)</f>
        <v>2.29</v>
      </c>
    </row>
    <row r="646" spans="1:2">
      <c r="A646" s="3">
        <f ca="1">IFERROR(__xludf.DUMMYFUNCTION("""COMPUTED_VALUE"""),41292.6666666666)</f>
        <v>41292.666666666599</v>
      </c>
      <c r="B646" s="1">
        <f ca="1">IFERROR(__xludf.DUMMYFUNCTION("""COMPUTED_VALUE"""),2.3)</f>
        <v>2.2999999999999998</v>
      </c>
    </row>
    <row r="647" spans="1:2">
      <c r="A647" s="3">
        <f ca="1">IFERROR(__xludf.DUMMYFUNCTION("""COMPUTED_VALUE"""),41296.6666666666)</f>
        <v>41296.666666666599</v>
      </c>
      <c r="B647" s="1">
        <f ca="1">IFERROR(__xludf.DUMMYFUNCTION("""COMPUTED_VALUE"""),2.35)</f>
        <v>2.35</v>
      </c>
    </row>
    <row r="648" spans="1:2">
      <c r="A648" s="3">
        <f ca="1">IFERROR(__xludf.DUMMYFUNCTION("""COMPUTED_VALUE"""),41297.6666666666)</f>
        <v>41297.666666666599</v>
      </c>
      <c r="B648" s="1">
        <f ca="1">IFERROR(__xludf.DUMMYFUNCTION("""COMPUTED_VALUE"""),2.4)</f>
        <v>2.4</v>
      </c>
    </row>
    <row r="649" spans="1:2">
      <c r="A649" s="3">
        <f ca="1">IFERROR(__xludf.DUMMYFUNCTION("""COMPUTED_VALUE"""),41298.6666666666)</f>
        <v>41298.666666666599</v>
      </c>
      <c r="B649" s="1">
        <f ca="1">IFERROR(__xludf.DUMMYFUNCTION("""COMPUTED_VALUE"""),2.47)</f>
        <v>2.4700000000000002</v>
      </c>
    </row>
    <row r="650" spans="1:2">
      <c r="A650" s="3">
        <f ca="1">IFERROR(__xludf.DUMMYFUNCTION("""COMPUTED_VALUE"""),41299.6666666666)</f>
        <v>41299.666666666599</v>
      </c>
      <c r="B650" s="1">
        <f ca="1">IFERROR(__xludf.DUMMYFUNCTION("""COMPUTED_VALUE"""),2.47)</f>
        <v>2.4700000000000002</v>
      </c>
    </row>
    <row r="651" spans="1:2">
      <c r="A651" s="3">
        <f ca="1">IFERROR(__xludf.DUMMYFUNCTION("""COMPUTED_VALUE"""),41302.6666666666)</f>
        <v>41302.666666666599</v>
      </c>
      <c r="B651" s="1">
        <f ca="1">IFERROR(__xludf.DUMMYFUNCTION("""COMPUTED_VALUE"""),2.54)</f>
        <v>2.54</v>
      </c>
    </row>
    <row r="652" spans="1:2">
      <c r="A652" s="3">
        <f ca="1">IFERROR(__xludf.DUMMYFUNCTION("""COMPUTED_VALUE"""),41303.6666666666)</f>
        <v>41303.666666666599</v>
      </c>
      <c r="B652" s="1">
        <f ca="1">IFERROR(__xludf.DUMMYFUNCTION("""COMPUTED_VALUE"""),2.53)</f>
        <v>2.5299999999999998</v>
      </c>
    </row>
    <row r="653" spans="1:2">
      <c r="A653" s="3">
        <f ca="1">IFERROR(__xludf.DUMMYFUNCTION("""COMPUTED_VALUE"""),41304.6666666666)</f>
        <v>41304.666666666599</v>
      </c>
      <c r="B653" s="1">
        <f ca="1">IFERROR(__xludf.DUMMYFUNCTION("""COMPUTED_VALUE"""),2.5)</f>
        <v>2.5</v>
      </c>
    </row>
    <row r="654" spans="1:2">
      <c r="A654" s="3">
        <f ca="1">IFERROR(__xludf.DUMMYFUNCTION("""COMPUTED_VALUE"""),41305.6666666666)</f>
        <v>41305.666666666599</v>
      </c>
      <c r="B654" s="1">
        <f ca="1">IFERROR(__xludf.DUMMYFUNCTION("""COMPUTED_VALUE"""),2.5)</f>
        <v>2.5</v>
      </c>
    </row>
    <row r="655" spans="1:2">
      <c r="A655" s="3">
        <f ca="1">IFERROR(__xludf.DUMMYFUNCTION("""COMPUTED_VALUE"""),41306.6666666666)</f>
        <v>41306.666666666599</v>
      </c>
      <c r="B655" s="1">
        <f ca="1">IFERROR(__xludf.DUMMYFUNCTION("""COMPUTED_VALUE"""),2.55)</f>
        <v>2.5499999999999998</v>
      </c>
    </row>
    <row r="656" spans="1:2">
      <c r="A656" s="3">
        <f ca="1">IFERROR(__xludf.DUMMYFUNCTION("""COMPUTED_VALUE"""),41309.6666666666)</f>
        <v>41309.666666666599</v>
      </c>
      <c r="B656" s="1">
        <f ca="1">IFERROR(__xludf.DUMMYFUNCTION("""COMPUTED_VALUE"""),2.52)</f>
        <v>2.52</v>
      </c>
    </row>
    <row r="657" spans="1:2">
      <c r="A657" s="3">
        <f ca="1">IFERROR(__xludf.DUMMYFUNCTION("""COMPUTED_VALUE"""),41310.6666666666)</f>
        <v>41310.666666666599</v>
      </c>
      <c r="B657" s="1">
        <f ca="1">IFERROR(__xludf.DUMMYFUNCTION("""COMPUTED_VALUE"""),2.54)</f>
        <v>2.54</v>
      </c>
    </row>
    <row r="658" spans="1:2">
      <c r="A658" s="3">
        <f ca="1">IFERROR(__xludf.DUMMYFUNCTION("""COMPUTED_VALUE"""),41311.6666666666)</f>
        <v>41311.666666666599</v>
      </c>
      <c r="B658" s="1">
        <f ca="1">IFERROR(__xludf.DUMMYFUNCTION("""COMPUTED_VALUE"""),2.61)</f>
        <v>2.61</v>
      </c>
    </row>
    <row r="659" spans="1:2">
      <c r="A659" s="3">
        <f ca="1">IFERROR(__xludf.DUMMYFUNCTION("""COMPUTED_VALUE"""),41312.6666666666)</f>
        <v>41312.666666666599</v>
      </c>
      <c r="B659" s="1">
        <f ca="1">IFERROR(__xludf.DUMMYFUNCTION("""COMPUTED_VALUE"""),2.63)</f>
        <v>2.63</v>
      </c>
    </row>
    <row r="660" spans="1:2">
      <c r="A660" s="3">
        <f ca="1">IFERROR(__xludf.DUMMYFUNCTION("""COMPUTED_VALUE"""),41313.6666666666)</f>
        <v>41313.666666666599</v>
      </c>
      <c r="B660" s="1">
        <f ca="1">IFERROR(__xludf.DUMMYFUNCTION("""COMPUTED_VALUE"""),2.62)</f>
        <v>2.62</v>
      </c>
    </row>
    <row r="661" spans="1:2">
      <c r="A661" s="3">
        <f ca="1">IFERROR(__xludf.DUMMYFUNCTION("""COMPUTED_VALUE"""),41316.6666666666)</f>
        <v>41316.666666666599</v>
      </c>
      <c r="B661" s="1">
        <f ca="1">IFERROR(__xludf.DUMMYFUNCTION("""COMPUTED_VALUE"""),2.56)</f>
        <v>2.56</v>
      </c>
    </row>
    <row r="662" spans="1:2">
      <c r="A662" s="3">
        <f ca="1">IFERROR(__xludf.DUMMYFUNCTION("""COMPUTED_VALUE"""),41317.6666666666)</f>
        <v>41317.666666666599</v>
      </c>
      <c r="B662" s="1">
        <f ca="1">IFERROR(__xludf.DUMMYFUNCTION("""COMPUTED_VALUE"""),2.53)</f>
        <v>2.5299999999999998</v>
      </c>
    </row>
    <row r="663" spans="1:2">
      <c r="A663" s="3">
        <f ca="1">IFERROR(__xludf.DUMMYFUNCTION("""COMPUTED_VALUE"""),41318.6666666666)</f>
        <v>41318.666666666599</v>
      </c>
      <c r="B663" s="1">
        <f ca="1">IFERROR(__xludf.DUMMYFUNCTION("""COMPUTED_VALUE"""),2.56)</f>
        <v>2.56</v>
      </c>
    </row>
    <row r="664" spans="1:2">
      <c r="A664" s="3">
        <f ca="1">IFERROR(__xludf.DUMMYFUNCTION("""COMPUTED_VALUE"""),41319.6666666666)</f>
        <v>41319.666666666599</v>
      </c>
      <c r="B664" s="1">
        <f ca="1">IFERROR(__xludf.DUMMYFUNCTION("""COMPUTED_VALUE"""),2.55)</f>
        <v>2.5499999999999998</v>
      </c>
    </row>
    <row r="665" spans="1:2">
      <c r="A665" s="3">
        <f ca="1">IFERROR(__xludf.DUMMYFUNCTION("""COMPUTED_VALUE"""),41320.6666666666)</f>
        <v>41320.666666666599</v>
      </c>
      <c r="B665" s="1">
        <f ca="1">IFERROR(__xludf.DUMMYFUNCTION("""COMPUTED_VALUE"""),2.47)</f>
        <v>2.4700000000000002</v>
      </c>
    </row>
    <row r="666" spans="1:2">
      <c r="A666" s="3">
        <f ca="1">IFERROR(__xludf.DUMMYFUNCTION("""COMPUTED_VALUE"""),41324.6666666666)</f>
        <v>41324.666666666599</v>
      </c>
      <c r="B666" s="1">
        <f ca="1">IFERROR(__xludf.DUMMYFUNCTION("""COMPUTED_VALUE"""),2.62)</f>
        <v>2.62</v>
      </c>
    </row>
    <row r="667" spans="1:2">
      <c r="A667" s="3">
        <f ca="1">IFERROR(__xludf.DUMMYFUNCTION("""COMPUTED_VALUE"""),41325.6666666666)</f>
        <v>41325.666666666599</v>
      </c>
      <c r="B667" s="1">
        <f ca="1">IFERROR(__xludf.DUMMYFUNCTION("""COMPUTED_VALUE"""),2.57)</f>
        <v>2.57</v>
      </c>
    </row>
    <row r="668" spans="1:2">
      <c r="A668" s="3">
        <f ca="1">IFERROR(__xludf.DUMMYFUNCTION("""COMPUTED_VALUE"""),41326.6666666666)</f>
        <v>41326.666666666599</v>
      </c>
      <c r="B668" s="1">
        <f ca="1">IFERROR(__xludf.DUMMYFUNCTION("""COMPUTED_VALUE"""),2.34)</f>
        <v>2.34</v>
      </c>
    </row>
    <row r="669" spans="1:2">
      <c r="A669" s="3">
        <f ca="1">IFERROR(__xludf.DUMMYFUNCTION("""COMPUTED_VALUE"""),41327.6666666666)</f>
        <v>41327.666666666599</v>
      </c>
      <c r="B669" s="1">
        <f ca="1">IFERROR(__xludf.DUMMYFUNCTION("""COMPUTED_VALUE"""),2.41)</f>
        <v>2.41</v>
      </c>
    </row>
    <row r="670" spans="1:2">
      <c r="A670" s="3">
        <f ca="1">IFERROR(__xludf.DUMMYFUNCTION("""COMPUTED_VALUE"""),41330.6666666666)</f>
        <v>41330.666666666599</v>
      </c>
      <c r="B670" s="1">
        <f ca="1">IFERROR(__xludf.DUMMYFUNCTION("""COMPUTED_VALUE"""),2.29)</f>
        <v>2.29</v>
      </c>
    </row>
    <row r="671" spans="1:2">
      <c r="A671" s="3">
        <f ca="1">IFERROR(__xludf.DUMMYFUNCTION("""COMPUTED_VALUE"""),41331.6666666666)</f>
        <v>41331.666666666599</v>
      </c>
      <c r="B671" s="1">
        <f ca="1">IFERROR(__xludf.DUMMYFUNCTION("""COMPUTED_VALUE"""),2.3)</f>
        <v>2.2999999999999998</v>
      </c>
    </row>
    <row r="672" spans="1:2">
      <c r="A672" s="3">
        <f ca="1">IFERROR(__xludf.DUMMYFUNCTION("""COMPUTED_VALUE"""),41332.6666666666)</f>
        <v>41332.666666666599</v>
      </c>
      <c r="B672" s="1">
        <f ca="1">IFERROR(__xludf.DUMMYFUNCTION("""COMPUTED_VALUE"""),2.34)</f>
        <v>2.34</v>
      </c>
    </row>
    <row r="673" spans="1:2">
      <c r="A673" s="3">
        <f ca="1">IFERROR(__xludf.DUMMYFUNCTION("""COMPUTED_VALUE"""),41333.6666666666)</f>
        <v>41333.666666666599</v>
      </c>
      <c r="B673" s="1">
        <f ca="1">IFERROR(__xludf.DUMMYFUNCTION("""COMPUTED_VALUE"""),2.32)</f>
        <v>2.3199999999999998</v>
      </c>
    </row>
    <row r="674" spans="1:2">
      <c r="A674" s="3">
        <f ca="1">IFERROR(__xludf.DUMMYFUNCTION("""COMPUTED_VALUE"""),41334.6666666666)</f>
        <v>41334.666666666599</v>
      </c>
      <c r="B674" s="1">
        <f ca="1">IFERROR(__xludf.DUMMYFUNCTION("""COMPUTED_VALUE"""),2.31)</f>
        <v>2.31</v>
      </c>
    </row>
    <row r="675" spans="1:2">
      <c r="A675" s="3">
        <f ca="1">IFERROR(__xludf.DUMMYFUNCTION("""COMPUTED_VALUE"""),41337.6666666666)</f>
        <v>41337.666666666599</v>
      </c>
      <c r="B675" s="1">
        <f ca="1">IFERROR(__xludf.DUMMYFUNCTION("""COMPUTED_VALUE"""),2.37)</f>
        <v>2.37</v>
      </c>
    </row>
    <row r="676" spans="1:2">
      <c r="A676" s="3">
        <f ca="1">IFERROR(__xludf.DUMMYFUNCTION("""COMPUTED_VALUE"""),41338.6666666666)</f>
        <v>41338.666666666599</v>
      </c>
      <c r="B676" s="1">
        <f ca="1">IFERROR(__xludf.DUMMYFUNCTION("""COMPUTED_VALUE"""),2.44)</f>
        <v>2.44</v>
      </c>
    </row>
    <row r="677" spans="1:2">
      <c r="A677" s="3">
        <f ca="1">IFERROR(__xludf.DUMMYFUNCTION("""COMPUTED_VALUE"""),41339.6666666666)</f>
        <v>41339.666666666599</v>
      </c>
      <c r="B677" s="1">
        <f ca="1">IFERROR(__xludf.DUMMYFUNCTION("""COMPUTED_VALUE"""),2.51)</f>
        <v>2.5099999999999998</v>
      </c>
    </row>
    <row r="678" spans="1:2">
      <c r="A678" s="3">
        <f ca="1">IFERROR(__xludf.DUMMYFUNCTION("""COMPUTED_VALUE"""),41340.6666666666)</f>
        <v>41340.666666666599</v>
      </c>
      <c r="B678" s="1">
        <f ca="1">IFERROR(__xludf.DUMMYFUNCTION("""COMPUTED_VALUE"""),2.55)</f>
        <v>2.5499999999999998</v>
      </c>
    </row>
    <row r="679" spans="1:2">
      <c r="A679" s="3">
        <f ca="1">IFERROR(__xludf.DUMMYFUNCTION("""COMPUTED_VALUE"""),41341.6666666666)</f>
        <v>41341.666666666599</v>
      </c>
      <c r="B679" s="1">
        <f ca="1">IFERROR(__xludf.DUMMYFUNCTION("""COMPUTED_VALUE"""),2.56)</f>
        <v>2.56</v>
      </c>
    </row>
    <row r="680" spans="1:2">
      <c r="A680" s="3">
        <f ca="1">IFERROR(__xludf.DUMMYFUNCTION("""COMPUTED_VALUE"""),41344.6666666666)</f>
        <v>41344.666666666599</v>
      </c>
      <c r="B680" s="1">
        <f ca="1">IFERROR(__xludf.DUMMYFUNCTION("""COMPUTED_VALUE"""),2.61)</f>
        <v>2.61</v>
      </c>
    </row>
    <row r="681" spans="1:2">
      <c r="A681" s="3">
        <f ca="1">IFERROR(__xludf.DUMMYFUNCTION("""COMPUTED_VALUE"""),41345.6666666666)</f>
        <v>41345.666666666599</v>
      </c>
      <c r="B681" s="1">
        <f ca="1">IFERROR(__xludf.DUMMYFUNCTION("""COMPUTED_VALUE"""),2.61)</f>
        <v>2.61</v>
      </c>
    </row>
    <row r="682" spans="1:2">
      <c r="A682" s="3">
        <f ca="1">IFERROR(__xludf.DUMMYFUNCTION("""COMPUTED_VALUE"""),41346.6666666666)</f>
        <v>41346.666666666599</v>
      </c>
      <c r="B682" s="1">
        <f ca="1">IFERROR(__xludf.DUMMYFUNCTION("""COMPUTED_VALUE"""),2.6)</f>
        <v>2.6</v>
      </c>
    </row>
    <row r="683" spans="1:2">
      <c r="A683" s="3">
        <f ca="1">IFERROR(__xludf.DUMMYFUNCTION("""COMPUTED_VALUE"""),41347.6666666666)</f>
        <v>41347.666666666599</v>
      </c>
      <c r="B683" s="1">
        <f ca="1">IFERROR(__xludf.DUMMYFUNCTION("""COMPUTED_VALUE"""),2.46)</f>
        <v>2.46</v>
      </c>
    </row>
    <row r="684" spans="1:2">
      <c r="A684" s="3">
        <f ca="1">IFERROR(__xludf.DUMMYFUNCTION("""COMPUTED_VALUE"""),41348.6666666666)</f>
        <v>41348.666666666599</v>
      </c>
      <c r="B684" s="1">
        <f ca="1">IFERROR(__xludf.DUMMYFUNCTION("""COMPUTED_VALUE"""),2.35)</f>
        <v>2.35</v>
      </c>
    </row>
    <row r="685" spans="1:2">
      <c r="A685" s="3">
        <f ca="1">IFERROR(__xludf.DUMMYFUNCTION("""COMPUTED_VALUE"""),41351.6666666666)</f>
        <v>41351.666666666599</v>
      </c>
      <c r="B685" s="1">
        <f ca="1">IFERROR(__xludf.DUMMYFUNCTION("""COMPUTED_VALUE"""),2.34)</f>
        <v>2.34</v>
      </c>
    </row>
    <row r="686" spans="1:2">
      <c r="A686" s="3">
        <f ca="1">IFERROR(__xludf.DUMMYFUNCTION("""COMPUTED_VALUE"""),41352.6666666666)</f>
        <v>41352.666666666599</v>
      </c>
      <c r="B686" s="1">
        <f ca="1">IFERROR(__xludf.DUMMYFUNCTION("""COMPUTED_VALUE"""),2.34)</f>
        <v>2.34</v>
      </c>
    </row>
    <row r="687" spans="1:2">
      <c r="A687" s="3">
        <f ca="1">IFERROR(__xludf.DUMMYFUNCTION("""COMPUTED_VALUE"""),41353.6666666666)</f>
        <v>41353.666666666599</v>
      </c>
      <c r="B687" s="1">
        <f ca="1">IFERROR(__xludf.DUMMYFUNCTION("""COMPUTED_VALUE"""),2.4)</f>
        <v>2.4</v>
      </c>
    </row>
    <row r="688" spans="1:2">
      <c r="A688" s="3">
        <f ca="1">IFERROR(__xludf.DUMMYFUNCTION("""COMPUTED_VALUE"""),41354.6666666666)</f>
        <v>41354.666666666599</v>
      </c>
      <c r="B688" s="1">
        <f ca="1">IFERROR(__xludf.DUMMYFUNCTION("""COMPUTED_VALUE"""),2.4)</f>
        <v>2.4</v>
      </c>
    </row>
    <row r="689" spans="1:2">
      <c r="A689" s="3">
        <f ca="1">IFERROR(__xludf.DUMMYFUNCTION("""COMPUTED_VALUE"""),41355.6666666666)</f>
        <v>41355.666666666599</v>
      </c>
      <c r="B689" s="1">
        <f ca="1">IFERROR(__xludf.DUMMYFUNCTION("""COMPUTED_VALUE"""),2.44)</f>
        <v>2.44</v>
      </c>
    </row>
    <row r="690" spans="1:2">
      <c r="A690" s="3">
        <f ca="1">IFERROR(__xludf.DUMMYFUNCTION("""COMPUTED_VALUE"""),41358.6666666666)</f>
        <v>41358.666666666599</v>
      </c>
      <c r="B690" s="1">
        <f ca="1">IFERROR(__xludf.DUMMYFUNCTION("""COMPUTED_VALUE"""),2.5)</f>
        <v>2.5</v>
      </c>
    </row>
    <row r="691" spans="1:2">
      <c r="A691" s="3">
        <f ca="1">IFERROR(__xludf.DUMMYFUNCTION("""COMPUTED_VALUE"""),41359.6666666666)</f>
        <v>41359.666666666599</v>
      </c>
      <c r="B691" s="1">
        <f ca="1">IFERROR(__xludf.DUMMYFUNCTION("""COMPUTED_VALUE"""),2.52)</f>
        <v>2.52</v>
      </c>
    </row>
    <row r="692" spans="1:2">
      <c r="A692" s="3">
        <f ca="1">IFERROR(__xludf.DUMMYFUNCTION("""COMPUTED_VALUE"""),41360.6666666666)</f>
        <v>41360.666666666599</v>
      </c>
      <c r="B692" s="1">
        <f ca="1">IFERROR(__xludf.DUMMYFUNCTION("""COMPUTED_VALUE"""),2.54)</f>
        <v>2.54</v>
      </c>
    </row>
    <row r="693" spans="1:2">
      <c r="A693" s="3">
        <f ca="1">IFERROR(__xludf.DUMMYFUNCTION("""COMPUTED_VALUE"""),41361.6666666666)</f>
        <v>41361.666666666599</v>
      </c>
      <c r="B693" s="1">
        <f ca="1">IFERROR(__xludf.DUMMYFUNCTION("""COMPUTED_VALUE"""),2.53)</f>
        <v>2.5299999999999998</v>
      </c>
    </row>
    <row r="694" spans="1:2">
      <c r="A694" s="3">
        <f ca="1">IFERROR(__xludf.DUMMYFUNCTION("""COMPUTED_VALUE"""),41365.6666666666)</f>
        <v>41365.666666666599</v>
      </c>
      <c r="B694" s="1">
        <f ca="1">IFERROR(__xludf.DUMMYFUNCTION("""COMPUTED_VALUE"""),2.93)</f>
        <v>2.93</v>
      </c>
    </row>
    <row r="695" spans="1:2">
      <c r="A695" s="3">
        <f ca="1">IFERROR(__xludf.DUMMYFUNCTION("""COMPUTED_VALUE"""),41366.6666666666)</f>
        <v>41366.666666666599</v>
      </c>
      <c r="B695" s="1">
        <f ca="1">IFERROR(__xludf.DUMMYFUNCTION("""COMPUTED_VALUE"""),2.96)</f>
        <v>2.96</v>
      </c>
    </row>
    <row r="696" spans="1:2">
      <c r="A696" s="3">
        <f ca="1">IFERROR(__xludf.DUMMYFUNCTION("""COMPUTED_VALUE"""),41367.6666666666)</f>
        <v>41367.666666666599</v>
      </c>
      <c r="B696" s="1">
        <f ca="1">IFERROR(__xludf.DUMMYFUNCTION("""COMPUTED_VALUE"""),2.74)</f>
        <v>2.74</v>
      </c>
    </row>
    <row r="697" spans="1:2">
      <c r="A697" s="3">
        <f ca="1">IFERROR(__xludf.DUMMYFUNCTION("""COMPUTED_VALUE"""),41368.6666666666)</f>
        <v>41368.666666666599</v>
      </c>
      <c r="B697" s="1">
        <f ca="1">IFERROR(__xludf.DUMMYFUNCTION("""COMPUTED_VALUE"""),2.8)</f>
        <v>2.8</v>
      </c>
    </row>
    <row r="698" spans="1:2">
      <c r="A698" s="3">
        <f ca="1">IFERROR(__xludf.DUMMYFUNCTION("""COMPUTED_VALUE"""),41369.6666666666)</f>
        <v>41369.666666666599</v>
      </c>
      <c r="B698" s="1">
        <f ca="1">IFERROR(__xludf.DUMMYFUNCTION("""COMPUTED_VALUE"""),2.76)</f>
        <v>2.76</v>
      </c>
    </row>
    <row r="699" spans="1:2">
      <c r="A699" s="3">
        <f ca="1">IFERROR(__xludf.DUMMYFUNCTION("""COMPUTED_VALUE"""),41372.6666666666)</f>
        <v>41372.666666666599</v>
      </c>
      <c r="B699" s="1">
        <f ca="1">IFERROR(__xludf.DUMMYFUNCTION("""COMPUTED_VALUE"""),2.79)</f>
        <v>2.79</v>
      </c>
    </row>
    <row r="700" spans="1:2">
      <c r="A700" s="3">
        <f ca="1">IFERROR(__xludf.DUMMYFUNCTION("""COMPUTED_VALUE"""),41373.6666666666)</f>
        <v>41373.666666666599</v>
      </c>
      <c r="B700" s="1">
        <f ca="1">IFERROR(__xludf.DUMMYFUNCTION("""COMPUTED_VALUE"""),2.7)</f>
        <v>2.7</v>
      </c>
    </row>
    <row r="701" spans="1:2">
      <c r="A701" s="3">
        <f ca="1">IFERROR(__xludf.DUMMYFUNCTION("""COMPUTED_VALUE"""),41374.6666666666)</f>
        <v>41374.666666666599</v>
      </c>
      <c r="B701" s="1">
        <f ca="1">IFERROR(__xludf.DUMMYFUNCTION("""COMPUTED_VALUE"""),2.79)</f>
        <v>2.79</v>
      </c>
    </row>
    <row r="702" spans="1:2">
      <c r="A702" s="3">
        <f ca="1">IFERROR(__xludf.DUMMYFUNCTION("""COMPUTED_VALUE"""),41375.6666666666)</f>
        <v>41375.666666666599</v>
      </c>
      <c r="B702" s="1">
        <f ca="1">IFERROR(__xludf.DUMMYFUNCTION("""COMPUTED_VALUE"""),2.91)</f>
        <v>2.91</v>
      </c>
    </row>
    <row r="703" spans="1:2">
      <c r="A703" s="3">
        <f ca="1">IFERROR(__xludf.DUMMYFUNCTION("""COMPUTED_VALUE"""),41376.6666666666)</f>
        <v>41376.666666666599</v>
      </c>
      <c r="B703" s="1">
        <f ca="1">IFERROR(__xludf.DUMMYFUNCTION("""COMPUTED_VALUE"""),2.92)</f>
        <v>2.92</v>
      </c>
    </row>
    <row r="704" spans="1:2">
      <c r="A704" s="3">
        <f ca="1">IFERROR(__xludf.DUMMYFUNCTION("""COMPUTED_VALUE"""),41379.6666666666)</f>
        <v>41379.666666666599</v>
      </c>
      <c r="B704" s="1">
        <f ca="1">IFERROR(__xludf.DUMMYFUNCTION("""COMPUTED_VALUE"""),2.89)</f>
        <v>2.89</v>
      </c>
    </row>
    <row r="705" spans="1:2">
      <c r="A705" s="3">
        <f ca="1">IFERROR(__xludf.DUMMYFUNCTION("""COMPUTED_VALUE"""),41380.6666666666)</f>
        <v>41380.666666666599</v>
      </c>
      <c r="B705" s="1">
        <f ca="1">IFERROR(__xludf.DUMMYFUNCTION("""COMPUTED_VALUE"""),3.04)</f>
        <v>3.04</v>
      </c>
    </row>
    <row r="706" spans="1:2">
      <c r="A706" s="3">
        <f ca="1">IFERROR(__xludf.DUMMYFUNCTION("""COMPUTED_VALUE"""),41381.6666666666)</f>
        <v>41381.666666666599</v>
      </c>
      <c r="B706" s="1">
        <f ca="1">IFERROR(__xludf.DUMMYFUNCTION("""COMPUTED_VALUE"""),3.03)</f>
        <v>3.03</v>
      </c>
    </row>
    <row r="707" spans="1:2">
      <c r="A707" s="3">
        <f ca="1">IFERROR(__xludf.DUMMYFUNCTION("""COMPUTED_VALUE"""),41382.6666666666)</f>
        <v>41382.666666666599</v>
      </c>
      <c r="B707" s="1">
        <f ca="1">IFERROR(__xludf.DUMMYFUNCTION("""COMPUTED_VALUE"""),3.13)</f>
        <v>3.13</v>
      </c>
    </row>
    <row r="708" spans="1:2">
      <c r="A708" s="3">
        <f ca="1">IFERROR(__xludf.DUMMYFUNCTION("""COMPUTED_VALUE"""),41383.6666666666)</f>
        <v>41383.666666666599</v>
      </c>
      <c r="B708" s="1">
        <f ca="1">IFERROR(__xludf.DUMMYFUNCTION("""COMPUTED_VALUE"""),3.19)</f>
        <v>3.19</v>
      </c>
    </row>
    <row r="709" spans="1:2">
      <c r="A709" s="3">
        <f ca="1">IFERROR(__xludf.DUMMYFUNCTION("""COMPUTED_VALUE"""),41386.6666666666)</f>
        <v>41386.666666666599</v>
      </c>
      <c r="B709" s="1">
        <f ca="1">IFERROR(__xludf.DUMMYFUNCTION("""COMPUTED_VALUE"""),3.35)</f>
        <v>3.35</v>
      </c>
    </row>
    <row r="710" spans="1:2">
      <c r="A710" s="3">
        <f ca="1">IFERROR(__xludf.DUMMYFUNCTION("""COMPUTED_VALUE"""),41387.6666666666)</f>
        <v>41387.666666666599</v>
      </c>
      <c r="B710" s="1">
        <f ca="1">IFERROR(__xludf.DUMMYFUNCTION("""COMPUTED_VALUE"""),3.4)</f>
        <v>3.4</v>
      </c>
    </row>
    <row r="711" spans="1:2">
      <c r="A711" s="3">
        <f ca="1">IFERROR(__xludf.DUMMYFUNCTION("""COMPUTED_VALUE"""),41388.6666666666)</f>
        <v>41388.666666666599</v>
      </c>
      <c r="B711" s="1">
        <f ca="1">IFERROR(__xludf.DUMMYFUNCTION("""COMPUTED_VALUE"""),3.36)</f>
        <v>3.36</v>
      </c>
    </row>
    <row r="712" spans="1:2">
      <c r="A712" s="3">
        <f ca="1">IFERROR(__xludf.DUMMYFUNCTION("""COMPUTED_VALUE"""),41389.6666666666)</f>
        <v>41389.666666666599</v>
      </c>
      <c r="B712" s="1">
        <f ca="1">IFERROR(__xludf.DUMMYFUNCTION("""COMPUTED_VALUE"""),3.47)</f>
        <v>3.47</v>
      </c>
    </row>
    <row r="713" spans="1:2">
      <c r="A713" s="3">
        <f ca="1">IFERROR(__xludf.DUMMYFUNCTION("""COMPUTED_VALUE"""),41390.6666666666)</f>
        <v>41390.666666666599</v>
      </c>
      <c r="B713" s="1">
        <f ca="1">IFERROR(__xludf.DUMMYFUNCTION("""COMPUTED_VALUE"""),3.41)</f>
        <v>3.41</v>
      </c>
    </row>
    <row r="714" spans="1:2">
      <c r="A714" s="3">
        <f ca="1">IFERROR(__xludf.DUMMYFUNCTION("""COMPUTED_VALUE"""),41393.6666666666)</f>
        <v>41393.666666666599</v>
      </c>
      <c r="B714" s="1">
        <f ca="1">IFERROR(__xludf.DUMMYFUNCTION("""COMPUTED_VALUE"""),3.66)</f>
        <v>3.66</v>
      </c>
    </row>
    <row r="715" spans="1:2">
      <c r="A715" s="3">
        <f ca="1">IFERROR(__xludf.DUMMYFUNCTION("""COMPUTED_VALUE"""),41394.6666666666)</f>
        <v>41394.666666666599</v>
      </c>
      <c r="B715" s="1">
        <f ca="1">IFERROR(__xludf.DUMMYFUNCTION("""COMPUTED_VALUE"""),3.6)</f>
        <v>3.6</v>
      </c>
    </row>
    <row r="716" spans="1:2">
      <c r="A716" s="3">
        <f ca="1">IFERROR(__xludf.DUMMYFUNCTION("""COMPUTED_VALUE"""),41395.6666666666)</f>
        <v>41395.666666666599</v>
      </c>
      <c r="B716" s="1">
        <f ca="1">IFERROR(__xludf.DUMMYFUNCTION("""COMPUTED_VALUE"""),3.55)</f>
        <v>3.55</v>
      </c>
    </row>
    <row r="717" spans="1:2">
      <c r="A717" s="3">
        <f ca="1">IFERROR(__xludf.DUMMYFUNCTION("""COMPUTED_VALUE"""),41396.6666666666)</f>
        <v>41396.666666666599</v>
      </c>
      <c r="B717" s="1">
        <f ca="1">IFERROR(__xludf.DUMMYFUNCTION("""COMPUTED_VALUE"""),3.61)</f>
        <v>3.61</v>
      </c>
    </row>
    <row r="718" spans="1:2">
      <c r="A718" s="3">
        <f ca="1">IFERROR(__xludf.DUMMYFUNCTION("""COMPUTED_VALUE"""),41397.6666666666)</f>
        <v>41397.666666666599</v>
      </c>
      <c r="B718" s="1">
        <f ca="1">IFERROR(__xludf.DUMMYFUNCTION("""COMPUTED_VALUE"""),3.64)</f>
        <v>3.64</v>
      </c>
    </row>
    <row r="719" spans="1:2">
      <c r="A719" s="3">
        <f ca="1">IFERROR(__xludf.DUMMYFUNCTION("""COMPUTED_VALUE"""),41400.6666666666)</f>
        <v>41400.666666666599</v>
      </c>
      <c r="B719" s="1">
        <f ca="1">IFERROR(__xludf.DUMMYFUNCTION("""COMPUTED_VALUE"""),3.97)</f>
        <v>3.97</v>
      </c>
    </row>
    <row r="720" spans="1:2">
      <c r="A720" s="3">
        <f ca="1">IFERROR(__xludf.DUMMYFUNCTION("""COMPUTED_VALUE"""),41401.6666666666)</f>
        <v>41401.666666666599</v>
      </c>
      <c r="B720" s="1">
        <f ca="1">IFERROR(__xludf.DUMMYFUNCTION("""COMPUTED_VALUE"""),3.7)</f>
        <v>3.7</v>
      </c>
    </row>
    <row r="721" spans="1:2">
      <c r="A721" s="3">
        <f ca="1">IFERROR(__xludf.DUMMYFUNCTION("""COMPUTED_VALUE"""),41402.6666666666)</f>
        <v>41402.666666666599</v>
      </c>
      <c r="B721" s="1">
        <f ca="1">IFERROR(__xludf.DUMMYFUNCTION("""COMPUTED_VALUE"""),3.72)</f>
        <v>3.72</v>
      </c>
    </row>
    <row r="722" spans="1:2">
      <c r="A722" s="3">
        <f ca="1">IFERROR(__xludf.DUMMYFUNCTION("""COMPUTED_VALUE"""),41403.6666666666)</f>
        <v>41403.666666666599</v>
      </c>
      <c r="B722" s="1">
        <f ca="1">IFERROR(__xludf.DUMMYFUNCTION("""COMPUTED_VALUE"""),4.63)</f>
        <v>4.63</v>
      </c>
    </row>
    <row r="723" spans="1:2">
      <c r="A723" s="3">
        <f ca="1">IFERROR(__xludf.DUMMYFUNCTION("""COMPUTED_VALUE"""),41404.6666666666)</f>
        <v>41404.666666666599</v>
      </c>
      <c r="B723" s="1">
        <f ca="1">IFERROR(__xludf.DUMMYFUNCTION("""COMPUTED_VALUE"""),5.12)</f>
        <v>5.12</v>
      </c>
    </row>
    <row r="724" spans="1:2">
      <c r="A724" s="3">
        <f ca="1">IFERROR(__xludf.DUMMYFUNCTION("""COMPUTED_VALUE"""),41407.6666666666)</f>
        <v>41407.666666666599</v>
      </c>
      <c r="B724" s="1">
        <f ca="1">IFERROR(__xludf.DUMMYFUNCTION("""COMPUTED_VALUE"""),5.85)</f>
        <v>5.85</v>
      </c>
    </row>
    <row r="725" spans="1:2">
      <c r="A725" s="3">
        <f ca="1">IFERROR(__xludf.DUMMYFUNCTION("""COMPUTED_VALUE"""),41408.6666666666)</f>
        <v>41408.666666666599</v>
      </c>
      <c r="B725" s="1">
        <f ca="1">IFERROR(__xludf.DUMMYFUNCTION("""COMPUTED_VALUE"""),5.55)</f>
        <v>5.55</v>
      </c>
    </row>
    <row r="726" spans="1:2">
      <c r="A726" s="3">
        <f ca="1">IFERROR(__xludf.DUMMYFUNCTION("""COMPUTED_VALUE"""),41409.6666666666)</f>
        <v>41409.666666666599</v>
      </c>
      <c r="B726" s="1">
        <f ca="1">IFERROR(__xludf.DUMMYFUNCTION("""COMPUTED_VALUE"""),5.66)</f>
        <v>5.66</v>
      </c>
    </row>
    <row r="727" spans="1:2">
      <c r="A727" s="3">
        <f ca="1">IFERROR(__xludf.DUMMYFUNCTION("""COMPUTED_VALUE"""),41410.6666666666)</f>
        <v>41410.666666666599</v>
      </c>
      <c r="B727" s="1">
        <f ca="1">IFERROR(__xludf.DUMMYFUNCTION("""COMPUTED_VALUE"""),6.15)</f>
        <v>6.15</v>
      </c>
    </row>
    <row r="728" spans="1:2">
      <c r="A728" s="3">
        <f ca="1">IFERROR(__xludf.DUMMYFUNCTION("""COMPUTED_VALUE"""),41411.6666666666)</f>
        <v>41411.666666666599</v>
      </c>
      <c r="B728" s="1">
        <f ca="1">IFERROR(__xludf.DUMMYFUNCTION("""COMPUTED_VALUE"""),6.1)</f>
        <v>6.1</v>
      </c>
    </row>
    <row r="729" spans="1:2">
      <c r="A729" s="3">
        <f ca="1">IFERROR(__xludf.DUMMYFUNCTION("""COMPUTED_VALUE"""),41414.6666666666)</f>
        <v>41414.666666666599</v>
      </c>
      <c r="B729" s="1">
        <f ca="1">IFERROR(__xludf.DUMMYFUNCTION("""COMPUTED_VALUE"""),6)</f>
        <v>6</v>
      </c>
    </row>
    <row r="730" spans="1:2">
      <c r="A730" s="3">
        <f ca="1">IFERROR(__xludf.DUMMYFUNCTION("""COMPUTED_VALUE"""),41415.6666666666)</f>
        <v>41415.666666666599</v>
      </c>
      <c r="B730" s="1">
        <f ca="1">IFERROR(__xludf.DUMMYFUNCTION("""COMPUTED_VALUE"""),5.84)</f>
        <v>5.84</v>
      </c>
    </row>
    <row r="731" spans="1:2">
      <c r="A731" s="3">
        <f ca="1">IFERROR(__xludf.DUMMYFUNCTION("""COMPUTED_VALUE"""),41416.6666666666)</f>
        <v>41416.666666666599</v>
      </c>
      <c r="B731" s="1">
        <f ca="1">IFERROR(__xludf.DUMMYFUNCTION("""COMPUTED_VALUE"""),5.82)</f>
        <v>5.82</v>
      </c>
    </row>
    <row r="732" spans="1:2">
      <c r="A732" s="3">
        <f ca="1">IFERROR(__xludf.DUMMYFUNCTION("""COMPUTED_VALUE"""),41417.6666666666)</f>
        <v>41417.666666666599</v>
      </c>
      <c r="B732" s="1">
        <f ca="1">IFERROR(__xludf.DUMMYFUNCTION("""COMPUTED_VALUE"""),6.18)</f>
        <v>6.18</v>
      </c>
    </row>
    <row r="733" spans="1:2">
      <c r="A733" s="3">
        <f ca="1">IFERROR(__xludf.DUMMYFUNCTION("""COMPUTED_VALUE"""),41418.6666666666)</f>
        <v>41418.666666666599</v>
      </c>
      <c r="B733" s="1">
        <f ca="1">IFERROR(__xludf.DUMMYFUNCTION("""COMPUTED_VALUE"""),6.47)</f>
        <v>6.47</v>
      </c>
    </row>
    <row r="734" spans="1:2">
      <c r="A734" s="3">
        <f ca="1">IFERROR(__xludf.DUMMYFUNCTION("""COMPUTED_VALUE"""),41422.6666666666)</f>
        <v>41422.666666666599</v>
      </c>
      <c r="B734" s="1">
        <f ca="1">IFERROR(__xludf.DUMMYFUNCTION("""COMPUTED_VALUE"""),7.36)</f>
        <v>7.36</v>
      </c>
    </row>
    <row r="735" spans="1:2">
      <c r="A735" s="3">
        <f ca="1">IFERROR(__xludf.DUMMYFUNCTION("""COMPUTED_VALUE"""),41423.6666666666)</f>
        <v>41423.666666666599</v>
      </c>
      <c r="B735" s="1">
        <f ca="1">IFERROR(__xludf.DUMMYFUNCTION("""COMPUTED_VALUE"""),6.98)</f>
        <v>6.98</v>
      </c>
    </row>
    <row r="736" spans="1:2">
      <c r="A736" s="3">
        <f ca="1">IFERROR(__xludf.DUMMYFUNCTION("""COMPUTED_VALUE"""),41424.6666666666)</f>
        <v>41424.666666666599</v>
      </c>
      <c r="B736" s="1">
        <f ca="1">IFERROR(__xludf.DUMMYFUNCTION("""COMPUTED_VALUE"""),7)</f>
        <v>7</v>
      </c>
    </row>
    <row r="737" spans="1:2">
      <c r="A737" s="3">
        <f ca="1">IFERROR(__xludf.DUMMYFUNCTION("""COMPUTED_VALUE"""),41425.6666666666)</f>
        <v>41425.666666666599</v>
      </c>
      <c r="B737" s="1">
        <f ca="1">IFERROR(__xludf.DUMMYFUNCTION("""COMPUTED_VALUE"""),6.52)</f>
        <v>6.52</v>
      </c>
    </row>
    <row r="738" spans="1:2">
      <c r="A738" s="3">
        <f ca="1">IFERROR(__xludf.DUMMYFUNCTION("""COMPUTED_VALUE"""),41428.6666666666)</f>
        <v>41428.666666666599</v>
      </c>
      <c r="B738" s="1">
        <f ca="1">IFERROR(__xludf.DUMMYFUNCTION("""COMPUTED_VALUE"""),6.17)</f>
        <v>6.17</v>
      </c>
    </row>
    <row r="739" spans="1:2">
      <c r="A739" s="3">
        <f ca="1">IFERROR(__xludf.DUMMYFUNCTION("""COMPUTED_VALUE"""),41429.6666666666)</f>
        <v>41429.666666666599</v>
      </c>
      <c r="B739" s="1">
        <f ca="1">IFERROR(__xludf.DUMMYFUNCTION("""COMPUTED_VALUE"""),6.32)</f>
        <v>6.32</v>
      </c>
    </row>
    <row r="740" spans="1:2">
      <c r="A740" s="3">
        <f ca="1">IFERROR(__xludf.DUMMYFUNCTION("""COMPUTED_VALUE"""),41430.6666666666)</f>
        <v>41430.666666666599</v>
      </c>
      <c r="B740" s="1">
        <f ca="1">IFERROR(__xludf.DUMMYFUNCTION("""COMPUTED_VALUE"""),6.36)</f>
        <v>6.36</v>
      </c>
    </row>
    <row r="741" spans="1:2">
      <c r="A741" s="3">
        <f ca="1">IFERROR(__xludf.DUMMYFUNCTION("""COMPUTED_VALUE"""),41431.6666666666)</f>
        <v>41431.666666666599</v>
      </c>
      <c r="B741" s="1">
        <f ca="1">IFERROR(__xludf.DUMMYFUNCTION("""COMPUTED_VALUE"""),6.49)</f>
        <v>6.49</v>
      </c>
    </row>
    <row r="742" spans="1:2">
      <c r="A742" s="3">
        <f ca="1">IFERROR(__xludf.DUMMYFUNCTION("""COMPUTED_VALUE"""),41432.6666666666)</f>
        <v>41432.666666666599</v>
      </c>
      <c r="B742" s="1">
        <f ca="1">IFERROR(__xludf.DUMMYFUNCTION("""COMPUTED_VALUE"""),6.8)</f>
        <v>6.8</v>
      </c>
    </row>
    <row r="743" spans="1:2">
      <c r="A743" s="3">
        <f ca="1">IFERROR(__xludf.DUMMYFUNCTION("""COMPUTED_VALUE"""),41435.6666666666)</f>
        <v>41435.666666666599</v>
      </c>
      <c r="B743" s="1">
        <f ca="1">IFERROR(__xludf.DUMMYFUNCTION("""COMPUTED_VALUE"""),6.67)</f>
        <v>6.67</v>
      </c>
    </row>
    <row r="744" spans="1:2">
      <c r="A744" s="3">
        <f ca="1">IFERROR(__xludf.DUMMYFUNCTION("""COMPUTED_VALUE"""),41436.6666666666)</f>
        <v>41436.666666666599</v>
      </c>
      <c r="B744" s="1">
        <f ca="1">IFERROR(__xludf.DUMMYFUNCTION("""COMPUTED_VALUE"""),6.3)</f>
        <v>6.3</v>
      </c>
    </row>
    <row r="745" spans="1:2">
      <c r="A745" s="3">
        <f ca="1">IFERROR(__xludf.DUMMYFUNCTION("""COMPUTED_VALUE"""),41437.6666666666)</f>
        <v>41437.666666666599</v>
      </c>
      <c r="B745" s="1">
        <f ca="1">IFERROR(__xludf.DUMMYFUNCTION("""COMPUTED_VALUE"""),6.52)</f>
        <v>6.52</v>
      </c>
    </row>
    <row r="746" spans="1:2">
      <c r="A746" s="3">
        <f ca="1">IFERROR(__xludf.DUMMYFUNCTION("""COMPUTED_VALUE"""),41438.6666666666)</f>
        <v>41438.666666666599</v>
      </c>
      <c r="B746" s="1">
        <f ca="1">IFERROR(__xludf.DUMMYFUNCTION("""COMPUTED_VALUE"""),6.55)</f>
        <v>6.55</v>
      </c>
    </row>
    <row r="747" spans="1:2">
      <c r="A747" s="3">
        <f ca="1">IFERROR(__xludf.DUMMYFUNCTION("""COMPUTED_VALUE"""),41439.6666666666)</f>
        <v>41439.666666666599</v>
      </c>
      <c r="B747" s="1">
        <f ca="1">IFERROR(__xludf.DUMMYFUNCTION("""COMPUTED_VALUE"""),6.69)</f>
        <v>6.69</v>
      </c>
    </row>
    <row r="748" spans="1:2">
      <c r="A748" s="3">
        <f ca="1">IFERROR(__xludf.DUMMYFUNCTION("""COMPUTED_VALUE"""),41442.6666666666)</f>
        <v>41442.666666666599</v>
      </c>
      <c r="B748" s="1">
        <f ca="1">IFERROR(__xludf.DUMMYFUNCTION("""COMPUTED_VALUE"""),6.81)</f>
        <v>6.81</v>
      </c>
    </row>
    <row r="749" spans="1:2">
      <c r="A749" s="3">
        <f ca="1">IFERROR(__xludf.DUMMYFUNCTION("""COMPUTED_VALUE"""),41443.6666666666)</f>
        <v>41443.666666666599</v>
      </c>
      <c r="B749" s="1">
        <f ca="1">IFERROR(__xludf.DUMMYFUNCTION("""COMPUTED_VALUE"""),6.89)</f>
        <v>6.89</v>
      </c>
    </row>
    <row r="750" spans="1:2">
      <c r="A750" s="3">
        <f ca="1">IFERROR(__xludf.DUMMYFUNCTION("""COMPUTED_VALUE"""),41444.6666666666)</f>
        <v>41444.666666666599</v>
      </c>
      <c r="B750" s="1">
        <f ca="1">IFERROR(__xludf.DUMMYFUNCTION("""COMPUTED_VALUE"""),6.98)</f>
        <v>6.98</v>
      </c>
    </row>
    <row r="751" spans="1:2">
      <c r="A751" s="3">
        <f ca="1">IFERROR(__xludf.DUMMYFUNCTION("""COMPUTED_VALUE"""),41445.6666666666)</f>
        <v>41445.666666666599</v>
      </c>
      <c r="B751" s="1">
        <f ca="1">IFERROR(__xludf.DUMMYFUNCTION("""COMPUTED_VALUE"""),6.71)</f>
        <v>6.71</v>
      </c>
    </row>
    <row r="752" spans="1:2">
      <c r="A752" s="3">
        <f ca="1">IFERROR(__xludf.DUMMYFUNCTION("""COMPUTED_VALUE"""),41446.6666666666)</f>
        <v>41446.666666666599</v>
      </c>
      <c r="B752" s="1">
        <f ca="1">IFERROR(__xludf.DUMMYFUNCTION("""COMPUTED_VALUE"""),6.64)</f>
        <v>6.64</v>
      </c>
    </row>
    <row r="753" spans="1:2">
      <c r="A753" s="3">
        <f ca="1">IFERROR(__xludf.DUMMYFUNCTION("""COMPUTED_VALUE"""),41449.6666666666)</f>
        <v>41449.666666666599</v>
      </c>
      <c r="B753" s="1">
        <f ca="1">IFERROR(__xludf.DUMMYFUNCTION("""COMPUTED_VALUE"""),6.77)</f>
        <v>6.77</v>
      </c>
    </row>
    <row r="754" spans="1:2">
      <c r="A754" s="3">
        <f ca="1">IFERROR(__xludf.DUMMYFUNCTION("""COMPUTED_VALUE"""),41450.6666666666)</f>
        <v>41450.666666666599</v>
      </c>
      <c r="B754" s="1">
        <f ca="1">IFERROR(__xludf.DUMMYFUNCTION("""COMPUTED_VALUE"""),6.83)</f>
        <v>6.83</v>
      </c>
    </row>
    <row r="755" spans="1:2">
      <c r="A755" s="3">
        <f ca="1">IFERROR(__xludf.DUMMYFUNCTION("""COMPUTED_VALUE"""),41451.6666666666)</f>
        <v>41451.666666666599</v>
      </c>
      <c r="B755" s="1">
        <f ca="1">IFERROR(__xludf.DUMMYFUNCTION("""COMPUTED_VALUE"""),7.05)</f>
        <v>7.05</v>
      </c>
    </row>
    <row r="756" spans="1:2">
      <c r="A756" s="3">
        <f ca="1">IFERROR(__xludf.DUMMYFUNCTION("""COMPUTED_VALUE"""),41452.6666666666)</f>
        <v>41452.666666666599</v>
      </c>
      <c r="B756" s="1">
        <f ca="1">IFERROR(__xludf.DUMMYFUNCTION("""COMPUTED_VALUE"""),7.28)</f>
        <v>7.28</v>
      </c>
    </row>
    <row r="757" spans="1:2">
      <c r="A757" s="3">
        <f ca="1">IFERROR(__xludf.DUMMYFUNCTION("""COMPUTED_VALUE"""),41453.6666666666)</f>
        <v>41453.666666666599</v>
      </c>
      <c r="B757" s="1">
        <f ca="1">IFERROR(__xludf.DUMMYFUNCTION("""COMPUTED_VALUE"""),7.16)</f>
        <v>7.16</v>
      </c>
    </row>
    <row r="758" spans="1:2">
      <c r="A758" s="3">
        <f ca="1">IFERROR(__xludf.DUMMYFUNCTION("""COMPUTED_VALUE"""),41456.6666666666)</f>
        <v>41456.666666666599</v>
      </c>
      <c r="B758" s="1">
        <f ca="1">IFERROR(__xludf.DUMMYFUNCTION("""COMPUTED_VALUE"""),7.81)</f>
        <v>7.81</v>
      </c>
    </row>
    <row r="759" spans="1:2">
      <c r="A759" s="3">
        <f ca="1">IFERROR(__xludf.DUMMYFUNCTION("""COMPUTED_VALUE"""),41457.6666666666)</f>
        <v>41457.666666666599</v>
      </c>
      <c r="B759" s="1">
        <f ca="1">IFERROR(__xludf.DUMMYFUNCTION("""COMPUTED_VALUE"""),7.85)</f>
        <v>7.85</v>
      </c>
    </row>
    <row r="760" spans="1:2">
      <c r="A760" s="3">
        <f ca="1">IFERROR(__xludf.DUMMYFUNCTION("""COMPUTED_VALUE"""),41458.6666666666)</f>
        <v>41458.666666666599</v>
      </c>
      <c r="B760" s="1">
        <f ca="1">IFERROR(__xludf.DUMMYFUNCTION("""COMPUTED_VALUE"""),7.68)</f>
        <v>7.68</v>
      </c>
    </row>
    <row r="761" spans="1:2">
      <c r="A761" s="3">
        <f ca="1">IFERROR(__xludf.DUMMYFUNCTION("""COMPUTED_VALUE"""),41460.6666666666)</f>
        <v>41460.666666666599</v>
      </c>
      <c r="B761" s="1">
        <f ca="1">IFERROR(__xludf.DUMMYFUNCTION("""COMPUTED_VALUE"""),8.01)</f>
        <v>8.01</v>
      </c>
    </row>
    <row r="762" spans="1:2">
      <c r="A762" s="3">
        <f ca="1">IFERROR(__xludf.DUMMYFUNCTION("""COMPUTED_VALUE"""),41463.6666666666)</f>
        <v>41463.666666666599</v>
      </c>
      <c r="B762" s="1">
        <f ca="1">IFERROR(__xludf.DUMMYFUNCTION("""COMPUTED_VALUE"""),8.11)</f>
        <v>8.11</v>
      </c>
    </row>
    <row r="763" spans="1:2">
      <c r="A763" s="3">
        <f ca="1">IFERROR(__xludf.DUMMYFUNCTION("""COMPUTED_VALUE"""),41464.6666666666)</f>
        <v>41464.666666666599</v>
      </c>
      <c r="B763" s="1">
        <f ca="1">IFERROR(__xludf.DUMMYFUNCTION("""COMPUTED_VALUE"""),8.23)</f>
        <v>8.23</v>
      </c>
    </row>
    <row r="764" spans="1:2">
      <c r="A764" s="3">
        <f ca="1">IFERROR(__xludf.DUMMYFUNCTION("""COMPUTED_VALUE"""),41465.6666666666)</f>
        <v>41465.666666666599</v>
      </c>
      <c r="B764" s="1">
        <f ca="1">IFERROR(__xludf.DUMMYFUNCTION("""COMPUTED_VALUE"""),8.15)</f>
        <v>8.15</v>
      </c>
    </row>
    <row r="765" spans="1:2">
      <c r="A765" s="3">
        <f ca="1">IFERROR(__xludf.DUMMYFUNCTION("""COMPUTED_VALUE"""),41466.6666666666)</f>
        <v>41466.666666666599</v>
      </c>
      <c r="B765" s="1">
        <f ca="1">IFERROR(__xludf.DUMMYFUNCTION("""COMPUTED_VALUE"""),8.37)</f>
        <v>8.3699999999999992</v>
      </c>
    </row>
    <row r="766" spans="1:2">
      <c r="A766" s="3">
        <f ca="1">IFERROR(__xludf.DUMMYFUNCTION("""COMPUTED_VALUE"""),41467.6666666666)</f>
        <v>41467.666666666599</v>
      </c>
      <c r="B766" s="1">
        <f ca="1">IFERROR(__xludf.DUMMYFUNCTION("""COMPUTED_VALUE"""),8.66)</f>
        <v>8.66</v>
      </c>
    </row>
    <row r="767" spans="1:2">
      <c r="A767" s="3">
        <f ca="1">IFERROR(__xludf.DUMMYFUNCTION("""COMPUTED_VALUE"""),41470.6666666666)</f>
        <v>41470.666666666599</v>
      </c>
      <c r="B767" s="1">
        <f ca="1">IFERROR(__xludf.DUMMYFUNCTION("""COMPUTED_VALUE"""),8.48)</f>
        <v>8.48</v>
      </c>
    </row>
    <row r="768" spans="1:2">
      <c r="A768" s="3">
        <f ca="1">IFERROR(__xludf.DUMMYFUNCTION("""COMPUTED_VALUE"""),41471.6666666666)</f>
        <v>41471.666666666599</v>
      </c>
      <c r="B768" s="1">
        <f ca="1">IFERROR(__xludf.DUMMYFUNCTION("""COMPUTED_VALUE"""),7.27)</f>
        <v>7.27</v>
      </c>
    </row>
    <row r="769" spans="1:2">
      <c r="A769" s="3">
        <f ca="1">IFERROR(__xludf.DUMMYFUNCTION("""COMPUTED_VALUE"""),41472.6666666666)</f>
        <v>41472.666666666599</v>
      </c>
      <c r="B769" s="1">
        <f ca="1">IFERROR(__xludf.DUMMYFUNCTION("""COMPUTED_VALUE"""),8.02)</f>
        <v>8.02</v>
      </c>
    </row>
    <row r="770" spans="1:2">
      <c r="A770" s="3">
        <f ca="1">IFERROR(__xludf.DUMMYFUNCTION("""COMPUTED_VALUE"""),41473.6666666666)</f>
        <v>41473.666666666599</v>
      </c>
      <c r="B770" s="1">
        <f ca="1">IFERROR(__xludf.DUMMYFUNCTION("""COMPUTED_VALUE"""),7.94)</f>
        <v>7.94</v>
      </c>
    </row>
    <row r="771" spans="1:2">
      <c r="A771" s="3">
        <f ca="1">IFERROR(__xludf.DUMMYFUNCTION("""COMPUTED_VALUE"""),41474.6666666666)</f>
        <v>41474.666666666599</v>
      </c>
      <c r="B771" s="1">
        <f ca="1">IFERROR(__xludf.DUMMYFUNCTION("""COMPUTED_VALUE"""),7.98)</f>
        <v>7.98</v>
      </c>
    </row>
    <row r="772" spans="1:2">
      <c r="A772" s="3">
        <f ca="1">IFERROR(__xludf.DUMMYFUNCTION("""COMPUTED_VALUE"""),41477.6666666666)</f>
        <v>41477.666666666599</v>
      </c>
      <c r="B772" s="1">
        <f ca="1">IFERROR(__xludf.DUMMYFUNCTION("""COMPUTED_VALUE"""),8.16)</f>
        <v>8.16</v>
      </c>
    </row>
    <row r="773" spans="1:2">
      <c r="A773" s="3">
        <f ca="1">IFERROR(__xludf.DUMMYFUNCTION("""COMPUTED_VALUE"""),41478.6666666666)</f>
        <v>41478.666666666599</v>
      </c>
      <c r="B773" s="1">
        <f ca="1">IFERROR(__xludf.DUMMYFUNCTION("""COMPUTED_VALUE"""),8.18)</f>
        <v>8.18</v>
      </c>
    </row>
    <row r="774" spans="1:2">
      <c r="A774" s="3">
        <f ca="1">IFERROR(__xludf.DUMMYFUNCTION("""COMPUTED_VALUE"""),41479.6666666666)</f>
        <v>41479.666666666599</v>
      </c>
      <c r="B774" s="1">
        <f ca="1">IFERROR(__xludf.DUMMYFUNCTION("""COMPUTED_VALUE"""),8.11)</f>
        <v>8.11</v>
      </c>
    </row>
    <row r="775" spans="1:2">
      <c r="A775" s="3">
        <f ca="1">IFERROR(__xludf.DUMMYFUNCTION("""COMPUTED_VALUE"""),41480.6666666666)</f>
        <v>41480.666666666599</v>
      </c>
      <c r="B775" s="1">
        <f ca="1">IFERROR(__xludf.DUMMYFUNCTION("""COMPUTED_VALUE"""),8.27)</f>
        <v>8.27</v>
      </c>
    </row>
    <row r="776" spans="1:2">
      <c r="A776" s="3">
        <f ca="1">IFERROR(__xludf.DUMMYFUNCTION("""COMPUTED_VALUE"""),41481.6666666666)</f>
        <v>41481.666666666599</v>
      </c>
      <c r="B776" s="1">
        <f ca="1">IFERROR(__xludf.DUMMYFUNCTION("""COMPUTED_VALUE"""),8.63)</f>
        <v>8.6300000000000008</v>
      </c>
    </row>
    <row r="777" spans="1:2">
      <c r="A777" s="3">
        <f ca="1">IFERROR(__xludf.DUMMYFUNCTION("""COMPUTED_VALUE"""),41484.6666666666)</f>
        <v>41484.666666666599</v>
      </c>
      <c r="B777" s="1">
        <f ca="1">IFERROR(__xludf.DUMMYFUNCTION("""COMPUTED_VALUE"""),8.97)</f>
        <v>8.9700000000000006</v>
      </c>
    </row>
    <row r="778" spans="1:2">
      <c r="A778" s="3">
        <f ca="1">IFERROR(__xludf.DUMMYFUNCTION("""COMPUTED_VALUE"""),41485.6666666666)</f>
        <v>41485.666666666599</v>
      </c>
      <c r="B778" s="1">
        <f ca="1">IFERROR(__xludf.DUMMYFUNCTION("""COMPUTED_VALUE"""),8.78)</f>
        <v>8.7799999999999994</v>
      </c>
    </row>
    <row r="779" spans="1:2">
      <c r="A779" s="3">
        <f ca="1">IFERROR(__xludf.DUMMYFUNCTION("""COMPUTED_VALUE"""),41486.6666666666)</f>
        <v>41486.666666666599</v>
      </c>
      <c r="B779" s="1">
        <f ca="1">IFERROR(__xludf.DUMMYFUNCTION("""COMPUTED_VALUE"""),8.95)</f>
        <v>8.9499999999999993</v>
      </c>
    </row>
    <row r="780" spans="1:2">
      <c r="A780" s="3">
        <f ca="1">IFERROR(__xludf.DUMMYFUNCTION("""COMPUTED_VALUE"""),41487.6666666666)</f>
        <v>41487.666666666599</v>
      </c>
      <c r="B780" s="1">
        <f ca="1">IFERROR(__xludf.DUMMYFUNCTION("""COMPUTED_VALUE"""),9.04)</f>
        <v>9.0399999999999991</v>
      </c>
    </row>
    <row r="781" spans="1:2">
      <c r="A781" s="3">
        <f ca="1">IFERROR(__xludf.DUMMYFUNCTION("""COMPUTED_VALUE"""),41488.6666666666)</f>
        <v>41488.666666666599</v>
      </c>
      <c r="B781" s="1">
        <f ca="1">IFERROR(__xludf.DUMMYFUNCTION("""COMPUTED_VALUE"""),9.2)</f>
        <v>9.1999999999999993</v>
      </c>
    </row>
    <row r="782" spans="1:2">
      <c r="A782" s="3">
        <f ca="1">IFERROR(__xludf.DUMMYFUNCTION("""COMPUTED_VALUE"""),41491.6666666666)</f>
        <v>41491.666666666599</v>
      </c>
      <c r="B782" s="1">
        <f ca="1">IFERROR(__xludf.DUMMYFUNCTION("""COMPUTED_VALUE"""),9.65)</f>
        <v>9.65</v>
      </c>
    </row>
    <row r="783" spans="1:2">
      <c r="A783" s="3">
        <f ca="1">IFERROR(__xludf.DUMMYFUNCTION("""COMPUTED_VALUE"""),41492.6666666666)</f>
        <v>41492.666666666599</v>
      </c>
      <c r="B783" s="1">
        <f ca="1">IFERROR(__xludf.DUMMYFUNCTION("""COMPUTED_VALUE"""),9.48)</f>
        <v>9.48</v>
      </c>
    </row>
    <row r="784" spans="1:2">
      <c r="A784" s="3">
        <f ca="1">IFERROR(__xludf.DUMMYFUNCTION("""COMPUTED_VALUE"""),41493.6666666666)</f>
        <v>41493.666666666599</v>
      </c>
      <c r="B784" s="1">
        <f ca="1">IFERROR(__xludf.DUMMYFUNCTION("""COMPUTED_VALUE"""),8.95)</f>
        <v>8.9499999999999993</v>
      </c>
    </row>
    <row r="785" spans="1:2">
      <c r="A785" s="3">
        <f ca="1">IFERROR(__xludf.DUMMYFUNCTION("""COMPUTED_VALUE"""),41494.6666666666)</f>
        <v>41494.666666666599</v>
      </c>
      <c r="B785" s="1">
        <f ca="1">IFERROR(__xludf.DUMMYFUNCTION("""COMPUTED_VALUE"""),10.23)</f>
        <v>10.23</v>
      </c>
    </row>
    <row r="786" spans="1:2">
      <c r="A786" s="3">
        <f ca="1">IFERROR(__xludf.DUMMYFUNCTION("""COMPUTED_VALUE"""),41495.6666666666)</f>
        <v>41495.666666666599</v>
      </c>
      <c r="B786" s="1">
        <f ca="1">IFERROR(__xludf.DUMMYFUNCTION("""COMPUTED_VALUE"""),10.2)</f>
        <v>10.199999999999999</v>
      </c>
    </row>
    <row r="787" spans="1:2">
      <c r="A787" s="3">
        <f ca="1">IFERROR(__xludf.DUMMYFUNCTION("""COMPUTED_VALUE"""),41498.6666666666)</f>
        <v>41498.666666666599</v>
      </c>
      <c r="B787" s="1">
        <f ca="1">IFERROR(__xludf.DUMMYFUNCTION("""COMPUTED_VALUE"""),9.83)</f>
        <v>9.83</v>
      </c>
    </row>
    <row r="788" spans="1:2">
      <c r="A788" s="3">
        <f ca="1">IFERROR(__xludf.DUMMYFUNCTION("""COMPUTED_VALUE"""),41499.6666666666)</f>
        <v>41499.666666666599</v>
      </c>
      <c r="B788" s="1">
        <f ca="1">IFERROR(__xludf.DUMMYFUNCTION("""COMPUTED_VALUE"""),9.7)</f>
        <v>9.6999999999999993</v>
      </c>
    </row>
    <row r="789" spans="1:2">
      <c r="A789" s="3">
        <f ca="1">IFERROR(__xludf.DUMMYFUNCTION("""COMPUTED_VALUE"""),41500.6666666666)</f>
        <v>41500.666666666599</v>
      </c>
      <c r="B789" s="1">
        <f ca="1">IFERROR(__xludf.DUMMYFUNCTION("""COMPUTED_VALUE"""),9.29)</f>
        <v>9.2899999999999991</v>
      </c>
    </row>
    <row r="790" spans="1:2">
      <c r="A790" s="3">
        <f ca="1">IFERROR(__xludf.DUMMYFUNCTION("""COMPUTED_VALUE"""),41501.6666666666)</f>
        <v>41501.666666666599</v>
      </c>
      <c r="B790" s="1">
        <f ca="1">IFERROR(__xludf.DUMMYFUNCTION("""COMPUTED_VALUE"""),9.31)</f>
        <v>9.31</v>
      </c>
    </row>
    <row r="791" spans="1:2">
      <c r="A791" s="3">
        <f ca="1">IFERROR(__xludf.DUMMYFUNCTION("""COMPUTED_VALUE"""),41502.6666666666)</f>
        <v>41502.666666666599</v>
      </c>
      <c r="B791" s="1">
        <f ca="1">IFERROR(__xludf.DUMMYFUNCTION("""COMPUTED_VALUE"""),9.47)</f>
        <v>9.4700000000000006</v>
      </c>
    </row>
    <row r="792" spans="1:2">
      <c r="A792" s="3">
        <f ca="1">IFERROR(__xludf.DUMMYFUNCTION("""COMPUTED_VALUE"""),41505.6666666666)</f>
        <v>41505.666666666599</v>
      </c>
      <c r="B792" s="1">
        <f ca="1">IFERROR(__xludf.DUMMYFUNCTION("""COMPUTED_VALUE"""),9.66)</f>
        <v>9.66</v>
      </c>
    </row>
    <row r="793" spans="1:2">
      <c r="A793" s="3">
        <f ca="1">IFERROR(__xludf.DUMMYFUNCTION("""COMPUTED_VALUE"""),41506.6666666666)</f>
        <v>41506.666666666599</v>
      </c>
      <c r="B793" s="1">
        <f ca="1">IFERROR(__xludf.DUMMYFUNCTION("""COMPUTED_VALUE"""),9.97)</f>
        <v>9.9700000000000006</v>
      </c>
    </row>
    <row r="794" spans="1:2">
      <c r="A794" s="3">
        <f ca="1">IFERROR(__xludf.DUMMYFUNCTION("""COMPUTED_VALUE"""),41507.6666666666)</f>
        <v>41507.666666666599</v>
      </c>
      <c r="B794" s="1">
        <f ca="1">IFERROR(__xludf.DUMMYFUNCTION("""COMPUTED_VALUE"""),9.86)</f>
        <v>9.86</v>
      </c>
    </row>
    <row r="795" spans="1:2">
      <c r="A795" s="3">
        <f ca="1">IFERROR(__xludf.DUMMYFUNCTION("""COMPUTED_VALUE"""),41508.6666666666)</f>
        <v>41508.666666666599</v>
      </c>
      <c r="B795" s="1">
        <f ca="1">IFERROR(__xludf.DUMMYFUNCTION("""COMPUTED_VALUE"""),10.47)</f>
        <v>10.47</v>
      </c>
    </row>
    <row r="796" spans="1:2">
      <c r="A796" s="3">
        <f ca="1">IFERROR(__xludf.DUMMYFUNCTION("""COMPUTED_VALUE"""),41509.6666666666)</f>
        <v>41509.666666666599</v>
      </c>
      <c r="B796" s="1">
        <f ca="1">IFERROR(__xludf.DUMMYFUNCTION("""COMPUTED_VALUE"""),10.79)</f>
        <v>10.79</v>
      </c>
    </row>
    <row r="797" spans="1:2">
      <c r="A797" s="3">
        <f ca="1">IFERROR(__xludf.DUMMYFUNCTION("""COMPUTED_VALUE"""),41512.6666666666)</f>
        <v>41512.666666666599</v>
      </c>
      <c r="B797" s="1">
        <f ca="1">IFERROR(__xludf.DUMMYFUNCTION("""COMPUTED_VALUE"""),10.95)</f>
        <v>10.95</v>
      </c>
    </row>
    <row r="798" spans="1:2">
      <c r="A798" s="3">
        <f ca="1">IFERROR(__xludf.DUMMYFUNCTION("""COMPUTED_VALUE"""),41513.6666666666)</f>
        <v>41513.666666666599</v>
      </c>
      <c r="B798" s="1">
        <f ca="1">IFERROR(__xludf.DUMMYFUNCTION("""COMPUTED_VALUE"""),11.13)</f>
        <v>11.13</v>
      </c>
    </row>
    <row r="799" spans="1:2">
      <c r="A799" s="3">
        <f ca="1">IFERROR(__xludf.DUMMYFUNCTION("""COMPUTED_VALUE"""),41514.6666666666)</f>
        <v>41514.666666666599</v>
      </c>
      <c r="B799" s="1">
        <f ca="1">IFERROR(__xludf.DUMMYFUNCTION("""COMPUTED_VALUE"""),11.1)</f>
        <v>11.1</v>
      </c>
    </row>
    <row r="800" spans="1:2">
      <c r="A800" s="3">
        <f ca="1">IFERROR(__xludf.DUMMYFUNCTION("""COMPUTED_VALUE"""),41515.6666666666)</f>
        <v>41515.666666666599</v>
      </c>
      <c r="B800" s="1">
        <f ca="1">IFERROR(__xludf.DUMMYFUNCTION("""COMPUTED_VALUE"""),11.07)</f>
        <v>11.07</v>
      </c>
    </row>
    <row r="801" spans="1:2">
      <c r="A801" s="3">
        <f ca="1">IFERROR(__xludf.DUMMYFUNCTION("""COMPUTED_VALUE"""),41516.6666666666)</f>
        <v>41516.666666666599</v>
      </c>
      <c r="B801" s="1">
        <f ca="1">IFERROR(__xludf.DUMMYFUNCTION("""COMPUTED_VALUE"""),11.27)</f>
        <v>11.27</v>
      </c>
    </row>
    <row r="802" spans="1:2">
      <c r="A802" s="3">
        <f ca="1">IFERROR(__xludf.DUMMYFUNCTION("""COMPUTED_VALUE"""),41520.6666666666)</f>
        <v>41520.666666666599</v>
      </c>
      <c r="B802" s="1">
        <f ca="1">IFERROR(__xludf.DUMMYFUNCTION("""COMPUTED_VALUE"""),11.26)</f>
        <v>11.26</v>
      </c>
    </row>
    <row r="803" spans="1:2">
      <c r="A803" s="3">
        <f ca="1">IFERROR(__xludf.DUMMYFUNCTION("""COMPUTED_VALUE"""),41521.6666666666)</f>
        <v>41521.666666666599</v>
      </c>
      <c r="B803" s="1">
        <f ca="1">IFERROR(__xludf.DUMMYFUNCTION("""COMPUTED_VALUE"""),11.37)</f>
        <v>11.37</v>
      </c>
    </row>
    <row r="804" spans="1:2">
      <c r="A804" s="3">
        <f ca="1">IFERROR(__xludf.DUMMYFUNCTION("""COMPUTED_VALUE"""),41522.6666666666)</f>
        <v>41522.666666666599</v>
      </c>
      <c r="B804" s="1">
        <f ca="1">IFERROR(__xludf.DUMMYFUNCTION("""COMPUTED_VALUE"""),11.33)</f>
        <v>11.33</v>
      </c>
    </row>
    <row r="805" spans="1:2">
      <c r="A805" s="3">
        <f ca="1">IFERROR(__xludf.DUMMYFUNCTION("""COMPUTED_VALUE"""),41523.6666666666)</f>
        <v>41523.666666666599</v>
      </c>
      <c r="B805" s="1">
        <f ca="1">IFERROR(__xludf.DUMMYFUNCTION("""COMPUTED_VALUE"""),11.13)</f>
        <v>11.13</v>
      </c>
    </row>
    <row r="806" spans="1:2">
      <c r="A806" s="3">
        <f ca="1">IFERROR(__xludf.DUMMYFUNCTION("""COMPUTED_VALUE"""),41526.6666666666)</f>
        <v>41526.666666666599</v>
      </c>
      <c r="B806" s="1">
        <f ca="1">IFERROR(__xludf.DUMMYFUNCTION("""COMPUTED_VALUE"""),10.71)</f>
        <v>10.71</v>
      </c>
    </row>
    <row r="807" spans="1:2">
      <c r="A807" s="3">
        <f ca="1">IFERROR(__xludf.DUMMYFUNCTION("""COMPUTED_VALUE"""),41527.6666666666)</f>
        <v>41527.666666666599</v>
      </c>
      <c r="B807" s="1">
        <f ca="1">IFERROR(__xludf.DUMMYFUNCTION("""COMPUTED_VALUE"""),11.09)</f>
        <v>11.09</v>
      </c>
    </row>
    <row r="808" spans="1:2">
      <c r="A808" s="3">
        <f ca="1">IFERROR(__xludf.DUMMYFUNCTION("""COMPUTED_VALUE"""),41528.6666666666)</f>
        <v>41528.666666666599</v>
      </c>
      <c r="B808" s="1">
        <f ca="1">IFERROR(__xludf.DUMMYFUNCTION("""COMPUTED_VALUE"""),10.9)</f>
        <v>10.9</v>
      </c>
    </row>
    <row r="809" spans="1:2">
      <c r="A809" s="3">
        <f ca="1">IFERROR(__xludf.DUMMYFUNCTION("""COMPUTED_VALUE"""),41529.6666666666)</f>
        <v>41529.666666666599</v>
      </c>
      <c r="B809" s="1">
        <f ca="1">IFERROR(__xludf.DUMMYFUNCTION("""COMPUTED_VALUE"""),11)</f>
        <v>11</v>
      </c>
    </row>
    <row r="810" spans="1:2">
      <c r="A810" s="3">
        <f ca="1">IFERROR(__xludf.DUMMYFUNCTION("""COMPUTED_VALUE"""),41530.6666666666)</f>
        <v>41530.666666666599</v>
      </c>
      <c r="B810" s="1">
        <f ca="1">IFERROR(__xludf.DUMMYFUNCTION("""COMPUTED_VALUE"""),11.04)</f>
        <v>11.04</v>
      </c>
    </row>
    <row r="811" spans="1:2">
      <c r="A811" s="3">
        <f ca="1">IFERROR(__xludf.DUMMYFUNCTION("""COMPUTED_VALUE"""),41533.6666666666)</f>
        <v>41533.666666666599</v>
      </c>
      <c r="B811" s="1">
        <f ca="1">IFERROR(__xludf.DUMMYFUNCTION("""COMPUTED_VALUE"""),11.11)</f>
        <v>11.11</v>
      </c>
    </row>
    <row r="812" spans="1:2">
      <c r="A812" s="3">
        <f ca="1">IFERROR(__xludf.DUMMYFUNCTION("""COMPUTED_VALUE"""),41534.6666666666)</f>
        <v>41534.666666666599</v>
      </c>
      <c r="B812" s="1">
        <f ca="1">IFERROR(__xludf.DUMMYFUNCTION("""COMPUTED_VALUE"""),11.08)</f>
        <v>11.08</v>
      </c>
    </row>
    <row r="813" spans="1:2">
      <c r="A813" s="3">
        <f ca="1">IFERROR(__xludf.DUMMYFUNCTION("""COMPUTED_VALUE"""),41535.6666666666)</f>
        <v>41535.666666666599</v>
      </c>
      <c r="B813" s="1">
        <f ca="1">IFERROR(__xludf.DUMMYFUNCTION("""COMPUTED_VALUE"""),11.08)</f>
        <v>11.08</v>
      </c>
    </row>
    <row r="814" spans="1:2">
      <c r="A814" s="3">
        <f ca="1">IFERROR(__xludf.DUMMYFUNCTION("""COMPUTED_VALUE"""),41536.6666666666)</f>
        <v>41536.666666666599</v>
      </c>
      <c r="B814" s="1">
        <f ca="1">IFERROR(__xludf.DUMMYFUNCTION("""COMPUTED_VALUE"""),11.86)</f>
        <v>11.86</v>
      </c>
    </row>
    <row r="815" spans="1:2">
      <c r="A815" s="3">
        <f ca="1">IFERROR(__xludf.DUMMYFUNCTION("""COMPUTED_VALUE"""),41537.6666666666)</f>
        <v>41537.666666666599</v>
      </c>
      <c r="B815" s="1">
        <f ca="1">IFERROR(__xludf.DUMMYFUNCTION("""COMPUTED_VALUE"""),12.23)</f>
        <v>12.23</v>
      </c>
    </row>
    <row r="816" spans="1:2">
      <c r="A816" s="3">
        <f ca="1">IFERROR(__xludf.DUMMYFUNCTION("""COMPUTED_VALUE"""),41540.6666666666)</f>
        <v>41540.666666666599</v>
      </c>
      <c r="B816" s="1">
        <f ca="1">IFERROR(__xludf.DUMMYFUNCTION("""COMPUTED_VALUE"""),12.07)</f>
        <v>12.07</v>
      </c>
    </row>
    <row r="817" spans="1:2">
      <c r="A817" s="3">
        <f ca="1">IFERROR(__xludf.DUMMYFUNCTION("""COMPUTED_VALUE"""),41541.6666666666)</f>
        <v>41541.666666666599</v>
      </c>
      <c r="B817" s="1">
        <f ca="1">IFERROR(__xludf.DUMMYFUNCTION("""COMPUTED_VALUE"""),12.16)</f>
        <v>12.16</v>
      </c>
    </row>
    <row r="818" spans="1:2">
      <c r="A818" s="3">
        <f ca="1">IFERROR(__xludf.DUMMYFUNCTION("""COMPUTED_VALUE"""),41542.6666666666)</f>
        <v>41542.666666666599</v>
      </c>
      <c r="B818" s="1">
        <f ca="1">IFERROR(__xludf.DUMMYFUNCTION("""COMPUTED_VALUE"""),12.35)</f>
        <v>12.35</v>
      </c>
    </row>
    <row r="819" spans="1:2">
      <c r="A819" s="3">
        <f ca="1">IFERROR(__xludf.DUMMYFUNCTION("""COMPUTED_VALUE"""),41543.6666666666)</f>
        <v>41543.666666666599</v>
      </c>
      <c r="B819" s="1">
        <f ca="1">IFERROR(__xludf.DUMMYFUNCTION("""COMPUTED_VALUE"""),12.58)</f>
        <v>12.58</v>
      </c>
    </row>
    <row r="820" spans="1:2">
      <c r="A820" s="3">
        <f ca="1">IFERROR(__xludf.DUMMYFUNCTION("""COMPUTED_VALUE"""),41544.6666666666)</f>
        <v>41544.666666666599</v>
      </c>
      <c r="B820" s="1">
        <f ca="1">IFERROR(__xludf.DUMMYFUNCTION("""COMPUTED_VALUE"""),12.73)</f>
        <v>12.73</v>
      </c>
    </row>
    <row r="821" spans="1:2">
      <c r="A821" s="3">
        <f ca="1">IFERROR(__xludf.DUMMYFUNCTION("""COMPUTED_VALUE"""),41547.6666666666)</f>
        <v>41547.666666666599</v>
      </c>
      <c r="B821" s="1">
        <f ca="1">IFERROR(__xludf.DUMMYFUNCTION("""COMPUTED_VALUE"""),12.89)</f>
        <v>12.89</v>
      </c>
    </row>
    <row r="822" spans="1:2">
      <c r="A822" s="3">
        <f ca="1">IFERROR(__xludf.DUMMYFUNCTION("""COMPUTED_VALUE"""),41548.6666666666)</f>
        <v>41548.666666666599</v>
      </c>
      <c r="B822" s="1">
        <f ca="1">IFERROR(__xludf.DUMMYFUNCTION("""COMPUTED_VALUE"""),12.87)</f>
        <v>12.87</v>
      </c>
    </row>
    <row r="823" spans="1:2">
      <c r="A823" s="3">
        <f ca="1">IFERROR(__xludf.DUMMYFUNCTION("""COMPUTED_VALUE"""),41549.6666666666)</f>
        <v>41549.666666666599</v>
      </c>
      <c r="B823" s="1">
        <f ca="1">IFERROR(__xludf.DUMMYFUNCTION("""COMPUTED_VALUE"""),12.06)</f>
        <v>12.06</v>
      </c>
    </row>
    <row r="824" spans="1:2">
      <c r="A824" s="3">
        <f ca="1">IFERROR(__xludf.DUMMYFUNCTION("""COMPUTED_VALUE"""),41550.6666666666)</f>
        <v>41550.666666666599</v>
      </c>
      <c r="B824" s="1">
        <f ca="1">IFERROR(__xludf.DUMMYFUNCTION("""COMPUTED_VALUE"""),11.55)</f>
        <v>11.55</v>
      </c>
    </row>
    <row r="825" spans="1:2">
      <c r="A825" s="3">
        <f ca="1">IFERROR(__xludf.DUMMYFUNCTION("""COMPUTED_VALUE"""),41551.6666666666)</f>
        <v>41551.666666666599</v>
      </c>
      <c r="B825" s="1">
        <f ca="1">IFERROR(__xludf.DUMMYFUNCTION("""COMPUTED_VALUE"""),12.07)</f>
        <v>12.07</v>
      </c>
    </row>
    <row r="826" spans="1:2">
      <c r="A826" s="3">
        <f ca="1">IFERROR(__xludf.DUMMYFUNCTION("""COMPUTED_VALUE"""),41554.6666666666)</f>
        <v>41554.666666666599</v>
      </c>
      <c r="B826" s="1">
        <f ca="1">IFERROR(__xludf.DUMMYFUNCTION("""COMPUTED_VALUE"""),12.2)</f>
        <v>12.2</v>
      </c>
    </row>
    <row r="827" spans="1:2">
      <c r="A827" s="3">
        <f ca="1">IFERROR(__xludf.DUMMYFUNCTION("""COMPUTED_VALUE"""),41555.6666666666)</f>
        <v>41555.666666666599</v>
      </c>
      <c r="B827" s="1">
        <f ca="1">IFERROR(__xludf.DUMMYFUNCTION("""COMPUTED_VALUE"""),11.65)</f>
        <v>11.65</v>
      </c>
    </row>
    <row r="828" spans="1:2">
      <c r="A828" s="3">
        <f ca="1">IFERROR(__xludf.DUMMYFUNCTION("""COMPUTED_VALUE"""),41556.6666666666)</f>
        <v>41556.666666666599</v>
      </c>
      <c r="B828" s="1">
        <f ca="1">IFERROR(__xludf.DUMMYFUNCTION("""COMPUTED_VALUE"""),11.25)</f>
        <v>11.25</v>
      </c>
    </row>
    <row r="829" spans="1:2">
      <c r="A829" s="3">
        <f ca="1">IFERROR(__xludf.DUMMYFUNCTION("""COMPUTED_VALUE"""),41557.6666666666)</f>
        <v>41557.666666666599</v>
      </c>
      <c r="B829" s="1">
        <f ca="1">IFERROR(__xludf.DUMMYFUNCTION("""COMPUTED_VALUE"""),11.53)</f>
        <v>11.53</v>
      </c>
    </row>
    <row r="830" spans="1:2">
      <c r="A830" s="3">
        <f ca="1">IFERROR(__xludf.DUMMYFUNCTION("""COMPUTED_VALUE"""),41558.6666666666)</f>
        <v>41558.666666666599</v>
      </c>
      <c r="B830" s="1">
        <f ca="1">IFERROR(__xludf.DUMMYFUNCTION("""COMPUTED_VALUE"""),11.91)</f>
        <v>11.91</v>
      </c>
    </row>
    <row r="831" spans="1:2">
      <c r="A831" s="3">
        <f ca="1">IFERROR(__xludf.DUMMYFUNCTION("""COMPUTED_VALUE"""),41561.6666666666)</f>
        <v>41561.666666666599</v>
      </c>
      <c r="B831" s="1">
        <f ca="1">IFERROR(__xludf.DUMMYFUNCTION("""COMPUTED_VALUE"""),11.98)</f>
        <v>11.98</v>
      </c>
    </row>
    <row r="832" spans="1:2">
      <c r="A832" s="3">
        <f ca="1">IFERROR(__xludf.DUMMYFUNCTION("""COMPUTED_VALUE"""),41562.6666666666)</f>
        <v>41562.666666666599</v>
      </c>
      <c r="B832" s="1">
        <f ca="1">IFERROR(__xludf.DUMMYFUNCTION("""COMPUTED_VALUE"""),12.26)</f>
        <v>12.26</v>
      </c>
    </row>
    <row r="833" spans="1:2">
      <c r="A833" s="3">
        <f ca="1">IFERROR(__xludf.DUMMYFUNCTION("""COMPUTED_VALUE"""),41563.6666666666)</f>
        <v>41563.666666666599</v>
      </c>
      <c r="B833" s="1">
        <f ca="1">IFERROR(__xludf.DUMMYFUNCTION("""COMPUTED_VALUE"""),12.24)</f>
        <v>12.24</v>
      </c>
    </row>
    <row r="834" spans="1:2">
      <c r="A834" s="3">
        <f ca="1">IFERROR(__xludf.DUMMYFUNCTION("""COMPUTED_VALUE"""),41564.6666666666)</f>
        <v>41564.666666666599</v>
      </c>
      <c r="B834" s="1">
        <f ca="1">IFERROR(__xludf.DUMMYFUNCTION("""COMPUTED_VALUE"""),12.19)</f>
        <v>12.19</v>
      </c>
    </row>
    <row r="835" spans="1:2">
      <c r="A835" s="3">
        <f ca="1">IFERROR(__xludf.DUMMYFUNCTION("""COMPUTED_VALUE"""),41565.6666666666)</f>
        <v>41565.666666666599</v>
      </c>
      <c r="B835" s="1">
        <f ca="1">IFERROR(__xludf.DUMMYFUNCTION("""COMPUTED_VALUE"""),12.23)</f>
        <v>12.23</v>
      </c>
    </row>
    <row r="836" spans="1:2">
      <c r="A836" s="3">
        <f ca="1">IFERROR(__xludf.DUMMYFUNCTION("""COMPUTED_VALUE"""),41568.6666666666)</f>
        <v>41568.666666666599</v>
      </c>
      <c r="B836" s="1">
        <f ca="1">IFERROR(__xludf.DUMMYFUNCTION("""COMPUTED_VALUE"""),11.51)</f>
        <v>11.51</v>
      </c>
    </row>
    <row r="837" spans="1:2">
      <c r="A837" s="3">
        <f ca="1">IFERROR(__xludf.DUMMYFUNCTION("""COMPUTED_VALUE"""),41569.6666666666)</f>
        <v>41569.666666666599</v>
      </c>
      <c r="B837" s="1">
        <f ca="1">IFERROR(__xludf.DUMMYFUNCTION("""COMPUTED_VALUE"""),11.44)</f>
        <v>11.44</v>
      </c>
    </row>
    <row r="838" spans="1:2">
      <c r="A838" s="3">
        <f ca="1">IFERROR(__xludf.DUMMYFUNCTION("""COMPUTED_VALUE"""),41570.6666666666)</f>
        <v>41570.666666666599</v>
      </c>
      <c r="B838" s="1">
        <f ca="1">IFERROR(__xludf.DUMMYFUNCTION("""COMPUTED_VALUE"""),10.97)</f>
        <v>10.97</v>
      </c>
    </row>
    <row r="839" spans="1:2">
      <c r="A839" s="3">
        <f ca="1">IFERROR(__xludf.DUMMYFUNCTION("""COMPUTED_VALUE"""),41571.6666666666)</f>
        <v>41571.666666666599</v>
      </c>
      <c r="B839" s="1">
        <f ca="1">IFERROR(__xludf.DUMMYFUNCTION("""COMPUTED_VALUE"""),11.54)</f>
        <v>11.54</v>
      </c>
    </row>
    <row r="840" spans="1:2">
      <c r="A840" s="3">
        <f ca="1">IFERROR(__xludf.DUMMYFUNCTION("""COMPUTED_VALUE"""),41572.6666666666)</f>
        <v>41572.666666666599</v>
      </c>
      <c r="B840" s="1">
        <f ca="1">IFERROR(__xludf.DUMMYFUNCTION("""COMPUTED_VALUE"""),11.31)</f>
        <v>11.31</v>
      </c>
    </row>
    <row r="841" spans="1:2">
      <c r="A841" s="3">
        <f ca="1">IFERROR(__xludf.DUMMYFUNCTION("""COMPUTED_VALUE"""),41575.6666666666)</f>
        <v>41575.666666666599</v>
      </c>
      <c r="B841" s="1">
        <f ca="1">IFERROR(__xludf.DUMMYFUNCTION("""COMPUTED_VALUE"""),10.86)</f>
        <v>10.86</v>
      </c>
    </row>
    <row r="842" spans="1:2">
      <c r="A842" s="3">
        <f ca="1">IFERROR(__xludf.DUMMYFUNCTION("""COMPUTED_VALUE"""),41576.6666666666)</f>
        <v>41576.666666666599</v>
      </c>
      <c r="B842" s="1">
        <f ca="1">IFERROR(__xludf.DUMMYFUNCTION("""COMPUTED_VALUE"""),10.96)</f>
        <v>10.96</v>
      </c>
    </row>
    <row r="843" spans="1:2">
      <c r="A843" s="3">
        <f ca="1">IFERROR(__xludf.DUMMYFUNCTION("""COMPUTED_VALUE"""),41577.6666666666)</f>
        <v>41577.666666666599</v>
      </c>
      <c r="B843" s="1">
        <f ca="1">IFERROR(__xludf.DUMMYFUNCTION("""COMPUTED_VALUE"""),10.61)</f>
        <v>10.61</v>
      </c>
    </row>
    <row r="844" spans="1:2">
      <c r="A844" s="3">
        <f ca="1">IFERROR(__xludf.DUMMYFUNCTION("""COMPUTED_VALUE"""),41578.6666666666)</f>
        <v>41578.666666666599</v>
      </c>
      <c r="B844" s="1">
        <f ca="1">IFERROR(__xludf.DUMMYFUNCTION("""COMPUTED_VALUE"""),10.66)</f>
        <v>10.66</v>
      </c>
    </row>
    <row r="845" spans="1:2">
      <c r="A845" s="3">
        <f ca="1">IFERROR(__xludf.DUMMYFUNCTION("""COMPUTED_VALUE"""),41579.6666666666)</f>
        <v>41579.666666666599</v>
      </c>
      <c r="B845" s="1">
        <f ca="1">IFERROR(__xludf.DUMMYFUNCTION("""COMPUTED_VALUE"""),10.81)</f>
        <v>10.81</v>
      </c>
    </row>
    <row r="846" spans="1:2">
      <c r="A846" s="3">
        <f ca="1">IFERROR(__xludf.DUMMYFUNCTION("""COMPUTED_VALUE"""),41582.6666666666)</f>
        <v>41582.666666666599</v>
      </c>
      <c r="B846" s="1">
        <f ca="1">IFERROR(__xludf.DUMMYFUNCTION("""COMPUTED_VALUE"""),11.68)</f>
        <v>11.68</v>
      </c>
    </row>
    <row r="847" spans="1:2">
      <c r="A847" s="3">
        <f ca="1">IFERROR(__xludf.DUMMYFUNCTION("""COMPUTED_VALUE"""),41583.6666666666)</f>
        <v>41583.666666666599</v>
      </c>
      <c r="B847" s="1">
        <f ca="1">IFERROR(__xludf.DUMMYFUNCTION("""COMPUTED_VALUE"""),11.79)</f>
        <v>11.79</v>
      </c>
    </row>
    <row r="848" spans="1:2">
      <c r="A848" s="3">
        <f ca="1">IFERROR(__xludf.DUMMYFUNCTION("""COMPUTED_VALUE"""),41584.6666666666)</f>
        <v>41584.666666666599</v>
      </c>
      <c r="B848" s="1">
        <f ca="1">IFERROR(__xludf.DUMMYFUNCTION("""COMPUTED_VALUE"""),10.08)</f>
        <v>10.08</v>
      </c>
    </row>
    <row r="849" spans="1:2">
      <c r="A849" s="3">
        <f ca="1">IFERROR(__xludf.DUMMYFUNCTION("""COMPUTED_VALUE"""),41585.6666666666)</f>
        <v>41585.666666666599</v>
      </c>
      <c r="B849" s="1">
        <f ca="1">IFERROR(__xludf.DUMMYFUNCTION("""COMPUTED_VALUE"""),9.32)</f>
        <v>9.32</v>
      </c>
    </row>
    <row r="850" spans="1:2">
      <c r="A850" s="3">
        <f ca="1">IFERROR(__xludf.DUMMYFUNCTION("""COMPUTED_VALUE"""),41586.6666666666)</f>
        <v>41586.666666666599</v>
      </c>
      <c r="B850" s="1">
        <f ca="1">IFERROR(__xludf.DUMMYFUNCTION("""COMPUTED_VALUE"""),9.2)</f>
        <v>9.1999999999999993</v>
      </c>
    </row>
    <row r="851" spans="1:2">
      <c r="A851" s="3">
        <f ca="1">IFERROR(__xludf.DUMMYFUNCTION("""COMPUTED_VALUE"""),41589.6666666666)</f>
        <v>41589.666666666599</v>
      </c>
      <c r="B851" s="1">
        <f ca="1">IFERROR(__xludf.DUMMYFUNCTION("""COMPUTED_VALUE"""),9.65)</f>
        <v>9.65</v>
      </c>
    </row>
    <row r="852" spans="1:2">
      <c r="A852" s="3">
        <f ca="1">IFERROR(__xludf.DUMMYFUNCTION("""COMPUTED_VALUE"""),41590.6666666666)</f>
        <v>41590.666666666599</v>
      </c>
      <c r="B852" s="1">
        <f ca="1">IFERROR(__xludf.DUMMYFUNCTION("""COMPUTED_VALUE"""),9.19)</f>
        <v>9.19</v>
      </c>
    </row>
    <row r="853" spans="1:2">
      <c r="A853" s="3">
        <f ca="1">IFERROR(__xludf.DUMMYFUNCTION("""COMPUTED_VALUE"""),41591.6666666666)</f>
        <v>41591.666666666599</v>
      </c>
      <c r="B853" s="1">
        <f ca="1">IFERROR(__xludf.DUMMYFUNCTION("""COMPUTED_VALUE"""),9.25)</f>
        <v>9.25</v>
      </c>
    </row>
    <row r="854" spans="1:2">
      <c r="A854" s="3">
        <f ca="1">IFERROR(__xludf.DUMMYFUNCTION("""COMPUTED_VALUE"""),41592.6666666666)</f>
        <v>41592.666666666599</v>
      </c>
      <c r="B854" s="1">
        <f ca="1">IFERROR(__xludf.DUMMYFUNCTION("""COMPUTED_VALUE"""),9.17)</f>
        <v>9.17</v>
      </c>
    </row>
    <row r="855" spans="1:2">
      <c r="A855" s="3">
        <f ca="1">IFERROR(__xludf.DUMMYFUNCTION("""COMPUTED_VALUE"""),41593.6666666666)</f>
        <v>41593.666666666599</v>
      </c>
      <c r="B855" s="1">
        <f ca="1">IFERROR(__xludf.DUMMYFUNCTION("""COMPUTED_VALUE"""),9.03)</f>
        <v>9.0299999999999994</v>
      </c>
    </row>
    <row r="856" spans="1:2">
      <c r="A856" s="3">
        <f ca="1">IFERROR(__xludf.DUMMYFUNCTION("""COMPUTED_VALUE"""),41596.6666666666)</f>
        <v>41596.666666666599</v>
      </c>
      <c r="B856" s="1">
        <f ca="1">IFERROR(__xludf.DUMMYFUNCTION("""COMPUTED_VALUE"""),8.11)</f>
        <v>8.11</v>
      </c>
    </row>
    <row r="857" spans="1:2">
      <c r="A857" s="3">
        <f ca="1">IFERROR(__xludf.DUMMYFUNCTION("""COMPUTED_VALUE"""),41597.6666666666)</f>
        <v>41597.666666666599</v>
      </c>
      <c r="B857" s="1">
        <f ca="1">IFERROR(__xludf.DUMMYFUNCTION("""COMPUTED_VALUE"""),8.41)</f>
        <v>8.41</v>
      </c>
    </row>
    <row r="858" spans="1:2">
      <c r="A858" s="3">
        <f ca="1">IFERROR(__xludf.DUMMYFUNCTION("""COMPUTED_VALUE"""),41598.6666666666)</f>
        <v>41598.666666666599</v>
      </c>
      <c r="B858" s="1">
        <f ca="1">IFERROR(__xludf.DUMMYFUNCTION("""COMPUTED_VALUE"""),8.07)</f>
        <v>8.07</v>
      </c>
    </row>
    <row r="859" spans="1:2">
      <c r="A859" s="3">
        <f ca="1">IFERROR(__xludf.DUMMYFUNCTION("""COMPUTED_VALUE"""),41599.6666666666)</f>
        <v>41599.666666666599</v>
      </c>
      <c r="B859" s="1">
        <f ca="1">IFERROR(__xludf.DUMMYFUNCTION("""COMPUTED_VALUE"""),8.14)</f>
        <v>8.14</v>
      </c>
    </row>
    <row r="860" spans="1:2">
      <c r="A860" s="3">
        <f ca="1">IFERROR(__xludf.DUMMYFUNCTION("""COMPUTED_VALUE"""),41600.6666666666)</f>
        <v>41600.666666666599</v>
      </c>
      <c r="B860" s="1">
        <f ca="1">IFERROR(__xludf.DUMMYFUNCTION("""COMPUTED_VALUE"""),8.09)</f>
        <v>8.09</v>
      </c>
    </row>
    <row r="861" spans="1:2">
      <c r="A861" s="3">
        <f ca="1">IFERROR(__xludf.DUMMYFUNCTION("""COMPUTED_VALUE"""),41603.6666666666)</f>
        <v>41603.666666666599</v>
      </c>
      <c r="B861" s="1">
        <f ca="1">IFERROR(__xludf.DUMMYFUNCTION("""COMPUTED_VALUE"""),8.06)</f>
        <v>8.06</v>
      </c>
    </row>
    <row r="862" spans="1:2">
      <c r="A862" s="3">
        <f ca="1">IFERROR(__xludf.DUMMYFUNCTION("""COMPUTED_VALUE"""),41604.6666666666)</f>
        <v>41604.666666666599</v>
      </c>
      <c r="B862" s="1">
        <f ca="1">IFERROR(__xludf.DUMMYFUNCTION("""COMPUTED_VALUE"""),8.03)</f>
        <v>8.0299999999999994</v>
      </c>
    </row>
    <row r="863" spans="1:2">
      <c r="A863" s="3">
        <f ca="1">IFERROR(__xludf.DUMMYFUNCTION("""COMPUTED_VALUE"""),41605.6666666666)</f>
        <v>41605.666666666599</v>
      </c>
      <c r="B863" s="1">
        <f ca="1">IFERROR(__xludf.DUMMYFUNCTION("""COMPUTED_VALUE"""),8.46)</f>
        <v>8.4600000000000009</v>
      </c>
    </row>
    <row r="864" spans="1:2">
      <c r="A864" s="3">
        <f ca="1">IFERROR(__xludf.DUMMYFUNCTION("""COMPUTED_VALUE"""),41607.6666666666)</f>
        <v>41607.666666666599</v>
      </c>
      <c r="B864" s="1">
        <f ca="1">IFERROR(__xludf.DUMMYFUNCTION("""COMPUTED_VALUE"""),8.49)</f>
        <v>8.49</v>
      </c>
    </row>
    <row r="865" spans="1:2">
      <c r="A865" s="3">
        <f ca="1">IFERROR(__xludf.DUMMYFUNCTION("""COMPUTED_VALUE"""),41610.6666666666)</f>
        <v>41610.666666666599</v>
      </c>
      <c r="B865" s="1">
        <f ca="1">IFERROR(__xludf.DUMMYFUNCTION("""COMPUTED_VALUE"""),8.28)</f>
        <v>8.2799999999999994</v>
      </c>
    </row>
    <row r="866" spans="1:2">
      <c r="A866" s="3">
        <f ca="1">IFERROR(__xludf.DUMMYFUNCTION("""COMPUTED_VALUE"""),41611.6666666666)</f>
        <v>41611.666666666599</v>
      </c>
      <c r="B866" s="1">
        <f ca="1">IFERROR(__xludf.DUMMYFUNCTION("""COMPUTED_VALUE"""),9.65)</f>
        <v>9.65</v>
      </c>
    </row>
    <row r="867" spans="1:2">
      <c r="A867" s="3">
        <f ca="1">IFERROR(__xludf.DUMMYFUNCTION("""COMPUTED_VALUE"""),41612.6666666666)</f>
        <v>41612.666666666599</v>
      </c>
      <c r="B867" s="1">
        <f ca="1">IFERROR(__xludf.DUMMYFUNCTION("""COMPUTED_VALUE"""),9.26)</f>
        <v>9.26</v>
      </c>
    </row>
    <row r="868" spans="1:2">
      <c r="A868" s="3">
        <f ca="1">IFERROR(__xludf.DUMMYFUNCTION("""COMPUTED_VALUE"""),41613.6666666666)</f>
        <v>41613.666666666599</v>
      </c>
      <c r="B868" s="1">
        <f ca="1">IFERROR(__xludf.DUMMYFUNCTION("""COMPUTED_VALUE"""),9.37)</f>
        <v>9.3699999999999992</v>
      </c>
    </row>
    <row r="869" spans="1:2">
      <c r="A869" s="3">
        <f ca="1">IFERROR(__xludf.DUMMYFUNCTION("""COMPUTED_VALUE"""),41614.6666666666)</f>
        <v>41614.666666666599</v>
      </c>
      <c r="B869" s="1">
        <f ca="1">IFERROR(__xludf.DUMMYFUNCTION("""COMPUTED_VALUE"""),9.16)</f>
        <v>9.16</v>
      </c>
    </row>
    <row r="870" spans="1:2">
      <c r="A870" s="3">
        <f ca="1">IFERROR(__xludf.DUMMYFUNCTION("""COMPUTED_VALUE"""),41617.6666666666)</f>
        <v>41617.666666666599</v>
      </c>
      <c r="B870" s="1">
        <f ca="1">IFERROR(__xludf.DUMMYFUNCTION("""COMPUTED_VALUE"""),9.44)</f>
        <v>9.44</v>
      </c>
    </row>
    <row r="871" spans="1:2">
      <c r="A871" s="3">
        <f ca="1">IFERROR(__xludf.DUMMYFUNCTION("""COMPUTED_VALUE"""),41618.6666666666)</f>
        <v>41618.666666666599</v>
      </c>
      <c r="B871" s="1">
        <f ca="1">IFERROR(__xludf.DUMMYFUNCTION("""COMPUTED_VALUE"""),9.48)</f>
        <v>9.48</v>
      </c>
    </row>
    <row r="872" spans="1:2">
      <c r="A872" s="3">
        <f ca="1">IFERROR(__xludf.DUMMYFUNCTION("""COMPUTED_VALUE"""),41619.6666666666)</f>
        <v>41619.666666666599</v>
      </c>
      <c r="B872" s="1">
        <f ca="1">IFERROR(__xludf.DUMMYFUNCTION("""COMPUTED_VALUE"""),9.31)</f>
        <v>9.31</v>
      </c>
    </row>
    <row r="873" spans="1:2">
      <c r="A873" s="3">
        <f ca="1">IFERROR(__xludf.DUMMYFUNCTION("""COMPUTED_VALUE"""),41620.6666666666)</f>
        <v>41620.666666666599</v>
      </c>
      <c r="B873" s="1">
        <f ca="1">IFERROR(__xludf.DUMMYFUNCTION("""COMPUTED_VALUE"""),9.83)</f>
        <v>9.83</v>
      </c>
    </row>
    <row r="874" spans="1:2">
      <c r="A874" s="3">
        <f ca="1">IFERROR(__xludf.DUMMYFUNCTION("""COMPUTED_VALUE"""),41621.6666666666)</f>
        <v>41621.666666666599</v>
      </c>
      <c r="B874" s="1">
        <f ca="1">IFERROR(__xludf.DUMMYFUNCTION("""COMPUTED_VALUE"""),9.84)</f>
        <v>9.84</v>
      </c>
    </row>
    <row r="875" spans="1:2">
      <c r="A875" s="3">
        <f ca="1">IFERROR(__xludf.DUMMYFUNCTION("""COMPUTED_VALUE"""),41624.6666666666)</f>
        <v>41624.666666666599</v>
      </c>
      <c r="B875" s="1">
        <f ca="1">IFERROR(__xludf.DUMMYFUNCTION("""COMPUTED_VALUE"""),9.86)</f>
        <v>9.86</v>
      </c>
    </row>
    <row r="876" spans="1:2">
      <c r="A876" s="3">
        <f ca="1">IFERROR(__xludf.DUMMYFUNCTION("""COMPUTED_VALUE"""),41625.6666666666)</f>
        <v>41625.666666666599</v>
      </c>
      <c r="B876" s="1">
        <f ca="1">IFERROR(__xludf.DUMMYFUNCTION("""COMPUTED_VALUE"""),10.16)</f>
        <v>10.16</v>
      </c>
    </row>
    <row r="877" spans="1:2">
      <c r="A877" s="3">
        <f ca="1">IFERROR(__xludf.DUMMYFUNCTION("""COMPUTED_VALUE"""),41626.6666666666)</f>
        <v>41626.666666666599</v>
      </c>
      <c r="B877" s="1">
        <f ca="1">IFERROR(__xludf.DUMMYFUNCTION("""COMPUTED_VALUE"""),9.87)</f>
        <v>9.8699999999999992</v>
      </c>
    </row>
    <row r="878" spans="1:2">
      <c r="A878" s="3">
        <f ca="1">IFERROR(__xludf.DUMMYFUNCTION("""COMPUTED_VALUE"""),41627.6666666666)</f>
        <v>41627.666666666599</v>
      </c>
      <c r="B878" s="1">
        <f ca="1">IFERROR(__xludf.DUMMYFUNCTION("""COMPUTED_VALUE"""),9.38)</f>
        <v>9.3800000000000008</v>
      </c>
    </row>
    <row r="879" spans="1:2">
      <c r="A879" s="3">
        <f ca="1">IFERROR(__xludf.DUMMYFUNCTION("""COMPUTED_VALUE"""),41628.6666666666)</f>
        <v>41628.666666666599</v>
      </c>
      <c r="B879" s="1">
        <f ca="1">IFERROR(__xludf.DUMMYFUNCTION("""COMPUTED_VALUE"""),9.55)</f>
        <v>9.5500000000000007</v>
      </c>
    </row>
    <row r="880" spans="1:2">
      <c r="A880" s="3">
        <f ca="1">IFERROR(__xludf.DUMMYFUNCTION("""COMPUTED_VALUE"""),41631.6666666666)</f>
        <v>41631.666666666599</v>
      </c>
      <c r="B880" s="1">
        <f ca="1">IFERROR(__xludf.DUMMYFUNCTION("""COMPUTED_VALUE"""),9.57)</f>
        <v>9.57</v>
      </c>
    </row>
    <row r="881" spans="1:2">
      <c r="A881" s="3">
        <f ca="1">IFERROR(__xludf.DUMMYFUNCTION("""COMPUTED_VALUE"""),41632.6666666666)</f>
        <v>41632.666666666599</v>
      </c>
      <c r="B881" s="1">
        <f ca="1">IFERROR(__xludf.DUMMYFUNCTION("""COMPUTED_VALUE"""),10.09)</f>
        <v>10.09</v>
      </c>
    </row>
    <row r="882" spans="1:2">
      <c r="A882" s="3">
        <f ca="1">IFERROR(__xludf.DUMMYFUNCTION("""COMPUTED_VALUE"""),41634.6666666666)</f>
        <v>41634.666666666599</v>
      </c>
      <c r="B882" s="1">
        <f ca="1">IFERROR(__xludf.DUMMYFUNCTION("""COMPUTED_VALUE"""),10.37)</f>
        <v>10.37</v>
      </c>
    </row>
    <row r="883" spans="1:2">
      <c r="A883" s="3">
        <f ca="1">IFERROR(__xludf.DUMMYFUNCTION("""COMPUTED_VALUE"""),41635.6666666666)</f>
        <v>41635.666666666599</v>
      </c>
      <c r="B883" s="1">
        <f ca="1">IFERROR(__xludf.DUMMYFUNCTION("""COMPUTED_VALUE"""),10.07)</f>
        <v>10.07</v>
      </c>
    </row>
    <row r="884" spans="1:2">
      <c r="A884" s="3">
        <f ca="1">IFERROR(__xludf.DUMMYFUNCTION("""COMPUTED_VALUE"""),41638.6666666666)</f>
        <v>41638.666666666599</v>
      </c>
      <c r="B884" s="1">
        <f ca="1">IFERROR(__xludf.DUMMYFUNCTION("""COMPUTED_VALUE"""),10.16)</f>
        <v>10.16</v>
      </c>
    </row>
    <row r="885" spans="1:2">
      <c r="A885" s="3">
        <f ca="1">IFERROR(__xludf.DUMMYFUNCTION("""COMPUTED_VALUE"""),41639.6666666666)</f>
        <v>41639.666666666599</v>
      </c>
      <c r="B885" s="1">
        <f ca="1">IFERROR(__xludf.DUMMYFUNCTION("""COMPUTED_VALUE"""),10.03)</f>
        <v>10.029999999999999</v>
      </c>
    </row>
    <row r="886" spans="1:2">
      <c r="A886" s="3">
        <f ca="1">IFERROR(__xludf.DUMMYFUNCTION("""COMPUTED_VALUE"""),41641.6666666666)</f>
        <v>41641.666666666599</v>
      </c>
      <c r="B886" s="1">
        <f ca="1">IFERROR(__xludf.DUMMYFUNCTION("""COMPUTED_VALUE"""),10.01)</f>
        <v>10.01</v>
      </c>
    </row>
    <row r="887" spans="1:2">
      <c r="A887" s="3">
        <f ca="1">IFERROR(__xludf.DUMMYFUNCTION("""COMPUTED_VALUE"""),41642.6666666666)</f>
        <v>41642.666666666599</v>
      </c>
      <c r="B887" s="1">
        <f ca="1">IFERROR(__xludf.DUMMYFUNCTION("""COMPUTED_VALUE"""),9.97)</f>
        <v>9.9700000000000006</v>
      </c>
    </row>
    <row r="888" spans="1:2">
      <c r="A888" s="3">
        <f ca="1">IFERROR(__xludf.DUMMYFUNCTION("""COMPUTED_VALUE"""),41645.6666666666)</f>
        <v>41645.666666666599</v>
      </c>
      <c r="B888" s="1">
        <f ca="1">IFERROR(__xludf.DUMMYFUNCTION("""COMPUTED_VALUE"""),9.8)</f>
        <v>9.8000000000000007</v>
      </c>
    </row>
    <row r="889" spans="1:2">
      <c r="A889" s="3">
        <f ca="1">IFERROR(__xludf.DUMMYFUNCTION("""COMPUTED_VALUE"""),41646.6666666666)</f>
        <v>41646.666666666599</v>
      </c>
      <c r="B889" s="1">
        <f ca="1">IFERROR(__xludf.DUMMYFUNCTION("""COMPUTED_VALUE"""),9.96)</f>
        <v>9.9600000000000009</v>
      </c>
    </row>
    <row r="890" spans="1:2">
      <c r="A890" s="3">
        <f ca="1">IFERROR(__xludf.DUMMYFUNCTION("""COMPUTED_VALUE"""),41647.6666666666)</f>
        <v>41647.666666666599</v>
      </c>
      <c r="B890" s="1">
        <f ca="1">IFERROR(__xludf.DUMMYFUNCTION("""COMPUTED_VALUE"""),10.09)</f>
        <v>10.09</v>
      </c>
    </row>
    <row r="891" spans="1:2">
      <c r="A891" s="3">
        <f ca="1">IFERROR(__xludf.DUMMYFUNCTION("""COMPUTED_VALUE"""),41648.6666666666)</f>
        <v>41648.666666666599</v>
      </c>
      <c r="B891" s="1">
        <f ca="1">IFERROR(__xludf.DUMMYFUNCTION("""COMPUTED_VALUE"""),9.84)</f>
        <v>9.84</v>
      </c>
    </row>
    <row r="892" spans="1:2">
      <c r="A892" s="3">
        <f ca="1">IFERROR(__xludf.DUMMYFUNCTION("""COMPUTED_VALUE"""),41649.6666666666)</f>
        <v>41649.666666666599</v>
      </c>
      <c r="B892" s="1">
        <f ca="1">IFERROR(__xludf.DUMMYFUNCTION("""COMPUTED_VALUE"""),9.71)</f>
        <v>9.7100000000000009</v>
      </c>
    </row>
    <row r="893" spans="1:2">
      <c r="A893" s="3">
        <f ca="1">IFERROR(__xludf.DUMMYFUNCTION("""COMPUTED_VALUE"""),41652.6666666666)</f>
        <v>41652.666666666599</v>
      </c>
      <c r="B893" s="1">
        <f ca="1">IFERROR(__xludf.DUMMYFUNCTION("""COMPUTED_VALUE"""),9.29)</f>
        <v>9.2899999999999991</v>
      </c>
    </row>
    <row r="894" spans="1:2">
      <c r="A894" s="3">
        <f ca="1">IFERROR(__xludf.DUMMYFUNCTION("""COMPUTED_VALUE"""),41653.6666666666)</f>
        <v>41653.666666666599</v>
      </c>
      <c r="B894" s="1">
        <f ca="1">IFERROR(__xludf.DUMMYFUNCTION("""COMPUTED_VALUE"""),10.75)</f>
        <v>10.75</v>
      </c>
    </row>
    <row r="895" spans="1:2">
      <c r="A895" s="3">
        <f ca="1">IFERROR(__xludf.DUMMYFUNCTION("""COMPUTED_VALUE"""),41654.6666666666)</f>
        <v>41654.666666666599</v>
      </c>
      <c r="B895" s="1">
        <f ca="1">IFERROR(__xludf.DUMMYFUNCTION("""COMPUTED_VALUE"""),10.94)</f>
        <v>10.94</v>
      </c>
    </row>
    <row r="896" spans="1:2">
      <c r="A896" s="3">
        <f ca="1">IFERROR(__xludf.DUMMYFUNCTION("""COMPUTED_VALUE"""),41655.6666666666)</f>
        <v>41655.666666666599</v>
      </c>
      <c r="B896" s="1">
        <f ca="1">IFERROR(__xludf.DUMMYFUNCTION("""COMPUTED_VALUE"""),11.4)</f>
        <v>11.4</v>
      </c>
    </row>
    <row r="897" spans="1:2">
      <c r="A897" s="3">
        <f ca="1">IFERROR(__xludf.DUMMYFUNCTION("""COMPUTED_VALUE"""),41656.6666666666)</f>
        <v>41656.666666666599</v>
      </c>
      <c r="B897" s="1">
        <f ca="1">IFERROR(__xludf.DUMMYFUNCTION("""COMPUTED_VALUE"""),11.33)</f>
        <v>11.33</v>
      </c>
    </row>
    <row r="898" spans="1:2">
      <c r="A898" s="3">
        <f ca="1">IFERROR(__xludf.DUMMYFUNCTION("""COMPUTED_VALUE"""),41660.6666666666)</f>
        <v>41660.666666666599</v>
      </c>
      <c r="B898" s="1">
        <f ca="1">IFERROR(__xludf.DUMMYFUNCTION("""COMPUTED_VALUE"""),11.78)</f>
        <v>11.78</v>
      </c>
    </row>
    <row r="899" spans="1:2">
      <c r="A899" s="3">
        <f ca="1">IFERROR(__xludf.DUMMYFUNCTION("""COMPUTED_VALUE"""),41661.6666666666)</f>
        <v>41661.666666666599</v>
      </c>
      <c r="B899" s="1">
        <f ca="1">IFERROR(__xludf.DUMMYFUNCTION("""COMPUTED_VALUE"""),11.9)</f>
        <v>11.9</v>
      </c>
    </row>
    <row r="900" spans="1:2">
      <c r="A900" s="3">
        <f ca="1">IFERROR(__xludf.DUMMYFUNCTION("""COMPUTED_VALUE"""),41662.6666666666)</f>
        <v>41662.666666666599</v>
      </c>
      <c r="B900" s="1">
        <f ca="1">IFERROR(__xludf.DUMMYFUNCTION("""COMPUTED_VALUE"""),12.1)</f>
        <v>12.1</v>
      </c>
    </row>
    <row r="901" spans="1:2">
      <c r="A901" s="3">
        <f ca="1">IFERROR(__xludf.DUMMYFUNCTION("""COMPUTED_VALUE"""),41663.6666666666)</f>
        <v>41663.666666666599</v>
      </c>
      <c r="B901" s="1">
        <f ca="1">IFERROR(__xludf.DUMMYFUNCTION("""COMPUTED_VALUE"""),11.64)</f>
        <v>11.64</v>
      </c>
    </row>
    <row r="902" spans="1:2">
      <c r="A902" s="3">
        <f ca="1">IFERROR(__xludf.DUMMYFUNCTION("""COMPUTED_VALUE"""),41666.6666666666)</f>
        <v>41666.666666666599</v>
      </c>
      <c r="B902" s="1">
        <f ca="1">IFERROR(__xludf.DUMMYFUNCTION("""COMPUTED_VALUE"""),11.31)</f>
        <v>11.31</v>
      </c>
    </row>
    <row r="903" spans="1:2">
      <c r="A903" s="3">
        <f ca="1">IFERROR(__xludf.DUMMYFUNCTION("""COMPUTED_VALUE"""),41667.6666666666)</f>
        <v>41667.666666666599</v>
      </c>
      <c r="B903" s="1">
        <f ca="1">IFERROR(__xludf.DUMMYFUNCTION("""COMPUTED_VALUE"""),11.89)</f>
        <v>11.89</v>
      </c>
    </row>
    <row r="904" spans="1:2">
      <c r="A904" s="3">
        <f ca="1">IFERROR(__xludf.DUMMYFUNCTION("""COMPUTED_VALUE"""),41668.6666666666)</f>
        <v>41668.666666666599</v>
      </c>
      <c r="B904" s="1">
        <f ca="1">IFERROR(__xludf.DUMMYFUNCTION("""COMPUTED_VALUE"""),11.68)</f>
        <v>11.68</v>
      </c>
    </row>
    <row r="905" spans="1:2">
      <c r="A905" s="3">
        <f ca="1">IFERROR(__xludf.DUMMYFUNCTION("""COMPUTED_VALUE"""),41669.6666666666)</f>
        <v>41669.666666666599</v>
      </c>
      <c r="B905" s="1">
        <f ca="1">IFERROR(__xludf.DUMMYFUNCTION("""COMPUTED_VALUE"""),12.19)</f>
        <v>12.19</v>
      </c>
    </row>
    <row r="906" spans="1:2">
      <c r="A906" s="3">
        <f ca="1">IFERROR(__xludf.DUMMYFUNCTION("""COMPUTED_VALUE"""),41670.6666666666)</f>
        <v>41670.666666666599</v>
      </c>
      <c r="B906" s="1">
        <f ca="1">IFERROR(__xludf.DUMMYFUNCTION("""COMPUTED_VALUE"""),12.09)</f>
        <v>12.09</v>
      </c>
    </row>
    <row r="907" spans="1:2">
      <c r="A907" s="3">
        <f ca="1">IFERROR(__xludf.DUMMYFUNCTION("""COMPUTED_VALUE"""),41673.6666666666)</f>
        <v>41673.666666666599</v>
      </c>
      <c r="B907" s="1">
        <f ca="1">IFERROR(__xludf.DUMMYFUNCTION("""COMPUTED_VALUE"""),11.81)</f>
        <v>11.81</v>
      </c>
    </row>
    <row r="908" spans="1:2">
      <c r="A908" s="3">
        <f ca="1">IFERROR(__xludf.DUMMYFUNCTION("""COMPUTED_VALUE"""),41674.6666666666)</f>
        <v>41674.666666666599</v>
      </c>
      <c r="B908" s="1">
        <f ca="1">IFERROR(__xludf.DUMMYFUNCTION("""COMPUTED_VALUE"""),11.92)</f>
        <v>11.92</v>
      </c>
    </row>
    <row r="909" spans="1:2">
      <c r="A909" s="3">
        <f ca="1">IFERROR(__xludf.DUMMYFUNCTION("""COMPUTED_VALUE"""),41675.6666666666)</f>
        <v>41675.666666666599</v>
      </c>
      <c r="B909" s="1">
        <f ca="1">IFERROR(__xludf.DUMMYFUNCTION("""COMPUTED_VALUE"""),11.63)</f>
        <v>11.63</v>
      </c>
    </row>
    <row r="910" spans="1:2">
      <c r="A910" s="3">
        <f ca="1">IFERROR(__xludf.DUMMYFUNCTION("""COMPUTED_VALUE"""),41676.6666666666)</f>
        <v>41676.666666666599</v>
      </c>
      <c r="B910" s="1">
        <f ca="1">IFERROR(__xludf.DUMMYFUNCTION("""COMPUTED_VALUE"""),11.89)</f>
        <v>11.89</v>
      </c>
    </row>
    <row r="911" spans="1:2">
      <c r="A911" s="3">
        <f ca="1">IFERROR(__xludf.DUMMYFUNCTION("""COMPUTED_VALUE"""),41677.6666666666)</f>
        <v>41677.666666666599</v>
      </c>
      <c r="B911" s="1">
        <f ca="1">IFERROR(__xludf.DUMMYFUNCTION("""COMPUTED_VALUE"""),12.44)</f>
        <v>12.44</v>
      </c>
    </row>
    <row r="912" spans="1:2">
      <c r="A912" s="3">
        <f ca="1">IFERROR(__xludf.DUMMYFUNCTION("""COMPUTED_VALUE"""),41680.6666666666)</f>
        <v>41680.666666666599</v>
      </c>
      <c r="B912" s="1">
        <f ca="1">IFERROR(__xludf.DUMMYFUNCTION("""COMPUTED_VALUE"""),13.1)</f>
        <v>13.1</v>
      </c>
    </row>
    <row r="913" spans="1:2">
      <c r="A913" s="3">
        <f ca="1">IFERROR(__xludf.DUMMYFUNCTION("""COMPUTED_VALUE"""),41681.6666666666)</f>
        <v>41681.666666666599</v>
      </c>
      <c r="B913" s="1">
        <f ca="1">IFERROR(__xludf.DUMMYFUNCTION("""COMPUTED_VALUE"""),13.11)</f>
        <v>13.11</v>
      </c>
    </row>
    <row r="914" spans="1:2">
      <c r="A914" s="3">
        <f ca="1">IFERROR(__xludf.DUMMYFUNCTION("""COMPUTED_VALUE"""),41682.6666666666)</f>
        <v>41682.666666666599</v>
      </c>
      <c r="B914" s="1">
        <f ca="1">IFERROR(__xludf.DUMMYFUNCTION("""COMPUTED_VALUE"""),13.02)</f>
        <v>13.02</v>
      </c>
    </row>
    <row r="915" spans="1:2">
      <c r="A915" s="3">
        <f ca="1">IFERROR(__xludf.DUMMYFUNCTION("""COMPUTED_VALUE"""),41683.6666666666)</f>
        <v>41683.666666666599</v>
      </c>
      <c r="B915" s="1">
        <f ca="1">IFERROR(__xludf.DUMMYFUNCTION("""COMPUTED_VALUE"""),13.31)</f>
        <v>13.31</v>
      </c>
    </row>
    <row r="916" spans="1:2">
      <c r="A916" s="3">
        <f ca="1">IFERROR(__xludf.DUMMYFUNCTION("""COMPUTED_VALUE"""),41684.6666666666)</f>
        <v>41684.666666666599</v>
      </c>
      <c r="B916" s="1">
        <f ca="1">IFERROR(__xludf.DUMMYFUNCTION("""COMPUTED_VALUE"""),13.22)</f>
        <v>13.22</v>
      </c>
    </row>
    <row r="917" spans="1:2">
      <c r="A917" s="3">
        <f ca="1">IFERROR(__xludf.DUMMYFUNCTION("""COMPUTED_VALUE"""),41688.6666666666)</f>
        <v>41688.666666666599</v>
      </c>
      <c r="B917" s="1">
        <f ca="1">IFERROR(__xludf.DUMMYFUNCTION("""COMPUTED_VALUE"""),13.58)</f>
        <v>13.58</v>
      </c>
    </row>
    <row r="918" spans="1:2">
      <c r="A918" s="3">
        <f ca="1">IFERROR(__xludf.DUMMYFUNCTION("""COMPUTED_VALUE"""),41689.6666666666)</f>
        <v>41689.666666666599</v>
      </c>
      <c r="B918" s="1">
        <f ca="1">IFERROR(__xludf.DUMMYFUNCTION("""COMPUTED_VALUE"""),12.91)</f>
        <v>12.91</v>
      </c>
    </row>
    <row r="919" spans="1:2">
      <c r="A919" s="3">
        <f ca="1">IFERROR(__xludf.DUMMYFUNCTION("""COMPUTED_VALUE"""),41690.6666666666)</f>
        <v>41690.666666666599</v>
      </c>
      <c r="B919" s="1">
        <f ca="1">IFERROR(__xludf.DUMMYFUNCTION("""COMPUTED_VALUE"""),14)</f>
        <v>14</v>
      </c>
    </row>
    <row r="920" spans="1:2">
      <c r="A920" s="3">
        <f ca="1">IFERROR(__xludf.DUMMYFUNCTION("""COMPUTED_VALUE"""),41691.6666666666)</f>
        <v>41691.666666666599</v>
      </c>
      <c r="B920" s="1">
        <f ca="1">IFERROR(__xludf.DUMMYFUNCTION("""COMPUTED_VALUE"""),13.97)</f>
        <v>13.97</v>
      </c>
    </row>
    <row r="921" spans="1:2">
      <c r="A921" s="3">
        <f ca="1">IFERROR(__xludf.DUMMYFUNCTION("""COMPUTED_VALUE"""),41694.6666666666)</f>
        <v>41694.666666666599</v>
      </c>
      <c r="B921" s="1">
        <f ca="1">IFERROR(__xludf.DUMMYFUNCTION("""COMPUTED_VALUE"""),14.51)</f>
        <v>14.51</v>
      </c>
    </row>
    <row r="922" spans="1:2">
      <c r="A922" s="3">
        <f ca="1">IFERROR(__xludf.DUMMYFUNCTION("""COMPUTED_VALUE"""),41695.6666666666)</f>
        <v>41695.666666666599</v>
      </c>
      <c r="B922" s="1">
        <f ca="1">IFERROR(__xludf.DUMMYFUNCTION("""COMPUTED_VALUE"""),16.53)</f>
        <v>16.53</v>
      </c>
    </row>
    <row r="923" spans="1:2">
      <c r="A923" s="3">
        <f ca="1">IFERROR(__xludf.DUMMYFUNCTION("""COMPUTED_VALUE"""),41696.6666666666)</f>
        <v>41696.666666666599</v>
      </c>
      <c r="B923" s="1">
        <f ca="1">IFERROR(__xludf.DUMMYFUNCTION("""COMPUTED_VALUE"""),16.87)</f>
        <v>16.87</v>
      </c>
    </row>
    <row r="924" spans="1:2">
      <c r="A924" s="3">
        <f ca="1">IFERROR(__xludf.DUMMYFUNCTION("""COMPUTED_VALUE"""),41697.6666666666)</f>
        <v>41697.666666666599</v>
      </c>
      <c r="B924" s="1">
        <f ca="1">IFERROR(__xludf.DUMMYFUNCTION("""COMPUTED_VALUE"""),16.84)</f>
        <v>16.84</v>
      </c>
    </row>
    <row r="925" spans="1:2">
      <c r="A925" s="3">
        <f ca="1">IFERROR(__xludf.DUMMYFUNCTION("""COMPUTED_VALUE"""),41698.6666666666)</f>
        <v>41698.666666666599</v>
      </c>
      <c r="B925" s="1">
        <f ca="1">IFERROR(__xludf.DUMMYFUNCTION("""COMPUTED_VALUE"""),16.32)</f>
        <v>16.32</v>
      </c>
    </row>
    <row r="926" spans="1:2">
      <c r="A926" s="3">
        <f ca="1">IFERROR(__xludf.DUMMYFUNCTION("""COMPUTED_VALUE"""),41701.6666666666)</f>
        <v>41701.666666666599</v>
      </c>
      <c r="B926" s="1">
        <f ca="1">IFERROR(__xludf.DUMMYFUNCTION("""COMPUTED_VALUE"""),16.7)</f>
        <v>16.7</v>
      </c>
    </row>
    <row r="927" spans="1:2">
      <c r="A927" s="3">
        <f ca="1">IFERROR(__xludf.DUMMYFUNCTION("""COMPUTED_VALUE"""),41702.6666666666)</f>
        <v>41702.666666666599</v>
      </c>
      <c r="B927" s="1">
        <f ca="1">IFERROR(__xludf.DUMMYFUNCTION("""COMPUTED_VALUE"""),16.99)</f>
        <v>16.989999999999998</v>
      </c>
    </row>
    <row r="928" spans="1:2">
      <c r="A928" s="3">
        <f ca="1">IFERROR(__xludf.DUMMYFUNCTION("""COMPUTED_VALUE"""),41703.6666666666)</f>
        <v>41703.666666666599</v>
      </c>
      <c r="B928" s="1">
        <f ca="1">IFERROR(__xludf.DUMMYFUNCTION("""COMPUTED_VALUE"""),16.84)</f>
        <v>16.84</v>
      </c>
    </row>
    <row r="929" spans="1:2">
      <c r="A929" s="3">
        <f ca="1">IFERROR(__xludf.DUMMYFUNCTION("""COMPUTED_VALUE"""),41704.6666666666)</f>
        <v>41704.666666666599</v>
      </c>
      <c r="B929" s="1">
        <f ca="1">IFERROR(__xludf.DUMMYFUNCTION("""COMPUTED_VALUE"""),16.86)</f>
        <v>16.86</v>
      </c>
    </row>
    <row r="930" spans="1:2">
      <c r="A930" s="3">
        <f ca="1">IFERROR(__xludf.DUMMYFUNCTION("""COMPUTED_VALUE"""),41705.6666666666)</f>
        <v>41705.666666666599</v>
      </c>
      <c r="B930" s="1">
        <f ca="1">IFERROR(__xludf.DUMMYFUNCTION("""COMPUTED_VALUE"""),16.41)</f>
        <v>16.41</v>
      </c>
    </row>
    <row r="931" spans="1:2">
      <c r="A931" s="3">
        <f ca="1">IFERROR(__xludf.DUMMYFUNCTION("""COMPUTED_VALUE"""),41708.6666666666)</f>
        <v>41708.666666666599</v>
      </c>
      <c r="B931" s="1">
        <f ca="1">IFERROR(__xludf.DUMMYFUNCTION("""COMPUTED_VALUE"""),15.92)</f>
        <v>15.92</v>
      </c>
    </row>
    <row r="932" spans="1:2">
      <c r="A932" s="3">
        <f ca="1">IFERROR(__xludf.DUMMYFUNCTION("""COMPUTED_VALUE"""),41709.6666666666)</f>
        <v>41709.666666666599</v>
      </c>
      <c r="B932" s="1">
        <f ca="1">IFERROR(__xludf.DUMMYFUNCTION("""COMPUTED_VALUE"""),15.63)</f>
        <v>15.63</v>
      </c>
    </row>
    <row r="933" spans="1:2">
      <c r="A933" s="3">
        <f ca="1">IFERROR(__xludf.DUMMYFUNCTION("""COMPUTED_VALUE"""),41710.6666666666)</f>
        <v>41710.666666666599</v>
      </c>
      <c r="B933" s="1">
        <f ca="1">IFERROR(__xludf.DUMMYFUNCTION("""COMPUTED_VALUE"""),16.1)</f>
        <v>16.100000000000001</v>
      </c>
    </row>
    <row r="934" spans="1:2">
      <c r="A934" s="3">
        <f ca="1">IFERROR(__xludf.DUMMYFUNCTION("""COMPUTED_VALUE"""),41711.6666666666)</f>
        <v>41711.666666666599</v>
      </c>
      <c r="B934" s="1">
        <f ca="1">IFERROR(__xludf.DUMMYFUNCTION("""COMPUTED_VALUE"""),15.85)</f>
        <v>15.85</v>
      </c>
    </row>
    <row r="935" spans="1:2">
      <c r="A935" s="3">
        <f ca="1">IFERROR(__xludf.DUMMYFUNCTION("""COMPUTED_VALUE"""),41712.6666666666)</f>
        <v>41712.666666666599</v>
      </c>
      <c r="B935" s="1">
        <f ca="1">IFERROR(__xludf.DUMMYFUNCTION("""COMPUTED_VALUE"""),15.4)</f>
        <v>15.4</v>
      </c>
    </row>
    <row r="936" spans="1:2">
      <c r="A936" s="3">
        <f ca="1">IFERROR(__xludf.DUMMYFUNCTION("""COMPUTED_VALUE"""),41715.6666666666)</f>
        <v>41715.666666666599</v>
      </c>
      <c r="B936" s="1">
        <f ca="1">IFERROR(__xludf.DUMMYFUNCTION("""COMPUTED_VALUE"""),15.6)</f>
        <v>15.6</v>
      </c>
    </row>
    <row r="937" spans="1:2">
      <c r="A937" s="3">
        <f ca="1">IFERROR(__xludf.DUMMYFUNCTION("""COMPUTED_VALUE"""),41716.6666666666)</f>
        <v>41716.666666666599</v>
      </c>
      <c r="B937" s="1">
        <f ca="1">IFERROR(__xludf.DUMMYFUNCTION("""COMPUTED_VALUE"""),16)</f>
        <v>16</v>
      </c>
    </row>
    <row r="938" spans="1:2">
      <c r="A938" s="3">
        <f ca="1">IFERROR(__xludf.DUMMYFUNCTION("""COMPUTED_VALUE"""),41717.6666666666)</f>
        <v>41717.666666666599</v>
      </c>
      <c r="B938" s="1">
        <f ca="1">IFERROR(__xludf.DUMMYFUNCTION("""COMPUTED_VALUE"""),15.72)</f>
        <v>15.72</v>
      </c>
    </row>
    <row r="939" spans="1:2">
      <c r="A939" s="3">
        <f ca="1">IFERROR(__xludf.DUMMYFUNCTION("""COMPUTED_VALUE"""),41718.6666666666)</f>
        <v>41718.666666666599</v>
      </c>
      <c r="B939" s="1">
        <f ca="1">IFERROR(__xludf.DUMMYFUNCTION("""COMPUTED_VALUE"""),15.66)</f>
        <v>15.66</v>
      </c>
    </row>
    <row r="940" spans="1:2">
      <c r="A940" s="3">
        <f ca="1">IFERROR(__xludf.DUMMYFUNCTION("""COMPUTED_VALUE"""),41719.6666666666)</f>
        <v>41719.666666666599</v>
      </c>
      <c r="B940" s="1">
        <f ca="1">IFERROR(__xludf.DUMMYFUNCTION("""COMPUTED_VALUE"""),15.26)</f>
        <v>15.26</v>
      </c>
    </row>
    <row r="941" spans="1:2">
      <c r="A941" s="3">
        <f ca="1">IFERROR(__xludf.DUMMYFUNCTION("""COMPUTED_VALUE"""),41722.6666666666)</f>
        <v>41722.666666666599</v>
      </c>
      <c r="B941" s="1">
        <f ca="1">IFERROR(__xludf.DUMMYFUNCTION("""COMPUTED_VALUE"""),14.68)</f>
        <v>14.68</v>
      </c>
    </row>
    <row r="942" spans="1:2">
      <c r="A942" s="3">
        <f ca="1">IFERROR(__xludf.DUMMYFUNCTION("""COMPUTED_VALUE"""),41723.6666666666)</f>
        <v>41723.666666666599</v>
      </c>
      <c r="B942" s="1">
        <f ca="1">IFERROR(__xludf.DUMMYFUNCTION("""COMPUTED_VALUE"""),14.7)</f>
        <v>14.7</v>
      </c>
    </row>
    <row r="943" spans="1:2">
      <c r="A943" s="3">
        <f ca="1">IFERROR(__xludf.DUMMYFUNCTION("""COMPUTED_VALUE"""),41724.6666666666)</f>
        <v>41724.666666666599</v>
      </c>
      <c r="B943" s="1">
        <f ca="1">IFERROR(__xludf.DUMMYFUNCTION("""COMPUTED_VALUE"""),14.2)</f>
        <v>14.2</v>
      </c>
    </row>
    <row r="944" spans="1:2">
      <c r="A944" s="3">
        <f ca="1">IFERROR(__xludf.DUMMYFUNCTION("""COMPUTED_VALUE"""),41725.6666666666)</f>
        <v>41725.666666666599</v>
      </c>
      <c r="B944" s="1">
        <f ca="1">IFERROR(__xludf.DUMMYFUNCTION("""COMPUTED_VALUE"""),13.82)</f>
        <v>13.82</v>
      </c>
    </row>
    <row r="945" spans="1:2">
      <c r="A945" s="3">
        <f ca="1">IFERROR(__xludf.DUMMYFUNCTION("""COMPUTED_VALUE"""),41726.6666666666)</f>
        <v>41726.666666666599</v>
      </c>
      <c r="B945" s="1">
        <f ca="1">IFERROR(__xludf.DUMMYFUNCTION("""COMPUTED_VALUE"""),14.16)</f>
        <v>14.16</v>
      </c>
    </row>
    <row r="946" spans="1:2">
      <c r="A946" s="3">
        <f ca="1">IFERROR(__xludf.DUMMYFUNCTION("""COMPUTED_VALUE"""),41729.6666666666)</f>
        <v>41729.666666666599</v>
      </c>
      <c r="B946" s="1">
        <f ca="1">IFERROR(__xludf.DUMMYFUNCTION("""COMPUTED_VALUE"""),13.9)</f>
        <v>13.9</v>
      </c>
    </row>
    <row r="947" spans="1:2">
      <c r="A947" s="3">
        <f ca="1">IFERROR(__xludf.DUMMYFUNCTION("""COMPUTED_VALUE"""),41730.6666666666)</f>
        <v>41730.666666666599</v>
      </c>
      <c r="B947" s="1">
        <f ca="1">IFERROR(__xludf.DUMMYFUNCTION("""COMPUTED_VALUE"""),14.46)</f>
        <v>14.46</v>
      </c>
    </row>
    <row r="948" spans="1:2">
      <c r="A948" s="3">
        <f ca="1">IFERROR(__xludf.DUMMYFUNCTION("""COMPUTED_VALUE"""),41731.6666666666)</f>
        <v>41731.666666666599</v>
      </c>
      <c r="B948" s="1">
        <f ca="1">IFERROR(__xludf.DUMMYFUNCTION("""COMPUTED_VALUE"""),15.35)</f>
        <v>15.35</v>
      </c>
    </row>
    <row r="949" spans="1:2">
      <c r="A949" s="3">
        <f ca="1">IFERROR(__xludf.DUMMYFUNCTION("""COMPUTED_VALUE"""),41732.6666666666)</f>
        <v>41732.666666666599</v>
      </c>
      <c r="B949" s="1">
        <f ca="1">IFERROR(__xludf.DUMMYFUNCTION("""COMPUTED_VALUE"""),15.03)</f>
        <v>15.03</v>
      </c>
    </row>
    <row r="950" spans="1:2">
      <c r="A950" s="3">
        <f ca="1">IFERROR(__xludf.DUMMYFUNCTION("""COMPUTED_VALUE"""),41733.6666666666)</f>
        <v>41733.666666666599</v>
      </c>
      <c r="B950" s="1">
        <f ca="1">IFERROR(__xludf.DUMMYFUNCTION("""COMPUTED_VALUE"""),14.15)</f>
        <v>14.15</v>
      </c>
    </row>
    <row r="951" spans="1:2">
      <c r="A951" s="3">
        <f ca="1">IFERROR(__xludf.DUMMYFUNCTION("""COMPUTED_VALUE"""),41736.6666666666)</f>
        <v>41736.666666666599</v>
      </c>
      <c r="B951" s="1">
        <f ca="1">IFERROR(__xludf.DUMMYFUNCTION("""COMPUTED_VALUE"""),13.83)</f>
        <v>13.83</v>
      </c>
    </row>
    <row r="952" spans="1:2">
      <c r="A952" s="3">
        <f ca="1">IFERROR(__xludf.DUMMYFUNCTION("""COMPUTED_VALUE"""),41737.6666666666)</f>
        <v>41737.666666666599</v>
      </c>
      <c r="B952" s="1">
        <f ca="1">IFERROR(__xludf.DUMMYFUNCTION("""COMPUTED_VALUE"""),14.36)</f>
        <v>14.36</v>
      </c>
    </row>
    <row r="953" spans="1:2">
      <c r="A953" s="3">
        <f ca="1">IFERROR(__xludf.DUMMYFUNCTION("""COMPUTED_VALUE"""),41738.6666666666)</f>
        <v>41738.666666666599</v>
      </c>
      <c r="B953" s="1">
        <f ca="1">IFERROR(__xludf.DUMMYFUNCTION("""COMPUTED_VALUE"""),14.46)</f>
        <v>14.46</v>
      </c>
    </row>
    <row r="954" spans="1:2">
      <c r="A954" s="3">
        <f ca="1">IFERROR(__xludf.DUMMYFUNCTION("""COMPUTED_VALUE"""),41739.6666666666)</f>
        <v>41739.666666666599</v>
      </c>
      <c r="B954" s="1">
        <f ca="1">IFERROR(__xludf.DUMMYFUNCTION("""COMPUTED_VALUE"""),13.61)</f>
        <v>13.61</v>
      </c>
    </row>
    <row r="955" spans="1:2">
      <c r="A955" s="3">
        <f ca="1">IFERROR(__xludf.DUMMYFUNCTION("""COMPUTED_VALUE"""),41740.6666666666)</f>
        <v>41740.666666666599</v>
      </c>
      <c r="B955" s="1">
        <f ca="1">IFERROR(__xludf.DUMMYFUNCTION("""COMPUTED_VALUE"""),13.59)</f>
        <v>13.59</v>
      </c>
    </row>
    <row r="956" spans="1:2">
      <c r="A956" s="3">
        <f ca="1">IFERROR(__xludf.DUMMYFUNCTION("""COMPUTED_VALUE"""),41743.6666666666)</f>
        <v>41743.666666666599</v>
      </c>
      <c r="B956" s="1">
        <f ca="1">IFERROR(__xludf.DUMMYFUNCTION("""COMPUTED_VALUE"""),13.21)</f>
        <v>13.21</v>
      </c>
    </row>
    <row r="957" spans="1:2">
      <c r="A957" s="3">
        <f ca="1">IFERROR(__xludf.DUMMYFUNCTION("""COMPUTED_VALUE"""),41744.6666666666)</f>
        <v>41744.666666666599</v>
      </c>
      <c r="B957" s="1">
        <f ca="1">IFERROR(__xludf.DUMMYFUNCTION("""COMPUTED_VALUE"""),12.93)</f>
        <v>12.93</v>
      </c>
    </row>
    <row r="958" spans="1:2">
      <c r="A958" s="3">
        <f ca="1">IFERROR(__xludf.DUMMYFUNCTION("""COMPUTED_VALUE"""),41745.6666666666)</f>
        <v>41745.666666666599</v>
      </c>
      <c r="B958" s="1">
        <f ca="1">IFERROR(__xludf.DUMMYFUNCTION("""COMPUTED_VALUE"""),13.27)</f>
        <v>13.27</v>
      </c>
    </row>
    <row r="959" spans="1:2">
      <c r="A959" s="3">
        <f ca="1">IFERROR(__xludf.DUMMYFUNCTION("""COMPUTED_VALUE"""),41746.6666666666)</f>
        <v>41746.666666666599</v>
      </c>
      <c r="B959" s="1">
        <f ca="1">IFERROR(__xludf.DUMMYFUNCTION("""COMPUTED_VALUE"""),13.21)</f>
        <v>13.21</v>
      </c>
    </row>
    <row r="960" spans="1:2">
      <c r="A960" s="3">
        <f ca="1">IFERROR(__xludf.DUMMYFUNCTION("""COMPUTED_VALUE"""),41750.6666666666)</f>
        <v>41750.666666666599</v>
      </c>
      <c r="B960" s="1">
        <f ca="1">IFERROR(__xludf.DUMMYFUNCTION("""COMPUTED_VALUE"""),13.63)</f>
        <v>13.63</v>
      </c>
    </row>
    <row r="961" spans="1:2">
      <c r="A961" s="3">
        <f ca="1">IFERROR(__xludf.DUMMYFUNCTION("""COMPUTED_VALUE"""),41751.6666666666)</f>
        <v>41751.666666666599</v>
      </c>
      <c r="B961" s="1">
        <f ca="1">IFERROR(__xludf.DUMMYFUNCTION("""COMPUTED_VALUE"""),14.58)</f>
        <v>14.58</v>
      </c>
    </row>
    <row r="962" spans="1:2">
      <c r="A962" s="3">
        <f ca="1">IFERROR(__xludf.DUMMYFUNCTION("""COMPUTED_VALUE"""),41752.6666666666)</f>
        <v>41752.666666666599</v>
      </c>
      <c r="B962" s="1">
        <f ca="1">IFERROR(__xludf.DUMMYFUNCTION("""COMPUTED_VALUE"""),13.87)</f>
        <v>13.87</v>
      </c>
    </row>
    <row r="963" spans="1:2">
      <c r="A963" s="3">
        <f ca="1">IFERROR(__xludf.DUMMYFUNCTION("""COMPUTED_VALUE"""),41753.6666666666)</f>
        <v>41753.666666666599</v>
      </c>
      <c r="B963" s="1">
        <f ca="1">IFERROR(__xludf.DUMMYFUNCTION("""COMPUTED_VALUE"""),13.86)</f>
        <v>13.86</v>
      </c>
    </row>
    <row r="964" spans="1:2">
      <c r="A964" s="3">
        <f ca="1">IFERROR(__xludf.DUMMYFUNCTION("""COMPUTED_VALUE"""),41754.6666666666)</f>
        <v>41754.666666666599</v>
      </c>
      <c r="B964" s="1">
        <f ca="1">IFERROR(__xludf.DUMMYFUNCTION("""COMPUTED_VALUE"""),13.32)</f>
        <v>13.32</v>
      </c>
    </row>
    <row r="965" spans="1:2">
      <c r="A965" s="3">
        <f ca="1">IFERROR(__xludf.DUMMYFUNCTION("""COMPUTED_VALUE"""),41757.6666666666)</f>
        <v>41757.666666666599</v>
      </c>
      <c r="B965" s="1">
        <f ca="1">IFERROR(__xludf.DUMMYFUNCTION("""COMPUTED_VALUE"""),13.23)</f>
        <v>13.23</v>
      </c>
    </row>
    <row r="966" spans="1:2">
      <c r="A966" s="3">
        <f ca="1">IFERROR(__xludf.DUMMYFUNCTION("""COMPUTED_VALUE"""),41758.6666666666)</f>
        <v>41758.666666666599</v>
      </c>
      <c r="B966" s="1">
        <f ca="1">IFERROR(__xludf.DUMMYFUNCTION("""COMPUTED_VALUE"""),13.79)</f>
        <v>13.79</v>
      </c>
    </row>
    <row r="967" spans="1:2">
      <c r="A967" s="3">
        <f ca="1">IFERROR(__xludf.DUMMYFUNCTION("""COMPUTED_VALUE"""),41759.6666666666)</f>
        <v>41759.666666666599</v>
      </c>
      <c r="B967" s="1">
        <f ca="1">IFERROR(__xludf.DUMMYFUNCTION("""COMPUTED_VALUE"""),13.86)</f>
        <v>13.86</v>
      </c>
    </row>
    <row r="968" spans="1:2">
      <c r="A968" s="3">
        <f ca="1">IFERROR(__xludf.DUMMYFUNCTION("""COMPUTED_VALUE"""),41760.6666666666)</f>
        <v>41760.666666666599</v>
      </c>
      <c r="B968" s="1">
        <f ca="1">IFERROR(__xludf.DUMMYFUNCTION("""COMPUTED_VALUE"""),13.85)</f>
        <v>13.85</v>
      </c>
    </row>
    <row r="969" spans="1:2">
      <c r="A969" s="3">
        <f ca="1">IFERROR(__xludf.DUMMYFUNCTION("""COMPUTED_VALUE"""),41761.6666666666)</f>
        <v>41761.666666666599</v>
      </c>
      <c r="B969" s="1">
        <f ca="1">IFERROR(__xludf.DUMMYFUNCTION("""COMPUTED_VALUE"""),14.06)</f>
        <v>14.06</v>
      </c>
    </row>
    <row r="970" spans="1:2">
      <c r="A970" s="3">
        <f ca="1">IFERROR(__xludf.DUMMYFUNCTION("""COMPUTED_VALUE"""),41764.6666666666)</f>
        <v>41764.666666666599</v>
      </c>
      <c r="B970" s="1">
        <f ca="1">IFERROR(__xludf.DUMMYFUNCTION("""COMPUTED_VALUE"""),14.44)</f>
        <v>14.44</v>
      </c>
    </row>
    <row r="971" spans="1:2">
      <c r="A971" s="3">
        <f ca="1">IFERROR(__xludf.DUMMYFUNCTION("""COMPUTED_VALUE"""),41765.6666666666)</f>
        <v>41765.666666666599</v>
      </c>
      <c r="B971" s="1">
        <f ca="1">IFERROR(__xludf.DUMMYFUNCTION("""COMPUTED_VALUE"""),13.82)</f>
        <v>13.82</v>
      </c>
    </row>
    <row r="972" spans="1:2">
      <c r="A972" s="3">
        <f ca="1">IFERROR(__xludf.DUMMYFUNCTION("""COMPUTED_VALUE"""),41766.6666666666)</f>
        <v>41766.666666666599</v>
      </c>
      <c r="B972" s="1">
        <f ca="1">IFERROR(__xludf.DUMMYFUNCTION("""COMPUTED_VALUE"""),13.42)</f>
        <v>13.42</v>
      </c>
    </row>
    <row r="973" spans="1:2">
      <c r="A973" s="3">
        <f ca="1">IFERROR(__xludf.DUMMYFUNCTION("""COMPUTED_VALUE"""),41767.6666666666)</f>
        <v>41767.666666666599</v>
      </c>
      <c r="B973" s="1">
        <f ca="1">IFERROR(__xludf.DUMMYFUNCTION("""COMPUTED_VALUE"""),11.91)</f>
        <v>11.91</v>
      </c>
    </row>
    <row r="974" spans="1:2">
      <c r="A974" s="3">
        <f ca="1">IFERROR(__xludf.DUMMYFUNCTION("""COMPUTED_VALUE"""),41768.6666666666)</f>
        <v>41768.666666666599</v>
      </c>
      <c r="B974" s="1">
        <f ca="1">IFERROR(__xludf.DUMMYFUNCTION("""COMPUTED_VALUE"""),12.15)</f>
        <v>12.15</v>
      </c>
    </row>
    <row r="975" spans="1:2">
      <c r="A975" s="3">
        <f ca="1">IFERROR(__xludf.DUMMYFUNCTION("""COMPUTED_VALUE"""),41771.6666666666)</f>
        <v>41771.666666666599</v>
      </c>
      <c r="B975" s="1">
        <f ca="1">IFERROR(__xludf.DUMMYFUNCTION("""COMPUTED_VALUE"""),12.31)</f>
        <v>12.31</v>
      </c>
    </row>
    <row r="976" spans="1:2">
      <c r="A976" s="3">
        <f ca="1">IFERROR(__xludf.DUMMYFUNCTION("""COMPUTED_VALUE"""),41772.6666666666)</f>
        <v>41772.666666666599</v>
      </c>
      <c r="B976" s="1">
        <f ca="1">IFERROR(__xludf.DUMMYFUNCTION("""COMPUTED_VALUE"""),12.68)</f>
        <v>12.68</v>
      </c>
    </row>
    <row r="977" spans="1:2">
      <c r="A977" s="3">
        <f ca="1">IFERROR(__xludf.DUMMYFUNCTION("""COMPUTED_VALUE"""),41773.6666666666)</f>
        <v>41773.666666666599</v>
      </c>
      <c r="B977" s="1">
        <f ca="1">IFERROR(__xludf.DUMMYFUNCTION("""COMPUTED_VALUE"""),12.71)</f>
        <v>12.71</v>
      </c>
    </row>
    <row r="978" spans="1:2">
      <c r="A978" s="3">
        <f ca="1">IFERROR(__xludf.DUMMYFUNCTION("""COMPUTED_VALUE"""),41774.6666666666)</f>
        <v>41774.666666666599</v>
      </c>
      <c r="B978" s="1">
        <f ca="1">IFERROR(__xludf.DUMMYFUNCTION("""COMPUTED_VALUE"""),12.57)</f>
        <v>12.57</v>
      </c>
    </row>
    <row r="979" spans="1:2">
      <c r="A979" s="3">
        <f ca="1">IFERROR(__xludf.DUMMYFUNCTION("""COMPUTED_VALUE"""),41775.6666666666)</f>
        <v>41775.666666666599</v>
      </c>
      <c r="B979" s="1">
        <f ca="1">IFERROR(__xludf.DUMMYFUNCTION("""COMPUTED_VALUE"""),12.77)</f>
        <v>12.77</v>
      </c>
    </row>
    <row r="980" spans="1:2">
      <c r="A980" s="3">
        <f ca="1">IFERROR(__xludf.DUMMYFUNCTION("""COMPUTED_VALUE"""),41778.6666666666)</f>
        <v>41778.666666666599</v>
      </c>
      <c r="B980" s="1">
        <f ca="1">IFERROR(__xludf.DUMMYFUNCTION("""COMPUTED_VALUE"""),13.07)</f>
        <v>13.07</v>
      </c>
    </row>
    <row r="981" spans="1:2">
      <c r="A981" s="3">
        <f ca="1">IFERROR(__xludf.DUMMYFUNCTION("""COMPUTED_VALUE"""),41779.6666666666)</f>
        <v>41779.666666666599</v>
      </c>
      <c r="B981" s="1">
        <f ca="1">IFERROR(__xludf.DUMMYFUNCTION("""COMPUTED_VALUE"""),13.02)</f>
        <v>13.02</v>
      </c>
    </row>
    <row r="982" spans="1:2">
      <c r="A982" s="3">
        <f ca="1">IFERROR(__xludf.DUMMYFUNCTION("""COMPUTED_VALUE"""),41780.6666666666)</f>
        <v>41780.666666666599</v>
      </c>
      <c r="B982" s="1">
        <f ca="1">IFERROR(__xludf.DUMMYFUNCTION("""COMPUTED_VALUE"""),13.3)</f>
        <v>13.3</v>
      </c>
    </row>
    <row r="983" spans="1:2">
      <c r="A983" s="3">
        <f ca="1">IFERROR(__xludf.DUMMYFUNCTION("""COMPUTED_VALUE"""),41781.6666666666)</f>
        <v>41781.666666666599</v>
      </c>
      <c r="B983" s="1">
        <f ca="1">IFERROR(__xludf.DUMMYFUNCTION("""COMPUTED_VALUE"""),13.66)</f>
        <v>13.66</v>
      </c>
    </row>
    <row r="984" spans="1:2">
      <c r="A984" s="3">
        <f ca="1">IFERROR(__xludf.DUMMYFUNCTION("""COMPUTED_VALUE"""),41782.6666666666)</f>
        <v>41782.666666666599</v>
      </c>
      <c r="B984" s="1">
        <f ca="1">IFERROR(__xludf.DUMMYFUNCTION("""COMPUTED_VALUE"""),13.82)</f>
        <v>13.82</v>
      </c>
    </row>
    <row r="985" spans="1:2">
      <c r="A985" s="3">
        <f ca="1">IFERROR(__xludf.DUMMYFUNCTION("""COMPUTED_VALUE"""),41786.6666666666)</f>
        <v>41786.666666666599</v>
      </c>
      <c r="B985" s="1">
        <f ca="1">IFERROR(__xludf.DUMMYFUNCTION("""COMPUTED_VALUE"""),14.1)</f>
        <v>14.1</v>
      </c>
    </row>
    <row r="986" spans="1:2">
      <c r="A986" s="3">
        <f ca="1">IFERROR(__xludf.DUMMYFUNCTION("""COMPUTED_VALUE"""),41787.6666666666)</f>
        <v>41787.666666666599</v>
      </c>
      <c r="B986" s="1">
        <f ca="1">IFERROR(__xludf.DUMMYFUNCTION("""COMPUTED_VALUE"""),14.02)</f>
        <v>14.02</v>
      </c>
    </row>
    <row r="987" spans="1:2">
      <c r="A987" s="3">
        <f ca="1">IFERROR(__xludf.DUMMYFUNCTION("""COMPUTED_VALUE"""),41788.6666666666)</f>
        <v>41788.666666666599</v>
      </c>
      <c r="B987" s="1">
        <f ca="1">IFERROR(__xludf.DUMMYFUNCTION("""COMPUTED_VALUE"""),14.02)</f>
        <v>14.02</v>
      </c>
    </row>
    <row r="988" spans="1:2">
      <c r="A988" s="3">
        <f ca="1">IFERROR(__xludf.DUMMYFUNCTION("""COMPUTED_VALUE"""),41789.6666666666)</f>
        <v>41789.666666666599</v>
      </c>
      <c r="B988" s="1">
        <f ca="1">IFERROR(__xludf.DUMMYFUNCTION("""COMPUTED_VALUE"""),13.85)</f>
        <v>13.85</v>
      </c>
    </row>
    <row r="989" spans="1:2">
      <c r="A989" s="3">
        <f ca="1">IFERROR(__xludf.DUMMYFUNCTION("""COMPUTED_VALUE"""),41792.6666666666)</f>
        <v>41792.666666666599</v>
      </c>
      <c r="B989" s="1">
        <f ca="1">IFERROR(__xludf.DUMMYFUNCTION("""COMPUTED_VALUE"""),13.65)</f>
        <v>13.65</v>
      </c>
    </row>
    <row r="990" spans="1:2">
      <c r="A990" s="3">
        <f ca="1">IFERROR(__xludf.DUMMYFUNCTION("""COMPUTED_VALUE"""),41793.6666666666)</f>
        <v>41793.666666666599</v>
      </c>
      <c r="B990" s="1">
        <f ca="1">IFERROR(__xludf.DUMMYFUNCTION("""COMPUTED_VALUE"""),13.66)</f>
        <v>13.66</v>
      </c>
    </row>
    <row r="991" spans="1:2">
      <c r="A991" s="3">
        <f ca="1">IFERROR(__xludf.DUMMYFUNCTION("""COMPUTED_VALUE"""),41794.6666666666)</f>
        <v>41794.666666666599</v>
      </c>
      <c r="B991" s="1">
        <f ca="1">IFERROR(__xludf.DUMMYFUNCTION("""COMPUTED_VALUE"""),13.6)</f>
        <v>13.6</v>
      </c>
    </row>
    <row r="992" spans="1:2">
      <c r="A992" s="3">
        <f ca="1">IFERROR(__xludf.DUMMYFUNCTION("""COMPUTED_VALUE"""),41795.6666666666)</f>
        <v>41795.666666666599</v>
      </c>
      <c r="B992" s="1">
        <f ca="1">IFERROR(__xludf.DUMMYFUNCTION("""COMPUTED_VALUE"""),13.79)</f>
        <v>13.79</v>
      </c>
    </row>
    <row r="993" spans="1:2">
      <c r="A993" s="3">
        <f ca="1">IFERROR(__xludf.DUMMYFUNCTION("""COMPUTED_VALUE"""),41796.6666666666)</f>
        <v>41796.666666666599</v>
      </c>
      <c r="B993" s="1">
        <f ca="1">IFERROR(__xludf.DUMMYFUNCTION("""COMPUTED_VALUE"""),13.88)</f>
        <v>13.88</v>
      </c>
    </row>
    <row r="994" spans="1:2">
      <c r="A994" s="3">
        <f ca="1">IFERROR(__xludf.DUMMYFUNCTION("""COMPUTED_VALUE"""),41799.6666666666)</f>
        <v>41799.666666666599</v>
      </c>
      <c r="B994" s="1">
        <f ca="1">IFERROR(__xludf.DUMMYFUNCTION("""COMPUTED_VALUE"""),13.69)</f>
        <v>13.69</v>
      </c>
    </row>
    <row r="995" spans="1:2">
      <c r="A995" s="3">
        <f ca="1">IFERROR(__xludf.DUMMYFUNCTION("""COMPUTED_VALUE"""),41800.6666666666)</f>
        <v>41800.666666666599</v>
      </c>
      <c r="B995" s="1">
        <f ca="1">IFERROR(__xludf.DUMMYFUNCTION("""COMPUTED_VALUE"""),13.49)</f>
        <v>13.49</v>
      </c>
    </row>
    <row r="996" spans="1:2">
      <c r="A996" s="3">
        <f ca="1">IFERROR(__xludf.DUMMYFUNCTION("""COMPUTED_VALUE"""),41801.6666666666)</f>
        <v>41801.666666666599</v>
      </c>
      <c r="B996" s="1">
        <f ca="1">IFERROR(__xludf.DUMMYFUNCTION("""COMPUTED_VALUE"""),13.63)</f>
        <v>13.63</v>
      </c>
    </row>
    <row r="997" spans="1:2">
      <c r="A997" s="3">
        <f ca="1">IFERROR(__xludf.DUMMYFUNCTION("""COMPUTED_VALUE"""),41802.6666666666)</f>
        <v>41802.666666666599</v>
      </c>
      <c r="B997" s="1">
        <f ca="1">IFERROR(__xludf.DUMMYFUNCTION("""COMPUTED_VALUE"""),13.57)</f>
        <v>13.57</v>
      </c>
    </row>
    <row r="998" spans="1:2">
      <c r="A998" s="3">
        <f ca="1">IFERROR(__xludf.DUMMYFUNCTION("""COMPUTED_VALUE"""),41803.6666666666)</f>
        <v>41803.666666666599</v>
      </c>
      <c r="B998" s="1">
        <f ca="1">IFERROR(__xludf.DUMMYFUNCTION("""COMPUTED_VALUE"""),13.76)</f>
        <v>13.76</v>
      </c>
    </row>
    <row r="999" spans="1:2">
      <c r="A999" s="3">
        <f ca="1">IFERROR(__xludf.DUMMYFUNCTION("""COMPUTED_VALUE"""),41806.6666666666)</f>
        <v>41806.666666666599</v>
      </c>
      <c r="B999" s="1">
        <f ca="1">IFERROR(__xludf.DUMMYFUNCTION("""COMPUTED_VALUE"""),14.97)</f>
        <v>14.97</v>
      </c>
    </row>
    <row r="1000" spans="1:2">
      <c r="A1000" s="3">
        <f ca="1">IFERROR(__xludf.DUMMYFUNCTION("""COMPUTED_VALUE"""),41807.6666666666)</f>
        <v>41807.666666666599</v>
      </c>
      <c r="B1000" s="1">
        <f ca="1">IFERROR(__xludf.DUMMYFUNCTION("""COMPUTED_VALUE"""),15.44)</f>
        <v>15.44</v>
      </c>
    </row>
    <row r="1001" spans="1:2">
      <c r="A1001" s="3">
        <f ca="1">IFERROR(__xludf.DUMMYFUNCTION("""COMPUTED_VALUE"""),41808.6666666666)</f>
        <v>41808.666666666599</v>
      </c>
      <c r="B1001" s="1">
        <f ca="1">IFERROR(__xludf.DUMMYFUNCTION("""COMPUTED_VALUE"""),15.14)</f>
        <v>15.14</v>
      </c>
    </row>
    <row r="1002" spans="1:2">
      <c r="A1002" s="3">
        <f ca="1">IFERROR(__xludf.DUMMYFUNCTION("""COMPUTED_VALUE"""),41809.6666666666)</f>
        <v>41809.666666666599</v>
      </c>
      <c r="B1002" s="1">
        <f ca="1">IFERROR(__xludf.DUMMYFUNCTION("""COMPUTED_VALUE"""),15.19)</f>
        <v>15.19</v>
      </c>
    </row>
    <row r="1003" spans="1:2">
      <c r="A1003" s="3">
        <f ca="1">IFERROR(__xludf.DUMMYFUNCTION("""COMPUTED_VALUE"""),41810.6666666666)</f>
        <v>41810.666666666599</v>
      </c>
      <c r="B1003" s="1">
        <f ca="1">IFERROR(__xludf.DUMMYFUNCTION("""COMPUTED_VALUE"""),15.31)</f>
        <v>15.31</v>
      </c>
    </row>
    <row r="1004" spans="1:2">
      <c r="A1004" s="3">
        <f ca="1">IFERROR(__xludf.DUMMYFUNCTION("""COMPUTED_VALUE"""),41813.6666666666)</f>
        <v>41813.666666666599</v>
      </c>
      <c r="B1004" s="1">
        <f ca="1">IFERROR(__xludf.DUMMYFUNCTION("""COMPUTED_VALUE"""),15.81)</f>
        <v>15.81</v>
      </c>
    </row>
    <row r="1005" spans="1:2">
      <c r="A1005" s="3">
        <f ca="1">IFERROR(__xludf.DUMMYFUNCTION("""COMPUTED_VALUE"""),41814.6666666666)</f>
        <v>41814.666666666599</v>
      </c>
      <c r="B1005" s="1">
        <f ca="1">IFERROR(__xludf.DUMMYFUNCTION("""COMPUTED_VALUE"""),15.5)</f>
        <v>15.5</v>
      </c>
    </row>
    <row r="1006" spans="1:2">
      <c r="A1006" s="3">
        <f ca="1">IFERROR(__xludf.DUMMYFUNCTION("""COMPUTED_VALUE"""),41815.6666666666)</f>
        <v>41815.666666666599</v>
      </c>
      <c r="B1006" s="1">
        <f ca="1">IFERROR(__xludf.DUMMYFUNCTION("""COMPUTED_VALUE"""),15.79)</f>
        <v>15.79</v>
      </c>
    </row>
    <row r="1007" spans="1:2">
      <c r="A1007" s="3">
        <f ca="1">IFERROR(__xludf.DUMMYFUNCTION("""COMPUTED_VALUE"""),41816.6666666666)</f>
        <v>41816.666666666599</v>
      </c>
      <c r="B1007" s="1">
        <f ca="1">IFERROR(__xludf.DUMMYFUNCTION("""COMPUTED_VALUE"""),15.71)</f>
        <v>15.71</v>
      </c>
    </row>
    <row r="1008" spans="1:2">
      <c r="A1008" s="3">
        <f ca="1">IFERROR(__xludf.DUMMYFUNCTION("""COMPUTED_VALUE"""),41817.6666666666)</f>
        <v>41817.666666666599</v>
      </c>
      <c r="B1008" s="1">
        <f ca="1">IFERROR(__xludf.DUMMYFUNCTION("""COMPUTED_VALUE"""),15.94)</f>
        <v>15.94</v>
      </c>
    </row>
    <row r="1009" spans="1:2">
      <c r="A1009" s="3">
        <f ca="1">IFERROR(__xludf.DUMMYFUNCTION("""COMPUTED_VALUE"""),41820.6666666666)</f>
        <v>41820.666666666599</v>
      </c>
      <c r="B1009" s="1">
        <f ca="1">IFERROR(__xludf.DUMMYFUNCTION("""COMPUTED_VALUE"""),16)</f>
        <v>16</v>
      </c>
    </row>
    <row r="1010" spans="1:2">
      <c r="A1010" s="3">
        <f ca="1">IFERROR(__xludf.DUMMYFUNCTION("""COMPUTED_VALUE"""),41821.6666666666)</f>
        <v>41821.666666666599</v>
      </c>
      <c r="B1010" s="1">
        <f ca="1">IFERROR(__xludf.DUMMYFUNCTION("""COMPUTED_VALUE"""),15.98)</f>
        <v>15.98</v>
      </c>
    </row>
    <row r="1011" spans="1:2">
      <c r="A1011" s="3">
        <f ca="1">IFERROR(__xludf.DUMMYFUNCTION("""COMPUTED_VALUE"""),41822.6666666666)</f>
        <v>41822.666666666599</v>
      </c>
      <c r="B1011" s="1">
        <f ca="1">IFERROR(__xludf.DUMMYFUNCTION("""COMPUTED_VALUE"""),15.3)</f>
        <v>15.3</v>
      </c>
    </row>
    <row r="1012" spans="1:2">
      <c r="A1012" s="3">
        <f ca="1">IFERROR(__xludf.DUMMYFUNCTION("""COMPUTED_VALUE"""),41823.6666666666)</f>
        <v>41823.666666666599</v>
      </c>
      <c r="B1012" s="1">
        <f ca="1">IFERROR(__xludf.DUMMYFUNCTION("""COMPUTED_VALUE"""),15.28)</f>
        <v>15.28</v>
      </c>
    </row>
    <row r="1013" spans="1:2">
      <c r="A1013" s="3">
        <f ca="1">IFERROR(__xludf.DUMMYFUNCTION("""COMPUTED_VALUE"""),41827.6666666666)</f>
        <v>41827.666666666599</v>
      </c>
      <c r="B1013" s="1">
        <f ca="1">IFERROR(__xludf.DUMMYFUNCTION("""COMPUTED_VALUE"""),14.84)</f>
        <v>14.84</v>
      </c>
    </row>
    <row r="1014" spans="1:2">
      <c r="A1014" s="3">
        <f ca="1">IFERROR(__xludf.DUMMYFUNCTION("""COMPUTED_VALUE"""),41828.6666666666)</f>
        <v>41828.666666666599</v>
      </c>
      <c r="B1014" s="1">
        <f ca="1">IFERROR(__xludf.DUMMYFUNCTION("""COMPUTED_VALUE"""),14.6)</f>
        <v>14.6</v>
      </c>
    </row>
    <row r="1015" spans="1:2">
      <c r="A1015" s="3">
        <f ca="1">IFERROR(__xludf.DUMMYFUNCTION("""COMPUTED_VALUE"""),41829.6666666666)</f>
        <v>41829.666666666599</v>
      </c>
      <c r="B1015" s="1">
        <f ca="1">IFERROR(__xludf.DUMMYFUNCTION("""COMPUTED_VALUE"""),14.87)</f>
        <v>14.87</v>
      </c>
    </row>
    <row r="1016" spans="1:2">
      <c r="A1016" s="3">
        <f ca="1">IFERROR(__xludf.DUMMYFUNCTION("""COMPUTED_VALUE"""),41830.6666666666)</f>
        <v>41830.666666666599</v>
      </c>
      <c r="B1016" s="1">
        <f ca="1">IFERROR(__xludf.DUMMYFUNCTION("""COMPUTED_VALUE"""),14.63)</f>
        <v>14.63</v>
      </c>
    </row>
    <row r="1017" spans="1:2">
      <c r="A1017" s="3">
        <f ca="1">IFERROR(__xludf.DUMMYFUNCTION("""COMPUTED_VALUE"""),41831.6666666666)</f>
        <v>41831.666666666599</v>
      </c>
      <c r="B1017" s="1">
        <f ca="1">IFERROR(__xludf.DUMMYFUNCTION("""COMPUTED_VALUE"""),14.54)</f>
        <v>14.54</v>
      </c>
    </row>
    <row r="1018" spans="1:2">
      <c r="A1018" s="3">
        <f ca="1">IFERROR(__xludf.DUMMYFUNCTION("""COMPUTED_VALUE"""),41834.6666666666)</f>
        <v>41834.666666666599</v>
      </c>
      <c r="B1018" s="1">
        <f ca="1">IFERROR(__xludf.DUMMYFUNCTION("""COMPUTED_VALUE"""),15.11)</f>
        <v>15.11</v>
      </c>
    </row>
    <row r="1019" spans="1:2">
      <c r="A1019" s="3">
        <f ca="1">IFERROR(__xludf.DUMMYFUNCTION("""COMPUTED_VALUE"""),41835.6666666666)</f>
        <v>41835.666666666599</v>
      </c>
      <c r="B1019" s="1">
        <f ca="1">IFERROR(__xludf.DUMMYFUNCTION("""COMPUTED_VALUE"""),14.64)</f>
        <v>14.64</v>
      </c>
    </row>
    <row r="1020" spans="1:2">
      <c r="A1020" s="3">
        <f ca="1">IFERROR(__xludf.DUMMYFUNCTION("""COMPUTED_VALUE"""),41836.6666666666)</f>
        <v>41836.666666666599</v>
      </c>
      <c r="B1020" s="1">
        <f ca="1">IFERROR(__xludf.DUMMYFUNCTION("""COMPUTED_VALUE"""),14.48)</f>
        <v>14.48</v>
      </c>
    </row>
    <row r="1021" spans="1:2">
      <c r="A1021" s="3">
        <f ca="1">IFERROR(__xludf.DUMMYFUNCTION("""COMPUTED_VALUE"""),41837.6666666666)</f>
        <v>41837.666666666599</v>
      </c>
      <c r="B1021" s="1">
        <f ca="1">IFERROR(__xludf.DUMMYFUNCTION("""COMPUTED_VALUE"""),14.36)</f>
        <v>14.36</v>
      </c>
    </row>
    <row r="1022" spans="1:2">
      <c r="A1022" s="3">
        <f ca="1">IFERROR(__xludf.DUMMYFUNCTION("""COMPUTED_VALUE"""),41838.6666666666)</f>
        <v>41838.666666666599</v>
      </c>
      <c r="B1022" s="1">
        <f ca="1">IFERROR(__xludf.DUMMYFUNCTION("""COMPUTED_VALUE"""),14.67)</f>
        <v>14.67</v>
      </c>
    </row>
    <row r="1023" spans="1:2">
      <c r="A1023" s="3">
        <f ca="1">IFERROR(__xludf.DUMMYFUNCTION("""COMPUTED_VALUE"""),41841.6666666666)</f>
        <v>41841.666666666599</v>
      </c>
      <c r="B1023" s="1">
        <f ca="1">IFERROR(__xludf.DUMMYFUNCTION("""COMPUTED_VALUE"""),14.7)</f>
        <v>14.7</v>
      </c>
    </row>
    <row r="1024" spans="1:2">
      <c r="A1024" s="3">
        <f ca="1">IFERROR(__xludf.DUMMYFUNCTION("""COMPUTED_VALUE"""),41842.6666666666)</f>
        <v>41842.666666666599</v>
      </c>
      <c r="B1024" s="1">
        <f ca="1">IFERROR(__xludf.DUMMYFUNCTION("""COMPUTED_VALUE"""),14.64)</f>
        <v>14.64</v>
      </c>
    </row>
    <row r="1025" spans="1:2">
      <c r="A1025" s="3">
        <f ca="1">IFERROR(__xludf.DUMMYFUNCTION("""COMPUTED_VALUE"""),41843.6666666666)</f>
        <v>41843.666666666599</v>
      </c>
      <c r="B1025" s="1">
        <f ca="1">IFERROR(__xludf.DUMMYFUNCTION("""COMPUTED_VALUE"""),14.83)</f>
        <v>14.83</v>
      </c>
    </row>
    <row r="1026" spans="1:2">
      <c r="A1026" s="3">
        <f ca="1">IFERROR(__xludf.DUMMYFUNCTION("""COMPUTED_VALUE"""),41844.6666666666)</f>
        <v>41844.666666666599</v>
      </c>
      <c r="B1026" s="1">
        <f ca="1">IFERROR(__xludf.DUMMYFUNCTION("""COMPUTED_VALUE"""),14.9)</f>
        <v>14.9</v>
      </c>
    </row>
    <row r="1027" spans="1:2">
      <c r="A1027" s="3">
        <f ca="1">IFERROR(__xludf.DUMMYFUNCTION("""COMPUTED_VALUE"""),41845.6666666666)</f>
        <v>41845.666666666599</v>
      </c>
      <c r="B1027" s="1">
        <f ca="1">IFERROR(__xludf.DUMMYFUNCTION("""COMPUTED_VALUE"""),14.9)</f>
        <v>14.9</v>
      </c>
    </row>
    <row r="1028" spans="1:2">
      <c r="A1028" s="3">
        <f ca="1">IFERROR(__xludf.DUMMYFUNCTION("""COMPUTED_VALUE"""),41848.6666666666)</f>
        <v>41848.666666666599</v>
      </c>
      <c r="B1028" s="1">
        <f ca="1">IFERROR(__xludf.DUMMYFUNCTION("""COMPUTED_VALUE"""),14.99)</f>
        <v>14.99</v>
      </c>
    </row>
    <row r="1029" spans="1:2">
      <c r="A1029" s="3">
        <f ca="1">IFERROR(__xludf.DUMMYFUNCTION("""COMPUTED_VALUE"""),41849.6666666666)</f>
        <v>41849.666666666599</v>
      </c>
      <c r="B1029" s="1">
        <f ca="1">IFERROR(__xludf.DUMMYFUNCTION("""COMPUTED_VALUE"""),15)</f>
        <v>15</v>
      </c>
    </row>
    <row r="1030" spans="1:2">
      <c r="A1030" s="3">
        <f ca="1">IFERROR(__xludf.DUMMYFUNCTION("""COMPUTED_VALUE"""),41850.6666666666)</f>
        <v>41850.666666666599</v>
      </c>
      <c r="B1030" s="1">
        <f ca="1">IFERROR(__xludf.DUMMYFUNCTION("""COMPUTED_VALUE"""),15.26)</f>
        <v>15.26</v>
      </c>
    </row>
    <row r="1031" spans="1:2">
      <c r="A1031" s="3">
        <f ca="1">IFERROR(__xludf.DUMMYFUNCTION("""COMPUTED_VALUE"""),41851.6666666666)</f>
        <v>41851.666666666599</v>
      </c>
      <c r="B1031" s="1">
        <f ca="1">IFERROR(__xludf.DUMMYFUNCTION("""COMPUTED_VALUE"""),14.89)</f>
        <v>14.89</v>
      </c>
    </row>
    <row r="1032" spans="1:2">
      <c r="A1032" s="3">
        <f ca="1">IFERROR(__xludf.DUMMYFUNCTION("""COMPUTED_VALUE"""),41852.6666666666)</f>
        <v>41852.666666666599</v>
      </c>
      <c r="B1032" s="1">
        <f ca="1">IFERROR(__xludf.DUMMYFUNCTION("""COMPUTED_VALUE"""),15.55)</f>
        <v>15.55</v>
      </c>
    </row>
    <row r="1033" spans="1:2">
      <c r="A1033" s="3">
        <f ca="1">IFERROR(__xludf.DUMMYFUNCTION("""COMPUTED_VALUE"""),41855.6666666666)</f>
        <v>41855.666666666599</v>
      </c>
      <c r="B1033" s="1">
        <f ca="1">IFERROR(__xludf.DUMMYFUNCTION("""COMPUTED_VALUE"""),15.9)</f>
        <v>15.9</v>
      </c>
    </row>
    <row r="1034" spans="1:2">
      <c r="A1034" s="3">
        <f ca="1">IFERROR(__xludf.DUMMYFUNCTION("""COMPUTED_VALUE"""),41856.6666666666)</f>
        <v>41856.666666666599</v>
      </c>
      <c r="B1034" s="1">
        <f ca="1">IFERROR(__xludf.DUMMYFUNCTION("""COMPUTED_VALUE"""),15.9)</f>
        <v>15.9</v>
      </c>
    </row>
    <row r="1035" spans="1:2">
      <c r="A1035" s="3">
        <f ca="1">IFERROR(__xludf.DUMMYFUNCTION("""COMPUTED_VALUE"""),41857.6666666666)</f>
        <v>41857.666666666599</v>
      </c>
      <c r="B1035" s="1">
        <f ca="1">IFERROR(__xludf.DUMMYFUNCTION("""COMPUTED_VALUE"""),16.6)</f>
        <v>16.600000000000001</v>
      </c>
    </row>
    <row r="1036" spans="1:2">
      <c r="A1036" s="3">
        <f ca="1">IFERROR(__xludf.DUMMYFUNCTION("""COMPUTED_VALUE"""),41858.6666666666)</f>
        <v>41858.666666666599</v>
      </c>
      <c r="B1036" s="1">
        <f ca="1">IFERROR(__xludf.DUMMYFUNCTION("""COMPUTED_VALUE"""),16.83)</f>
        <v>16.829999999999998</v>
      </c>
    </row>
    <row r="1037" spans="1:2">
      <c r="A1037" s="3">
        <f ca="1">IFERROR(__xludf.DUMMYFUNCTION("""COMPUTED_VALUE"""),41859.6666666666)</f>
        <v>41859.666666666599</v>
      </c>
      <c r="B1037" s="1">
        <f ca="1">IFERROR(__xludf.DUMMYFUNCTION("""COMPUTED_VALUE"""),16.54)</f>
        <v>16.54</v>
      </c>
    </row>
    <row r="1038" spans="1:2">
      <c r="A1038" s="3">
        <f ca="1">IFERROR(__xludf.DUMMYFUNCTION("""COMPUTED_VALUE"""),41862.6666666666)</f>
        <v>41862.666666666599</v>
      </c>
      <c r="B1038" s="1">
        <f ca="1">IFERROR(__xludf.DUMMYFUNCTION("""COMPUTED_VALUE"""),17.29)</f>
        <v>17.29</v>
      </c>
    </row>
    <row r="1039" spans="1:2">
      <c r="A1039" s="3">
        <f ca="1">IFERROR(__xludf.DUMMYFUNCTION("""COMPUTED_VALUE"""),41863.6666666666)</f>
        <v>41863.666666666599</v>
      </c>
      <c r="B1039" s="1">
        <f ca="1">IFERROR(__xludf.DUMMYFUNCTION("""COMPUTED_VALUE"""),17.33)</f>
        <v>17.329999999999998</v>
      </c>
    </row>
    <row r="1040" spans="1:2">
      <c r="A1040" s="3">
        <f ca="1">IFERROR(__xludf.DUMMYFUNCTION("""COMPUTED_VALUE"""),41864.6666666666)</f>
        <v>41864.666666666599</v>
      </c>
      <c r="B1040" s="1">
        <f ca="1">IFERROR(__xludf.DUMMYFUNCTION("""COMPUTED_VALUE"""),17.35)</f>
        <v>17.350000000000001</v>
      </c>
    </row>
    <row r="1041" spans="1:2">
      <c r="A1041" s="3">
        <f ca="1">IFERROR(__xludf.DUMMYFUNCTION("""COMPUTED_VALUE"""),41865.6666666666)</f>
        <v>41865.666666666599</v>
      </c>
      <c r="B1041" s="1">
        <f ca="1">IFERROR(__xludf.DUMMYFUNCTION("""COMPUTED_VALUE"""),17.43)</f>
        <v>17.43</v>
      </c>
    </row>
    <row r="1042" spans="1:2">
      <c r="A1042" s="3">
        <f ca="1">IFERROR(__xludf.DUMMYFUNCTION("""COMPUTED_VALUE"""),41866.6666666666)</f>
        <v>41866.666666666599</v>
      </c>
      <c r="B1042" s="1">
        <f ca="1">IFERROR(__xludf.DUMMYFUNCTION("""COMPUTED_VALUE"""),17.47)</f>
        <v>17.47</v>
      </c>
    </row>
    <row r="1043" spans="1:2">
      <c r="A1043" s="3">
        <f ca="1">IFERROR(__xludf.DUMMYFUNCTION("""COMPUTED_VALUE"""),41869.6666666666)</f>
        <v>41869.666666666599</v>
      </c>
      <c r="B1043" s="1">
        <f ca="1">IFERROR(__xludf.DUMMYFUNCTION("""COMPUTED_VALUE"""),17.33)</f>
        <v>17.329999999999998</v>
      </c>
    </row>
    <row r="1044" spans="1:2">
      <c r="A1044" s="3">
        <f ca="1">IFERROR(__xludf.DUMMYFUNCTION("""COMPUTED_VALUE"""),41870.6666666666)</f>
        <v>41870.666666666599</v>
      </c>
      <c r="B1044" s="1">
        <f ca="1">IFERROR(__xludf.DUMMYFUNCTION("""COMPUTED_VALUE"""),17.12)</f>
        <v>17.12</v>
      </c>
    </row>
    <row r="1045" spans="1:2">
      <c r="A1045" s="3">
        <f ca="1">IFERROR(__xludf.DUMMYFUNCTION("""COMPUTED_VALUE"""),41871.6666666666)</f>
        <v>41871.666666666599</v>
      </c>
      <c r="B1045" s="1">
        <f ca="1">IFERROR(__xludf.DUMMYFUNCTION("""COMPUTED_VALUE"""),17.05)</f>
        <v>17.05</v>
      </c>
    </row>
    <row r="1046" spans="1:2">
      <c r="A1046" s="3">
        <f ca="1">IFERROR(__xludf.DUMMYFUNCTION("""COMPUTED_VALUE"""),41872.6666666666)</f>
        <v>41872.666666666599</v>
      </c>
      <c r="B1046" s="1">
        <f ca="1">IFERROR(__xludf.DUMMYFUNCTION("""COMPUTED_VALUE"""),16.96)</f>
        <v>16.96</v>
      </c>
    </row>
    <row r="1047" spans="1:2">
      <c r="A1047" s="3">
        <f ca="1">IFERROR(__xludf.DUMMYFUNCTION("""COMPUTED_VALUE"""),41873.6666666666)</f>
        <v>41873.666666666599</v>
      </c>
      <c r="B1047" s="1">
        <f ca="1">IFERROR(__xludf.DUMMYFUNCTION("""COMPUTED_VALUE"""),17.12)</f>
        <v>17.12</v>
      </c>
    </row>
    <row r="1048" spans="1:2">
      <c r="A1048" s="3">
        <f ca="1">IFERROR(__xludf.DUMMYFUNCTION("""COMPUTED_VALUE"""),41876.6666666666)</f>
        <v>41876.666666666599</v>
      </c>
      <c r="B1048" s="1">
        <f ca="1">IFERROR(__xludf.DUMMYFUNCTION("""COMPUTED_VALUE"""),17.5)</f>
        <v>17.5</v>
      </c>
    </row>
    <row r="1049" spans="1:2">
      <c r="A1049" s="3">
        <f ca="1">IFERROR(__xludf.DUMMYFUNCTION("""COMPUTED_VALUE"""),41877.6666666666)</f>
        <v>41877.666666666599</v>
      </c>
      <c r="B1049" s="1">
        <f ca="1">IFERROR(__xludf.DUMMYFUNCTION("""COMPUTED_VALUE"""),17.45)</f>
        <v>17.45</v>
      </c>
    </row>
    <row r="1050" spans="1:2">
      <c r="A1050" s="3">
        <f ca="1">IFERROR(__xludf.DUMMYFUNCTION("""COMPUTED_VALUE"""),41878.6666666666)</f>
        <v>41878.666666666599</v>
      </c>
      <c r="B1050" s="1">
        <f ca="1">IFERROR(__xludf.DUMMYFUNCTION("""COMPUTED_VALUE"""),17.55)</f>
        <v>17.55</v>
      </c>
    </row>
    <row r="1051" spans="1:2">
      <c r="A1051" s="3">
        <f ca="1">IFERROR(__xludf.DUMMYFUNCTION("""COMPUTED_VALUE"""),41879.6666666666)</f>
        <v>41879.666666666599</v>
      </c>
      <c r="B1051" s="1">
        <f ca="1">IFERROR(__xludf.DUMMYFUNCTION("""COMPUTED_VALUE"""),17.59)</f>
        <v>17.59</v>
      </c>
    </row>
    <row r="1052" spans="1:2">
      <c r="A1052" s="3">
        <f ca="1">IFERROR(__xludf.DUMMYFUNCTION("""COMPUTED_VALUE"""),41880.6666666666)</f>
        <v>41880.666666666599</v>
      </c>
      <c r="B1052" s="1">
        <f ca="1">IFERROR(__xludf.DUMMYFUNCTION("""COMPUTED_VALUE"""),17.98)</f>
        <v>17.98</v>
      </c>
    </row>
    <row r="1053" spans="1:2">
      <c r="A1053" s="3">
        <f ca="1">IFERROR(__xludf.DUMMYFUNCTION("""COMPUTED_VALUE"""),41884.6666666666)</f>
        <v>41884.666666666599</v>
      </c>
      <c r="B1053" s="1">
        <f ca="1">IFERROR(__xludf.DUMMYFUNCTION("""COMPUTED_VALUE"""),18.94)</f>
        <v>18.940000000000001</v>
      </c>
    </row>
    <row r="1054" spans="1:2">
      <c r="A1054" s="3">
        <f ca="1">IFERROR(__xludf.DUMMYFUNCTION("""COMPUTED_VALUE"""),41885.6666666666)</f>
        <v>41885.666666666599</v>
      </c>
      <c r="B1054" s="1">
        <f ca="1">IFERROR(__xludf.DUMMYFUNCTION("""COMPUTED_VALUE"""),18.75)</f>
        <v>18.75</v>
      </c>
    </row>
    <row r="1055" spans="1:2">
      <c r="A1055" s="3">
        <f ca="1">IFERROR(__xludf.DUMMYFUNCTION("""COMPUTED_VALUE"""),41886.6666666666)</f>
        <v>41886.666666666599</v>
      </c>
      <c r="B1055" s="1">
        <f ca="1">IFERROR(__xludf.DUMMYFUNCTION("""COMPUTED_VALUE"""),19.07)</f>
        <v>19.07</v>
      </c>
    </row>
    <row r="1056" spans="1:2">
      <c r="A1056" s="3">
        <f ca="1">IFERROR(__xludf.DUMMYFUNCTION("""COMPUTED_VALUE"""),41887.6666666666)</f>
        <v>41887.666666666599</v>
      </c>
      <c r="B1056" s="1">
        <f ca="1">IFERROR(__xludf.DUMMYFUNCTION("""COMPUTED_VALUE"""),18.49)</f>
        <v>18.489999999999998</v>
      </c>
    </row>
    <row r="1057" spans="1:2">
      <c r="A1057" s="3">
        <f ca="1">IFERROR(__xludf.DUMMYFUNCTION("""COMPUTED_VALUE"""),41890.6666666666)</f>
        <v>41890.666666666599</v>
      </c>
      <c r="B1057" s="1">
        <f ca="1">IFERROR(__xludf.DUMMYFUNCTION("""COMPUTED_VALUE"""),18.81)</f>
        <v>18.809999999999999</v>
      </c>
    </row>
    <row r="1058" spans="1:2">
      <c r="A1058" s="3">
        <f ca="1">IFERROR(__xludf.DUMMYFUNCTION("""COMPUTED_VALUE"""),41891.6666666666)</f>
        <v>41891.666666666599</v>
      </c>
      <c r="B1058" s="1">
        <f ca="1">IFERROR(__xludf.DUMMYFUNCTION("""COMPUTED_VALUE"""),18.57)</f>
        <v>18.57</v>
      </c>
    </row>
    <row r="1059" spans="1:2">
      <c r="A1059" s="3">
        <f ca="1">IFERROR(__xludf.DUMMYFUNCTION("""COMPUTED_VALUE"""),41892.6666666666)</f>
        <v>41892.666666666599</v>
      </c>
      <c r="B1059" s="1">
        <f ca="1">IFERROR(__xludf.DUMMYFUNCTION("""COMPUTED_VALUE"""),18.74)</f>
        <v>18.739999999999998</v>
      </c>
    </row>
    <row r="1060" spans="1:2">
      <c r="A1060" s="3">
        <f ca="1">IFERROR(__xludf.DUMMYFUNCTION("""COMPUTED_VALUE"""),41893.6666666666)</f>
        <v>41893.666666666599</v>
      </c>
      <c r="B1060" s="1">
        <f ca="1">IFERROR(__xludf.DUMMYFUNCTION("""COMPUTED_VALUE"""),18.69)</f>
        <v>18.690000000000001</v>
      </c>
    </row>
    <row r="1061" spans="1:2">
      <c r="A1061" s="3">
        <f ca="1">IFERROR(__xludf.DUMMYFUNCTION("""COMPUTED_VALUE"""),41894.6666666666)</f>
        <v>41894.666666666599</v>
      </c>
      <c r="B1061" s="1">
        <f ca="1">IFERROR(__xludf.DUMMYFUNCTION("""COMPUTED_VALUE"""),18.61)</f>
        <v>18.61</v>
      </c>
    </row>
    <row r="1062" spans="1:2">
      <c r="A1062" s="3">
        <f ca="1">IFERROR(__xludf.DUMMYFUNCTION("""COMPUTED_VALUE"""),41897.6666666666)</f>
        <v>41897.666666666599</v>
      </c>
      <c r="B1062" s="1">
        <f ca="1">IFERROR(__xludf.DUMMYFUNCTION("""COMPUTED_VALUE"""),16.92)</f>
        <v>16.920000000000002</v>
      </c>
    </row>
    <row r="1063" spans="1:2">
      <c r="A1063" s="3">
        <f ca="1">IFERROR(__xludf.DUMMYFUNCTION("""COMPUTED_VALUE"""),41898.6666666666)</f>
        <v>41898.666666666599</v>
      </c>
      <c r="B1063" s="1">
        <f ca="1">IFERROR(__xludf.DUMMYFUNCTION("""COMPUTED_VALUE"""),17.38)</f>
        <v>17.38</v>
      </c>
    </row>
    <row r="1064" spans="1:2">
      <c r="A1064" s="3">
        <f ca="1">IFERROR(__xludf.DUMMYFUNCTION("""COMPUTED_VALUE"""),41899.6666666666)</f>
        <v>41899.666666666599</v>
      </c>
      <c r="B1064" s="1">
        <f ca="1">IFERROR(__xludf.DUMMYFUNCTION("""COMPUTED_VALUE"""),17.43)</f>
        <v>17.43</v>
      </c>
    </row>
    <row r="1065" spans="1:2">
      <c r="A1065" s="3">
        <f ca="1">IFERROR(__xludf.DUMMYFUNCTION("""COMPUTED_VALUE"""),41900.6666666666)</f>
        <v>41900.666666666599</v>
      </c>
      <c r="B1065" s="1">
        <f ca="1">IFERROR(__xludf.DUMMYFUNCTION("""COMPUTED_VALUE"""),17.59)</f>
        <v>17.59</v>
      </c>
    </row>
    <row r="1066" spans="1:2">
      <c r="A1066" s="3">
        <f ca="1">IFERROR(__xludf.DUMMYFUNCTION("""COMPUTED_VALUE"""),41901.6666666666)</f>
        <v>41901.666666666599</v>
      </c>
      <c r="B1066" s="1">
        <f ca="1">IFERROR(__xludf.DUMMYFUNCTION("""COMPUTED_VALUE"""),17.29)</f>
        <v>17.29</v>
      </c>
    </row>
    <row r="1067" spans="1:2">
      <c r="A1067" s="3">
        <f ca="1">IFERROR(__xludf.DUMMYFUNCTION("""COMPUTED_VALUE"""),41904.6666666666)</f>
        <v>41904.666666666599</v>
      </c>
      <c r="B1067" s="1">
        <f ca="1">IFERROR(__xludf.DUMMYFUNCTION("""COMPUTED_VALUE"""),16.67)</f>
        <v>16.670000000000002</v>
      </c>
    </row>
    <row r="1068" spans="1:2">
      <c r="A1068" s="3">
        <f ca="1">IFERROR(__xludf.DUMMYFUNCTION("""COMPUTED_VALUE"""),41905.6666666666)</f>
        <v>41905.666666666599</v>
      </c>
      <c r="B1068" s="1">
        <f ca="1">IFERROR(__xludf.DUMMYFUNCTION("""COMPUTED_VALUE"""),16.69)</f>
        <v>16.690000000000001</v>
      </c>
    </row>
    <row r="1069" spans="1:2">
      <c r="A1069" s="3">
        <f ca="1">IFERROR(__xludf.DUMMYFUNCTION("""COMPUTED_VALUE"""),41906.6666666666)</f>
        <v>41906.666666666599</v>
      </c>
      <c r="B1069" s="1">
        <f ca="1">IFERROR(__xludf.DUMMYFUNCTION("""COMPUTED_VALUE"""),16.81)</f>
        <v>16.809999999999999</v>
      </c>
    </row>
    <row r="1070" spans="1:2">
      <c r="A1070" s="3">
        <f ca="1">IFERROR(__xludf.DUMMYFUNCTION("""COMPUTED_VALUE"""),41907.6666666666)</f>
        <v>41907.666666666599</v>
      </c>
      <c r="B1070" s="1">
        <f ca="1">IFERROR(__xludf.DUMMYFUNCTION("""COMPUTED_VALUE"""),16.46)</f>
        <v>16.46</v>
      </c>
    </row>
    <row r="1071" spans="1:2">
      <c r="A1071" s="3">
        <f ca="1">IFERROR(__xludf.DUMMYFUNCTION("""COMPUTED_VALUE"""),41908.6666666666)</f>
        <v>41908.666666666599</v>
      </c>
      <c r="B1071" s="1">
        <f ca="1">IFERROR(__xludf.DUMMYFUNCTION("""COMPUTED_VALUE"""),16.44)</f>
        <v>16.440000000000001</v>
      </c>
    </row>
    <row r="1072" spans="1:2">
      <c r="A1072" s="3">
        <f ca="1">IFERROR(__xludf.DUMMYFUNCTION("""COMPUTED_VALUE"""),41911.6666666666)</f>
        <v>41911.666666666599</v>
      </c>
      <c r="B1072" s="1">
        <f ca="1">IFERROR(__xludf.DUMMYFUNCTION("""COMPUTED_VALUE"""),16.35)</f>
        <v>16.350000000000001</v>
      </c>
    </row>
    <row r="1073" spans="1:2">
      <c r="A1073" s="3">
        <f ca="1">IFERROR(__xludf.DUMMYFUNCTION("""COMPUTED_VALUE"""),41912.6666666666)</f>
        <v>41912.666666666599</v>
      </c>
      <c r="B1073" s="1">
        <f ca="1">IFERROR(__xludf.DUMMYFUNCTION("""COMPUTED_VALUE"""),16.18)</f>
        <v>16.18</v>
      </c>
    </row>
    <row r="1074" spans="1:2">
      <c r="A1074" s="3">
        <f ca="1">IFERROR(__xludf.DUMMYFUNCTION("""COMPUTED_VALUE"""),41913.6666666666)</f>
        <v>41913.666666666599</v>
      </c>
      <c r="B1074" s="1">
        <f ca="1">IFERROR(__xludf.DUMMYFUNCTION("""COMPUTED_VALUE"""),16.02)</f>
        <v>16.02</v>
      </c>
    </row>
    <row r="1075" spans="1:2">
      <c r="A1075" s="3">
        <f ca="1">IFERROR(__xludf.DUMMYFUNCTION("""COMPUTED_VALUE"""),41914.6666666666)</f>
        <v>41914.666666666599</v>
      </c>
      <c r="B1075" s="1">
        <f ca="1">IFERROR(__xludf.DUMMYFUNCTION("""COMPUTED_VALUE"""),16.76)</f>
        <v>16.760000000000002</v>
      </c>
    </row>
    <row r="1076" spans="1:2">
      <c r="A1076" s="3">
        <f ca="1">IFERROR(__xludf.DUMMYFUNCTION("""COMPUTED_VALUE"""),41915.6666666666)</f>
        <v>41915.666666666599</v>
      </c>
      <c r="B1076" s="1">
        <f ca="1">IFERROR(__xludf.DUMMYFUNCTION("""COMPUTED_VALUE"""),17.01)</f>
        <v>17.010000000000002</v>
      </c>
    </row>
    <row r="1077" spans="1:2">
      <c r="A1077" s="3">
        <f ca="1">IFERROR(__xludf.DUMMYFUNCTION("""COMPUTED_VALUE"""),41918.6666666666)</f>
        <v>41918.666666666599</v>
      </c>
      <c r="B1077" s="1">
        <f ca="1">IFERROR(__xludf.DUMMYFUNCTION("""COMPUTED_VALUE"""),17.37)</f>
        <v>17.37</v>
      </c>
    </row>
    <row r="1078" spans="1:2">
      <c r="A1078" s="3">
        <f ca="1">IFERROR(__xludf.DUMMYFUNCTION("""COMPUTED_VALUE"""),41919.6666666666)</f>
        <v>41919.666666666599</v>
      </c>
      <c r="B1078" s="1">
        <f ca="1">IFERROR(__xludf.DUMMYFUNCTION("""COMPUTED_VALUE"""),17.3)</f>
        <v>17.3</v>
      </c>
    </row>
    <row r="1079" spans="1:2">
      <c r="A1079" s="3">
        <f ca="1">IFERROR(__xludf.DUMMYFUNCTION("""COMPUTED_VALUE"""),41920.6666666666)</f>
        <v>41920.666666666599</v>
      </c>
      <c r="B1079" s="1">
        <f ca="1">IFERROR(__xludf.DUMMYFUNCTION("""COMPUTED_VALUE"""),17.29)</f>
        <v>17.29</v>
      </c>
    </row>
    <row r="1080" spans="1:2">
      <c r="A1080" s="3">
        <f ca="1">IFERROR(__xludf.DUMMYFUNCTION("""COMPUTED_VALUE"""),41921.6666666666)</f>
        <v>41921.666666666599</v>
      </c>
      <c r="B1080" s="1">
        <f ca="1">IFERROR(__xludf.DUMMYFUNCTION("""COMPUTED_VALUE"""),17.13)</f>
        <v>17.13</v>
      </c>
    </row>
    <row r="1081" spans="1:2">
      <c r="A1081" s="3">
        <f ca="1">IFERROR(__xludf.DUMMYFUNCTION("""COMPUTED_VALUE"""),41922.6666666666)</f>
        <v>41922.666666666599</v>
      </c>
      <c r="B1081" s="1">
        <f ca="1">IFERROR(__xludf.DUMMYFUNCTION("""COMPUTED_VALUE"""),15.79)</f>
        <v>15.79</v>
      </c>
    </row>
    <row r="1082" spans="1:2">
      <c r="A1082" s="3">
        <f ca="1">IFERROR(__xludf.DUMMYFUNCTION("""COMPUTED_VALUE"""),41925.6666666666)</f>
        <v>41925.666666666599</v>
      </c>
      <c r="B1082" s="1">
        <f ca="1">IFERROR(__xludf.DUMMYFUNCTION("""COMPUTED_VALUE"""),14.97)</f>
        <v>14.97</v>
      </c>
    </row>
    <row r="1083" spans="1:2">
      <c r="A1083" s="3">
        <f ca="1">IFERROR(__xludf.DUMMYFUNCTION("""COMPUTED_VALUE"""),41926.6666666666)</f>
        <v>41926.666666666599</v>
      </c>
      <c r="B1083" s="1">
        <f ca="1">IFERROR(__xludf.DUMMYFUNCTION("""COMPUTED_VALUE"""),15.14)</f>
        <v>15.14</v>
      </c>
    </row>
    <row r="1084" spans="1:2">
      <c r="A1084" s="3">
        <f ca="1">IFERROR(__xludf.DUMMYFUNCTION("""COMPUTED_VALUE"""),41927.6666666666)</f>
        <v>41927.666666666599</v>
      </c>
      <c r="B1084" s="1">
        <f ca="1">IFERROR(__xludf.DUMMYFUNCTION("""COMPUTED_VALUE"""),15.31)</f>
        <v>15.31</v>
      </c>
    </row>
    <row r="1085" spans="1:2">
      <c r="A1085" s="3">
        <f ca="1">IFERROR(__xludf.DUMMYFUNCTION("""COMPUTED_VALUE"""),41928.6666666666)</f>
        <v>41928.666666666599</v>
      </c>
      <c r="B1085" s="1">
        <f ca="1">IFERROR(__xludf.DUMMYFUNCTION("""COMPUTED_VALUE"""),15.09)</f>
        <v>15.09</v>
      </c>
    </row>
    <row r="1086" spans="1:2">
      <c r="A1086" s="3">
        <f ca="1">IFERROR(__xludf.DUMMYFUNCTION("""COMPUTED_VALUE"""),41929.6666666666)</f>
        <v>41929.666666666599</v>
      </c>
      <c r="B1086" s="1">
        <f ca="1">IFERROR(__xludf.DUMMYFUNCTION("""COMPUTED_VALUE"""),15.17)</f>
        <v>15.17</v>
      </c>
    </row>
    <row r="1087" spans="1:2">
      <c r="A1087" s="3">
        <f ca="1">IFERROR(__xludf.DUMMYFUNCTION("""COMPUTED_VALUE"""),41932.6666666666)</f>
        <v>41932.666666666599</v>
      </c>
      <c r="B1087" s="1">
        <f ca="1">IFERROR(__xludf.DUMMYFUNCTION("""COMPUTED_VALUE"""),15.36)</f>
        <v>15.36</v>
      </c>
    </row>
    <row r="1088" spans="1:2">
      <c r="A1088" s="3">
        <f ca="1">IFERROR(__xludf.DUMMYFUNCTION("""COMPUTED_VALUE"""),41933.6666666666)</f>
        <v>41933.666666666599</v>
      </c>
      <c r="B1088" s="1">
        <f ca="1">IFERROR(__xludf.DUMMYFUNCTION("""COMPUTED_VALUE"""),15.69)</f>
        <v>15.69</v>
      </c>
    </row>
    <row r="1089" spans="1:2">
      <c r="A1089" s="3">
        <f ca="1">IFERROR(__xludf.DUMMYFUNCTION("""COMPUTED_VALUE"""),41934.6666666666)</f>
        <v>41934.666666666599</v>
      </c>
      <c r="B1089" s="1">
        <f ca="1">IFERROR(__xludf.DUMMYFUNCTION("""COMPUTED_VALUE"""),15.41)</f>
        <v>15.41</v>
      </c>
    </row>
    <row r="1090" spans="1:2">
      <c r="A1090" s="3">
        <f ca="1">IFERROR(__xludf.DUMMYFUNCTION("""COMPUTED_VALUE"""),41935.6666666666)</f>
        <v>41935.666666666599</v>
      </c>
      <c r="B1090" s="1">
        <f ca="1">IFERROR(__xludf.DUMMYFUNCTION("""COMPUTED_VALUE"""),15.69)</f>
        <v>15.69</v>
      </c>
    </row>
    <row r="1091" spans="1:2">
      <c r="A1091" s="3">
        <f ca="1">IFERROR(__xludf.DUMMYFUNCTION("""COMPUTED_VALUE"""),41936.6666666666)</f>
        <v>41936.666666666599</v>
      </c>
      <c r="B1091" s="1">
        <f ca="1">IFERROR(__xludf.DUMMYFUNCTION("""COMPUTED_VALUE"""),15.68)</f>
        <v>15.68</v>
      </c>
    </row>
    <row r="1092" spans="1:2">
      <c r="A1092" s="3">
        <f ca="1">IFERROR(__xludf.DUMMYFUNCTION("""COMPUTED_VALUE"""),41939.6666666666)</f>
        <v>41939.666666666599</v>
      </c>
      <c r="B1092" s="1">
        <f ca="1">IFERROR(__xludf.DUMMYFUNCTION("""COMPUTED_VALUE"""),14.78)</f>
        <v>14.78</v>
      </c>
    </row>
    <row r="1093" spans="1:2">
      <c r="A1093" s="3">
        <f ca="1">IFERROR(__xludf.DUMMYFUNCTION("""COMPUTED_VALUE"""),41940.6666666666)</f>
        <v>41940.666666666599</v>
      </c>
      <c r="B1093" s="1">
        <f ca="1">IFERROR(__xludf.DUMMYFUNCTION("""COMPUTED_VALUE"""),16.18)</f>
        <v>16.18</v>
      </c>
    </row>
    <row r="1094" spans="1:2">
      <c r="A1094" s="3">
        <f ca="1">IFERROR(__xludf.DUMMYFUNCTION("""COMPUTED_VALUE"""),41941.6666666666)</f>
        <v>41941.666666666599</v>
      </c>
      <c r="B1094" s="1">
        <f ca="1">IFERROR(__xludf.DUMMYFUNCTION("""COMPUTED_VALUE"""),15.87)</f>
        <v>15.87</v>
      </c>
    </row>
    <row r="1095" spans="1:2">
      <c r="A1095" s="3">
        <f ca="1">IFERROR(__xludf.DUMMYFUNCTION("""COMPUTED_VALUE"""),41942.6666666666)</f>
        <v>41942.666666666599</v>
      </c>
      <c r="B1095" s="1">
        <f ca="1">IFERROR(__xludf.DUMMYFUNCTION("""COMPUTED_VALUE"""),15.91)</f>
        <v>15.91</v>
      </c>
    </row>
    <row r="1096" spans="1:2">
      <c r="A1096" s="3">
        <f ca="1">IFERROR(__xludf.DUMMYFUNCTION("""COMPUTED_VALUE"""),41943.6666666666)</f>
        <v>41943.666666666599</v>
      </c>
      <c r="B1096" s="1">
        <f ca="1">IFERROR(__xludf.DUMMYFUNCTION("""COMPUTED_VALUE"""),16.11)</f>
        <v>16.11</v>
      </c>
    </row>
    <row r="1097" spans="1:2">
      <c r="A1097" s="3">
        <f ca="1">IFERROR(__xludf.DUMMYFUNCTION("""COMPUTED_VALUE"""),41946.6666666666)</f>
        <v>41946.666666666599</v>
      </c>
      <c r="B1097" s="1">
        <f ca="1">IFERROR(__xludf.DUMMYFUNCTION("""COMPUTED_VALUE"""),16.17)</f>
        <v>16.170000000000002</v>
      </c>
    </row>
    <row r="1098" spans="1:2">
      <c r="A1098" s="3">
        <f ca="1">IFERROR(__xludf.DUMMYFUNCTION("""COMPUTED_VALUE"""),41947.6666666666)</f>
        <v>41947.666666666599</v>
      </c>
      <c r="B1098" s="1">
        <f ca="1">IFERROR(__xludf.DUMMYFUNCTION("""COMPUTED_VALUE"""),15.93)</f>
        <v>15.93</v>
      </c>
    </row>
    <row r="1099" spans="1:2">
      <c r="A1099" s="3">
        <f ca="1">IFERROR(__xludf.DUMMYFUNCTION("""COMPUTED_VALUE"""),41948.6666666666)</f>
        <v>41948.666666666599</v>
      </c>
      <c r="B1099" s="1">
        <f ca="1">IFERROR(__xludf.DUMMYFUNCTION("""COMPUTED_VALUE"""),15.4)</f>
        <v>15.4</v>
      </c>
    </row>
    <row r="1100" spans="1:2">
      <c r="A1100" s="3">
        <f ca="1">IFERROR(__xludf.DUMMYFUNCTION("""COMPUTED_VALUE"""),41949.6666666666)</f>
        <v>41949.666666666599</v>
      </c>
      <c r="B1100" s="1">
        <f ca="1">IFERROR(__xludf.DUMMYFUNCTION("""COMPUTED_VALUE"""),16.08)</f>
        <v>16.079999999999998</v>
      </c>
    </row>
    <row r="1101" spans="1:2">
      <c r="A1101" s="3">
        <f ca="1">IFERROR(__xludf.DUMMYFUNCTION("""COMPUTED_VALUE"""),41950.6666666666)</f>
        <v>41950.666666666599</v>
      </c>
      <c r="B1101" s="1">
        <f ca="1">IFERROR(__xludf.DUMMYFUNCTION("""COMPUTED_VALUE"""),16.01)</f>
        <v>16.010000000000002</v>
      </c>
    </row>
    <row r="1102" spans="1:2">
      <c r="A1102" s="3">
        <f ca="1">IFERROR(__xludf.DUMMYFUNCTION("""COMPUTED_VALUE"""),41953.6666666666)</f>
        <v>41953.666666666599</v>
      </c>
      <c r="B1102" s="1">
        <f ca="1">IFERROR(__xludf.DUMMYFUNCTION("""COMPUTED_VALUE"""),16.13)</f>
        <v>16.13</v>
      </c>
    </row>
    <row r="1103" spans="1:2">
      <c r="A1103" s="3">
        <f ca="1">IFERROR(__xludf.DUMMYFUNCTION("""COMPUTED_VALUE"""),41954.6666666666)</f>
        <v>41954.666666666599</v>
      </c>
      <c r="B1103" s="1">
        <f ca="1">IFERROR(__xludf.DUMMYFUNCTION("""COMPUTED_VALUE"""),16.74)</f>
        <v>16.739999999999998</v>
      </c>
    </row>
    <row r="1104" spans="1:2">
      <c r="A1104" s="3">
        <f ca="1">IFERROR(__xludf.DUMMYFUNCTION("""COMPUTED_VALUE"""),41955.6666666666)</f>
        <v>41955.666666666599</v>
      </c>
      <c r="B1104" s="1">
        <f ca="1">IFERROR(__xludf.DUMMYFUNCTION("""COMPUTED_VALUE"""),16.61)</f>
        <v>16.61</v>
      </c>
    </row>
    <row r="1105" spans="1:2">
      <c r="A1105" s="3">
        <f ca="1">IFERROR(__xludf.DUMMYFUNCTION("""COMPUTED_VALUE"""),41956.6666666666)</f>
        <v>41956.666666666599</v>
      </c>
      <c r="B1105" s="1">
        <f ca="1">IFERROR(__xludf.DUMMYFUNCTION("""COMPUTED_VALUE"""),16.78)</f>
        <v>16.78</v>
      </c>
    </row>
    <row r="1106" spans="1:2">
      <c r="A1106" s="3">
        <f ca="1">IFERROR(__xludf.DUMMYFUNCTION("""COMPUTED_VALUE"""),41957.6666666666)</f>
        <v>41957.666666666599</v>
      </c>
      <c r="B1106" s="1">
        <f ca="1">IFERROR(__xludf.DUMMYFUNCTION("""COMPUTED_VALUE"""),17.25)</f>
        <v>17.25</v>
      </c>
    </row>
    <row r="1107" spans="1:2">
      <c r="A1107" s="3">
        <f ca="1">IFERROR(__xludf.DUMMYFUNCTION("""COMPUTED_VALUE"""),41960.6666666666)</f>
        <v>41960.666666666599</v>
      </c>
      <c r="B1107" s="1">
        <f ca="1">IFERROR(__xludf.DUMMYFUNCTION("""COMPUTED_VALUE"""),16.93)</f>
        <v>16.93</v>
      </c>
    </row>
    <row r="1108" spans="1:2">
      <c r="A1108" s="3">
        <f ca="1">IFERROR(__xludf.DUMMYFUNCTION("""COMPUTED_VALUE"""),41961.6666666666)</f>
        <v>41961.666666666599</v>
      </c>
      <c r="B1108" s="1">
        <f ca="1">IFERROR(__xludf.DUMMYFUNCTION("""COMPUTED_VALUE"""),17.18)</f>
        <v>17.18</v>
      </c>
    </row>
    <row r="1109" spans="1:2">
      <c r="A1109" s="3">
        <f ca="1">IFERROR(__xludf.DUMMYFUNCTION("""COMPUTED_VALUE"""),41962.6666666666)</f>
        <v>41962.666666666599</v>
      </c>
      <c r="B1109" s="1">
        <f ca="1">IFERROR(__xludf.DUMMYFUNCTION("""COMPUTED_VALUE"""),16.52)</f>
        <v>16.52</v>
      </c>
    </row>
    <row r="1110" spans="1:2">
      <c r="A1110" s="3">
        <f ca="1">IFERROR(__xludf.DUMMYFUNCTION("""COMPUTED_VALUE"""),41963.6666666666)</f>
        <v>41963.666666666599</v>
      </c>
      <c r="B1110" s="1">
        <f ca="1">IFERROR(__xludf.DUMMYFUNCTION("""COMPUTED_VALUE"""),16.58)</f>
        <v>16.579999999999998</v>
      </c>
    </row>
    <row r="1111" spans="1:2">
      <c r="A1111" s="3">
        <f ca="1">IFERROR(__xludf.DUMMYFUNCTION("""COMPUTED_VALUE"""),41964.6666666666)</f>
        <v>41964.666666666599</v>
      </c>
      <c r="B1111" s="1">
        <f ca="1">IFERROR(__xludf.DUMMYFUNCTION("""COMPUTED_VALUE"""),16.19)</f>
        <v>16.190000000000001</v>
      </c>
    </row>
    <row r="1112" spans="1:2">
      <c r="A1112" s="3">
        <f ca="1">IFERROR(__xludf.DUMMYFUNCTION("""COMPUTED_VALUE"""),41967.6666666666)</f>
        <v>41967.666666666599</v>
      </c>
      <c r="B1112" s="1">
        <f ca="1">IFERROR(__xludf.DUMMYFUNCTION("""COMPUTED_VALUE"""),16.45)</f>
        <v>16.45</v>
      </c>
    </row>
    <row r="1113" spans="1:2">
      <c r="A1113" s="3">
        <f ca="1">IFERROR(__xludf.DUMMYFUNCTION("""COMPUTED_VALUE"""),41968.6666666666)</f>
        <v>41968.666666666599</v>
      </c>
      <c r="B1113" s="1">
        <f ca="1">IFERROR(__xludf.DUMMYFUNCTION("""COMPUTED_VALUE"""),16.54)</f>
        <v>16.54</v>
      </c>
    </row>
    <row r="1114" spans="1:2">
      <c r="A1114" s="3">
        <f ca="1">IFERROR(__xludf.DUMMYFUNCTION("""COMPUTED_VALUE"""),41969.6666666666)</f>
        <v>41969.666666666599</v>
      </c>
      <c r="B1114" s="1">
        <f ca="1">IFERROR(__xludf.DUMMYFUNCTION("""COMPUTED_VALUE"""),16.56)</f>
        <v>16.559999999999999</v>
      </c>
    </row>
    <row r="1115" spans="1:2">
      <c r="A1115" s="3">
        <f ca="1">IFERROR(__xludf.DUMMYFUNCTION("""COMPUTED_VALUE"""),41971.6666666666)</f>
        <v>41971.666666666599</v>
      </c>
      <c r="B1115" s="1">
        <f ca="1">IFERROR(__xludf.DUMMYFUNCTION("""COMPUTED_VALUE"""),16.3)</f>
        <v>16.3</v>
      </c>
    </row>
    <row r="1116" spans="1:2">
      <c r="A1116" s="3">
        <f ca="1">IFERROR(__xludf.DUMMYFUNCTION("""COMPUTED_VALUE"""),41974.6666666666)</f>
        <v>41974.666666666599</v>
      </c>
      <c r="B1116" s="1">
        <f ca="1">IFERROR(__xludf.DUMMYFUNCTION("""COMPUTED_VALUE"""),15.44)</f>
        <v>15.44</v>
      </c>
    </row>
    <row r="1117" spans="1:2">
      <c r="A1117" s="3">
        <f ca="1">IFERROR(__xludf.DUMMYFUNCTION("""COMPUTED_VALUE"""),41975.6666666666)</f>
        <v>41975.666666666599</v>
      </c>
      <c r="B1117" s="1">
        <f ca="1">IFERROR(__xludf.DUMMYFUNCTION("""COMPUTED_VALUE"""),15.43)</f>
        <v>15.43</v>
      </c>
    </row>
    <row r="1118" spans="1:2">
      <c r="A1118" s="3">
        <f ca="1">IFERROR(__xludf.DUMMYFUNCTION("""COMPUTED_VALUE"""),41976.6666666666)</f>
        <v>41976.666666666599</v>
      </c>
      <c r="B1118" s="1">
        <f ca="1">IFERROR(__xludf.DUMMYFUNCTION("""COMPUTED_VALUE"""),15.29)</f>
        <v>15.29</v>
      </c>
    </row>
    <row r="1119" spans="1:2">
      <c r="A1119" s="3">
        <f ca="1">IFERROR(__xludf.DUMMYFUNCTION("""COMPUTED_VALUE"""),41977.6666666666)</f>
        <v>41977.666666666599</v>
      </c>
      <c r="B1119" s="1">
        <f ca="1">IFERROR(__xludf.DUMMYFUNCTION("""COMPUTED_VALUE"""),15.22)</f>
        <v>15.22</v>
      </c>
    </row>
    <row r="1120" spans="1:2">
      <c r="A1120" s="3">
        <f ca="1">IFERROR(__xludf.DUMMYFUNCTION("""COMPUTED_VALUE"""),41978.6666666666)</f>
        <v>41978.666666666599</v>
      </c>
      <c r="B1120" s="1">
        <f ca="1">IFERROR(__xludf.DUMMYFUNCTION("""COMPUTED_VALUE"""),14.91)</f>
        <v>14.91</v>
      </c>
    </row>
    <row r="1121" spans="1:2">
      <c r="A1121" s="3">
        <f ca="1">IFERROR(__xludf.DUMMYFUNCTION("""COMPUTED_VALUE"""),41981.6666666666)</f>
        <v>41981.666666666599</v>
      </c>
      <c r="B1121" s="1">
        <f ca="1">IFERROR(__xludf.DUMMYFUNCTION("""COMPUTED_VALUE"""),14.29)</f>
        <v>14.29</v>
      </c>
    </row>
    <row r="1122" spans="1:2">
      <c r="A1122" s="3">
        <f ca="1">IFERROR(__xludf.DUMMYFUNCTION("""COMPUTED_VALUE"""),41982.6666666666)</f>
        <v>41982.666666666599</v>
      </c>
      <c r="B1122" s="1">
        <f ca="1">IFERROR(__xludf.DUMMYFUNCTION("""COMPUTED_VALUE"""),14.46)</f>
        <v>14.46</v>
      </c>
    </row>
    <row r="1123" spans="1:2">
      <c r="A1123" s="3">
        <f ca="1">IFERROR(__xludf.DUMMYFUNCTION("""COMPUTED_VALUE"""),41983.6666666666)</f>
        <v>41983.666666666599</v>
      </c>
      <c r="B1123" s="1">
        <f ca="1">IFERROR(__xludf.DUMMYFUNCTION("""COMPUTED_VALUE"""),13.99)</f>
        <v>13.99</v>
      </c>
    </row>
    <row r="1124" spans="1:2">
      <c r="A1124" s="3">
        <f ca="1">IFERROR(__xludf.DUMMYFUNCTION("""COMPUTED_VALUE"""),41984.6666666666)</f>
        <v>41984.666666666599</v>
      </c>
      <c r="B1124" s="1">
        <f ca="1">IFERROR(__xludf.DUMMYFUNCTION("""COMPUTED_VALUE"""),13.93)</f>
        <v>13.93</v>
      </c>
    </row>
    <row r="1125" spans="1:2">
      <c r="A1125" s="3">
        <f ca="1">IFERROR(__xludf.DUMMYFUNCTION("""COMPUTED_VALUE"""),41985.6666666666)</f>
        <v>41985.666666666599</v>
      </c>
      <c r="B1125" s="1">
        <f ca="1">IFERROR(__xludf.DUMMYFUNCTION("""COMPUTED_VALUE"""),13.8)</f>
        <v>13.8</v>
      </c>
    </row>
    <row r="1126" spans="1:2">
      <c r="A1126" s="3">
        <f ca="1">IFERROR(__xludf.DUMMYFUNCTION("""COMPUTED_VALUE"""),41988.6666666666)</f>
        <v>41988.666666666599</v>
      </c>
      <c r="B1126" s="1">
        <f ca="1">IFERROR(__xludf.DUMMYFUNCTION("""COMPUTED_VALUE"""),13.6)</f>
        <v>13.6</v>
      </c>
    </row>
    <row r="1127" spans="1:2">
      <c r="A1127" s="3">
        <f ca="1">IFERROR(__xludf.DUMMYFUNCTION("""COMPUTED_VALUE"""),41989.6666666666)</f>
        <v>41989.666666666599</v>
      </c>
      <c r="B1127" s="1">
        <f ca="1">IFERROR(__xludf.DUMMYFUNCTION("""COMPUTED_VALUE"""),13.19)</f>
        <v>13.19</v>
      </c>
    </row>
    <row r="1128" spans="1:2">
      <c r="A1128" s="3">
        <f ca="1">IFERROR(__xludf.DUMMYFUNCTION("""COMPUTED_VALUE"""),41990.6666666666)</f>
        <v>41990.666666666599</v>
      </c>
      <c r="B1128" s="1">
        <f ca="1">IFERROR(__xludf.DUMMYFUNCTION("""COMPUTED_VALUE"""),13.72)</f>
        <v>13.72</v>
      </c>
    </row>
    <row r="1129" spans="1:2">
      <c r="A1129" s="3">
        <f ca="1">IFERROR(__xludf.DUMMYFUNCTION("""COMPUTED_VALUE"""),41991.6666666666)</f>
        <v>41991.666666666599</v>
      </c>
      <c r="B1129" s="1">
        <f ca="1">IFERROR(__xludf.DUMMYFUNCTION("""COMPUTED_VALUE"""),14.55)</f>
        <v>14.55</v>
      </c>
    </row>
    <row r="1130" spans="1:2">
      <c r="A1130" s="3">
        <f ca="1">IFERROR(__xludf.DUMMYFUNCTION("""COMPUTED_VALUE"""),41992.6666666666)</f>
        <v>41992.666666666599</v>
      </c>
      <c r="B1130" s="1">
        <f ca="1">IFERROR(__xludf.DUMMYFUNCTION("""COMPUTED_VALUE"""),14.62)</f>
        <v>14.62</v>
      </c>
    </row>
    <row r="1131" spans="1:2">
      <c r="A1131" s="3">
        <f ca="1">IFERROR(__xludf.DUMMYFUNCTION("""COMPUTED_VALUE"""),41995.6666666666)</f>
        <v>41995.666666666599</v>
      </c>
      <c r="B1131" s="1">
        <f ca="1">IFERROR(__xludf.DUMMYFUNCTION("""COMPUTED_VALUE"""),14.84)</f>
        <v>14.84</v>
      </c>
    </row>
    <row r="1132" spans="1:2">
      <c r="A1132" s="3">
        <f ca="1">IFERROR(__xludf.DUMMYFUNCTION("""COMPUTED_VALUE"""),41996.6666666666)</f>
        <v>41996.666666666599</v>
      </c>
      <c r="B1132" s="1">
        <f ca="1">IFERROR(__xludf.DUMMYFUNCTION("""COMPUTED_VALUE"""),14.73)</f>
        <v>14.73</v>
      </c>
    </row>
    <row r="1133" spans="1:2">
      <c r="A1133" s="3">
        <f ca="1">IFERROR(__xludf.DUMMYFUNCTION("""COMPUTED_VALUE"""),41997.6666666666)</f>
        <v>41997.666666666599</v>
      </c>
      <c r="B1133" s="1">
        <f ca="1">IFERROR(__xludf.DUMMYFUNCTION("""COMPUTED_VALUE"""),14.82)</f>
        <v>14.82</v>
      </c>
    </row>
    <row r="1134" spans="1:2">
      <c r="A1134" s="3">
        <f ca="1">IFERROR(__xludf.DUMMYFUNCTION("""COMPUTED_VALUE"""),41999.6666666666)</f>
        <v>41999.666666666599</v>
      </c>
      <c r="B1134" s="1">
        <f ca="1">IFERROR(__xludf.DUMMYFUNCTION("""COMPUTED_VALUE"""),15.19)</f>
        <v>15.19</v>
      </c>
    </row>
    <row r="1135" spans="1:2">
      <c r="A1135" s="3">
        <f ca="1">IFERROR(__xludf.DUMMYFUNCTION("""COMPUTED_VALUE"""),42002.6666666666)</f>
        <v>42002.666666666599</v>
      </c>
      <c r="B1135" s="1">
        <f ca="1">IFERROR(__xludf.DUMMYFUNCTION("""COMPUTED_VALUE"""),15.05)</f>
        <v>15.05</v>
      </c>
    </row>
    <row r="1136" spans="1:2">
      <c r="A1136" s="3">
        <f ca="1">IFERROR(__xludf.DUMMYFUNCTION("""COMPUTED_VALUE"""),42003.6666666666)</f>
        <v>42003.666666666599</v>
      </c>
      <c r="B1136" s="1">
        <f ca="1">IFERROR(__xludf.DUMMYFUNCTION("""COMPUTED_VALUE"""),14.82)</f>
        <v>14.82</v>
      </c>
    </row>
    <row r="1137" spans="1:2">
      <c r="A1137" s="3">
        <f ca="1">IFERROR(__xludf.DUMMYFUNCTION("""COMPUTED_VALUE"""),42004.6666666666)</f>
        <v>42004.666666666599</v>
      </c>
      <c r="B1137" s="1">
        <f ca="1">IFERROR(__xludf.DUMMYFUNCTION("""COMPUTED_VALUE"""),14.83)</f>
        <v>14.83</v>
      </c>
    </row>
    <row r="1138" spans="1:2">
      <c r="A1138" s="3">
        <f ca="1">IFERROR(__xludf.DUMMYFUNCTION("""COMPUTED_VALUE"""),42006.6666666666)</f>
        <v>42006.666666666599</v>
      </c>
      <c r="B1138" s="1">
        <f ca="1">IFERROR(__xludf.DUMMYFUNCTION("""COMPUTED_VALUE"""),14.62)</f>
        <v>14.62</v>
      </c>
    </row>
    <row r="1139" spans="1:2">
      <c r="A1139" s="3">
        <f ca="1">IFERROR(__xludf.DUMMYFUNCTION("""COMPUTED_VALUE"""),42009.6666666666)</f>
        <v>42009.666666666599</v>
      </c>
      <c r="B1139" s="1">
        <f ca="1">IFERROR(__xludf.DUMMYFUNCTION("""COMPUTED_VALUE"""),14.01)</f>
        <v>14.01</v>
      </c>
    </row>
    <row r="1140" spans="1:2">
      <c r="A1140" s="3">
        <f ca="1">IFERROR(__xludf.DUMMYFUNCTION("""COMPUTED_VALUE"""),42010.6666666666)</f>
        <v>42010.666666666599</v>
      </c>
      <c r="B1140" s="1">
        <f ca="1">IFERROR(__xludf.DUMMYFUNCTION("""COMPUTED_VALUE"""),14.09)</f>
        <v>14.09</v>
      </c>
    </row>
    <row r="1141" spans="1:2">
      <c r="A1141" s="3">
        <f ca="1">IFERROR(__xludf.DUMMYFUNCTION("""COMPUTED_VALUE"""),42011.6666666666)</f>
        <v>42011.666666666599</v>
      </c>
      <c r="B1141" s="1">
        <f ca="1">IFERROR(__xludf.DUMMYFUNCTION("""COMPUTED_VALUE"""),14.06)</f>
        <v>14.06</v>
      </c>
    </row>
    <row r="1142" spans="1:2">
      <c r="A1142" s="3">
        <f ca="1">IFERROR(__xludf.DUMMYFUNCTION("""COMPUTED_VALUE"""),42012.6666666666)</f>
        <v>42012.666666666599</v>
      </c>
      <c r="B1142" s="1">
        <f ca="1">IFERROR(__xludf.DUMMYFUNCTION("""COMPUTED_VALUE"""),14.04)</f>
        <v>14.04</v>
      </c>
    </row>
    <row r="1143" spans="1:2">
      <c r="A1143" s="3">
        <f ca="1">IFERROR(__xludf.DUMMYFUNCTION("""COMPUTED_VALUE"""),42013.6666666666)</f>
        <v>42013.666666666599</v>
      </c>
      <c r="B1143" s="1">
        <f ca="1">IFERROR(__xludf.DUMMYFUNCTION("""COMPUTED_VALUE"""),13.78)</f>
        <v>13.78</v>
      </c>
    </row>
    <row r="1144" spans="1:2">
      <c r="A1144" s="3">
        <f ca="1">IFERROR(__xludf.DUMMYFUNCTION("""COMPUTED_VALUE"""),42016.6666666666)</f>
        <v>42016.666666666599</v>
      </c>
      <c r="B1144" s="1">
        <f ca="1">IFERROR(__xludf.DUMMYFUNCTION("""COMPUTED_VALUE"""),13.48)</f>
        <v>13.48</v>
      </c>
    </row>
    <row r="1145" spans="1:2">
      <c r="A1145" s="3">
        <f ca="1">IFERROR(__xludf.DUMMYFUNCTION("""COMPUTED_VALUE"""),42017.6666666666)</f>
        <v>42017.666666666599</v>
      </c>
      <c r="B1145" s="1">
        <f ca="1">IFERROR(__xludf.DUMMYFUNCTION("""COMPUTED_VALUE"""),13.62)</f>
        <v>13.62</v>
      </c>
    </row>
    <row r="1146" spans="1:2">
      <c r="A1146" s="3">
        <f ca="1">IFERROR(__xludf.DUMMYFUNCTION("""COMPUTED_VALUE"""),42018.6666666666)</f>
        <v>42018.666666666599</v>
      </c>
      <c r="B1146" s="1">
        <f ca="1">IFERROR(__xludf.DUMMYFUNCTION("""COMPUTED_VALUE"""),12.85)</f>
        <v>12.85</v>
      </c>
    </row>
    <row r="1147" spans="1:2">
      <c r="A1147" s="3">
        <f ca="1">IFERROR(__xludf.DUMMYFUNCTION("""COMPUTED_VALUE"""),42019.6666666666)</f>
        <v>42019.666666666599</v>
      </c>
      <c r="B1147" s="1">
        <f ca="1">IFERROR(__xludf.DUMMYFUNCTION("""COMPUTED_VALUE"""),12.79)</f>
        <v>12.79</v>
      </c>
    </row>
    <row r="1148" spans="1:2">
      <c r="A1148" s="3">
        <f ca="1">IFERROR(__xludf.DUMMYFUNCTION("""COMPUTED_VALUE"""),42020.6666666666)</f>
        <v>42020.666666666599</v>
      </c>
      <c r="B1148" s="1">
        <f ca="1">IFERROR(__xludf.DUMMYFUNCTION("""COMPUTED_VALUE"""),12.87)</f>
        <v>12.87</v>
      </c>
    </row>
    <row r="1149" spans="1:2">
      <c r="A1149" s="3">
        <f ca="1">IFERROR(__xludf.DUMMYFUNCTION("""COMPUTED_VALUE"""),42024.6666666666)</f>
        <v>42024.666666666599</v>
      </c>
      <c r="B1149" s="1">
        <f ca="1">IFERROR(__xludf.DUMMYFUNCTION("""COMPUTED_VALUE"""),12.8)</f>
        <v>12.8</v>
      </c>
    </row>
    <row r="1150" spans="1:2">
      <c r="A1150" s="3">
        <f ca="1">IFERROR(__xludf.DUMMYFUNCTION("""COMPUTED_VALUE"""),42025.6666666666)</f>
        <v>42025.666666666599</v>
      </c>
      <c r="B1150" s="1">
        <f ca="1">IFERROR(__xludf.DUMMYFUNCTION("""COMPUTED_VALUE"""),13.1)</f>
        <v>13.1</v>
      </c>
    </row>
    <row r="1151" spans="1:2">
      <c r="A1151" s="3">
        <f ca="1">IFERROR(__xludf.DUMMYFUNCTION("""COMPUTED_VALUE"""),42026.6666666666)</f>
        <v>42026.666666666599</v>
      </c>
      <c r="B1151" s="1">
        <f ca="1">IFERROR(__xludf.DUMMYFUNCTION("""COMPUTED_VALUE"""),13.44)</f>
        <v>13.44</v>
      </c>
    </row>
    <row r="1152" spans="1:2">
      <c r="A1152" s="3">
        <f ca="1">IFERROR(__xludf.DUMMYFUNCTION("""COMPUTED_VALUE"""),42027.6666666666)</f>
        <v>42027.666666666599</v>
      </c>
      <c r="B1152" s="1">
        <f ca="1">IFERROR(__xludf.DUMMYFUNCTION("""COMPUTED_VALUE"""),13.42)</f>
        <v>13.42</v>
      </c>
    </row>
    <row r="1153" spans="1:2">
      <c r="A1153" s="3">
        <f ca="1">IFERROR(__xludf.DUMMYFUNCTION("""COMPUTED_VALUE"""),42030.6666666666)</f>
        <v>42030.666666666599</v>
      </c>
      <c r="B1153" s="1">
        <f ca="1">IFERROR(__xludf.DUMMYFUNCTION("""COMPUTED_VALUE"""),13.77)</f>
        <v>13.77</v>
      </c>
    </row>
    <row r="1154" spans="1:2">
      <c r="A1154" s="3">
        <f ca="1">IFERROR(__xludf.DUMMYFUNCTION("""COMPUTED_VALUE"""),42031.6666666666)</f>
        <v>42031.666666666599</v>
      </c>
      <c r="B1154" s="1">
        <f ca="1">IFERROR(__xludf.DUMMYFUNCTION("""COMPUTED_VALUE"""),13.73)</f>
        <v>13.73</v>
      </c>
    </row>
    <row r="1155" spans="1:2">
      <c r="A1155" s="3">
        <f ca="1">IFERROR(__xludf.DUMMYFUNCTION("""COMPUTED_VALUE"""),42032.6666666666)</f>
        <v>42032.666666666599</v>
      </c>
      <c r="B1155" s="1">
        <f ca="1">IFERROR(__xludf.DUMMYFUNCTION("""COMPUTED_VALUE"""),13.29)</f>
        <v>13.29</v>
      </c>
    </row>
    <row r="1156" spans="1:2">
      <c r="A1156" s="3">
        <f ca="1">IFERROR(__xludf.DUMMYFUNCTION("""COMPUTED_VALUE"""),42033.6666666666)</f>
        <v>42033.666666666599</v>
      </c>
      <c r="B1156" s="1">
        <f ca="1">IFERROR(__xludf.DUMMYFUNCTION("""COMPUTED_VALUE"""),13.68)</f>
        <v>13.68</v>
      </c>
    </row>
    <row r="1157" spans="1:2">
      <c r="A1157" s="3">
        <f ca="1">IFERROR(__xludf.DUMMYFUNCTION("""COMPUTED_VALUE"""),42034.6666666666)</f>
        <v>42034.666666666599</v>
      </c>
      <c r="B1157" s="1">
        <f ca="1">IFERROR(__xludf.DUMMYFUNCTION("""COMPUTED_VALUE"""),13.57)</f>
        <v>13.57</v>
      </c>
    </row>
    <row r="1158" spans="1:2">
      <c r="A1158" s="3">
        <f ca="1">IFERROR(__xludf.DUMMYFUNCTION("""COMPUTED_VALUE"""),42037.6666666666)</f>
        <v>42037.666666666599</v>
      </c>
      <c r="B1158" s="1">
        <f ca="1">IFERROR(__xludf.DUMMYFUNCTION("""COMPUTED_VALUE"""),14.06)</f>
        <v>14.06</v>
      </c>
    </row>
    <row r="1159" spans="1:2">
      <c r="A1159" s="3">
        <f ca="1">IFERROR(__xludf.DUMMYFUNCTION("""COMPUTED_VALUE"""),42038.6666666666)</f>
        <v>42038.666666666599</v>
      </c>
      <c r="B1159" s="1">
        <f ca="1">IFERROR(__xludf.DUMMYFUNCTION("""COMPUTED_VALUE"""),14.56)</f>
        <v>14.56</v>
      </c>
    </row>
    <row r="1160" spans="1:2">
      <c r="A1160" s="3">
        <f ca="1">IFERROR(__xludf.DUMMYFUNCTION("""COMPUTED_VALUE"""),42039.6666666666)</f>
        <v>42039.666666666599</v>
      </c>
      <c r="B1160" s="1">
        <f ca="1">IFERROR(__xludf.DUMMYFUNCTION("""COMPUTED_VALUE"""),14.57)</f>
        <v>14.57</v>
      </c>
    </row>
    <row r="1161" spans="1:2">
      <c r="A1161" s="3">
        <f ca="1">IFERROR(__xludf.DUMMYFUNCTION("""COMPUTED_VALUE"""),42040.6666666666)</f>
        <v>42040.666666666599</v>
      </c>
      <c r="B1161" s="1">
        <f ca="1">IFERROR(__xludf.DUMMYFUNCTION("""COMPUTED_VALUE"""),14.73)</f>
        <v>14.73</v>
      </c>
    </row>
    <row r="1162" spans="1:2">
      <c r="A1162" s="3">
        <f ca="1">IFERROR(__xludf.DUMMYFUNCTION("""COMPUTED_VALUE"""),42041.6666666666)</f>
        <v>42041.666666666599</v>
      </c>
      <c r="B1162" s="1">
        <f ca="1">IFERROR(__xludf.DUMMYFUNCTION("""COMPUTED_VALUE"""),14.49)</f>
        <v>14.49</v>
      </c>
    </row>
    <row r="1163" spans="1:2">
      <c r="A1163" s="3">
        <f ca="1">IFERROR(__xludf.DUMMYFUNCTION("""COMPUTED_VALUE"""),42044.6666666666)</f>
        <v>42044.666666666599</v>
      </c>
      <c r="B1163" s="1">
        <f ca="1">IFERROR(__xludf.DUMMYFUNCTION("""COMPUTED_VALUE"""),14.5)</f>
        <v>14.5</v>
      </c>
    </row>
    <row r="1164" spans="1:2">
      <c r="A1164" s="3">
        <f ca="1">IFERROR(__xludf.DUMMYFUNCTION("""COMPUTED_VALUE"""),42045.6666666666)</f>
        <v>42045.666666666599</v>
      </c>
      <c r="B1164" s="1">
        <f ca="1">IFERROR(__xludf.DUMMYFUNCTION("""COMPUTED_VALUE"""),14.42)</f>
        <v>14.42</v>
      </c>
    </row>
    <row r="1165" spans="1:2">
      <c r="A1165" s="3">
        <f ca="1">IFERROR(__xludf.DUMMYFUNCTION("""COMPUTED_VALUE"""),42046.6666666666)</f>
        <v>42046.666666666599</v>
      </c>
      <c r="B1165" s="1">
        <f ca="1">IFERROR(__xludf.DUMMYFUNCTION("""COMPUTED_VALUE"""),14.19)</f>
        <v>14.19</v>
      </c>
    </row>
    <row r="1166" spans="1:2">
      <c r="A1166" s="3">
        <f ca="1">IFERROR(__xludf.DUMMYFUNCTION("""COMPUTED_VALUE"""),42047.6666666666)</f>
        <v>42047.666666666599</v>
      </c>
      <c r="B1166" s="1">
        <f ca="1">IFERROR(__xludf.DUMMYFUNCTION("""COMPUTED_VALUE"""),13.53)</f>
        <v>13.53</v>
      </c>
    </row>
    <row r="1167" spans="1:2">
      <c r="A1167" s="3">
        <f ca="1">IFERROR(__xludf.DUMMYFUNCTION("""COMPUTED_VALUE"""),42048.6666666666)</f>
        <v>42048.666666666599</v>
      </c>
      <c r="B1167" s="1">
        <f ca="1">IFERROR(__xludf.DUMMYFUNCTION("""COMPUTED_VALUE"""),13.58)</f>
        <v>13.58</v>
      </c>
    </row>
    <row r="1168" spans="1:2">
      <c r="A1168" s="3">
        <f ca="1">IFERROR(__xludf.DUMMYFUNCTION("""COMPUTED_VALUE"""),42052.6666666666)</f>
        <v>42052.666666666599</v>
      </c>
      <c r="B1168" s="1">
        <f ca="1">IFERROR(__xludf.DUMMYFUNCTION("""COMPUTED_VALUE"""),13.62)</f>
        <v>13.62</v>
      </c>
    </row>
    <row r="1169" spans="1:2">
      <c r="A1169" s="3">
        <f ca="1">IFERROR(__xludf.DUMMYFUNCTION("""COMPUTED_VALUE"""),42053.6666666666)</f>
        <v>42053.666666666599</v>
      </c>
      <c r="B1169" s="1">
        <f ca="1">IFERROR(__xludf.DUMMYFUNCTION("""COMPUTED_VALUE"""),13.63)</f>
        <v>13.63</v>
      </c>
    </row>
    <row r="1170" spans="1:2">
      <c r="A1170" s="3">
        <f ca="1">IFERROR(__xludf.DUMMYFUNCTION("""COMPUTED_VALUE"""),42054.6666666666)</f>
        <v>42054.666666666599</v>
      </c>
      <c r="B1170" s="1">
        <f ca="1">IFERROR(__xludf.DUMMYFUNCTION("""COMPUTED_VALUE"""),14.11)</f>
        <v>14.11</v>
      </c>
    </row>
    <row r="1171" spans="1:2">
      <c r="A1171" s="3">
        <f ca="1">IFERROR(__xludf.DUMMYFUNCTION("""COMPUTED_VALUE"""),42055.6666666666)</f>
        <v>42055.666666666599</v>
      </c>
      <c r="B1171" s="1">
        <f ca="1">IFERROR(__xludf.DUMMYFUNCTION("""COMPUTED_VALUE"""),14.47)</f>
        <v>14.47</v>
      </c>
    </row>
    <row r="1172" spans="1:2">
      <c r="A1172" s="3">
        <f ca="1">IFERROR(__xludf.DUMMYFUNCTION("""COMPUTED_VALUE"""),42058.6666666666)</f>
        <v>42058.666666666599</v>
      </c>
      <c r="B1172" s="1">
        <f ca="1">IFERROR(__xludf.DUMMYFUNCTION("""COMPUTED_VALUE"""),13.82)</f>
        <v>13.82</v>
      </c>
    </row>
    <row r="1173" spans="1:2">
      <c r="A1173" s="3">
        <f ca="1">IFERROR(__xludf.DUMMYFUNCTION("""COMPUTED_VALUE"""),42059.6666666666)</f>
        <v>42059.666666666599</v>
      </c>
      <c r="B1173" s="1">
        <f ca="1">IFERROR(__xludf.DUMMYFUNCTION("""COMPUTED_VALUE"""),13.61)</f>
        <v>13.61</v>
      </c>
    </row>
    <row r="1174" spans="1:2">
      <c r="A1174" s="3">
        <f ca="1">IFERROR(__xludf.DUMMYFUNCTION("""COMPUTED_VALUE"""),42060.6666666666)</f>
        <v>42060.666666666599</v>
      </c>
      <c r="B1174" s="1">
        <f ca="1">IFERROR(__xludf.DUMMYFUNCTION("""COMPUTED_VALUE"""),13.58)</f>
        <v>13.58</v>
      </c>
    </row>
    <row r="1175" spans="1:2">
      <c r="A1175" s="3">
        <f ca="1">IFERROR(__xludf.DUMMYFUNCTION("""COMPUTED_VALUE"""),42061.6666666666)</f>
        <v>42061.666666666599</v>
      </c>
      <c r="B1175" s="1">
        <f ca="1">IFERROR(__xludf.DUMMYFUNCTION("""COMPUTED_VALUE"""),13.81)</f>
        <v>13.81</v>
      </c>
    </row>
    <row r="1176" spans="1:2">
      <c r="A1176" s="3">
        <f ca="1">IFERROR(__xludf.DUMMYFUNCTION("""COMPUTED_VALUE"""),42062.6666666666)</f>
        <v>42062.666666666599</v>
      </c>
      <c r="B1176" s="1">
        <f ca="1">IFERROR(__xludf.DUMMYFUNCTION("""COMPUTED_VALUE"""),13.56)</f>
        <v>13.56</v>
      </c>
    </row>
    <row r="1177" spans="1:2">
      <c r="A1177" s="3">
        <f ca="1">IFERROR(__xludf.DUMMYFUNCTION("""COMPUTED_VALUE"""),42065.6666666666)</f>
        <v>42065.666666666599</v>
      </c>
      <c r="B1177" s="1">
        <f ca="1">IFERROR(__xludf.DUMMYFUNCTION("""COMPUTED_VALUE"""),13.16)</f>
        <v>13.16</v>
      </c>
    </row>
    <row r="1178" spans="1:2">
      <c r="A1178" s="3">
        <f ca="1">IFERROR(__xludf.DUMMYFUNCTION("""COMPUTED_VALUE"""),42066.6666666666)</f>
        <v>42066.666666666599</v>
      </c>
      <c r="B1178" s="1">
        <f ca="1">IFERROR(__xludf.DUMMYFUNCTION("""COMPUTED_VALUE"""),13.3)</f>
        <v>13.3</v>
      </c>
    </row>
    <row r="1179" spans="1:2">
      <c r="A1179" s="3">
        <f ca="1">IFERROR(__xludf.DUMMYFUNCTION("""COMPUTED_VALUE"""),42067.6666666666)</f>
        <v>42067.666666666599</v>
      </c>
      <c r="B1179" s="1">
        <f ca="1">IFERROR(__xludf.DUMMYFUNCTION("""COMPUTED_VALUE"""),13.5)</f>
        <v>13.5</v>
      </c>
    </row>
    <row r="1180" spans="1:2">
      <c r="A1180" s="3">
        <f ca="1">IFERROR(__xludf.DUMMYFUNCTION("""COMPUTED_VALUE"""),42068.6666666666)</f>
        <v>42068.666666666599</v>
      </c>
      <c r="B1180" s="1">
        <f ca="1">IFERROR(__xludf.DUMMYFUNCTION("""COMPUTED_VALUE"""),13.38)</f>
        <v>13.38</v>
      </c>
    </row>
    <row r="1181" spans="1:2">
      <c r="A1181" s="3">
        <f ca="1">IFERROR(__xludf.DUMMYFUNCTION("""COMPUTED_VALUE"""),42069.6666666666)</f>
        <v>42069.666666666599</v>
      </c>
      <c r="B1181" s="1">
        <f ca="1">IFERROR(__xludf.DUMMYFUNCTION("""COMPUTED_VALUE"""),12.93)</f>
        <v>12.93</v>
      </c>
    </row>
    <row r="1182" spans="1:2">
      <c r="A1182" s="3">
        <f ca="1">IFERROR(__xludf.DUMMYFUNCTION("""COMPUTED_VALUE"""),42072.6666666666)</f>
        <v>42072.666666666599</v>
      </c>
      <c r="B1182" s="1">
        <f ca="1">IFERROR(__xludf.DUMMYFUNCTION("""COMPUTED_VALUE"""),12.73)</f>
        <v>12.73</v>
      </c>
    </row>
    <row r="1183" spans="1:2">
      <c r="A1183" s="3">
        <f ca="1">IFERROR(__xludf.DUMMYFUNCTION("""COMPUTED_VALUE"""),42073.6666666666)</f>
        <v>42073.666666666599</v>
      </c>
      <c r="B1183" s="1">
        <f ca="1">IFERROR(__xludf.DUMMYFUNCTION("""COMPUTED_VALUE"""),12.69)</f>
        <v>12.69</v>
      </c>
    </row>
    <row r="1184" spans="1:2">
      <c r="A1184" s="3">
        <f ca="1">IFERROR(__xludf.DUMMYFUNCTION("""COMPUTED_VALUE"""),42074.6666666666)</f>
        <v>42074.666666666599</v>
      </c>
      <c r="B1184" s="1">
        <f ca="1">IFERROR(__xludf.DUMMYFUNCTION("""COMPUTED_VALUE"""),12.92)</f>
        <v>12.92</v>
      </c>
    </row>
    <row r="1185" spans="1:2">
      <c r="A1185" s="3">
        <f ca="1">IFERROR(__xludf.DUMMYFUNCTION("""COMPUTED_VALUE"""),42075.6666666666)</f>
        <v>42075.666666666599</v>
      </c>
      <c r="B1185" s="1">
        <f ca="1">IFERROR(__xludf.DUMMYFUNCTION("""COMPUTED_VALUE"""),12.74)</f>
        <v>12.74</v>
      </c>
    </row>
    <row r="1186" spans="1:2">
      <c r="A1186" s="3">
        <f ca="1">IFERROR(__xludf.DUMMYFUNCTION("""COMPUTED_VALUE"""),42076.6666666666)</f>
        <v>42076.666666666599</v>
      </c>
      <c r="B1186" s="1">
        <f ca="1">IFERROR(__xludf.DUMMYFUNCTION("""COMPUTED_VALUE"""),12.58)</f>
        <v>12.58</v>
      </c>
    </row>
    <row r="1187" spans="1:2">
      <c r="A1187" s="3">
        <f ca="1">IFERROR(__xludf.DUMMYFUNCTION("""COMPUTED_VALUE"""),42079.6666666666)</f>
        <v>42079.666666666599</v>
      </c>
      <c r="B1187" s="1">
        <f ca="1">IFERROR(__xludf.DUMMYFUNCTION("""COMPUTED_VALUE"""),13.05)</f>
        <v>13.05</v>
      </c>
    </row>
    <row r="1188" spans="1:2">
      <c r="A1188" s="3">
        <f ca="1">IFERROR(__xludf.DUMMYFUNCTION("""COMPUTED_VALUE"""),42080.6666666666)</f>
        <v>42080.666666666599</v>
      </c>
      <c r="B1188" s="1">
        <f ca="1">IFERROR(__xludf.DUMMYFUNCTION("""COMPUTED_VALUE"""),12.98)</f>
        <v>12.98</v>
      </c>
    </row>
    <row r="1189" spans="1:2">
      <c r="A1189" s="3">
        <f ca="1">IFERROR(__xludf.DUMMYFUNCTION("""COMPUTED_VALUE"""),42081.6666666666)</f>
        <v>42081.666666666599</v>
      </c>
      <c r="B1189" s="1">
        <f ca="1">IFERROR(__xludf.DUMMYFUNCTION("""COMPUTED_VALUE"""),13.38)</f>
        <v>13.38</v>
      </c>
    </row>
    <row r="1190" spans="1:2">
      <c r="A1190" s="3">
        <f ca="1">IFERROR(__xludf.DUMMYFUNCTION("""COMPUTED_VALUE"""),42082.6666666666)</f>
        <v>42082.666666666599</v>
      </c>
      <c r="B1190" s="1">
        <f ca="1">IFERROR(__xludf.DUMMYFUNCTION("""COMPUTED_VALUE"""),13.04)</f>
        <v>13.04</v>
      </c>
    </row>
    <row r="1191" spans="1:2">
      <c r="A1191" s="3">
        <f ca="1">IFERROR(__xludf.DUMMYFUNCTION("""COMPUTED_VALUE"""),42083.6666666666)</f>
        <v>42083.666666666599</v>
      </c>
      <c r="B1191" s="1">
        <f ca="1">IFERROR(__xludf.DUMMYFUNCTION("""COMPUTED_VALUE"""),13.21)</f>
        <v>13.21</v>
      </c>
    </row>
    <row r="1192" spans="1:2">
      <c r="A1192" s="3">
        <f ca="1">IFERROR(__xludf.DUMMYFUNCTION("""COMPUTED_VALUE"""),42086.6666666666)</f>
        <v>42086.666666666599</v>
      </c>
      <c r="B1192" s="1">
        <f ca="1">IFERROR(__xludf.DUMMYFUNCTION("""COMPUTED_VALUE"""),13.31)</f>
        <v>13.31</v>
      </c>
    </row>
    <row r="1193" spans="1:2">
      <c r="A1193" s="3">
        <f ca="1">IFERROR(__xludf.DUMMYFUNCTION("""COMPUTED_VALUE"""),42087.6666666666)</f>
        <v>42087.666666666599</v>
      </c>
      <c r="B1193" s="1">
        <f ca="1">IFERROR(__xludf.DUMMYFUNCTION("""COMPUTED_VALUE"""),13.45)</f>
        <v>13.45</v>
      </c>
    </row>
    <row r="1194" spans="1:2">
      <c r="A1194" s="3">
        <f ca="1">IFERROR(__xludf.DUMMYFUNCTION("""COMPUTED_VALUE"""),42088.6666666666)</f>
        <v>42088.666666666599</v>
      </c>
      <c r="B1194" s="1">
        <f ca="1">IFERROR(__xludf.DUMMYFUNCTION("""COMPUTED_VALUE"""),12.95)</f>
        <v>12.95</v>
      </c>
    </row>
    <row r="1195" spans="1:2">
      <c r="A1195" s="3">
        <f ca="1">IFERROR(__xludf.DUMMYFUNCTION("""COMPUTED_VALUE"""),42089.6666666666)</f>
        <v>42089.666666666599</v>
      </c>
      <c r="B1195" s="1">
        <f ca="1">IFERROR(__xludf.DUMMYFUNCTION("""COMPUTED_VALUE"""),12.69)</f>
        <v>12.69</v>
      </c>
    </row>
    <row r="1196" spans="1:2">
      <c r="A1196" s="3">
        <f ca="1">IFERROR(__xludf.DUMMYFUNCTION("""COMPUTED_VALUE"""),42090.6666666666)</f>
        <v>42090.666666666599</v>
      </c>
      <c r="B1196" s="1">
        <f ca="1">IFERROR(__xludf.DUMMYFUNCTION("""COMPUTED_VALUE"""),12.33)</f>
        <v>12.33</v>
      </c>
    </row>
    <row r="1197" spans="1:2">
      <c r="A1197" s="3">
        <f ca="1">IFERROR(__xludf.DUMMYFUNCTION("""COMPUTED_VALUE"""),42093.6666666666)</f>
        <v>42093.666666666599</v>
      </c>
      <c r="B1197" s="1">
        <f ca="1">IFERROR(__xludf.DUMMYFUNCTION("""COMPUTED_VALUE"""),12.7)</f>
        <v>12.7</v>
      </c>
    </row>
    <row r="1198" spans="1:2">
      <c r="A1198" s="3">
        <f ca="1">IFERROR(__xludf.DUMMYFUNCTION("""COMPUTED_VALUE"""),42094.6666666666)</f>
        <v>42094.666666666599</v>
      </c>
      <c r="B1198" s="1">
        <f ca="1">IFERROR(__xludf.DUMMYFUNCTION("""COMPUTED_VALUE"""),12.58)</f>
        <v>12.58</v>
      </c>
    </row>
    <row r="1199" spans="1:2">
      <c r="A1199" s="3">
        <f ca="1">IFERROR(__xludf.DUMMYFUNCTION("""COMPUTED_VALUE"""),42095.6666666666)</f>
        <v>42095.666666666599</v>
      </c>
      <c r="B1199" s="1">
        <f ca="1">IFERROR(__xludf.DUMMYFUNCTION("""COMPUTED_VALUE"""),12.51)</f>
        <v>12.51</v>
      </c>
    </row>
    <row r="1200" spans="1:2">
      <c r="A1200" s="3">
        <f ca="1">IFERROR(__xludf.DUMMYFUNCTION("""COMPUTED_VALUE"""),42096.6666666666)</f>
        <v>42096.666666666599</v>
      </c>
      <c r="B1200" s="1">
        <f ca="1">IFERROR(__xludf.DUMMYFUNCTION("""COMPUTED_VALUE"""),12.73)</f>
        <v>12.73</v>
      </c>
    </row>
    <row r="1201" spans="1:2">
      <c r="A1201" s="3">
        <f ca="1">IFERROR(__xludf.DUMMYFUNCTION("""COMPUTED_VALUE"""),42100.6666666666)</f>
        <v>42100.666666666599</v>
      </c>
      <c r="B1201" s="1">
        <f ca="1">IFERROR(__xludf.DUMMYFUNCTION("""COMPUTED_VALUE"""),13.54)</f>
        <v>13.54</v>
      </c>
    </row>
    <row r="1202" spans="1:2">
      <c r="A1202" s="3">
        <f ca="1">IFERROR(__xludf.DUMMYFUNCTION("""COMPUTED_VALUE"""),42101.6666666666)</f>
        <v>42101.666666666599</v>
      </c>
      <c r="B1202" s="1">
        <f ca="1">IFERROR(__xludf.DUMMYFUNCTION("""COMPUTED_VALUE"""),13.55)</f>
        <v>13.55</v>
      </c>
    </row>
    <row r="1203" spans="1:2">
      <c r="A1203" s="3">
        <f ca="1">IFERROR(__xludf.DUMMYFUNCTION("""COMPUTED_VALUE"""),42102.6666666666)</f>
        <v>42102.666666666599</v>
      </c>
      <c r="B1203" s="1">
        <f ca="1">IFERROR(__xludf.DUMMYFUNCTION("""COMPUTED_VALUE"""),13.84)</f>
        <v>13.84</v>
      </c>
    </row>
    <row r="1204" spans="1:2">
      <c r="A1204" s="3">
        <f ca="1">IFERROR(__xludf.DUMMYFUNCTION("""COMPUTED_VALUE"""),42103.6666666666)</f>
        <v>42103.666666666599</v>
      </c>
      <c r="B1204" s="1">
        <f ca="1">IFERROR(__xludf.DUMMYFUNCTION("""COMPUTED_VALUE"""),14.01)</f>
        <v>14.01</v>
      </c>
    </row>
    <row r="1205" spans="1:2">
      <c r="A1205" s="3">
        <f ca="1">IFERROR(__xludf.DUMMYFUNCTION("""COMPUTED_VALUE"""),42104.6666666666)</f>
        <v>42104.666666666599</v>
      </c>
      <c r="B1205" s="1">
        <f ca="1">IFERROR(__xludf.DUMMYFUNCTION("""COMPUTED_VALUE"""),14.06)</f>
        <v>14.06</v>
      </c>
    </row>
    <row r="1206" spans="1:2">
      <c r="A1206" s="3">
        <f ca="1">IFERROR(__xludf.DUMMYFUNCTION("""COMPUTED_VALUE"""),42107.6666666666)</f>
        <v>42107.666666666599</v>
      </c>
      <c r="B1206" s="1">
        <f ca="1">IFERROR(__xludf.DUMMYFUNCTION("""COMPUTED_VALUE"""),13.99)</f>
        <v>13.99</v>
      </c>
    </row>
    <row r="1207" spans="1:2">
      <c r="A1207" s="3">
        <f ca="1">IFERROR(__xludf.DUMMYFUNCTION("""COMPUTED_VALUE"""),42108.6666666666)</f>
        <v>42108.666666666599</v>
      </c>
      <c r="B1207" s="1">
        <f ca="1">IFERROR(__xludf.DUMMYFUNCTION("""COMPUTED_VALUE"""),13.83)</f>
        <v>13.83</v>
      </c>
    </row>
    <row r="1208" spans="1:2">
      <c r="A1208" s="3">
        <f ca="1">IFERROR(__xludf.DUMMYFUNCTION("""COMPUTED_VALUE"""),42109.6666666666)</f>
        <v>42109.666666666599</v>
      </c>
      <c r="B1208" s="1">
        <f ca="1">IFERROR(__xludf.DUMMYFUNCTION("""COMPUTED_VALUE"""),13.86)</f>
        <v>13.86</v>
      </c>
    </row>
    <row r="1209" spans="1:2">
      <c r="A1209" s="3">
        <f ca="1">IFERROR(__xludf.DUMMYFUNCTION("""COMPUTED_VALUE"""),42110.6666666666)</f>
        <v>42110.666666666599</v>
      </c>
      <c r="B1209" s="1">
        <f ca="1">IFERROR(__xludf.DUMMYFUNCTION("""COMPUTED_VALUE"""),13.78)</f>
        <v>13.78</v>
      </c>
    </row>
    <row r="1210" spans="1:2">
      <c r="A1210" s="3">
        <f ca="1">IFERROR(__xludf.DUMMYFUNCTION("""COMPUTED_VALUE"""),42111.6666666666)</f>
        <v>42111.666666666599</v>
      </c>
      <c r="B1210" s="1">
        <f ca="1">IFERROR(__xludf.DUMMYFUNCTION("""COMPUTED_VALUE"""),13.79)</f>
        <v>13.79</v>
      </c>
    </row>
    <row r="1211" spans="1:2">
      <c r="A1211" s="3">
        <f ca="1">IFERROR(__xludf.DUMMYFUNCTION("""COMPUTED_VALUE"""),42114.6666666666)</f>
        <v>42114.666666666599</v>
      </c>
      <c r="B1211" s="1">
        <f ca="1">IFERROR(__xludf.DUMMYFUNCTION("""COMPUTED_VALUE"""),13.68)</f>
        <v>13.68</v>
      </c>
    </row>
    <row r="1212" spans="1:2">
      <c r="A1212" s="3">
        <f ca="1">IFERROR(__xludf.DUMMYFUNCTION("""COMPUTED_VALUE"""),42115.6666666666)</f>
        <v>42115.666666666599</v>
      </c>
      <c r="B1212" s="1">
        <f ca="1">IFERROR(__xludf.DUMMYFUNCTION("""COMPUTED_VALUE"""),13.96)</f>
        <v>13.96</v>
      </c>
    </row>
    <row r="1213" spans="1:2">
      <c r="A1213" s="3">
        <f ca="1">IFERROR(__xludf.DUMMYFUNCTION("""COMPUTED_VALUE"""),42116.6666666666)</f>
        <v>42116.666666666599</v>
      </c>
      <c r="B1213" s="1">
        <f ca="1">IFERROR(__xludf.DUMMYFUNCTION("""COMPUTED_VALUE"""),14.63)</f>
        <v>14.63</v>
      </c>
    </row>
    <row r="1214" spans="1:2">
      <c r="A1214" s="3">
        <f ca="1">IFERROR(__xludf.DUMMYFUNCTION("""COMPUTED_VALUE"""),42117.6666666666)</f>
        <v>42117.666666666599</v>
      </c>
      <c r="B1214" s="1">
        <f ca="1">IFERROR(__xludf.DUMMYFUNCTION("""COMPUTED_VALUE"""),14.57)</f>
        <v>14.57</v>
      </c>
    </row>
    <row r="1215" spans="1:2">
      <c r="A1215" s="3">
        <f ca="1">IFERROR(__xludf.DUMMYFUNCTION("""COMPUTED_VALUE"""),42118.6666666666)</f>
        <v>42118.666666666599</v>
      </c>
      <c r="B1215" s="1">
        <f ca="1">IFERROR(__xludf.DUMMYFUNCTION("""COMPUTED_VALUE"""),14.56)</f>
        <v>14.56</v>
      </c>
    </row>
    <row r="1216" spans="1:2">
      <c r="A1216" s="3">
        <f ca="1">IFERROR(__xludf.DUMMYFUNCTION("""COMPUTED_VALUE"""),42121.6666666666)</f>
        <v>42121.666666666599</v>
      </c>
      <c r="B1216" s="1">
        <f ca="1">IFERROR(__xludf.DUMMYFUNCTION("""COMPUTED_VALUE"""),15.44)</f>
        <v>15.44</v>
      </c>
    </row>
    <row r="1217" spans="1:2">
      <c r="A1217" s="3">
        <f ca="1">IFERROR(__xludf.DUMMYFUNCTION("""COMPUTED_VALUE"""),42122.6666666666)</f>
        <v>42122.666666666599</v>
      </c>
      <c r="B1217" s="1">
        <f ca="1">IFERROR(__xludf.DUMMYFUNCTION("""COMPUTED_VALUE"""),15.37)</f>
        <v>15.37</v>
      </c>
    </row>
    <row r="1218" spans="1:2">
      <c r="A1218" s="3">
        <f ca="1">IFERROR(__xludf.DUMMYFUNCTION("""COMPUTED_VALUE"""),42123.6666666666)</f>
        <v>42123.666666666599</v>
      </c>
      <c r="B1218" s="1">
        <f ca="1">IFERROR(__xludf.DUMMYFUNCTION("""COMPUTED_VALUE"""),15.5)</f>
        <v>15.5</v>
      </c>
    </row>
    <row r="1219" spans="1:2">
      <c r="A1219" s="3">
        <f ca="1">IFERROR(__xludf.DUMMYFUNCTION("""COMPUTED_VALUE"""),42124.6666666666)</f>
        <v>42124.666666666599</v>
      </c>
      <c r="B1219" s="1">
        <f ca="1">IFERROR(__xludf.DUMMYFUNCTION("""COMPUTED_VALUE"""),15.07)</f>
        <v>15.07</v>
      </c>
    </row>
    <row r="1220" spans="1:2">
      <c r="A1220" s="3">
        <f ca="1">IFERROR(__xludf.DUMMYFUNCTION("""COMPUTED_VALUE"""),42125.6666666666)</f>
        <v>42125.666666666599</v>
      </c>
      <c r="B1220" s="1">
        <f ca="1">IFERROR(__xludf.DUMMYFUNCTION("""COMPUTED_VALUE"""),15.07)</f>
        <v>15.07</v>
      </c>
    </row>
    <row r="1221" spans="1:2">
      <c r="A1221" s="3">
        <f ca="1">IFERROR(__xludf.DUMMYFUNCTION("""COMPUTED_VALUE"""),42128.6666666666)</f>
        <v>42128.666666666599</v>
      </c>
      <c r="B1221" s="1">
        <f ca="1">IFERROR(__xludf.DUMMYFUNCTION("""COMPUTED_VALUE"""),15.37)</f>
        <v>15.37</v>
      </c>
    </row>
    <row r="1222" spans="1:2">
      <c r="A1222" s="3">
        <f ca="1">IFERROR(__xludf.DUMMYFUNCTION("""COMPUTED_VALUE"""),42129.6666666666)</f>
        <v>42129.666666666599</v>
      </c>
      <c r="B1222" s="1">
        <f ca="1">IFERROR(__xludf.DUMMYFUNCTION("""COMPUTED_VALUE"""),15.53)</f>
        <v>15.53</v>
      </c>
    </row>
    <row r="1223" spans="1:2">
      <c r="A1223" s="3">
        <f ca="1">IFERROR(__xludf.DUMMYFUNCTION("""COMPUTED_VALUE"""),42130.6666666666)</f>
        <v>42130.666666666599</v>
      </c>
      <c r="B1223" s="1">
        <f ca="1">IFERROR(__xludf.DUMMYFUNCTION("""COMPUTED_VALUE"""),15.36)</f>
        <v>15.36</v>
      </c>
    </row>
    <row r="1224" spans="1:2">
      <c r="A1224" s="3">
        <f ca="1">IFERROR(__xludf.DUMMYFUNCTION("""COMPUTED_VALUE"""),42131.6666666666)</f>
        <v>42131.666666666599</v>
      </c>
      <c r="B1224" s="1">
        <f ca="1">IFERROR(__xludf.DUMMYFUNCTION("""COMPUTED_VALUE"""),15.79)</f>
        <v>15.79</v>
      </c>
    </row>
    <row r="1225" spans="1:2">
      <c r="A1225" s="3">
        <f ca="1">IFERROR(__xludf.DUMMYFUNCTION("""COMPUTED_VALUE"""),42132.6666666666)</f>
        <v>42132.666666666599</v>
      </c>
      <c r="B1225" s="1">
        <f ca="1">IFERROR(__xludf.DUMMYFUNCTION("""COMPUTED_VALUE"""),15.77)</f>
        <v>15.77</v>
      </c>
    </row>
    <row r="1226" spans="1:2">
      <c r="A1226" s="3">
        <f ca="1">IFERROR(__xludf.DUMMYFUNCTION("""COMPUTED_VALUE"""),42135.6666666666)</f>
        <v>42135.666666666599</v>
      </c>
      <c r="B1226" s="1">
        <f ca="1">IFERROR(__xludf.DUMMYFUNCTION("""COMPUTED_VALUE"""),15.97)</f>
        <v>15.97</v>
      </c>
    </row>
    <row r="1227" spans="1:2">
      <c r="A1227" s="3">
        <f ca="1">IFERROR(__xludf.DUMMYFUNCTION("""COMPUTED_VALUE"""),42136.6666666666)</f>
        <v>42136.666666666599</v>
      </c>
      <c r="B1227" s="1">
        <f ca="1">IFERROR(__xludf.DUMMYFUNCTION("""COMPUTED_VALUE"""),16.32)</f>
        <v>16.32</v>
      </c>
    </row>
    <row r="1228" spans="1:2">
      <c r="A1228" s="3">
        <f ca="1">IFERROR(__xludf.DUMMYFUNCTION("""COMPUTED_VALUE"""),42137.6666666666)</f>
        <v>42137.666666666599</v>
      </c>
      <c r="B1228" s="1">
        <f ca="1">IFERROR(__xludf.DUMMYFUNCTION("""COMPUTED_VALUE"""),16.21)</f>
        <v>16.21</v>
      </c>
    </row>
    <row r="1229" spans="1:2">
      <c r="A1229" s="3">
        <f ca="1">IFERROR(__xludf.DUMMYFUNCTION("""COMPUTED_VALUE"""),42138.6666666666)</f>
        <v>42138.666666666599</v>
      </c>
      <c r="B1229" s="1">
        <f ca="1">IFERROR(__xludf.DUMMYFUNCTION("""COMPUTED_VALUE"""),16.27)</f>
        <v>16.27</v>
      </c>
    </row>
    <row r="1230" spans="1:2">
      <c r="A1230" s="3">
        <f ca="1">IFERROR(__xludf.DUMMYFUNCTION("""COMPUTED_VALUE"""),42139.6666666666)</f>
        <v>42139.666666666599</v>
      </c>
      <c r="B1230" s="1">
        <f ca="1">IFERROR(__xludf.DUMMYFUNCTION("""COMPUTED_VALUE"""),16.59)</f>
        <v>16.59</v>
      </c>
    </row>
    <row r="1231" spans="1:2">
      <c r="A1231" s="3">
        <f ca="1">IFERROR(__xludf.DUMMYFUNCTION("""COMPUTED_VALUE"""),42142.6666666666)</f>
        <v>42142.666666666599</v>
      </c>
      <c r="B1231" s="1">
        <f ca="1">IFERROR(__xludf.DUMMYFUNCTION("""COMPUTED_VALUE"""),16.58)</f>
        <v>16.579999999999998</v>
      </c>
    </row>
    <row r="1232" spans="1:2">
      <c r="A1232" s="3">
        <f ca="1">IFERROR(__xludf.DUMMYFUNCTION("""COMPUTED_VALUE"""),42143.6666666666)</f>
        <v>42143.666666666599</v>
      </c>
      <c r="B1232" s="1">
        <f ca="1">IFERROR(__xludf.DUMMYFUNCTION("""COMPUTED_VALUE"""),16.48)</f>
        <v>16.48</v>
      </c>
    </row>
    <row r="1233" spans="1:2">
      <c r="A1233" s="3">
        <f ca="1">IFERROR(__xludf.DUMMYFUNCTION("""COMPUTED_VALUE"""),42144.6666666666)</f>
        <v>42144.666666666599</v>
      </c>
      <c r="B1233" s="1">
        <f ca="1">IFERROR(__xludf.DUMMYFUNCTION("""COMPUTED_VALUE"""),16.29)</f>
        <v>16.29</v>
      </c>
    </row>
    <row r="1234" spans="1:2">
      <c r="A1234" s="3">
        <f ca="1">IFERROR(__xludf.DUMMYFUNCTION("""COMPUTED_VALUE"""),42145.6666666666)</f>
        <v>42145.666666666599</v>
      </c>
      <c r="B1234" s="1">
        <f ca="1">IFERROR(__xludf.DUMMYFUNCTION("""COMPUTED_VALUE"""),16.37)</f>
        <v>16.37</v>
      </c>
    </row>
    <row r="1235" spans="1:2">
      <c r="A1235" s="3">
        <f ca="1">IFERROR(__xludf.DUMMYFUNCTION("""COMPUTED_VALUE"""),42146.6666666666)</f>
        <v>42146.666666666599</v>
      </c>
      <c r="B1235" s="1">
        <f ca="1">IFERROR(__xludf.DUMMYFUNCTION("""COMPUTED_VALUE"""),16.52)</f>
        <v>16.52</v>
      </c>
    </row>
    <row r="1236" spans="1:2">
      <c r="A1236" s="3">
        <f ca="1">IFERROR(__xludf.DUMMYFUNCTION("""COMPUTED_VALUE"""),42150.6666666666)</f>
        <v>42150.666666666599</v>
      </c>
      <c r="B1236" s="1">
        <f ca="1">IFERROR(__xludf.DUMMYFUNCTION("""COMPUTED_VALUE"""),16.5)</f>
        <v>16.5</v>
      </c>
    </row>
    <row r="1237" spans="1:2">
      <c r="A1237" s="3">
        <f ca="1">IFERROR(__xludf.DUMMYFUNCTION("""COMPUTED_VALUE"""),42151.6666666666)</f>
        <v>42151.666666666599</v>
      </c>
      <c r="B1237" s="1">
        <f ca="1">IFERROR(__xludf.DUMMYFUNCTION("""COMPUTED_VALUE"""),16.5)</f>
        <v>16.5</v>
      </c>
    </row>
    <row r="1238" spans="1:2">
      <c r="A1238" s="3">
        <f ca="1">IFERROR(__xludf.DUMMYFUNCTION("""COMPUTED_VALUE"""),42152.6666666666)</f>
        <v>42152.666666666599</v>
      </c>
      <c r="B1238" s="1">
        <f ca="1">IFERROR(__xludf.DUMMYFUNCTION("""COMPUTED_VALUE"""),16.76)</f>
        <v>16.760000000000002</v>
      </c>
    </row>
    <row r="1239" spans="1:2">
      <c r="A1239" s="3">
        <f ca="1">IFERROR(__xludf.DUMMYFUNCTION("""COMPUTED_VALUE"""),42153.6666666666)</f>
        <v>42153.666666666599</v>
      </c>
      <c r="B1239" s="1">
        <f ca="1">IFERROR(__xludf.DUMMYFUNCTION("""COMPUTED_VALUE"""),16.72)</f>
        <v>16.72</v>
      </c>
    </row>
    <row r="1240" spans="1:2">
      <c r="A1240" s="3">
        <f ca="1">IFERROR(__xludf.DUMMYFUNCTION("""COMPUTED_VALUE"""),42156.6666666666)</f>
        <v>42156.666666666599</v>
      </c>
      <c r="B1240" s="1">
        <f ca="1">IFERROR(__xludf.DUMMYFUNCTION("""COMPUTED_VALUE"""),16.63)</f>
        <v>16.63</v>
      </c>
    </row>
    <row r="1241" spans="1:2">
      <c r="A1241" s="3">
        <f ca="1">IFERROR(__xludf.DUMMYFUNCTION("""COMPUTED_VALUE"""),42157.6666666666)</f>
        <v>42157.666666666599</v>
      </c>
      <c r="B1241" s="1">
        <f ca="1">IFERROR(__xludf.DUMMYFUNCTION("""COMPUTED_VALUE"""),16.56)</f>
        <v>16.559999999999999</v>
      </c>
    </row>
    <row r="1242" spans="1:2">
      <c r="A1242" s="3">
        <f ca="1">IFERROR(__xludf.DUMMYFUNCTION("""COMPUTED_VALUE"""),42158.6666666666)</f>
        <v>42158.666666666599</v>
      </c>
      <c r="B1242" s="1">
        <f ca="1">IFERROR(__xludf.DUMMYFUNCTION("""COMPUTED_VALUE"""),16.6)</f>
        <v>16.600000000000001</v>
      </c>
    </row>
    <row r="1243" spans="1:2">
      <c r="A1243" s="3">
        <f ca="1">IFERROR(__xludf.DUMMYFUNCTION("""COMPUTED_VALUE"""),42159.6666666666)</f>
        <v>42159.666666666599</v>
      </c>
      <c r="B1243" s="1">
        <f ca="1">IFERROR(__xludf.DUMMYFUNCTION("""COMPUTED_VALUE"""),16.39)</f>
        <v>16.39</v>
      </c>
    </row>
    <row r="1244" spans="1:2">
      <c r="A1244" s="3">
        <f ca="1">IFERROR(__xludf.DUMMYFUNCTION("""COMPUTED_VALUE"""),42160.6666666666)</f>
        <v>42160.666666666599</v>
      </c>
      <c r="B1244" s="1">
        <f ca="1">IFERROR(__xludf.DUMMYFUNCTION("""COMPUTED_VALUE"""),16.61)</f>
        <v>16.61</v>
      </c>
    </row>
    <row r="1245" spans="1:2">
      <c r="A1245" s="3">
        <f ca="1">IFERROR(__xludf.DUMMYFUNCTION("""COMPUTED_VALUE"""),42163.6666666666)</f>
        <v>42163.666666666599</v>
      </c>
      <c r="B1245" s="1">
        <f ca="1">IFERROR(__xludf.DUMMYFUNCTION("""COMPUTED_VALUE"""),17.09)</f>
        <v>17.09</v>
      </c>
    </row>
    <row r="1246" spans="1:2">
      <c r="A1246" s="3">
        <f ca="1">IFERROR(__xludf.DUMMYFUNCTION("""COMPUTED_VALUE"""),42164.6666666666)</f>
        <v>42164.666666666599</v>
      </c>
      <c r="B1246" s="1">
        <f ca="1">IFERROR(__xludf.DUMMYFUNCTION("""COMPUTED_VALUE"""),17.07)</f>
        <v>17.07</v>
      </c>
    </row>
    <row r="1247" spans="1:2">
      <c r="A1247" s="3">
        <f ca="1">IFERROR(__xludf.DUMMYFUNCTION("""COMPUTED_VALUE"""),42165.6666666666)</f>
        <v>42165.666666666599</v>
      </c>
      <c r="B1247" s="1">
        <f ca="1">IFERROR(__xludf.DUMMYFUNCTION("""COMPUTED_VALUE"""),16.71)</f>
        <v>16.71</v>
      </c>
    </row>
    <row r="1248" spans="1:2">
      <c r="A1248" s="3">
        <f ca="1">IFERROR(__xludf.DUMMYFUNCTION("""COMPUTED_VALUE"""),42166.6666666666)</f>
        <v>42166.666666666599</v>
      </c>
      <c r="B1248" s="1">
        <f ca="1">IFERROR(__xludf.DUMMYFUNCTION("""COMPUTED_VALUE"""),16.76)</f>
        <v>16.760000000000002</v>
      </c>
    </row>
    <row r="1249" spans="1:2">
      <c r="A1249" s="3">
        <f ca="1">IFERROR(__xludf.DUMMYFUNCTION("""COMPUTED_VALUE"""),42167.6666666666)</f>
        <v>42167.666666666599</v>
      </c>
      <c r="B1249" s="1">
        <f ca="1">IFERROR(__xludf.DUMMYFUNCTION("""COMPUTED_VALUE"""),16.71)</f>
        <v>16.71</v>
      </c>
    </row>
    <row r="1250" spans="1:2">
      <c r="A1250" s="3">
        <f ca="1">IFERROR(__xludf.DUMMYFUNCTION("""COMPUTED_VALUE"""),42170.6666666666)</f>
        <v>42170.666666666599</v>
      </c>
      <c r="B1250" s="1">
        <f ca="1">IFERROR(__xludf.DUMMYFUNCTION("""COMPUTED_VALUE"""),16.69)</f>
        <v>16.690000000000001</v>
      </c>
    </row>
    <row r="1251" spans="1:2">
      <c r="A1251" s="3">
        <f ca="1">IFERROR(__xludf.DUMMYFUNCTION("""COMPUTED_VALUE"""),42171.6666666666)</f>
        <v>42171.666666666599</v>
      </c>
      <c r="B1251" s="1">
        <f ca="1">IFERROR(__xludf.DUMMYFUNCTION("""COMPUTED_VALUE"""),16.87)</f>
        <v>16.87</v>
      </c>
    </row>
    <row r="1252" spans="1:2">
      <c r="A1252" s="3">
        <f ca="1">IFERROR(__xludf.DUMMYFUNCTION("""COMPUTED_VALUE"""),42172.6666666666)</f>
        <v>42172.666666666599</v>
      </c>
      <c r="B1252" s="1">
        <f ca="1">IFERROR(__xludf.DUMMYFUNCTION("""COMPUTED_VALUE"""),17.36)</f>
        <v>17.36</v>
      </c>
    </row>
    <row r="1253" spans="1:2">
      <c r="A1253" s="3">
        <f ca="1">IFERROR(__xludf.DUMMYFUNCTION("""COMPUTED_VALUE"""),42173.6666666666)</f>
        <v>42173.666666666599</v>
      </c>
      <c r="B1253" s="1">
        <f ca="1">IFERROR(__xludf.DUMMYFUNCTION("""COMPUTED_VALUE"""),17.46)</f>
        <v>17.46</v>
      </c>
    </row>
    <row r="1254" spans="1:2">
      <c r="A1254" s="3">
        <f ca="1">IFERROR(__xludf.DUMMYFUNCTION("""COMPUTED_VALUE"""),42174.6666666666)</f>
        <v>42174.666666666599</v>
      </c>
      <c r="B1254" s="1">
        <f ca="1">IFERROR(__xludf.DUMMYFUNCTION("""COMPUTED_VALUE"""),17.5)</f>
        <v>17.5</v>
      </c>
    </row>
    <row r="1255" spans="1:2">
      <c r="A1255" s="3">
        <f ca="1">IFERROR(__xludf.DUMMYFUNCTION("""COMPUTED_VALUE"""),42177.6666666666)</f>
        <v>42177.666666666599</v>
      </c>
      <c r="B1255" s="1">
        <f ca="1">IFERROR(__xludf.DUMMYFUNCTION("""COMPUTED_VALUE"""),17.32)</f>
        <v>17.32</v>
      </c>
    </row>
    <row r="1256" spans="1:2">
      <c r="A1256" s="3">
        <f ca="1">IFERROR(__xludf.DUMMYFUNCTION("""COMPUTED_VALUE"""),42178.6666666666)</f>
        <v>42178.666666666599</v>
      </c>
      <c r="B1256" s="1">
        <f ca="1">IFERROR(__xludf.DUMMYFUNCTION("""COMPUTED_VALUE"""),17.84)</f>
        <v>17.84</v>
      </c>
    </row>
    <row r="1257" spans="1:2">
      <c r="A1257" s="3">
        <f ca="1">IFERROR(__xludf.DUMMYFUNCTION("""COMPUTED_VALUE"""),42179.6666666666)</f>
        <v>42179.666666666599</v>
      </c>
      <c r="B1257" s="1">
        <f ca="1">IFERROR(__xludf.DUMMYFUNCTION("""COMPUTED_VALUE"""),17.68)</f>
        <v>17.68</v>
      </c>
    </row>
    <row r="1258" spans="1:2">
      <c r="A1258" s="3">
        <f ca="1">IFERROR(__xludf.DUMMYFUNCTION("""COMPUTED_VALUE"""),42180.6666666666)</f>
        <v>42180.666666666599</v>
      </c>
      <c r="B1258" s="1">
        <f ca="1">IFERROR(__xludf.DUMMYFUNCTION("""COMPUTED_VALUE"""),17.92)</f>
        <v>17.920000000000002</v>
      </c>
    </row>
    <row r="1259" spans="1:2">
      <c r="A1259" s="3">
        <f ca="1">IFERROR(__xludf.DUMMYFUNCTION("""COMPUTED_VALUE"""),42181.6666666666)</f>
        <v>42181.666666666599</v>
      </c>
      <c r="B1259" s="1">
        <f ca="1">IFERROR(__xludf.DUMMYFUNCTION("""COMPUTED_VALUE"""),17.81)</f>
        <v>17.809999999999999</v>
      </c>
    </row>
    <row r="1260" spans="1:2">
      <c r="A1260" s="3">
        <f ca="1">IFERROR(__xludf.DUMMYFUNCTION("""COMPUTED_VALUE"""),42184.6666666666)</f>
        <v>42184.666666666599</v>
      </c>
      <c r="B1260" s="1">
        <f ca="1">IFERROR(__xludf.DUMMYFUNCTION("""COMPUTED_VALUE"""),17.47)</f>
        <v>17.47</v>
      </c>
    </row>
    <row r="1261" spans="1:2">
      <c r="A1261" s="3">
        <f ca="1">IFERROR(__xludf.DUMMYFUNCTION("""COMPUTED_VALUE"""),42185.6666666666)</f>
        <v>42185.666666666599</v>
      </c>
      <c r="B1261" s="1">
        <f ca="1">IFERROR(__xludf.DUMMYFUNCTION("""COMPUTED_VALUE"""),17.88)</f>
        <v>17.88</v>
      </c>
    </row>
    <row r="1262" spans="1:2">
      <c r="A1262" s="3">
        <f ca="1">IFERROR(__xludf.DUMMYFUNCTION("""COMPUTED_VALUE"""),42186.6666666666)</f>
        <v>42186.666666666599</v>
      </c>
      <c r="B1262" s="1">
        <f ca="1">IFERROR(__xludf.DUMMYFUNCTION("""COMPUTED_VALUE"""),17.94)</f>
        <v>17.940000000000001</v>
      </c>
    </row>
    <row r="1263" spans="1:2">
      <c r="A1263" s="3">
        <f ca="1">IFERROR(__xludf.DUMMYFUNCTION("""COMPUTED_VALUE"""),42187.6666666666)</f>
        <v>42187.666666666599</v>
      </c>
      <c r="B1263" s="1">
        <f ca="1">IFERROR(__xludf.DUMMYFUNCTION("""COMPUTED_VALUE"""),18.67)</f>
        <v>18.670000000000002</v>
      </c>
    </row>
    <row r="1264" spans="1:2">
      <c r="A1264" s="3">
        <f ca="1">IFERROR(__xludf.DUMMYFUNCTION("""COMPUTED_VALUE"""),42191.6666666666)</f>
        <v>42191.666666666599</v>
      </c>
      <c r="B1264" s="1">
        <f ca="1">IFERROR(__xludf.DUMMYFUNCTION("""COMPUTED_VALUE"""),18.65)</f>
        <v>18.649999999999999</v>
      </c>
    </row>
    <row r="1265" spans="1:2">
      <c r="A1265" s="3">
        <f ca="1">IFERROR(__xludf.DUMMYFUNCTION("""COMPUTED_VALUE"""),42192.6666666666)</f>
        <v>42192.666666666599</v>
      </c>
      <c r="B1265" s="1">
        <f ca="1">IFERROR(__xludf.DUMMYFUNCTION("""COMPUTED_VALUE"""),17.86)</f>
        <v>17.86</v>
      </c>
    </row>
    <row r="1266" spans="1:2">
      <c r="A1266" s="3">
        <f ca="1">IFERROR(__xludf.DUMMYFUNCTION("""COMPUTED_VALUE"""),42193.6666666666)</f>
        <v>42193.666666666599</v>
      </c>
      <c r="B1266" s="1">
        <f ca="1">IFERROR(__xludf.DUMMYFUNCTION("""COMPUTED_VALUE"""),17)</f>
        <v>17</v>
      </c>
    </row>
    <row r="1267" spans="1:2">
      <c r="A1267" s="3">
        <f ca="1">IFERROR(__xludf.DUMMYFUNCTION("""COMPUTED_VALUE"""),42194.6666666666)</f>
        <v>42194.666666666599</v>
      </c>
      <c r="B1267" s="1">
        <f ca="1">IFERROR(__xludf.DUMMYFUNCTION("""COMPUTED_VALUE"""),17.19)</f>
        <v>17.190000000000001</v>
      </c>
    </row>
    <row r="1268" spans="1:2">
      <c r="A1268" s="3">
        <f ca="1">IFERROR(__xludf.DUMMYFUNCTION("""COMPUTED_VALUE"""),42195.6666666666)</f>
        <v>42195.666666666599</v>
      </c>
      <c r="B1268" s="1">
        <f ca="1">IFERROR(__xludf.DUMMYFUNCTION("""COMPUTED_VALUE"""),17.28)</f>
        <v>17.28</v>
      </c>
    </row>
    <row r="1269" spans="1:2">
      <c r="A1269" s="3">
        <f ca="1">IFERROR(__xludf.DUMMYFUNCTION("""COMPUTED_VALUE"""),42198.6666666666)</f>
        <v>42198.666666666599</v>
      </c>
      <c r="B1269" s="1">
        <f ca="1">IFERROR(__xludf.DUMMYFUNCTION("""COMPUTED_VALUE"""),17.48)</f>
        <v>17.48</v>
      </c>
    </row>
    <row r="1270" spans="1:2">
      <c r="A1270" s="3">
        <f ca="1">IFERROR(__xludf.DUMMYFUNCTION("""COMPUTED_VALUE"""),42199.6666666666)</f>
        <v>42199.666666666599</v>
      </c>
      <c r="B1270" s="1">
        <f ca="1">IFERROR(__xludf.DUMMYFUNCTION("""COMPUTED_VALUE"""),17.71)</f>
        <v>17.71</v>
      </c>
    </row>
    <row r="1271" spans="1:2">
      <c r="A1271" s="3">
        <f ca="1">IFERROR(__xludf.DUMMYFUNCTION("""COMPUTED_VALUE"""),42200.6666666666)</f>
        <v>42200.666666666599</v>
      </c>
      <c r="B1271" s="1">
        <f ca="1">IFERROR(__xludf.DUMMYFUNCTION("""COMPUTED_VALUE"""),17.54)</f>
        <v>17.54</v>
      </c>
    </row>
    <row r="1272" spans="1:2">
      <c r="A1272" s="3">
        <f ca="1">IFERROR(__xludf.DUMMYFUNCTION("""COMPUTED_VALUE"""),42201.6666666666)</f>
        <v>42201.666666666599</v>
      </c>
      <c r="B1272" s="1">
        <f ca="1">IFERROR(__xludf.DUMMYFUNCTION("""COMPUTED_VALUE"""),17.78)</f>
        <v>17.78</v>
      </c>
    </row>
    <row r="1273" spans="1:2">
      <c r="A1273" s="3">
        <f ca="1">IFERROR(__xludf.DUMMYFUNCTION("""COMPUTED_VALUE"""),42202.6666666666)</f>
        <v>42202.666666666599</v>
      </c>
      <c r="B1273" s="1">
        <f ca="1">IFERROR(__xludf.DUMMYFUNCTION("""COMPUTED_VALUE"""),18.31)</f>
        <v>18.309999999999999</v>
      </c>
    </row>
    <row r="1274" spans="1:2">
      <c r="A1274" s="3">
        <f ca="1">IFERROR(__xludf.DUMMYFUNCTION("""COMPUTED_VALUE"""),42205.6666666666)</f>
        <v>42205.666666666599</v>
      </c>
      <c r="B1274" s="1">
        <f ca="1">IFERROR(__xludf.DUMMYFUNCTION("""COMPUTED_VALUE"""),18.82)</f>
        <v>18.82</v>
      </c>
    </row>
    <row r="1275" spans="1:2">
      <c r="A1275" s="3">
        <f ca="1">IFERROR(__xludf.DUMMYFUNCTION("""COMPUTED_VALUE"""),42206.6666666666)</f>
        <v>42206.666666666599</v>
      </c>
      <c r="B1275" s="1">
        <f ca="1">IFERROR(__xludf.DUMMYFUNCTION("""COMPUTED_VALUE"""),17.78)</f>
        <v>17.78</v>
      </c>
    </row>
    <row r="1276" spans="1:2">
      <c r="A1276" s="3">
        <f ca="1">IFERROR(__xludf.DUMMYFUNCTION("""COMPUTED_VALUE"""),42207.6666666666)</f>
        <v>42207.666666666599</v>
      </c>
      <c r="B1276" s="1">
        <f ca="1">IFERROR(__xludf.DUMMYFUNCTION("""COMPUTED_VALUE"""),17.86)</f>
        <v>17.86</v>
      </c>
    </row>
    <row r="1277" spans="1:2">
      <c r="A1277" s="3">
        <f ca="1">IFERROR(__xludf.DUMMYFUNCTION("""COMPUTED_VALUE"""),42208.6666666666)</f>
        <v>42208.666666666599</v>
      </c>
      <c r="B1277" s="1">
        <f ca="1">IFERROR(__xludf.DUMMYFUNCTION("""COMPUTED_VALUE"""),17.81)</f>
        <v>17.809999999999999</v>
      </c>
    </row>
    <row r="1278" spans="1:2">
      <c r="A1278" s="3">
        <f ca="1">IFERROR(__xludf.DUMMYFUNCTION("""COMPUTED_VALUE"""),42209.6666666666)</f>
        <v>42209.666666666599</v>
      </c>
      <c r="B1278" s="1">
        <f ca="1">IFERROR(__xludf.DUMMYFUNCTION("""COMPUTED_VALUE"""),17.69)</f>
        <v>17.690000000000001</v>
      </c>
    </row>
    <row r="1279" spans="1:2">
      <c r="A1279" s="3">
        <f ca="1">IFERROR(__xludf.DUMMYFUNCTION("""COMPUTED_VALUE"""),42212.6666666666)</f>
        <v>42212.666666666599</v>
      </c>
      <c r="B1279" s="1">
        <f ca="1">IFERROR(__xludf.DUMMYFUNCTION("""COMPUTED_VALUE"""),16.87)</f>
        <v>16.87</v>
      </c>
    </row>
    <row r="1280" spans="1:2">
      <c r="A1280" s="3">
        <f ca="1">IFERROR(__xludf.DUMMYFUNCTION("""COMPUTED_VALUE"""),42213.6666666666)</f>
        <v>42213.666666666599</v>
      </c>
      <c r="B1280" s="1">
        <f ca="1">IFERROR(__xludf.DUMMYFUNCTION("""COMPUTED_VALUE"""),17.65)</f>
        <v>17.649999999999999</v>
      </c>
    </row>
    <row r="1281" spans="1:2">
      <c r="A1281" s="3">
        <f ca="1">IFERROR(__xludf.DUMMYFUNCTION("""COMPUTED_VALUE"""),42214.6666666666)</f>
        <v>42214.666666666599</v>
      </c>
      <c r="B1281" s="1">
        <f ca="1">IFERROR(__xludf.DUMMYFUNCTION("""COMPUTED_VALUE"""),17.59)</f>
        <v>17.59</v>
      </c>
    </row>
    <row r="1282" spans="1:2">
      <c r="A1282" s="3">
        <f ca="1">IFERROR(__xludf.DUMMYFUNCTION("""COMPUTED_VALUE"""),42215.6666666666)</f>
        <v>42215.666666666599</v>
      </c>
      <c r="B1282" s="1">
        <f ca="1">IFERROR(__xludf.DUMMYFUNCTION("""COMPUTED_VALUE"""),17.79)</f>
        <v>17.79</v>
      </c>
    </row>
    <row r="1283" spans="1:2">
      <c r="A1283" s="3">
        <f ca="1">IFERROR(__xludf.DUMMYFUNCTION("""COMPUTED_VALUE"""),42216.6666666666)</f>
        <v>42216.666666666599</v>
      </c>
      <c r="B1283" s="1">
        <f ca="1">IFERROR(__xludf.DUMMYFUNCTION("""COMPUTED_VALUE"""),17.74)</f>
        <v>17.739999999999998</v>
      </c>
    </row>
    <row r="1284" spans="1:2">
      <c r="A1284" s="3">
        <f ca="1">IFERROR(__xludf.DUMMYFUNCTION("""COMPUTED_VALUE"""),42219.6666666666)</f>
        <v>42219.666666666599</v>
      </c>
      <c r="B1284" s="1">
        <f ca="1">IFERROR(__xludf.DUMMYFUNCTION("""COMPUTED_VALUE"""),17.33)</f>
        <v>17.329999999999998</v>
      </c>
    </row>
    <row r="1285" spans="1:2">
      <c r="A1285" s="3">
        <f ca="1">IFERROR(__xludf.DUMMYFUNCTION("""COMPUTED_VALUE"""),42220.6666666666)</f>
        <v>42220.666666666599</v>
      </c>
      <c r="B1285" s="1">
        <f ca="1">IFERROR(__xludf.DUMMYFUNCTION("""COMPUTED_VALUE"""),17.75)</f>
        <v>17.75</v>
      </c>
    </row>
    <row r="1286" spans="1:2">
      <c r="A1286" s="3">
        <f ca="1">IFERROR(__xludf.DUMMYFUNCTION("""COMPUTED_VALUE"""),42221.6666666666)</f>
        <v>42221.666666666599</v>
      </c>
      <c r="B1286" s="1">
        <f ca="1">IFERROR(__xludf.DUMMYFUNCTION("""COMPUTED_VALUE"""),18.01)</f>
        <v>18.010000000000002</v>
      </c>
    </row>
    <row r="1287" spans="1:2">
      <c r="A1287" s="3">
        <f ca="1">IFERROR(__xludf.DUMMYFUNCTION("""COMPUTED_VALUE"""),42222.6666666666)</f>
        <v>42222.666666666599</v>
      </c>
      <c r="B1287" s="1">
        <f ca="1">IFERROR(__xludf.DUMMYFUNCTION("""COMPUTED_VALUE"""),16.41)</f>
        <v>16.41</v>
      </c>
    </row>
    <row r="1288" spans="1:2">
      <c r="A1288" s="3">
        <f ca="1">IFERROR(__xludf.DUMMYFUNCTION("""COMPUTED_VALUE"""),42223.6666666666)</f>
        <v>42223.666666666599</v>
      </c>
      <c r="B1288" s="1">
        <f ca="1">IFERROR(__xludf.DUMMYFUNCTION("""COMPUTED_VALUE"""),16.17)</f>
        <v>16.170000000000002</v>
      </c>
    </row>
    <row r="1289" spans="1:2">
      <c r="A1289" s="3">
        <f ca="1">IFERROR(__xludf.DUMMYFUNCTION("""COMPUTED_VALUE"""),42226.6666666666)</f>
        <v>42226.666666666599</v>
      </c>
      <c r="B1289" s="1">
        <f ca="1">IFERROR(__xludf.DUMMYFUNCTION("""COMPUTED_VALUE"""),16.08)</f>
        <v>16.079999999999998</v>
      </c>
    </row>
    <row r="1290" spans="1:2">
      <c r="A1290" s="3">
        <f ca="1">IFERROR(__xludf.DUMMYFUNCTION("""COMPUTED_VALUE"""),42227.6666666666)</f>
        <v>42227.666666666599</v>
      </c>
      <c r="B1290" s="1">
        <f ca="1">IFERROR(__xludf.DUMMYFUNCTION("""COMPUTED_VALUE"""),15.82)</f>
        <v>15.82</v>
      </c>
    </row>
    <row r="1291" spans="1:2">
      <c r="A1291" s="3">
        <f ca="1">IFERROR(__xludf.DUMMYFUNCTION("""COMPUTED_VALUE"""),42228.6666666666)</f>
        <v>42228.666666666599</v>
      </c>
      <c r="B1291" s="1">
        <f ca="1">IFERROR(__xludf.DUMMYFUNCTION("""COMPUTED_VALUE"""),15.88)</f>
        <v>15.88</v>
      </c>
    </row>
    <row r="1292" spans="1:2">
      <c r="A1292" s="3">
        <f ca="1">IFERROR(__xludf.DUMMYFUNCTION("""COMPUTED_VALUE"""),42229.6666666666)</f>
        <v>42229.666666666599</v>
      </c>
      <c r="B1292" s="1">
        <f ca="1">IFERROR(__xludf.DUMMYFUNCTION("""COMPUTED_VALUE"""),16.17)</f>
        <v>16.170000000000002</v>
      </c>
    </row>
    <row r="1293" spans="1:2">
      <c r="A1293" s="3">
        <f ca="1">IFERROR(__xludf.DUMMYFUNCTION("""COMPUTED_VALUE"""),42230.6666666666)</f>
        <v>42230.666666666599</v>
      </c>
      <c r="B1293" s="1">
        <f ca="1">IFERROR(__xludf.DUMMYFUNCTION("""COMPUTED_VALUE"""),16.21)</f>
        <v>16.21</v>
      </c>
    </row>
    <row r="1294" spans="1:2">
      <c r="A1294" s="3">
        <f ca="1">IFERROR(__xludf.DUMMYFUNCTION("""COMPUTED_VALUE"""),42233.6666666666)</f>
        <v>42233.666666666599</v>
      </c>
      <c r="B1294" s="1">
        <f ca="1">IFERROR(__xludf.DUMMYFUNCTION("""COMPUTED_VALUE"""),17)</f>
        <v>17</v>
      </c>
    </row>
    <row r="1295" spans="1:2">
      <c r="A1295" s="3">
        <f ca="1">IFERROR(__xludf.DUMMYFUNCTION("""COMPUTED_VALUE"""),42234.6666666666)</f>
        <v>42234.666666666599</v>
      </c>
      <c r="B1295" s="1">
        <f ca="1">IFERROR(__xludf.DUMMYFUNCTION("""COMPUTED_VALUE"""),17.38)</f>
        <v>17.38</v>
      </c>
    </row>
    <row r="1296" spans="1:2">
      <c r="A1296" s="3">
        <f ca="1">IFERROR(__xludf.DUMMYFUNCTION("""COMPUTED_VALUE"""),42235.6666666666)</f>
        <v>42235.666666666599</v>
      </c>
      <c r="B1296" s="1">
        <f ca="1">IFERROR(__xludf.DUMMYFUNCTION("""COMPUTED_VALUE"""),17.02)</f>
        <v>17.02</v>
      </c>
    </row>
    <row r="1297" spans="1:2">
      <c r="A1297" s="3">
        <f ca="1">IFERROR(__xludf.DUMMYFUNCTION("""COMPUTED_VALUE"""),42236.6666666666)</f>
        <v>42236.666666666599</v>
      </c>
      <c r="B1297" s="1">
        <f ca="1">IFERROR(__xludf.DUMMYFUNCTION("""COMPUTED_VALUE"""),16.15)</f>
        <v>16.149999999999999</v>
      </c>
    </row>
    <row r="1298" spans="1:2">
      <c r="A1298" s="3">
        <f ca="1">IFERROR(__xludf.DUMMYFUNCTION("""COMPUTED_VALUE"""),42237.6666666666)</f>
        <v>42237.666666666599</v>
      </c>
      <c r="B1298" s="1">
        <f ca="1">IFERROR(__xludf.DUMMYFUNCTION("""COMPUTED_VALUE"""),15.38)</f>
        <v>15.38</v>
      </c>
    </row>
    <row r="1299" spans="1:2">
      <c r="A1299" s="3">
        <f ca="1">IFERROR(__xludf.DUMMYFUNCTION("""COMPUTED_VALUE"""),42240.6666666666)</f>
        <v>42240.666666666599</v>
      </c>
      <c r="B1299" s="1">
        <f ca="1">IFERROR(__xludf.DUMMYFUNCTION("""COMPUTED_VALUE"""),14.59)</f>
        <v>14.59</v>
      </c>
    </row>
    <row r="1300" spans="1:2">
      <c r="A1300" s="3">
        <f ca="1">IFERROR(__xludf.DUMMYFUNCTION("""COMPUTED_VALUE"""),42241.6666666666)</f>
        <v>42241.666666666599</v>
      </c>
      <c r="B1300" s="1">
        <f ca="1">IFERROR(__xludf.DUMMYFUNCTION("""COMPUTED_VALUE"""),14.67)</f>
        <v>14.67</v>
      </c>
    </row>
    <row r="1301" spans="1:2">
      <c r="A1301" s="3">
        <f ca="1">IFERROR(__xludf.DUMMYFUNCTION("""COMPUTED_VALUE"""),42242.6666666666)</f>
        <v>42242.666666666599</v>
      </c>
      <c r="B1301" s="1">
        <f ca="1">IFERROR(__xludf.DUMMYFUNCTION("""COMPUTED_VALUE"""),14.99)</f>
        <v>14.99</v>
      </c>
    </row>
    <row r="1302" spans="1:2">
      <c r="A1302" s="3">
        <f ca="1">IFERROR(__xludf.DUMMYFUNCTION("""COMPUTED_VALUE"""),42243.6666666666)</f>
        <v>42243.666666666599</v>
      </c>
      <c r="B1302" s="1">
        <f ca="1">IFERROR(__xludf.DUMMYFUNCTION("""COMPUTED_VALUE"""),16.2)</f>
        <v>16.2</v>
      </c>
    </row>
    <row r="1303" spans="1:2">
      <c r="A1303" s="3">
        <f ca="1">IFERROR(__xludf.DUMMYFUNCTION("""COMPUTED_VALUE"""),42244.6666666666)</f>
        <v>42244.666666666599</v>
      </c>
      <c r="B1303" s="1">
        <f ca="1">IFERROR(__xludf.DUMMYFUNCTION("""COMPUTED_VALUE"""),16.57)</f>
        <v>16.57</v>
      </c>
    </row>
    <row r="1304" spans="1:2">
      <c r="A1304" s="3">
        <f ca="1">IFERROR(__xludf.DUMMYFUNCTION("""COMPUTED_VALUE"""),42247.6666666666)</f>
        <v>42247.666666666599</v>
      </c>
      <c r="B1304" s="1">
        <f ca="1">IFERROR(__xludf.DUMMYFUNCTION("""COMPUTED_VALUE"""),16.6)</f>
        <v>16.600000000000001</v>
      </c>
    </row>
    <row r="1305" spans="1:2">
      <c r="A1305" s="3">
        <f ca="1">IFERROR(__xludf.DUMMYFUNCTION("""COMPUTED_VALUE"""),42248.6666666666)</f>
        <v>42248.666666666599</v>
      </c>
      <c r="B1305" s="1">
        <f ca="1">IFERROR(__xludf.DUMMYFUNCTION("""COMPUTED_VALUE"""),15.91)</f>
        <v>15.91</v>
      </c>
    </row>
    <row r="1306" spans="1:2">
      <c r="A1306" s="3">
        <f ca="1">IFERROR(__xludf.DUMMYFUNCTION("""COMPUTED_VALUE"""),42249.6666666666)</f>
        <v>42249.666666666599</v>
      </c>
      <c r="B1306" s="1">
        <f ca="1">IFERROR(__xludf.DUMMYFUNCTION("""COMPUTED_VALUE"""),16.51)</f>
        <v>16.510000000000002</v>
      </c>
    </row>
    <row r="1307" spans="1:2">
      <c r="A1307" s="3">
        <f ca="1">IFERROR(__xludf.DUMMYFUNCTION("""COMPUTED_VALUE"""),42250.6666666666)</f>
        <v>42250.666666666599</v>
      </c>
      <c r="B1307" s="1">
        <f ca="1">IFERROR(__xludf.DUMMYFUNCTION("""COMPUTED_VALUE"""),16.37)</f>
        <v>16.37</v>
      </c>
    </row>
    <row r="1308" spans="1:2">
      <c r="A1308" s="3">
        <f ca="1">IFERROR(__xludf.DUMMYFUNCTION("""COMPUTED_VALUE"""),42251.6666666666)</f>
        <v>42251.666666666599</v>
      </c>
      <c r="B1308" s="1">
        <f ca="1">IFERROR(__xludf.DUMMYFUNCTION("""COMPUTED_VALUE"""),16.13)</f>
        <v>16.13</v>
      </c>
    </row>
    <row r="1309" spans="1:2">
      <c r="A1309" s="3">
        <f ca="1">IFERROR(__xludf.DUMMYFUNCTION("""COMPUTED_VALUE"""),42255.6666666666)</f>
        <v>42255.666666666599</v>
      </c>
      <c r="B1309" s="1">
        <f ca="1">IFERROR(__xludf.DUMMYFUNCTION("""COMPUTED_VALUE"""),16.54)</f>
        <v>16.54</v>
      </c>
    </row>
    <row r="1310" spans="1:2">
      <c r="A1310" s="3">
        <f ca="1">IFERROR(__xludf.DUMMYFUNCTION("""COMPUTED_VALUE"""),42256.6666666666)</f>
        <v>42256.666666666599</v>
      </c>
      <c r="B1310" s="1">
        <f ca="1">IFERROR(__xludf.DUMMYFUNCTION("""COMPUTED_VALUE"""),16.59)</f>
        <v>16.59</v>
      </c>
    </row>
    <row r="1311" spans="1:2">
      <c r="A1311" s="3">
        <f ca="1">IFERROR(__xludf.DUMMYFUNCTION("""COMPUTED_VALUE"""),42257.6666666666)</f>
        <v>42257.666666666599</v>
      </c>
      <c r="B1311" s="1">
        <f ca="1">IFERROR(__xludf.DUMMYFUNCTION("""COMPUTED_VALUE"""),16.57)</f>
        <v>16.57</v>
      </c>
    </row>
    <row r="1312" spans="1:2">
      <c r="A1312" s="3">
        <f ca="1">IFERROR(__xludf.DUMMYFUNCTION("""COMPUTED_VALUE"""),42258.6666666666)</f>
        <v>42258.666666666599</v>
      </c>
      <c r="B1312" s="1">
        <f ca="1">IFERROR(__xludf.DUMMYFUNCTION("""COMPUTED_VALUE"""),16.68)</f>
        <v>16.68</v>
      </c>
    </row>
    <row r="1313" spans="1:2">
      <c r="A1313" s="3">
        <f ca="1">IFERROR(__xludf.DUMMYFUNCTION("""COMPUTED_VALUE"""),42261.6666666666)</f>
        <v>42261.666666666599</v>
      </c>
      <c r="B1313" s="1">
        <f ca="1">IFERROR(__xludf.DUMMYFUNCTION("""COMPUTED_VALUE"""),16.88)</f>
        <v>16.88</v>
      </c>
    </row>
    <row r="1314" spans="1:2">
      <c r="A1314" s="3">
        <f ca="1">IFERROR(__xludf.DUMMYFUNCTION("""COMPUTED_VALUE"""),42262.6666666666)</f>
        <v>42262.666666666599</v>
      </c>
      <c r="B1314" s="1">
        <f ca="1">IFERROR(__xludf.DUMMYFUNCTION("""COMPUTED_VALUE"""),16.9)</f>
        <v>16.899999999999999</v>
      </c>
    </row>
    <row r="1315" spans="1:2">
      <c r="A1315" s="3">
        <f ca="1">IFERROR(__xludf.DUMMYFUNCTION("""COMPUTED_VALUE"""),42263.6666666666)</f>
        <v>42263.666666666599</v>
      </c>
      <c r="B1315" s="1">
        <f ca="1">IFERROR(__xludf.DUMMYFUNCTION("""COMPUTED_VALUE"""),17.48)</f>
        <v>17.48</v>
      </c>
    </row>
    <row r="1316" spans="1:2">
      <c r="A1316" s="3">
        <f ca="1">IFERROR(__xludf.DUMMYFUNCTION("""COMPUTED_VALUE"""),42264.6666666666)</f>
        <v>42264.666666666599</v>
      </c>
      <c r="B1316" s="1">
        <f ca="1">IFERROR(__xludf.DUMMYFUNCTION("""COMPUTED_VALUE"""),17.47)</f>
        <v>17.47</v>
      </c>
    </row>
    <row r="1317" spans="1:2">
      <c r="A1317" s="3">
        <f ca="1">IFERROR(__xludf.DUMMYFUNCTION("""COMPUTED_VALUE"""),42265.6666666666)</f>
        <v>42265.666666666599</v>
      </c>
      <c r="B1317" s="1">
        <f ca="1">IFERROR(__xludf.DUMMYFUNCTION("""COMPUTED_VALUE"""),17.37)</f>
        <v>17.37</v>
      </c>
    </row>
    <row r="1318" spans="1:2">
      <c r="A1318" s="3">
        <f ca="1">IFERROR(__xludf.DUMMYFUNCTION("""COMPUTED_VALUE"""),42268.6666666666)</f>
        <v>42268.666666666599</v>
      </c>
      <c r="B1318" s="1">
        <f ca="1">IFERROR(__xludf.DUMMYFUNCTION("""COMPUTED_VALUE"""),17.61)</f>
        <v>17.61</v>
      </c>
    </row>
    <row r="1319" spans="1:2">
      <c r="A1319" s="3">
        <f ca="1">IFERROR(__xludf.DUMMYFUNCTION("""COMPUTED_VALUE"""),42269.6666666666)</f>
        <v>42269.666666666599</v>
      </c>
      <c r="B1319" s="1">
        <f ca="1">IFERROR(__xludf.DUMMYFUNCTION("""COMPUTED_VALUE"""),17.4)</f>
        <v>17.399999999999999</v>
      </c>
    </row>
    <row r="1320" spans="1:2">
      <c r="A1320" s="3">
        <f ca="1">IFERROR(__xludf.DUMMYFUNCTION("""COMPUTED_VALUE"""),42270.6666666666)</f>
        <v>42270.666666666599</v>
      </c>
      <c r="B1320" s="1">
        <f ca="1">IFERROR(__xludf.DUMMYFUNCTION("""COMPUTED_VALUE"""),17.4)</f>
        <v>17.399999999999999</v>
      </c>
    </row>
    <row r="1321" spans="1:2">
      <c r="A1321" s="3">
        <f ca="1">IFERROR(__xludf.DUMMYFUNCTION("""COMPUTED_VALUE"""),42271.6666666666)</f>
        <v>42271.666666666599</v>
      </c>
      <c r="B1321" s="1">
        <f ca="1">IFERROR(__xludf.DUMMYFUNCTION("""COMPUTED_VALUE"""),17.54)</f>
        <v>17.54</v>
      </c>
    </row>
    <row r="1322" spans="1:2">
      <c r="A1322" s="3">
        <f ca="1">IFERROR(__xludf.DUMMYFUNCTION("""COMPUTED_VALUE"""),42272.6666666666)</f>
        <v>42272.666666666599</v>
      </c>
      <c r="B1322" s="1">
        <f ca="1">IFERROR(__xludf.DUMMYFUNCTION("""COMPUTED_VALUE"""),17.13)</f>
        <v>17.13</v>
      </c>
    </row>
    <row r="1323" spans="1:2">
      <c r="A1323" s="3">
        <f ca="1">IFERROR(__xludf.DUMMYFUNCTION("""COMPUTED_VALUE"""),42275.6666666666)</f>
        <v>42275.666666666599</v>
      </c>
      <c r="B1323" s="1">
        <f ca="1">IFERROR(__xludf.DUMMYFUNCTION("""COMPUTED_VALUE"""),16.56)</f>
        <v>16.559999999999999</v>
      </c>
    </row>
    <row r="1324" spans="1:2">
      <c r="A1324" s="3">
        <f ca="1">IFERROR(__xludf.DUMMYFUNCTION("""COMPUTED_VALUE"""),42276.6666666666)</f>
        <v>42276.666666666599</v>
      </c>
      <c r="B1324" s="1">
        <f ca="1">IFERROR(__xludf.DUMMYFUNCTION("""COMPUTED_VALUE"""),16.44)</f>
        <v>16.440000000000001</v>
      </c>
    </row>
    <row r="1325" spans="1:2">
      <c r="A1325" s="3">
        <f ca="1">IFERROR(__xludf.DUMMYFUNCTION("""COMPUTED_VALUE"""),42277.6666666666)</f>
        <v>42277.666666666599</v>
      </c>
      <c r="B1325" s="1">
        <f ca="1">IFERROR(__xludf.DUMMYFUNCTION("""COMPUTED_VALUE"""),16.56)</f>
        <v>16.559999999999999</v>
      </c>
    </row>
    <row r="1326" spans="1:2">
      <c r="A1326" s="3">
        <f ca="1">IFERROR(__xludf.DUMMYFUNCTION("""COMPUTED_VALUE"""),42278.6666666666)</f>
        <v>42278.666666666599</v>
      </c>
      <c r="B1326" s="1">
        <f ca="1">IFERROR(__xludf.DUMMYFUNCTION("""COMPUTED_VALUE"""),15.99)</f>
        <v>15.99</v>
      </c>
    </row>
    <row r="1327" spans="1:2">
      <c r="A1327" s="3">
        <f ca="1">IFERROR(__xludf.DUMMYFUNCTION("""COMPUTED_VALUE"""),42279.6666666666)</f>
        <v>42279.666666666599</v>
      </c>
      <c r="B1327" s="1">
        <f ca="1">IFERROR(__xludf.DUMMYFUNCTION("""COMPUTED_VALUE"""),16.5)</f>
        <v>16.5</v>
      </c>
    </row>
    <row r="1328" spans="1:2">
      <c r="A1328" s="3">
        <f ca="1">IFERROR(__xludf.DUMMYFUNCTION("""COMPUTED_VALUE"""),42282.6666666666)</f>
        <v>42282.666666666599</v>
      </c>
      <c r="B1328" s="1">
        <f ca="1">IFERROR(__xludf.DUMMYFUNCTION("""COMPUTED_VALUE"""),16.41)</f>
        <v>16.41</v>
      </c>
    </row>
    <row r="1329" spans="1:2">
      <c r="A1329" s="3">
        <f ca="1">IFERROR(__xludf.DUMMYFUNCTION("""COMPUTED_VALUE"""),42283.6666666666)</f>
        <v>42283.666666666599</v>
      </c>
      <c r="B1329" s="1">
        <f ca="1">IFERROR(__xludf.DUMMYFUNCTION("""COMPUTED_VALUE"""),16.1)</f>
        <v>16.100000000000001</v>
      </c>
    </row>
    <row r="1330" spans="1:2">
      <c r="A1330" s="3">
        <f ca="1">IFERROR(__xludf.DUMMYFUNCTION("""COMPUTED_VALUE"""),42284.6666666666)</f>
        <v>42284.666666666599</v>
      </c>
      <c r="B1330" s="1">
        <f ca="1">IFERROR(__xludf.DUMMYFUNCTION("""COMPUTED_VALUE"""),15.46)</f>
        <v>15.46</v>
      </c>
    </row>
    <row r="1331" spans="1:2">
      <c r="A1331" s="3">
        <f ca="1">IFERROR(__xludf.DUMMYFUNCTION("""COMPUTED_VALUE"""),42285.6666666666)</f>
        <v>42285.666666666599</v>
      </c>
      <c r="B1331" s="1">
        <f ca="1">IFERROR(__xludf.DUMMYFUNCTION("""COMPUTED_VALUE"""),15.11)</f>
        <v>15.11</v>
      </c>
    </row>
    <row r="1332" spans="1:2">
      <c r="A1332" s="3">
        <f ca="1">IFERROR(__xludf.DUMMYFUNCTION("""COMPUTED_VALUE"""),42286.6666666666)</f>
        <v>42286.666666666599</v>
      </c>
      <c r="B1332" s="1">
        <f ca="1">IFERROR(__xludf.DUMMYFUNCTION("""COMPUTED_VALUE"""),14.71)</f>
        <v>14.71</v>
      </c>
    </row>
    <row r="1333" spans="1:2">
      <c r="A1333" s="3">
        <f ca="1">IFERROR(__xludf.DUMMYFUNCTION("""COMPUTED_VALUE"""),42289.6666666666)</f>
        <v>42289.666666666599</v>
      </c>
      <c r="B1333" s="1">
        <f ca="1">IFERROR(__xludf.DUMMYFUNCTION("""COMPUTED_VALUE"""),14.37)</f>
        <v>14.37</v>
      </c>
    </row>
    <row r="1334" spans="1:2">
      <c r="A1334" s="3">
        <f ca="1">IFERROR(__xludf.DUMMYFUNCTION("""COMPUTED_VALUE"""),42290.6666666666)</f>
        <v>42290.666666666599</v>
      </c>
      <c r="B1334" s="1">
        <f ca="1">IFERROR(__xludf.DUMMYFUNCTION("""COMPUTED_VALUE"""),14.62)</f>
        <v>14.62</v>
      </c>
    </row>
    <row r="1335" spans="1:2">
      <c r="A1335" s="3">
        <f ca="1">IFERROR(__xludf.DUMMYFUNCTION("""COMPUTED_VALUE"""),42291.6666666666)</f>
        <v>42291.666666666599</v>
      </c>
      <c r="B1335" s="1">
        <f ca="1">IFERROR(__xludf.DUMMYFUNCTION("""COMPUTED_VALUE"""),14.46)</f>
        <v>14.46</v>
      </c>
    </row>
    <row r="1336" spans="1:2">
      <c r="A1336" s="3">
        <f ca="1">IFERROR(__xludf.DUMMYFUNCTION("""COMPUTED_VALUE"""),42292.6666666666)</f>
        <v>42292.666666666599</v>
      </c>
      <c r="B1336" s="1">
        <f ca="1">IFERROR(__xludf.DUMMYFUNCTION("""COMPUTED_VALUE"""),14.75)</f>
        <v>14.75</v>
      </c>
    </row>
    <row r="1337" spans="1:2">
      <c r="A1337" s="3">
        <f ca="1">IFERROR(__xludf.DUMMYFUNCTION("""COMPUTED_VALUE"""),42293.6666666666)</f>
        <v>42293.666666666599</v>
      </c>
      <c r="B1337" s="1">
        <f ca="1">IFERROR(__xludf.DUMMYFUNCTION("""COMPUTED_VALUE"""),15.13)</f>
        <v>15.13</v>
      </c>
    </row>
    <row r="1338" spans="1:2">
      <c r="A1338" s="3">
        <f ca="1">IFERROR(__xludf.DUMMYFUNCTION("""COMPUTED_VALUE"""),42296.6666666666)</f>
        <v>42296.666666666599</v>
      </c>
      <c r="B1338" s="1">
        <f ca="1">IFERROR(__xludf.DUMMYFUNCTION("""COMPUTED_VALUE"""),15.21)</f>
        <v>15.21</v>
      </c>
    </row>
    <row r="1339" spans="1:2">
      <c r="A1339" s="3">
        <f ca="1">IFERROR(__xludf.DUMMYFUNCTION("""COMPUTED_VALUE"""),42297.6666666666)</f>
        <v>42297.666666666599</v>
      </c>
      <c r="B1339" s="1">
        <f ca="1">IFERROR(__xludf.DUMMYFUNCTION("""COMPUTED_VALUE"""),14.2)</f>
        <v>14.2</v>
      </c>
    </row>
    <row r="1340" spans="1:2">
      <c r="A1340" s="3">
        <f ca="1">IFERROR(__xludf.DUMMYFUNCTION("""COMPUTED_VALUE"""),42298.6666666666)</f>
        <v>42298.666666666599</v>
      </c>
      <c r="B1340" s="1">
        <f ca="1">IFERROR(__xludf.DUMMYFUNCTION("""COMPUTED_VALUE"""),14.01)</f>
        <v>14.01</v>
      </c>
    </row>
    <row r="1341" spans="1:2">
      <c r="A1341" s="3">
        <f ca="1">IFERROR(__xludf.DUMMYFUNCTION("""COMPUTED_VALUE"""),42299.6666666666)</f>
        <v>42299.666666666599</v>
      </c>
      <c r="B1341" s="1">
        <f ca="1">IFERROR(__xludf.DUMMYFUNCTION("""COMPUTED_VALUE"""),14.11)</f>
        <v>14.11</v>
      </c>
    </row>
    <row r="1342" spans="1:2">
      <c r="A1342" s="3">
        <f ca="1">IFERROR(__xludf.DUMMYFUNCTION("""COMPUTED_VALUE"""),42300.6666666666)</f>
        <v>42300.666666666599</v>
      </c>
      <c r="B1342" s="1">
        <f ca="1">IFERROR(__xludf.DUMMYFUNCTION("""COMPUTED_VALUE"""),13.94)</f>
        <v>13.94</v>
      </c>
    </row>
    <row r="1343" spans="1:2">
      <c r="A1343" s="3">
        <f ca="1">IFERROR(__xludf.DUMMYFUNCTION("""COMPUTED_VALUE"""),42303.6666666666)</f>
        <v>42303.666666666599</v>
      </c>
      <c r="B1343" s="1">
        <f ca="1">IFERROR(__xludf.DUMMYFUNCTION("""COMPUTED_VALUE"""),14.35)</f>
        <v>14.35</v>
      </c>
    </row>
    <row r="1344" spans="1:2">
      <c r="A1344" s="3">
        <f ca="1">IFERROR(__xludf.DUMMYFUNCTION("""COMPUTED_VALUE"""),42304.6666666666)</f>
        <v>42304.666666666599</v>
      </c>
      <c r="B1344" s="1">
        <f ca="1">IFERROR(__xludf.DUMMYFUNCTION("""COMPUTED_VALUE"""),14.02)</f>
        <v>14.02</v>
      </c>
    </row>
    <row r="1345" spans="1:2">
      <c r="A1345" s="3">
        <f ca="1">IFERROR(__xludf.DUMMYFUNCTION("""COMPUTED_VALUE"""),42305.6666666666)</f>
        <v>42305.666666666599</v>
      </c>
      <c r="B1345" s="1">
        <f ca="1">IFERROR(__xludf.DUMMYFUNCTION("""COMPUTED_VALUE"""),14.2)</f>
        <v>14.2</v>
      </c>
    </row>
    <row r="1346" spans="1:2">
      <c r="A1346" s="3">
        <f ca="1">IFERROR(__xludf.DUMMYFUNCTION("""COMPUTED_VALUE"""),42306.6666666666)</f>
        <v>42306.666666666599</v>
      </c>
      <c r="B1346" s="1">
        <f ca="1">IFERROR(__xludf.DUMMYFUNCTION("""COMPUTED_VALUE"""),14.11)</f>
        <v>14.11</v>
      </c>
    </row>
    <row r="1347" spans="1:2">
      <c r="A1347" s="3">
        <f ca="1">IFERROR(__xludf.DUMMYFUNCTION("""COMPUTED_VALUE"""),42307.6666666666)</f>
        <v>42307.666666666599</v>
      </c>
      <c r="B1347" s="1">
        <f ca="1">IFERROR(__xludf.DUMMYFUNCTION("""COMPUTED_VALUE"""),13.8)</f>
        <v>13.8</v>
      </c>
    </row>
    <row r="1348" spans="1:2">
      <c r="A1348" s="3">
        <f ca="1">IFERROR(__xludf.DUMMYFUNCTION("""COMPUTED_VALUE"""),42310.6666666666)</f>
        <v>42310.666666666599</v>
      </c>
      <c r="B1348" s="1">
        <f ca="1">IFERROR(__xludf.DUMMYFUNCTION("""COMPUTED_VALUE"""),14.25)</f>
        <v>14.25</v>
      </c>
    </row>
    <row r="1349" spans="1:2">
      <c r="A1349" s="3">
        <f ca="1">IFERROR(__xludf.DUMMYFUNCTION("""COMPUTED_VALUE"""),42311.6666666666)</f>
        <v>42311.666666666599</v>
      </c>
      <c r="B1349" s="1">
        <f ca="1">IFERROR(__xludf.DUMMYFUNCTION("""COMPUTED_VALUE"""),13.89)</f>
        <v>13.89</v>
      </c>
    </row>
    <row r="1350" spans="1:2">
      <c r="A1350" s="3">
        <f ca="1">IFERROR(__xludf.DUMMYFUNCTION("""COMPUTED_VALUE"""),42312.6666666666)</f>
        <v>42312.666666666599</v>
      </c>
      <c r="B1350" s="1">
        <f ca="1">IFERROR(__xludf.DUMMYFUNCTION("""COMPUTED_VALUE"""),15.44)</f>
        <v>15.44</v>
      </c>
    </row>
    <row r="1351" spans="1:2">
      <c r="A1351" s="3">
        <f ca="1">IFERROR(__xludf.DUMMYFUNCTION("""COMPUTED_VALUE"""),42313.6666666666)</f>
        <v>42313.666666666599</v>
      </c>
      <c r="B1351" s="1">
        <f ca="1">IFERROR(__xludf.DUMMYFUNCTION("""COMPUTED_VALUE"""),15.45)</f>
        <v>15.45</v>
      </c>
    </row>
    <row r="1352" spans="1:2">
      <c r="A1352" s="3">
        <f ca="1">IFERROR(__xludf.DUMMYFUNCTION("""COMPUTED_VALUE"""),42314.6666666666)</f>
        <v>42314.666666666599</v>
      </c>
      <c r="B1352" s="1">
        <f ca="1">IFERROR(__xludf.DUMMYFUNCTION("""COMPUTED_VALUE"""),15.49)</f>
        <v>15.49</v>
      </c>
    </row>
    <row r="1353" spans="1:2">
      <c r="A1353" s="3">
        <f ca="1">IFERROR(__xludf.DUMMYFUNCTION("""COMPUTED_VALUE"""),42317.6666666666)</f>
        <v>42317.666666666599</v>
      </c>
      <c r="B1353" s="1">
        <f ca="1">IFERROR(__xludf.DUMMYFUNCTION("""COMPUTED_VALUE"""),15.02)</f>
        <v>15.02</v>
      </c>
    </row>
    <row r="1354" spans="1:2">
      <c r="A1354" s="3">
        <f ca="1">IFERROR(__xludf.DUMMYFUNCTION("""COMPUTED_VALUE"""),42318.6666666666)</f>
        <v>42318.666666666599</v>
      </c>
      <c r="B1354" s="1">
        <f ca="1">IFERROR(__xludf.DUMMYFUNCTION("""COMPUTED_VALUE"""),14.43)</f>
        <v>14.43</v>
      </c>
    </row>
    <row r="1355" spans="1:2">
      <c r="A1355" s="3">
        <f ca="1">IFERROR(__xludf.DUMMYFUNCTION("""COMPUTED_VALUE"""),42319.6666666666)</f>
        <v>42319.666666666599</v>
      </c>
      <c r="B1355" s="1">
        <f ca="1">IFERROR(__xludf.DUMMYFUNCTION("""COMPUTED_VALUE"""),14.61)</f>
        <v>14.61</v>
      </c>
    </row>
    <row r="1356" spans="1:2">
      <c r="A1356" s="3">
        <f ca="1">IFERROR(__xludf.DUMMYFUNCTION("""COMPUTED_VALUE"""),42320.6666666666)</f>
        <v>42320.666666666599</v>
      </c>
      <c r="B1356" s="1">
        <f ca="1">IFERROR(__xludf.DUMMYFUNCTION("""COMPUTED_VALUE"""),14.2)</f>
        <v>14.2</v>
      </c>
    </row>
    <row r="1357" spans="1:2">
      <c r="A1357" s="3">
        <f ca="1">IFERROR(__xludf.DUMMYFUNCTION("""COMPUTED_VALUE"""),42321.6666666666)</f>
        <v>42321.666666666599</v>
      </c>
      <c r="B1357" s="1">
        <f ca="1">IFERROR(__xludf.DUMMYFUNCTION("""COMPUTED_VALUE"""),13.81)</f>
        <v>13.81</v>
      </c>
    </row>
    <row r="1358" spans="1:2">
      <c r="A1358" s="3">
        <f ca="1">IFERROR(__xludf.DUMMYFUNCTION("""COMPUTED_VALUE"""),42324.6666666666)</f>
        <v>42324.666666666599</v>
      </c>
      <c r="B1358" s="1">
        <f ca="1">IFERROR(__xludf.DUMMYFUNCTION("""COMPUTED_VALUE"""),14.29)</f>
        <v>14.29</v>
      </c>
    </row>
    <row r="1359" spans="1:2">
      <c r="A1359" s="3">
        <f ca="1">IFERROR(__xludf.DUMMYFUNCTION("""COMPUTED_VALUE"""),42325.6666666666)</f>
        <v>42325.666666666599</v>
      </c>
      <c r="B1359" s="1">
        <f ca="1">IFERROR(__xludf.DUMMYFUNCTION("""COMPUTED_VALUE"""),14.27)</f>
        <v>14.27</v>
      </c>
    </row>
    <row r="1360" spans="1:2">
      <c r="A1360" s="3">
        <f ca="1">IFERROR(__xludf.DUMMYFUNCTION("""COMPUTED_VALUE"""),42326.6666666666)</f>
        <v>42326.666666666599</v>
      </c>
      <c r="B1360" s="1">
        <f ca="1">IFERROR(__xludf.DUMMYFUNCTION("""COMPUTED_VALUE"""),14.74)</f>
        <v>14.74</v>
      </c>
    </row>
    <row r="1361" spans="1:2">
      <c r="A1361" s="3">
        <f ca="1">IFERROR(__xludf.DUMMYFUNCTION("""COMPUTED_VALUE"""),42327.6666666666)</f>
        <v>42327.666666666599</v>
      </c>
      <c r="B1361" s="1">
        <f ca="1">IFERROR(__xludf.DUMMYFUNCTION("""COMPUTED_VALUE"""),14.79)</f>
        <v>14.79</v>
      </c>
    </row>
    <row r="1362" spans="1:2">
      <c r="A1362" s="3">
        <f ca="1">IFERROR(__xludf.DUMMYFUNCTION("""COMPUTED_VALUE"""),42328.6666666666)</f>
        <v>42328.666666666599</v>
      </c>
      <c r="B1362" s="1">
        <f ca="1">IFERROR(__xludf.DUMMYFUNCTION("""COMPUTED_VALUE"""),14.67)</f>
        <v>14.67</v>
      </c>
    </row>
    <row r="1363" spans="1:2">
      <c r="A1363" s="3">
        <f ca="1">IFERROR(__xludf.DUMMYFUNCTION("""COMPUTED_VALUE"""),42331.6666666666)</f>
        <v>42331.666666666599</v>
      </c>
      <c r="B1363" s="1">
        <f ca="1">IFERROR(__xludf.DUMMYFUNCTION("""COMPUTED_VALUE"""),14.52)</f>
        <v>14.52</v>
      </c>
    </row>
    <row r="1364" spans="1:2">
      <c r="A1364" s="3">
        <f ca="1">IFERROR(__xludf.DUMMYFUNCTION("""COMPUTED_VALUE"""),42332.6666666666)</f>
        <v>42332.666666666599</v>
      </c>
      <c r="B1364" s="1">
        <f ca="1">IFERROR(__xludf.DUMMYFUNCTION("""COMPUTED_VALUE"""),14.55)</f>
        <v>14.55</v>
      </c>
    </row>
    <row r="1365" spans="1:2">
      <c r="A1365" s="3">
        <f ca="1">IFERROR(__xludf.DUMMYFUNCTION("""COMPUTED_VALUE"""),42333.6666666666)</f>
        <v>42333.666666666599</v>
      </c>
      <c r="B1365" s="1">
        <f ca="1">IFERROR(__xludf.DUMMYFUNCTION("""COMPUTED_VALUE"""),15.31)</f>
        <v>15.31</v>
      </c>
    </row>
    <row r="1366" spans="1:2">
      <c r="A1366" s="3">
        <f ca="1">IFERROR(__xludf.DUMMYFUNCTION("""COMPUTED_VALUE"""),42335.6666666666)</f>
        <v>42335.666666666599</v>
      </c>
      <c r="B1366" s="1">
        <f ca="1">IFERROR(__xludf.DUMMYFUNCTION("""COMPUTED_VALUE"""),15.44)</f>
        <v>15.44</v>
      </c>
    </row>
    <row r="1367" spans="1:2">
      <c r="A1367" s="3">
        <f ca="1">IFERROR(__xludf.DUMMYFUNCTION("""COMPUTED_VALUE"""),42338.6666666666)</f>
        <v>42338.666666666599</v>
      </c>
      <c r="B1367" s="1">
        <f ca="1">IFERROR(__xludf.DUMMYFUNCTION("""COMPUTED_VALUE"""),15.35)</f>
        <v>15.35</v>
      </c>
    </row>
    <row r="1368" spans="1:2">
      <c r="A1368" s="3">
        <f ca="1">IFERROR(__xludf.DUMMYFUNCTION("""COMPUTED_VALUE"""),42339.6666666666)</f>
        <v>42339.666666666599</v>
      </c>
      <c r="B1368" s="1">
        <f ca="1">IFERROR(__xludf.DUMMYFUNCTION("""COMPUTED_VALUE"""),15.81)</f>
        <v>15.81</v>
      </c>
    </row>
    <row r="1369" spans="1:2">
      <c r="A1369" s="3">
        <f ca="1">IFERROR(__xludf.DUMMYFUNCTION("""COMPUTED_VALUE"""),42340.6666666666)</f>
        <v>42340.666666666599</v>
      </c>
      <c r="B1369" s="1">
        <f ca="1">IFERROR(__xludf.DUMMYFUNCTION("""COMPUTED_VALUE"""),15.47)</f>
        <v>15.47</v>
      </c>
    </row>
    <row r="1370" spans="1:2">
      <c r="A1370" s="3">
        <f ca="1">IFERROR(__xludf.DUMMYFUNCTION("""COMPUTED_VALUE"""),42341.6666666666)</f>
        <v>42341.666666666599</v>
      </c>
      <c r="B1370" s="1">
        <f ca="1">IFERROR(__xludf.DUMMYFUNCTION("""COMPUTED_VALUE"""),15.51)</f>
        <v>15.51</v>
      </c>
    </row>
    <row r="1371" spans="1:2">
      <c r="A1371" s="3">
        <f ca="1">IFERROR(__xludf.DUMMYFUNCTION("""COMPUTED_VALUE"""),42342.6666666666)</f>
        <v>42342.666666666599</v>
      </c>
      <c r="B1371" s="1">
        <f ca="1">IFERROR(__xludf.DUMMYFUNCTION("""COMPUTED_VALUE"""),15.36)</f>
        <v>15.36</v>
      </c>
    </row>
    <row r="1372" spans="1:2">
      <c r="A1372" s="3">
        <f ca="1">IFERROR(__xludf.DUMMYFUNCTION("""COMPUTED_VALUE"""),42345.6666666666)</f>
        <v>42345.666666666599</v>
      </c>
      <c r="B1372" s="1">
        <f ca="1">IFERROR(__xludf.DUMMYFUNCTION("""COMPUTED_VALUE"""),15.41)</f>
        <v>15.41</v>
      </c>
    </row>
    <row r="1373" spans="1:2">
      <c r="A1373" s="3">
        <f ca="1">IFERROR(__xludf.DUMMYFUNCTION("""COMPUTED_VALUE"""),42346.6666666666)</f>
        <v>42346.666666666599</v>
      </c>
      <c r="B1373" s="1">
        <f ca="1">IFERROR(__xludf.DUMMYFUNCTION("""COMPUTED_VALUE"""),15.11)</f>
        <v>15.11</v>
      </c>
    </row>
    <row r="1374" spans="1:2">
      <c r="A1374" s="3">
        <f ca="1">IFERROR(__xludf.DUMMYFUNCTION("""COMPUTED_VALUE"""),42347.6666666666)</f>
        <v>42347.666666666599</v>
      </c>
      <c r="B1374" s="1">
        <f ca="1">IFERROR(__xludf.DUMMYFUNCTION("""COMPUTED_VALUE"""),14.97)</f>
        <v>14.97</v>
      </c>
    </row>
    <row r="1375" spans="1:2">
      <c r="A1375" s="3">
        <f ca="1">IFERROR(__xludf.DUMMYFUNCTION("""COMPUTED_VALUE"""),42348.6666666666)</f>
        <v>42348.666666666599</v>
      </c>
      <c r="B1375" s="1">
        <f ca="1">IFERROR(__xludf.DUMMYFUNCTION("""COMPUTED_VALUE"""),15.14)</f>
        <v>15.14</v>
      </c>
    </row>
    <row r="1376" spans="1:2">
      <c r="A1376" s="3">
        <f ca="1">IFERROR(__xludf.DUMMYFUNCTION("""COMPUTED_VALUE"""),42349.6666666666)</f>
        <v>42349.666666666599</v>
      </c>
      <c r="B1376" s="1">
        <f ca="1">IFERROR(__xludf.DUMMYFUNCTION("""COMPUTED_VALUE"""),14.47)</f>
        <v>14.47</v>
      </c>
    </row>
    <row r="1377" spans="1:2">
      <c r="A1377" s="3">
        <f ca="1">IFERROR(__xludf.DUMMYFUNCTION("""COMPUTED_VALUE"""),42352.6666666666)</f>
        <v>42352.666666666599</v>
      </c>
      <c r="B1377" s="1">
        <f ca="1">IFERROR(__xludf.DUMMYFUNCTION("""COMPUTED_VALUE"""),14.57)</f>
        <v>14.57</v>
      </c>
    </row>
    <row r="1378" spans="1:2">
      <c r="A1378" s="3">
        <f ca="1">IFERROR(__xludf.DUMMYFUNCTION("""COMPUTED_VALUE"""),42353.6666666666)</f>
        <v>42353.666666666599</v>
      </c>
      <c r="B1378" s="1">
        <f ca="1">IFERROR(__xludf.DUMMYFUNCTION("""COMPUTED_VALUE"""),14.74)</f>
        <v>14.74</v>
      </c>
    </row>
    <row r="1379" spans="1:2">
      <c r="A1379" s="3">
        <f ca="1">IFERROR(__xludf.DUMMYFUNCTION("""COMPUTED_VALUE"""),42354.6666666666)</f>
        <v>42354.666666666599</v>
      </c>
      <c r="B1379" s="1">
        <f ca="1">IFERROR(__xludf.DUMMYFUNCTION("""COMPUTED_VALUE"""),15.63)</f>
        <v>15.63</v>
      </c>
    </row>
    <row r="1380" spans="1:2">
      <c r="A1380" s="3">
        <f ca="1">IFERROR(__xludf.DUMMYFUNCTION("""COMPUTED_VALUE"""),42355.6666666666)</f>
        <v>42355.666666666599</v>
      </c>
      <c r="B1380" s="1">
        <f ca="1">IFERROR(__xludf.DUMMYFUNCTION("""COMPUTED_VALUE"""),15.56)</f>
        <v>15.56</v>
      </c>
    </row>
    <row r="1381" spans="1:2">
      <c r="A1381" s="3">
        <f ca="1">IFERROR(__xludf.DUMMYFUNCTION("""COMPUTED_VALUE"""),42356.6666666666)</f>
        <v>42356.666666666599</v>
      </c>
      <c r="B1381" s="1">
        <f ca="1">IFERROR(__xludf.DUMMYFUNCTION("""COMPUTED_VALUE"""),15.36)</f>
        <v>15.36</v>
      </c>
    </row>
    <row r="1382" spans="1:2">
      <c r="A1382" s="3">
        <f ca="1">IFERROR(__xludf.DUMMYFUNCTION("""COMPUTED_VALUE"""),42359.6666666666)</f>
        <v>42359.666666666599</v>
      </c>
      <c r="B1382" s="1">
        <f ca="1">IFERROR(__xludf.DUMMYFUNCTION("""COMPUTED_VALUE"""),15.5)</f>
        <v>15.5</v>
      </c>
    </row>
    <row r="1383" spans="1:2">
      <c r="A1383" s="3">
        <f ca="1">IFERROR(__xludf.DUMMYFUNCTION("""COMPUTED_VALUE"""),42360.6666666666)</f>
        <v>42360.666666666599</v>
      </c>
      <c r="B1383" s="1">
        <f ca="1">IFERROR(__xludf.DUMMYFUNCTION("""COMPUTED_VALUE"""),15.33)</f>
        <v>15.33</v>
      </c>
    </row>
    <row r="1384" spans="1:2">
      <c r="A1384" s="3">
        <f ca="1">IFERROR(__xludf.DUMMYFUNCTION("""COMPUTED_VALUE"""),42361.6666666666)</f>
        <v>42361.666666666599</v>
      </c>
      <c r="B1384" s="1">
        <f ca="1">IFERROR(__xludf.DUMMYFUNCTION("""COMPUTED_VALUE"""),15.31)</f>
        <v>15.31</v>
      </c>
    </row>
    <row r="1385" spans="1:2">
      <c r="A1385" s="3">
        <f ca="1">IFERROR(__xludf.DUMMYFUNCTION("""COMPUTED_VALUE"""),42362.6666666666)</f>
        <v>42362.666666666599</v>
      </c>
      <c r="B1385" s="1">
        <f ca="1">IFERROR(__xludf.DUMMYFUNCTION("""COMPUTED_VALUE"""),15.37)</f>
        <v>15.37</v>
      </c>
    </row>
    <row r="1386" spans="1:2">
      <c r="A1386" s="3">
        <f ca="1">IFERROR(__xludf.DUMMYFUNCTION("""COMPUTED_VALUE"""),42366.6666666666)</f>
        <v>42366.666666666599</v>
      </c>
      <c r="B1386" s="1">
        <f ca="1">IFERROR(__xludf.DUMMYFUNCTION("""COMPUTED_VALUE"""),15.26)</f>
        <v>15.26</v>
      </c>
    </row>
    <row r="1387" spans="1:2">
      <c r="A1387" s="3">
        <f ca="1">IFERROR(__xludf.DUMMYFUNCTION("""COMPUTED_VALUE"""),42367.6666666666)</f>
        <v>42367.666666666599</v>
      </c>
      <c r="B1387" s="1">
        <f ca="1">IFERROR(__xludf.DUMMYFUNCTION("""COMPUTED_VALUE"""),15.81)</f>
        <v>15.81</v>
      </c>
    </row>
    <row r="1388" spans="1:2">
      <c r="A1388" s="3">
        <f ca="1">IFERROR(__xludf.DUMMYFUNCTION("""COMPUTED_VALUE"""),42368.6666666666)</f>
        <v>42368.666666666599</v>
      </c>
      <c r="B1388" s="1">
        <f ca="1">IFERROR(__xludf.DUMMYFUNCTION("""COMPUTED_VALUE"""),15.87)</f>
        <v>15.87</v>
      </c>
    </row>
    <row r="1389" spans="1:2">
      <c r="A1389" s="3">
        <f ca="1">IFERROR(__xludf.DUMMYFUNCTION("""COMPUTED_VALUE"""),42369.6666666666)</f>
        <v>42369.666666666599</v>
      </c>
      <c r="B1389" s="1">
        <f ca="1">IFERROR(__xludf.DUMMYFUNCTION("""COMPUTED_VALUE"""),16)</f>
        <v>16</v>
      </c>
    </row>
    <row r="1390" spans="1:2">
      <c r="A1390" s="3">
        <f ca="1">IFERROR(__xludf.DUMMYFUNCTION("""COMPUTED_VALUE"""),42373.6666666666)</f>
        <v>42373.666666666599</v>
      </c>
      <c r="B1390" s="1">
        <f ca="1">IFERROR(__xludf.DUMMYFUNCTION("""COMPUTED_VALUE"""),14.89)</f>
        <v>14.89</v>
      </c>
    </row>
    <row r="1391" spans="1:2">
      <c r="A1391" s="3">
        <f ca="1">IFERROR(__xludf.DUMMYFUNCTION("""COMPUTED_VALUE"""),42374.6666666666)</f>
        <v>42374.666666666599</v>
      </c>
      <c r="B1391" s="1">
        <f ca="1">IFERROR(__xludf.DUMMYFUNCTION("""COMPUTED_VALUE"""),14.9)</f>
        <v>14.9</v>
      </c>
    </row>
    <row r="1392" spans="1:2">
      <c r="A1392" s="3">
        <f ca="1">IFERROR(__xludf.DUMMYFUNCTION("""COMPUTED_VALUE"""),42375.6666666666)</f>
        <v>42375.666666666599</v>
      </c>
      <c r="B1392" s="1">
        <f ca="1">IFERROR(__xludf.DUMMYFUNCTION("""COMPUTED_VALUE"""),14.6)</f>
        <v>14.6</v>
      </c>
    </row>
    <row r="1393" spans="1:2">
      <c r="A1393" s="3">
        <f ca="1">IFERROR(__xludf.DUMMYFUNCTION("""COMPUTED_VALUE"""),42376.6666666666)</f>
        <v>42376.666666666599</v>
      </c>
      <c r="B1393" s="1">
        <f ca="1">IFERROR(__xludf.DUMMYFUNCTION("""COMPUTED_VALUE"""),14.38)</f>
        <v>14.38</v>
      </c>
    </row>
    <row r="1394" spans="1:2">
      <c r="A1394" s="3">
        <f ca="1">IFERROR(__xludf.DUMMYFUNCTION("""COMPUTED_VALUE"""),42377.6666666666)</f>
        <v>42377.666666666599</v>
      </c>
      <c r="B1394" s="1">
        <f ca="1">IFERROR(__xludf.DUMMYFUNCTION("""COMPUTED_VALUE"""),14.07)</f>
        <v>14.07</v>
      </c>
    </row>
    <row r="1395" spans="1:2">
      <c r="A1395" s="3">
        <f ca="1">IFERROR(__xludf.DUMMYFUNCTION("""COMPUTED_VALUE"""),42380.6666666666)</f>
        <v>42380.666666666599</v>
      </c>
      <c r="B1395" s="1">
        <f ca="1">IFERROR(__xludf.DUMMYFUNCTION("""COMPUTED_VALUE"""),13.86)</f>
        <v>13.86</v>
      </c>
    </row>
    <row r="1396" spans="1:2">
      <c r="A1396" s="3">
        <f ca="1">IFERROR(__xludf.DUMMYFUNCTION("""COMPUTED_VALUE"""),42381.6666666666)</f>
        <v>42381.666666666599</v>
      </c>
      <c r="B1396" s="1">
        <f ca="1">IFERROR(__xludf.DUMMYFUNCTION("""COMPUTED_VALUE"""),14)</f>
        <v>14</v>
      </c>
    </row>
    <row r="1397" spans="1:2">
      <c r="A1397" s="3">
        <f ca="1">IFERROR(__xludf.DUMMYFUNCTION("""COMPUTED_VALUE"""),42382.6666666666)</f>
        <v>42382.666666666599</v>
      </c>
      <c r="B1397" s="1">
        <f ca="1">IFERROR(__xludf.DUMMYFUNCTION("""COMPUTED_VALUE"""),13.35)</f>
        <v>13.35</v>
      </c>
    </row>
    <row r="1398" spans="1:2">
      <c r="A1398" s="3">
        <f ca="1">IFERROR(__xludf.DUMMYFUNCTION("""COMPUTED_VALUE"""),42383.6666666666)</f>
        <v>42383.666666666599</v>
      </c>
      <c r="B1398" s="1">
        <f ca="1">IFERROR(__xludf.DUMMYFUNCTION("""COMPUTED_VALUE"""),13.75)</f>
        <v>13.75</v>
      </c>
    </row>
    <row r="1399" spans="1:2">
      <c r="A1399" s="3">
        <f ca="1">IFERROR(__xludf.DUMMYFUNCTION("""COMPUTED_VALUE"""),42384.6666666666)</f>
        <v>42384.666666666599</v>
      </c>
      <c r="B1399" s="1">
        <f ca="1">IFERROR(__xludf.DUMMYFUNCTION("""COMPUTED_VALUE"""),13.67)</f>
        <v>13.67</v>
      </c>
    </row>
    <row r="1400" spans="1:2">
      <c r="A1400" s="3">
        <f ca="1">IFERROR(__xludf.DUMMYFUNCTION("""COMPUTED_VALUE"""),42388.6666666666)</f>
        <v>42388.666666666599</v>
      </c>
      <c r="B1400" s="1">
        <f ca="1">IFERROR(__xludf.DUMMYFUNCTION("""COMPUTED_VALUE"""),13.65)</f>
        <v>13.65</v>
      </c>
    </row>
    <row r="1401" spans="1:2">
      <c r="A1401" s="3">
        <f ca="1">IFERROR(__xludf.DUMMYFUNCTION("""COMPUTED_VALUE"""),42389.6666666666)</f>
        <v>42389.666666666599</v>
      </c>
      <c r="B1401" s="1">
        <f ca="1">IFERROR(__xludf.DUMMYFUNCTION("""COMPUTED_VALUE"""),13.25)</f>
        <v>13.25</v>
      </c>
    </row>
    <row r="1402" spans="1:2">
      <c r="A1402" s="3">
        <f ca="1">IFERROR(__xludf.DUMMYFUNCTION("""COMPUTED_VALUE"""),42390.6666666666)</f>
        <v>42390.666666666599</v>
      </c>
      <c r="B1402" s="1">
        <f ca="1">IFERROR(__xludf.DUMMYFUNCTION("""COMPUTED_VALUE"""),13.33)</f>
        <v>13.33</v>
      </c>
    </row>
    <row r="1403" spans="1:2">
      <c r="A1403" s="3">
        <f ca="1">IFERROR(__xludf.DUMMYFUNCTION("""COMPUTED_VALUE"""),42391.6666666666)</f>
        <v>42391.666666666599</v>
      </c>
      <c r="B1403" s="1">
        <f ca="1">IFERROR(__xludf.DUMMYFUNCTION("""COMPUTED_VALUE"""),13.5)</f>
        <v>13.5</v>
      </c>
    </row>
    <row r="1404" spans="1:2">
      <c r="A1404" s="3">
        <f ca="1">IFERROR(__xludf.DUMMYFUNCTION("""COMPUTED_VALUE"""),42394.6666666666)</f>
        <v>42394.666666666599</v>
      </c>
      <c r="B1404" s="1">
        <f ca="1">IFERROR(__xludf.DUMMYFUNCTION("""COMPUTED_VALUE"""),13.09)</f>
        <v>13.09</v>
      </c>
    </row>
    <row r="1405" spans="1:2">
      <c r="A1405" s="3">
        <f ca="1">IFERROR(__xludf.DUMMYFUNCTION("""COMPUTED_VALUE"""),42395.6666666666)</f>
        <v>42395.666666666599</v>
      </c>
      <c r="B1405" s="1">
        <f ca="1">IFERROR(__xludf.DUMMYFUNCTION("""COMPUTED_VALUE"""),12.9)</f>
        <v>12.9</v>
      </c>
    </row>
    <row r="1406" spans="1:2">
      <c r="A1406" s="3">
        <f ca="1">IFERROR(__xludf.DUMMYFUNCTION("""COMPUTED_VALUE"""),42396.6666666666)</f>
        <v>42396.666666666599</v>
      </c>
      <c r="B1406" s="1">
        <f ca="1">IFERROR(__xludf.DUMMYFUNCTION("""COMPUTED_VALUE"""),12.54)</f>
        <v>12.54</v>
      </c>
    </row>
    <row r="1407" spans="1:2">
      <c r="A1407" s="3">
        <f ca="1">IFERROR(__xludf.DUMMYFUNCTION("""COMPUTED_VALUE"""),42397.6666666666)</f>
        <v>42397.666666666599</v>
      </c>
      <c r="B1407" s="1">
        <f ca="1">IFERROR(__xludf.DUMMYFUNCTION("""COMPUTED_VALUE"""),12.65)</f>
        <v>12.65</v>
      </c>
    </row>
    <row r="1408" spans="1:2">
      <c r="A1408" s="3">
        <f ca="1">IFERROR(__xludf.DUMMYFUNCTION("""COMPUTED_VALUE"""),42398.6666666666)</f>
        <v>42398.666666666599</v>
      </c>
      <c r="B1408" s="1">
        <f ca="1">IFERROR(__xludf.DUMMYFUNCTION("""COMPUTED_VALUE"""),12.75)</f>
        <v>12.75</v>
      </c>
    </row>
    <row r="1409" spans="1:2">
      <c r="A1409" s="3">
        <f ca="1">IFERROR(__xludf.DUMMYFUNCTION("""COMPUTED_VALUE"""),42401.6666666666)</f>
        <v>42401.666666666599</v>
      </c>
      <c r="B1409" s="1">
        <f ca="1">IFERROR(__xludf.DUMMYFUNCTION("""COMPUTED_VALUE"""),13.13)</f>
        <v>13.13</v>
      </c>
    </row>
    <row r="1410" spans="1:2">
      <c r="A1410" s="3">
        <f ca="1">IFERROR(__xludf.DUMMYFUNCTION("""COMPUTED_VALUE"""),42402.6666666666)</f>
        <v>42402.666666666599</v>
      </c>
      <c r="B1410" s="1">
        <f ca="1">IFERROR(__xludf.DUMMYFUNCTION("""COMPUTED_VALUE"""),12.19)</f>
        <v>12.19</v>
      </c>
    </row>
    <row r="1411" spans="1:2">
      <c r="A1411" s="3">
        <f ca="1">IFERROR(__xludf.DUMMYFUNCTION("""COMPUTED_VALUE"""),42403.6666666666)</f>
        <v>42403.666666666599</v>
      </c>
      <c r="B1411" s="1">
        <f ca="1">IFERROR(__xludf.DUMMYFUNCTION("""COMPUTED_VALUE"""),11.57)</f>
        <v>11.57</v>
      </c>
    </row>
    <row r="1412" spans="1:2">
      <c r="A1412" s="3">
        <f ca="1">IFERROR(__xludf.DUMMYFUNCTION("""COMPUTED_VALUE"""),42404.6666666666)</f>
        <v>42404.666666666599</v>
      </c>
      <c r="B1412" s="1">
        <f ca="1">IFERROR(__xludf.DUMMYFUNCTION("""COMPUTED_VALUE"""),11.69)</f>
        <v>11.69</v>
      </c>
    </row>
    <row r="1413" spans="1:2">
      <c r="A1413" s="3">
        <f ca="1">IFERROR(__xludf.DUMMYFUNCTION("""COMPUTED_VALUE"""),42405.6666666666)</f>
        <v>42405.666666666599</v>
      </c>
      <c r="B1413" s="1">
        <f ca="1">IFERROR(__xludf.DUMMYFUNCTION("""COMPUTED_VALUE"""),10.84)</f>
        <v>10.84</v>
      </c>
    </row>
    <row r="1414" spans="1:2">
      <c r="A1414" s="3">
        <f ca="1">IFERROR(__xludf.DUMMYFUNCTION("""COMPUTED_VALUE"""),42408.6666666666)</f>
        <v>42408.666666666599</v>
      </c>
      <c r="B1414" s="1">
        <f ca="1">IFERROR(__xludf.DUMMYFUNCTION("""COMPUTED_VALUE"""),9.87)</f>
        <v>9.8699999999999992</v>
      </c>
    </row>
    <row r="1415" spans="1:2">
      <c r="A1415" s="3">
        <f ca="1">IFERROR(__xludf.DUMMYFUNCTION("""COMPUTED_VALUE"""),42409.6666666666)</f>
        <v>42409.666666666599</v>
      </c>
      <c r="B1415" s="1">
        <f ca="1">IFERROR(__xludf.DUMMYFUNCTION("""COMPUTED_VALUE"""),9.88)</f>
        <v>9.8800000000000008</v>
      </c>
    </row>
    <row r="1416" spans="1:2">
      <c r="A1416" s="3">
        <f ca="1">IFERROR(__xludf.DUMMYFUNCTION("""COMPUTED_VALUE"""),42410.6666666666)</f>
        <v>42410.666666666599</v>
      </c>
      <c r="B1416" s="1">
        <f ca="1">IFERROR(__xludf.DUMMYFUNCTION("""COMPUTED_VALUE"""),9.58)</f>
        <v>9.58</v>
      </c>
    </row>
    <row r="1417" spans="1:2">
      <c r="A1417" s="3">
        <f ca="1">IFERROR(__xludf.DUMMYFUNCTION("""COMPUTED_VALUE"""),42411.6666666666)</f>
        <v>42411.666666666599</v>
      </c>
      <c r="B1417" s="1">
        <f ca="1">IFERROR(__xludf.DUMMYFUNCTION("""COMPUTED_VALUE"""),10.03)</f>
        <v>10.029999999999999</v>
      </c>
    </row>
    <row r="1418" spans="1:2">
      <c r="A1418" s="3">
        <f ca="1">IFERROR(__xludf.DUMMYFUNCTION("""COMPUTED_VALUE"""),42412.6666666666)</f>
        <v>42412.666666666599</v>
      </c>
      <c r="B1418" s="1">
        <f ca="1">IFERROR(__xludf.DUMMYFUNCTION("""COMPUTED_VALUE"""),10.07)</f>
        <v>10.07</v>
      </c>
    </row>
    <row r="1419" spans="1:2">
      <c r="A1419" s="3">
        <f ca="1">IFERROR(__xludf.DUMMYFUNCTION("""COMPUTED_VALUE"""),42416.6666666666)</f>
        <v>42416.666666666599</v>
      </c>
      <c r="B1419" s="1">
        <f ca="1">IFERROR(__xludf.DUMMYFUNCTION("""COMPUTED_VALUE"""),10.34)</f>
        <v>10.34</v>
      </c>
    </row>
    <row r="1420" spans="1:2">
      <c r="A1420" s="3">
        <f ca="1">IFERROR(__xludf.DUMMYFUNCTION("""COMPUTED_VALUE"""),42417.6666666666)</f>
        <v>42417.666666666599</v>
      </c>
      <c r="B1420" s="1">
        <f ca="1">IFERROR(__xludf.DUMMYFUNCTION("""COMPUTED_VALUE"""),11.25)</f>
        <v>11.25</v>
      </c>
    </row>
    <row r="1421" spans="1:2">
      <c r="A1421" s="3">
        <f ca="1">IFERROR(__xludf.DUMMYFUNCTION("""COMPUTED_VALUE"""),42418.6666666666)</f>
        <v>42418.666666666599</v>
      </c>
      <c r="B1421" s="1">
        <f ca="1">IFERROR(__xludf.DUMMYFUNCTION("""COMPUTED_VALUE"""),11.12)</f>
        <v>11.12</v>
      </c>
    </row>
    <row r="1422" spans="1:2">
      <c r="A1422" s="3">
        <f ca="1">IFERROR(__xludf.DUMMYFUNCTION("""COMPUTED_VALUE"""),42419.6666666666)</f>
        <v>42419.666666666599</v>
      </c>
      <c r="B1422" s="1">
        <f ca="1">IFERROR(__xludf.DUMMYFUNCTION("""COMPUTED_VALUE"""),11.11)</f>
        <v>11.11</v>
      </c>
    </row>
    <row r="1423" spans="1:2">
      <c r="A1423" s="3">
        <f ca="1">IFERROR(__xludf.DUMMYFUNCTION("""COMPUTED_VALUE"""),42422.6666666666)</f>
        <v>42422.666666666599</v>
      </c>
      <c r="B1423" s="1">
        <f ca="1">IFERROR(__xludf.DUMMYFUNCTION("""COMPUTED_VALUE"""),11.85)</f>
        <v>11.85</v>
      </c>
    </row>
    <row r="1424" spans="1:2">
      <c r="A1424" s="3">
        <f ca="1">IFERROR(__xludf.DUMMYFUNCTION("""COMPUTED_VALUE"""),42423.6666666666)</f>
        <v>42423.666666666599</v>
      </c>
      <c r="B1424" s="1">
        <f ca="1">IFERROR(__xludf.DUMMYFUNCTION("""COMPUTED_VALUE"""),11.81)</f>
        <v>11.81</v>
      </c>
    </row>
    <row r="1425" spans="1:2">
      <c r="A1425" s="3">
        <f ca="1">IFERROR(__xludf.DUMMYFUNCTION("""COMPUTED_VALUE"""),42424.6666666666)</f>
        <v>42424.666666666599</v>
      </c>
      <c r="B1425" s="1">
        <f ca="1">IFERROR(__xludf.DUMMYFUNCTION("""COMPUTED_VALUE"""),11.93)</f>
        <v>11.93</v>
      </c>
    </row>
    <row r="1426" spans="1:2">
      <c r="A1426" s="3">
        <f ca="1">IFERROR(__xludf.DUMMYFUNCTION("""COMPUTED_VALUE"""),42425.6666666666)</f>
        <v>42425.666666666599</v>
      </c>
      <c r="B1426" s="1">
        <f ca="1">IFERROR(__xludf.DUMMYFUNCTION("""COMPUTED_VALUE"""),12.5)</f>
        <v>12.5</v>
      </c>
    </row>
    <row r="1427" spans="1:2">
      <c r="A1427" s="3">
        <f ca="1">IFERROR(__xludf.DUMMYFUNCTION("""COMPUTED_VALUE"""),42426.6666666666)</f>
        <v>42426.666666666599</v>
      </c>
      <c r="B1427" s="1">
        <f ca="1">IFERROR(__xludf.DUMMYFUNCTION("""COMPUTED_VALUE"""),12.69)</f>
        <v>12.69</v>
      </c>
    </row>
    <row r="1428" spans="1:2">
      <c r="A1428" s="3">
        <f ca="1">IFERROR(__xludf.DUMMYFUNCTION("""COMPUTED_VALUE"""),42429.6666666666)</f>
        <v>42429.666666666599</v>
      </c>
      <c r="B1428" s="1">
        <f ca="1">IFERROR(__xludf.DUMMYFUNCTION("""COMPUTED_VALUE"""),12.8)</f>
        <v>12.8</v>
      </c>
    </row>
    <row r="1429" spans="1:2">
      <c r="A1429" s="3">
        <f ca="1">IFERROR(__xludf.DUMMYFUNCTION("""COMPUTED_VALUE"""),42430.6666666666)</f>
        <v>42430.666666666599</v>
      </c>
      <c r="B1429" s="1">
        <f ca="1">IFERROR(__xludf.DUMMYFUNCTION("""COMPUTED_VALUE"""),12.42)</f>
        <v>12.42</v>
      </c>
    </row>
    <row r="1430" spans="1:2">
      <c r="A1430" s="3">
        <f ca="1">IFERROR(__xludf.DUMMYFUNCTION("""COMPUTED_VALUE"""),42431.6666666666)</f>
        <v>42431.666666666599</v>
      </c>
      <c r="B1430" s="1">
        <f ca="1">IFERROR(__xludf.DUMMYFUNCTION("""COMPUTED_VALUE"""),12.56)</f>
        <v>12.56</v>
      </c>
    </row>
    <row r="1431" spans="1:2">
      <c r="A1431" s="3">
        <f ca="1">IFERROR(__xludf.DUMMYFUNCTION("""COMPUTED_VALUE"""),42432.6666666666)</f>
        <v>42432.666666666599</v>
      </c>
      <c r="B1431" s="1">
        <f ca="1">IFERROR(__xludf.DUMMYFUNCTION("""COMPUTED_VALUE"""),13.05)</f>
        <v>13.05</v>
      </c>
    </row>
    <row r="1432" spans="1:2">
      <c r="A1432" s="3">
        <f ca="1">IFERROR(__xludf.DUMMYFUNCTION("""COMPUTED_VALUE"""),42433.6666666666)</f>
        <v>42433.666666666599</v>
      </c>
      <c r="B1432" s="1">
        <f ca="1">IFERROR(__xludf.DUMMYFUNCTION("""COMPUTED_VALUE"""),13.4)</f>
        <v>13.4</v>
      </c>
    </row>
    <row r="1433" spans="1:2">
      <c r="A1433" s="3">
        <f ca="1">IFERROR(__xludf.DUMMYFUNCTION("""COMPUTED_VALUE"""),42436.6666666666)</f>
        <v>42436.666666666599</v>
      </c>
      <c r="B1433" s="1">
        <f ca="1">IFERROR(__xludf.DUMMYFUNCTION("""COMPUTED_VALUE"""),13.69)</f>
        <v>13.69</v>
      </c>
    </row>
    <row r="1434" spans="1:2">
      <c r="A1434" s="3">
        <f ca="1">IFERROR(__xludf.DUMMYFUNCTION("""COMPUTED_VALUE"""),42437.6666666666)</f>
        <v>42437.666666666599</v>
      </c>
      <c r="B1434" s="1">
        <f ca="1">IFERROR(__xludf.DUMMYFUNCTION("""COMPUTED_VALUE"""),13.51)</f>
        <v>13.51</v>
      </c>
    </row>
    <row r="1435" spans="1:2">
      <c r="A1435" s="3">
        <f ca="1">IFERROR(__xludf.DUMMYFUNCTION("""COMPUTED_VALUE"""),42438.6666666666)</f>
        <v>42438.666666666599</v>
      </c>
      <c r="B1435" s="1">
        <f ca="1">IFERROR(__xludf.DUMMYFUNCTION("""COMPUTED_VALUE"""),13.91)</f>
        <v>13.91</v>
      </c>
    </row>
    <row r="1436" spans="1:2">
      <c r="A1436" s="3">
        <f ca="1">IFERROR(__xludf.DUMMYFUNCTION("""COMPUTED_VALUE"""),42439.6666666666)</f>
        <v>42439.666666666599</v>
      </c>
      <c r="B1436" s="1">
        <f ca="1">IFERROR(__xludf.DUMMYFUNCTION("""COMPUTED_VALUE"""),13.68)</f>
        <v>13.68</v>
      </c>
    </row>
    <row r="1437" spans="1:2">
      <c r="A1437" s="3">
        <f ca="1">IFERROR(__xludf.DUMMYFUNCTION("""COMPUTED_VALUE"""),42440.6666666666)</f>
        <v>42440.666666666599</v>
      </c>
      <c r="B1437" s="1">
        <f ca="1">IFERROR(__xludf.DUMMYFUNCTION("""COMPUTED_VALUE"""),13.83)</f>
        <v>13.83</v>
      </c>
    </row>
    <row r="1438" spans="1:2">
      <c r="A1438" s="3">
        <f ca="1">IFERROR(__xludf.DUMMYFUNCTION("""COMPUTED_VALUE"""),42443.6666666666)</f>
        <v>42443.666666666599</v>
      </c>
      <c r="B1438" s="1">
        <f ca="1">IFERROR(__xludf.DUMMYFUNCTION("""COMPUTED_VALUE"""),14.34)</f>
        <v>14.34</v>
      </c>
    </row>
    <row r="1439" spans="1:2">
      <c r="A1439" s="3">
        <f ca="1">IFERROR(__xludf.DUMMYFUNCTION("""COMPUTED_VALUE"""),42444.6666666666)</f>
        <v>42444.666666666599</v>
      </c>
      <c r="B1439" s="1">
        <f ca="1">IFERROR(__xludf.DUMMYFUNCTION("""COMPUTED_VALUE"""),14.56)</f>
        <v>14.56</v>
      </c>
    </row>
    <row r="1440" spans="1:2">
      <c r="A1440" s="3">
        <f ca="1">IFERROR(__xludf.DUMMYFUNCTION("""COMPUTED_VALUE"""),42445.6666666666)</f>
        <v>42445.666666666599</v>
      </c>
      <c r="B1440" s="1">
        <f ca="1">IFERROR(__xludf.DUMMYFUNCTION("""COMPUTED_VALUE"""),14.8)</f>
        <v>14.8</v>
      </c>
    </row>
    <row r="1441" spans="1:2">
      <c r="A1441" s="3">
        <f ca="1">IFERROR(__xludf.DUMMYFUNCTION("""COMPUTED_VALUE"""),42446.6666666666)</f>
        <v>42446.666666666599</v>
      </c>
      <c r="B1441" s="1">
        <f ca="1">IFERROR(__xludf.DUMMYFUNCTION("""COMPUTED_VALUE"""),15.09)</f>
        <v>15.09</v>
      </c>
    </row>
    <row r="1442" spans="1:2">
      <c r="A1442" s="3">
        <f ca="1">IFERROR(__xludf.DUMMYFUNCTION("""COMPUTED_VALUE"""),42447.6666666666)</f>
        <v>42447.666666666599</v>
      </c>
      <c r="B1442" s="1">
        <f ca="1">IFERROR(__xludf.DUMMYFUNCTION("""COMPUTED_VALUE"""),15.52)</f>
        <v>15.52</v>
      </c>
    </row>
    <row r="1443" spans="1:2">
      <c r="A1443" s="3">
        <f ca="1">IFERROR(__xludf.DUMMYFUNCTION("""COMPUTED_VALUE"""),42450.6666666666)</f>
        <v>42450.666666666599</v>
      </c>
      <c r="B1443" s="1">
        <f ca="1">IFERROR(__xludf.DUMMYFUNCTION("""COMPUTED_VALUE"""),15.89)</f>
        <v>15.89</v>
      </c>
    </row>
    <row r="1444" spans="1:2">
      <c r="A1444" s="3">
        <f ca="1">IFERROR(__xludf.DUMMYFUNCTION("""COMPUTED_VALUE"""),42451.6666666666)</f>
        <v>42451.666666666599</v>
      </c>
      <c r="B1444" s="1">
        <f ca="1">IFERROR(__xludf.DUMMYFUNCTION("""COMPUTED_VALUE"""),15.62)</f>
        <v>15.62</v>
      </c>
    </row>
    <row r="1445" spans="1:2">
      <c r="A1445" s="3">
        <f ca="1">IFERROR(__xludf.DUMMYFUNCTION("""COMPUTED_VALUE"""),42452.6666666666)</f>
        <v>42452.666666666599</v>
      </c>
      <c r="B1445" s="1">
        <f ca="1">IFERROR(__xludf.DUMMYFUNCTION("""COMPUTED_VALUE"""),14.84)</f>
        <v>14.84</v>
      </c>
    </row>
    <row r="1446" spans="1:2">
      <c r="A1446" s="3">
        <f ca="1">IFERROR(__xludf.DUMMYFUNCTION("""COMPUTED_VALUE"""),42453.6666666666)</f>
        <v>42453.666666666599</v>
      </c>
      <c r="B1446" s="1">
        <f ca="1">IFERROR(__xludf.DUMMYFUNCTION("""COMPUTED_VALUE"""),15.18)</f>
        <v>15.18</v>
      </c>
    </row>
    <row r="1447" spans="1:2">
      <c r="A1447" s="3">
        <f ca="1">IFERROR(__xludf.DUMMYFUNCTION("""COMPUTED_VALUE"""),42457.6666666666)</f>
        <v>42457.666666666599</v>
      </c>
      <c r="B1447" s="1">
        <f ca="1">IFERROR(__xludf.DUMMYFUNCTION("""COMPUTED_VALUE"""),15.35)</f>
        <v>15.35</v>
      </c>
    </row>
    <row r="1448" spans="1:2">
      <c r="A1448" s="3">
        <f ca="1">IFERROR(__xludf.DUMMYFUNCTION("""COMPUTED_VALUE"""),42458.6666666666)</f>
        <v>42458.666666666599</v>
      </c>
      <c r="B1448" s="1">
        <f ca="1">IFERROR(__xludf.DUMMYFUNCTION("""COMPUTED_VALUE"""),15.34)</f>
        <v>15.34</v>
      </c>
    </row>
    <row r="1449" spans="1:2">
      <c r="A1449" s="3">
        <f ca="1">IFERROR(__xludf.DUMMYFUNCTION("""COMPUTED_VALUE"""),42459.6666666666)</f>
        <v>42459.666666666599</v>
      </c>
      <c r="B1449" s="1">
        <f ca="1">IFERROR(__xludf.DUMMYFUNCTION("""COMPUTED_VALUE"""),15.13)</f>
        <v>15.13</v>
      </c>
    </row>
    <row r="1450" spans="1:2">
      <c r="A1450" s="3">
        <f ca="1">IFERROR(__xludf.DUMMYFUNCTION("""COMPUTED_VALUE"""),42460.6666666666)</f>
        <v>42460.666666666599</v>
      </c>
      <c r="B1450" s="1">
        <f ca="1">IFERROR(__xludf.DUMMYFUNCTION("""COMPUTED_VALUE"""),15.32)</f>
        <v>15.32</v>
      </c>
    </row>
    <row r="1451" spans="1:2">
      <c r="A1451" s="3">
        <f ca="1">IFERROR(__xludf.DUMMYFUNCTION("""COMPUTED_VALUE"""),42461.6666666666)</f>
        <v>42461.666666666599</v>
      </c>
      <c r="B1451" s="1">
        <f ca="1">IFERROR(__xludf.DUMMYFUNCTION("""COMPUTED_VALUE"""),15.84)</f>
        <v>15.84</v>
      </c>
    </row>
    <row r="1452" spans="1:2">
      <c r="A1452" s="3">
        <f ca="1">IFERROR(__xludf.DUMMYFUNCTION("""COMPUTED_VALUE"""),42464.6666666666)</f>
        <v>42464.666666666599</v>
      </c>
      <c r="B1452" s="1">
        <f ca="1">IFERROR(__xludf.DUMMYFUNCTION("""COMPUTED_VALUE"""),16.47)</f>
        <v>16.47</v>
      </c>
    </row>
    <row r="1453" spans="1:2">
      <c r="A1453" s="3">
        <f ca="1">IFERROR(__xludf.DUMMYFUNCTION("""COMPUTED_VALUE"""),42465.6666666666)</f>
        <v>42465.666666666599</v>
      </c>
      <c r="B1453" s="1">
        <f ca="1">IFERROR(__xludf.DUMMYFUNCTION("""COMPUTED_VALUE"""),17.03)</f>
        <v>17.03</v>
      </c>
    </row>
    <row r="1454" spans="1:2">
      <c r="A1454" s="3">
        <f ca="1">IFERROR(__xludf.DUMMYFUNCTION("""COMPUTED_VALUE"""),42466.6666666666)</f>
        <v>42466.666666666599</v>
      </c>
      <c r="B1454" s="1">
        <f ca="1">IFERROR(__xludf.DUMMYFUNCTION("""COMPUTED_VALUE"""),17.69)</f>
        <v>17.690000000000001</v>
      </c>
    </row>
    <row r="1455" spans="1:2">
      <c r="A1455" s="3">
        <f ca="1">IFERROR(__xludf.DUMMYFUNCTION("""COMPUTED_VALUE"""),42467.6666666666)</f>
        <v>42467.666666666599</v>
      </c>
      <c r="B1455" s="1">
        <f ca="1">IFERROR(__xludf.DUMMYFUNCTION("""COMPUTED_VALUE"""),17.15)</f>
        <v>17.149999999999999</v>
      </c>
    </row>
    <row r="1456" spans="1:2">
      <c r="A1456" s="3">
        <f ca="1">IFERROR(__xludf.DUMMYFUNCTION("""COMPUTED_VALUE"""),42468.6666666666)</f>
        <v>42468.666666666599</v>
      </c>
      <c r="B1456" s="1">
        <f ca="1">IFERROR(__xludf.DUMMYFUNCTION("""COMPUTED_VALUE"""),16.67)</f>
        <v>16.670000000000002</v>
      </c>
    </row>
    <row r="1457" spans="1:2">
      <c r="A1457" s="3">
        <f ca="1">IFERROR(__xludf.DUMMYFUNCTION("""COMPUTED_VALUE"""),42471.6666666666)</f>
        <v>42471.666666666599</v>
      </c>
      <c r="B1457" s="1">
        <f ca="1">IFERROR(__xludf.DUMMYFUNCTION("""COMPUTED_VALUE"""),16.66)</f>
        <v>16.66</v>
      </c>
    </row>
    <row r="1458" spans="1:2">
      <c r="A1458" s="3">
        <f ca="1">IFERROR(__xludf.DUMMYFUNCTION("""COMPUTED_VALUE"""),42472.6666666666)</f>
        <v>42472.666666666599</v>
      </c>
      <c r="B1458" s="1">
        <f ca="1">IFERROR(__xludf.DUMMYFUNCTION("""COMPUTED_VALUE"""),16.52)</f>
        <v>16.52</v>
      </c>
    </row>
    <row r="1459" spans="1:2">
      <c r="A1459" s="3">
        <f ca="1">IFERROR(__xludf.DUMMYFUNCTION("""COMPUTED_VALUE"""),42473.6666666666)</f>
        <v>42473.666666666599</v>
      </c>
      <c r="B1459" s="1">
        <f ca="1">IFERROR(__xludf.DUMMYFUNCTION("""COMPUTED_VALUE"""),16.97)</f>
        <v>16.97</v>
      </c>
    </row>
    <row r="1460" spans="1:2">
      <c r="A1460" s="3">
        <f ca="1">IFERROR(__xludf.DUMMYFUNCTION("""COMPUTED_VALUE"""),42474.6666666666)</f>
        <v>42474.666666666599</v>
      </c>
      <c r="B1460" s="1">
        <f ca="1">IFERROR(__xludf.DUMMYFUNCTION("""COMPUTED_VALUE"""),16.79)</f>
        <v>16.79</v>
      </c>
    </row>
    <row r="1461" spans="1:2">
      <c r="A1461" s="3">
        <f ca="1">IFERROR(__xludf.DUMMYFUNCTION("""COMPUTED_VALUE"""),42475.6666666666)</f>
        <v>42475.666666666599</v>
      </c>
      <c r="B1461" s="1">
        <f ca="1">IFERROR(__xludf.DUMMYFUNCTION("""COMPUTED_VALUE"""),16.97)</f>
        <v>16.97</v>
      </c>
    </row>
    <row r="1462" spans="1:2">
      <c r="A1462" s="3">
        <f ca="1">IFERROR(__xludf.DUMMYFUNCTION("""COMPUTED_VALUE"""),42478.6666666666)</f>
        <v>42478.666666666599</v>
      </c>
      <c r="B1462" s="1">
        <f ca="1">IFERROR(__xludf.DUMMYFUNCTION("""COMPUTED_VALUE"""),16.93)</f>
        <v>16.93</v>
      </c>
    </row>
    <row r="1463" spans="1:2">
      <c r="A1463" s="3">
        <f ca="1">IFERROR(__xludf.DUMMYFUNCTION("""COMPUTED_VALUE"""),42479.6666666666)</f>
        <v>42479.666666666599</v>
      </c>
      <c r="B1463" s="1">
        <f ca="1">IFERROR(__xludf.DUMMYFUNCTION("""COMPUTED_VALUE"""),16.49)</f>
        <v>16.489999999999998</v>
      </c>
    </row>
    <row r="1464" spans="1:2">
      <c r="A1464" s="3">
        <f ca="1">IFERROR(__xludf.DUMMYFUNCTION("""COMPUTED_VALUE"""),42480.6666666666)</f>
        <v>42480.666666666599</v>
      </c>
      <c r="B1464" s="1">
        <f ca="1">IFERROR(__xludf.DUMMYFUNCTION("""COMPUTED_VALUE"""),16.66)</f>
        <v>16.66</v>
      </c>
    </row>
    <row r="1465" spans="1:2">
      <c r="A1465" s="3">
        <f ca="1">IFERROR(__xludf.DUMMYFUNCTION("""COMPUTED_VALUE"""),42481.6666666666)</f>
        <v>42481.666666666599</v>
      </c>
      <c r="B1465" s="1">
        <f ca="1">IFERROR(__xludf.DUMMYFUNCTION("""COMPUTED_VALUE"""),16.55)</f>
        <v>16.55</v>
      </c>
    </row>
    <row r="1466" spans="1:2">
      <c r="A1466" s="3">
        <f ca="1">IFERROR(__xludf.DUMMYFUNCTION("""COMPUTED_VALUE"""),42482.6666666666)</f>
        <v>42482.666666666599</v>
      </c>
      <c r="B1466" s="1">
        <f ca="1">IFERROR(__xludf.DUMMYFUNCTION("""COMPUTED_VALUE"""),16.92)</f>
        <v>16.920000000000002</v>
      </c>
    </row>
    <row r="1467" spans="1:2">
      <c r="A1467" s="3">
        <f ca="1">IFERROR(__xludf.DUMMYFUNCTION("""COMPUTED_VALUE"""),42485.6666666666)</f>
        <v>42485.666666666599</v>
      </c>
      <c r="B1467" s="1">
        <f ca="1">IFERROR(__xludf.DUMMYFUNCTION("""COMPUTED_VALUE"""),16.79)</f>
        <v>16.79</v>
      </c>
    </row>
    <row r="1468" spans="1:2">
      <c r="A1468" s="3">
        <f ca="1">IFERROR(__xludf.DUMMYFUNCTION("""COMPUTED_VALUE"""),42486.6666666666)</f>
        <v>42486.666666666599</v>
      </c>
      <c r="B1468" s="1">
        <f ca="1">IFERROR(__xludf.DUMMYFUNCTION("""COMPUTED_VALUE"""),16.92)</f>
        <v>16.920000000000002</v>
      </c>
    </row>
    <row r="1469" spans="1:2">
      <c r="A1469" s="3">
        <f ca="1">IFERROR(__xludf.DUMMYFUNCTION("""COMPUTED_VALUE"""),42487.6666666666)</f>
        <v>42487.666666666599</v>
      </c>
      <c r="B1469" s="1">
        <f ca="1">IFERROR(__xludf.DUMMYFUNCTION("""COMPUTED_VALUE"""),16.76)</f>
        <v>16.760000000000002</v>
      </c>
    </row>
    <row r="1470" spans="1:2">
      <c r="A1470" s="3">
        <f ca="1">IFERROR(__xludf.DUMMYFUNCTION("""COMPUTED_VALUE"""),42488.6666666666)</f>
        <v>42488.666666666599</v>
      </c>
      <c r="B1470" s="1">
        <f ca="1">IFERROR(__xludf.DUMMYFUNCTION("""COMPUTED_VALUE"""),16.51)</f>
        <v>16.510000000000002</v>
      </c>
    </row>
    <row r="1471" spans="1:2">
      <c r="A1471" s="3">
        <f ca="1">IFERROR(__xludf.DUMMYFUNCTION("""COMPUTED_VALUE"""),42489.6666666666)</f>
        <v>42489.666666666599</v>
      </c>
      <c r="B1471" s="1">
        <f ca="1">IFERROR(__xludf.DUMMYFUNCTION("""COMPUTED_VALUE"""),16.05)</f>
        <v>16.05</v>
      </c>
    </row>
    <row r="1472" spans="1:2">
      <c r="A1472" s="3">
        <f ca="1">IFERROR(__xludf.DUMMYFUNCTION("""COMPUTED_VALUE"""),42492.6666666666)</f>
        <v>42492.666666666599</v>
      </c>
      <c r="B1472" s="1">
        <f ca="1">IFERROR(__xludf.DUMMYFUNCTION("""COMPUTED_VALUE"""),16.12)</f>
        <v>16.12</v>
      </c>
    </row>
    <row r="1473" spans="1:2">
      <c r="A1473" s="3">
        <f ca="1">IFERROR(__xludf.DUMMYFUNCTION("""COMPUTED_VALUE"""),42493.6666666666)</f>
        <v>42493.666666666599</v>
      </c>
      <c r="B1473" s="1">
        <f ca="1">IFERROR(__xludf.DUMMYFUNCTION("""COMPUTED_VALUE"""),15.49)</f>
        <v>15.49</v>
      </c>
    </row>
    <row r="1474" spans="1:2">
      <c r="A1474" s="3">
        <f ca="1">IFERROR(__xludf.DUMMYFUNCTION("""COMPUTED_VALUE"""),42494.6666666666)</f>
        <v>42494.666666666599</v>
      </c>
      <c r="B1474" s="1">
        <f ca="1">IFERROR(__xludf.DUMMYFUNCTION("""COMPUTED_VALUE"""),14.84)</f>
        <v>14.84</v>
      </c>
    </row>
    <row r="1475" spans="1:2">
      <c r="A1475" s="3">
        <f ca="1">IFERROR(__xludf.DUMMYFUNCTION("""COMPUTED_VALUE"""),42495.6666666666)</f>
        <v>42495.666666666599</v>
      </c>
      <c r="B1475" s="1">
        <f ca="1">IFERROR(__xludf.DUMMYFUNCTION("""COMPUTED_VALUE"""),14.1)</f>
        <v>14.1</v>
      </c>
    </row>
    <row r="1476" spans="1:2">
      <c r="A1476" s="3">
        <f ca="1">IFERROR(__xludf.DUMMYFUNCTION("""COMPUTED_VALUE"""),42496.6666666666)</f>
        <v>42496.666666666599</v>
      </c>
      <c r="B1476" s="1">
        <f ca="1">IFERROR(__xludf.DUMMYFUNCTION("""COMPUTED_VALUE"""),14.33)</f>
        <v>14.33</v>
      </c>
    </row>
    <row r="1477" spans="1:2">
      <c r="A1477" s="3">
        <f ca="1">IFERROR(__xludf.DUMMYFUNCTION("""COMPUTED_VALUE"""),42499.6666666666)</f>
        <v>42499.666666666599</v>
      </c>
      <c r="B1477" s="1">
        <f ca="1">IFERROR(__xludf.DUMMYFUNCTION("""COMPUTED_VALUE"""),13.93)</f>
        <v>13.93</v>
      </c>
    </row>
    <row r="1478" spans="1:2">
      <c r="A1478" s="3">
        <f ca="1">IFERROR(__xludf.DUMMYFUNCTION("""COMPUTED_VALUE"""),42500.6666666666)</f>
        <v>42500.666666666599</v>
      </c>
      <c r="B1478" s="1">
        <f ca="1">IFERROR(__xludf.DUMMYFUNCTION("""COMPUTED_VALUE"""),13.91)</f>
        <v>13.91</v>
      </c>
    </row>
    <row r="1479" spans="1:2">
      <c r="A1479" s="3">
        <f ca="1">IFERROR(__xludf.DUMMYFUNCTION("""COMPUTED_VALUE"""),42501.6666666666)</f>
        <v>42501.666666666599</v>
      </c>
      <c r="B1479" s="1">
        <f ca="1">IFERROR(__xludf.DUMMYFUNCTION("""COMPUTED_VALUE"""),13.93)</f>
        <v>13.93</v>
      </c>
    </row>
    <row r="1480" spans="1:2">
      <c r="A1480" s="3">
        <f ca="1">IFERROR(__xludf.DUMMYFUNCTION("""COMPUTED_VALUE"""),42502.6666666666)</f>
        <v>42502.666666666599</v>
      </c>
      <c r="B1480" s="1">
        <f ca="1">IFERROR(__xludf.DUMMYFUNCTION("""COMPUTED_VALUE"""),13.82)</f>
        <v>13.82</v>
      </c>
    </row>
    <row r="1481" spans="1:2">
      <c r="A1481" s="3">
        <f ca="1">IFERROR(__xludf.DUMMYFUNCTION("""COMPUTED_VALUE"""),42503.6666666666)</f>
        <v>42503.666666666599</v>
      </c>
      <c r="B1481" s="1">
        <f ca="1">IFERROR(__xludf.DUMMYFUNCTION("""COMPUTED_VALUE"""),13.84)</f>
        <v>13.84</v>
      </c>
    </row>
    <row r="1482" spans="1:2">
      <c r="A1482" s="3">
        <f ca="1">IFERROR(__xludf.DUMMYFUNCTION("""COMPUTED_VALUE"""),42506.6666666666)</f>
        <v>42506.666666666599</v>
      </c>
      <c r="B1482" s="1">
        <f ca="1">IFERROR(__xludf.DUMMYFUNCTION("""COMPUTED_VALUE"""),13.89)</f>
        <v>13.89</v>
      </c>
    </row>
    <row r="1483" spans="1:2">
      <c r="A1483" s="3">
        <f ca="1">IFERROR(__xludf.DUMMYFUNCTION("""COMPUTED_VALUE"""),42507.6666666666)</f>
        <v>42507.666666666599</v>
      </c>
      <c r="B1483" s="1">
        <f ca="1">IFERROR(__xludf.DUMMYFUNCTION("""COMPUTED_VALUE"""),13.64)</f>
        <v>13.64</v>
      </c>
    </row>
    <row r="1484" spans="1:2">
      <c r="A1484" s="3">
        <f ca="1">IFERROR(__xludf.DUMMYFUNCTION("""COMPUTED_VALUE"""),42508.6666666666)</f>
        <v>42508.666666666599</v>
      </c>
      <c r="B1484" s="1">
        <f ca="1">IFERROR(__xludf.DUMMYFUNCTION("""COMPUTED_VALUE"""),14.08)</f>
        <v>14.08</v>
      </c>
    </row>
    <row r="1485" spans="1:2">
      <c r="A1485" s="3">
        <f ca="1">IFERROR(__xludf.DUMMYFUNCTION("""COMPUTED_VALUE"""),42509.6666666666)</f>
        <v>42509.666666666599</v>
      </c>
      <c r="B1485" s="1">
        <f ca="1">IFERROR(__xludf.DUMMYFUNCTION("""COMPUTED_VALUE"""),14.35)</f>
        <v>14.35</v>
      </c>
    </row>
    <row r="1486" spans="1:2">
      <c r="A1486" s="3">
        <f ca="1">IFERROR(__xludf.DUMMYFUNCTION("""COMPUTED_VALUE"""),42510.6666666666)</f>
        <v>42510.666666666599</v>
      </c>
      <c r="B1486" s="1">
        <f ca="1">IFERROR(__xludf.DUMMYFUNCTION("""COMPUTED_VALUE"""),14.69)</f>
        <v>14.69</v>
      </c>
    </row>
    <row r="1487" spans="1:2">
      <c r="A1487" s="3">
        <f ca="1">IFERROR(__xludf.DUMMYFUNCTION("""COMPUTED_VALUE"""),42513.6666666666)</f>
        <v>42513.666666666599</v>
      </c>
      <c r="B1487" s="1">
        <f ca="1">IFERROR(__xludf.DUMMYFUNCTION("""COMPUTED_VALUE"""),14.41)</f>
        <v>14.41</v>
      </c>
    </row>
    <row r="1488" spans="1:2">
      <c r="A1488" s="3">
        <f ca="1">IFERROR(__xludf.DUMMYFUNCTION("""COMPUTED_VALUE"""),42514.6666666666)</f>
        <v>42514.666666666599</v>
      </c>
      <c r="B1488" s="1">
        <f ca="1">IFERROR(__xludf.DUMMYFUNCTION("""COMPUTED_VALUE"""),14.53)</f>
        <v>14.53</v>
      </c>
    </row>
    <row r="1489" spans="1:2">
      <c r="A1489" s="3">
        <f ca="1">IFERROR(__xludf.DUMMYFUNCTION("""COMPUTED_VALUE"""),42515.6666666666)</f>
        <v>42515.666666666599</v>
      </c>
      <c r="B1489" s="1">
        <f ca="1">IFERROR(__xludf.DUMMYFUNCTION("""COMPUTED_VALUE"""),14.64)</f>
        <v>14.64</v>
      </c>
    </row>
    <row r="1490" spans="1:2">
      <c r="A1490" s="3">
        <f ca="1">IFERROR(__xludf.DUMMYFUNCTION("""COMPUTED_VALUE"""),42516.6666666666)</f>
        <v>42516.666666666599</v>
      </c>
      <c r="B1490" s="1">
        <f ca="1">IFERROR(__xludf.DUMMYFUNCTION("""COMPUTED_VALUE"""),15.01)</f>
        <v>15.01</v>
      </c>
    </row>
    <row r="1491" spans="1:2">
      <c r="A1491" s="3">
        <f ca="1">IFERROR(__xludf.DUMMYFUNCTION("""COMPUTED_VALUE"""),42517.6666666666)</f>
        <v>42517.666666666599</v>
      </c>
      <c r="B1491" s="1">
        <f ca="1">IFERROR(__xludf.DUMMYFUNCTION("""COMPUTED_VALUE"""),14.87)</f>
        <v>14.87</v>
      </c>
    </row>
    <row r="1492" spans="1:2">
      <c r="A1492" s="3">
        <f ca="1">IFERROR(__xludf.DUMMYFUNCTION("""COMPUTED_VALUE"""),42521.6666666666)</f>
        <v>42521.666666666599</v>
      </c>
      <c r="B1492" s="1">
        <f ca="1">IFERROR(__xludf.DUMMYFUNCTION("""COMPUTED_VALUE"""),14.88)</f>
        <v>14.88</v>
      </c>
    </row>
    <row r="1493" spans="1:2">
      <c r="A1493" s="3">
        <f ca="1">IFERROR(__xludf.DUMMYFUNCTION("""COMPUTED_VALUE"""),42522.6666666666)</f>
        <v>42522.666666666599</v>
      </c>
      <c r="B1493" s="1">
        <f ca="1">IFERROR(__xludf.DUMMYFUNCTION("""COMPUTED_VALUE"""),14.64)</f>
        <v>14.64</v>
      </c>
    </row>
    <row r="1494" spans="1:2">
      <c r="A1494" s="3">
        <f ca="1">IFERROR(__xludf.DUMMYFUNCTION("""COMPUTED_VALUE"""),42523.6666666666)</f>
        <v>42523.666666666599</v>
      </c>
      <c r="B1494" s="1">
        <f ca="1">IFERROR(__xludf.DUMMYFUNCTION("""COMPUTED_VALUE"""),14.6)</f>
        <v>14.6</v>
      </c>
    </row>
    <row r="1495" spans="1:2">
      <c r="A1495" s="3">
        <f ca="1">IFERROR(__xludf.DUMMYFUNCTION("""COMPUTED_VALUE"""),42524.6666666666)</f>
        <v>42524.666666666599</v>
      </c>
      <c r="B1495" s="1">
        <f ca="1">IFERROR(__xludf.DUMMYFUNCTION("""COMPUTED_VALUE"""),14.6)</f>
        <v>14.6</v>
      </c>
    </row>
    <row r="1496" spans="1:2">
      <c r="A1496" s="3">
        <f ca="1">IFERROR(__xludf.DUMMYFUNCTION("""COMPUTED_VALUE"""),42527.6666666666)</f>
        <v>42527.666666666599</v>
      </c>
      <c r="B1496" s="1">
        <f ca="1">IFERROR(__xludf.DUMMYFUNCTION("""COMPUTED_VALUE"""),14.71)</f>
        <v>14.71</v>
      </c>
    </row>
    <row r="1497" spans="1:2">
      <c r="A1497" s="3">
        <f ca="1">IFERROR(__xludf.DUMMYFUNCTION("""COMPUTED_VALUE"""),42528.6666666666)</f>
        <v>42528.666666666599</v>
      </c>
      <c r="B1497" s="1">
        <f ca="1">IFERROR(__xludf.DUMMYFUNCTION("""COMPUTED_VALUE"""),15.49)</f>
        <v>15.49</v>
      </c>
    </row>
    <row r="1498" spans="1:2">
      <c r="A1498" s="3">
        <f ca="1">IFERROR(__xludf.DUMMYFUNCTION("""COMPUTED_VALUE"""),42529.6666666666)</f>
        <v>42529.666666666599</v>
      </c>
      <c r="B1498" s="1">
        <f ca="1">IFERROR(__xludf.DUMMYFUNCTION("""COMPUTED_VALUE"""),15.7)</f>
        <v>15.7</v>
      </c>
    </row>
    <row r="1499" spans="1:2">
      <c r="A1499" s="3">
        <f ca="1">IFERROR(__xludf.DUMMYFUNCTION("""COMPUTED_VALUE"""),42530.6666666666)</f>
        <v>42530.666666666599</v>
      </c>
      <c r="B1499" s="1">
        <f ca="1">IFERROR(__xludf.DUMMYFUNCTION("""COMPUTED_VALUE"""),15.29)</f>
        <v>15.29</v>
      </c>
    </row>
    <row r="1500" spans="1:2">
      <c r="A1500" s="3">
        <f ca="1">IFERROR(__xludf.DUMMYFUNCTION("""COMPUTED_VALUE"""),42531.6666666666)</f>
        <v>42531.666666666599</v>
      </c>
      <c r="B1500" s="1">
        <f ca="1">IFERROR(__xludf.DUMMYFUNCTION("""COMPUTED_VALUE"""),14.59)</f>
        <v>14.59</v>
      </c>
    </row>
    <row r="1501" spans="1:2">
      <c r="A1501" s="3">
        <f ca="1">IFERROR(__xludf.DUMMYFUNCTION("""COMPUTED_VALUE"""),42534.6666666666)</f>
        <v>42534.666666666599</v>
      </c>
      <c r="B1501" s="1">
        <f ca="1">IFERROR(__xludf.DUMMYFUNCTION("""COMPUTED_VALUE"""),14.52)</f>
        <v>14.52</v>
      </c>
    </row>
    <row r="1502" spans="1:2">
      <c r="A1502" s="3">
        <f ca="1">IFERROR(__xludf.DUMMYFUNCTION("""COMPUTED_VALUE"""),42535.6666666666)</f>
        <v>42535.666666666599</v>
      </c>
      <c r="B1502" s="1">
        <f ca="1">IFERROR(__xludf.DUMMYFUNCTION("""COMPUTED_VALUE"""),14.33)</f>
        <v>14.33</v>
      </c>
    </row>
    <row r="1503" spans="1:2">
      <c r="A1503" s="3">
        <f ca="1">IFERROR(__xludf.DUMMYFUNCTION("""COMPUTED_VALUE"""),42536.6666666666)</f>
        <v>42536.666666666599</v>
      </c>
      <c r="B1503" s="1">
        <f ca="1">IFERROR(__xludf.DUMMYFUNCTION("""COMPUTED_VALUE"""),14.51)</f>
        <v>14.51</v>
      </c>
    </row>
    <row r="1504" spans="1:2">
      <c r="A1504" s="3">
        <f ca="1">IFERROR(__xludf.DUMMYFUNCTION("""COMPUTED_VALUE"""),42537.6666666666)</f>
        <v>42537.666666666599</v>
      </c>
      <c r="B1504" s="1">
        <f ca="1">IFERROR(__xludf.DUMMYFUNCTION("""COMPUTED_VALUE"""),14.53)</f>
        <v>14.53</v>
      </c>
    </row>
    <row r="1505" spans="1:2">
      <c r="A1505" s="3">
        <f ca="1">IFERROR(__xludf.DUMMYFUNCTION("""COMPUTED_VALUE"""),42538.6666666666)</f>
        <v>42538.666666666599</v>
      </c>
      <c r="B1505" s="1">
        <f ca="1">IFERROR(__xludf.DUMMYFUNCTION("""COMPUTED_VALUE"""),14.36)</f>
        <v>14.36</v>
      </c>
    </row>
    <row r="1506" spans="1:2">
      <c r="A1506" s="3">
        <f ca="1">IFERROR(__xludf.DUMMYFUNCTION("""COMPUTED_VALUE"""),42541.6666666666)</f>
        <v>42541.666666666599</v>
      </c>
      <c r="B1506" s="1">
        <f ca="1">IFERROR(__xludf.DUMMYFUNCTION("""COMPUTED_VALUE"""),14.65)</f>
        <v>14.65</v>
      </c>
    </row>
    <row r="1507" spans="1:2">
      <c r="A1507" s="3">
        <f ca="1">IFERROR(__xludf.DUMMYFUNCTION("""COMPUTED_VALUE"""),42542.6666666666)</f>
        <v>42542.666666666599</v>
      </c>
      <c r="B1507" s="1">
        <f ca="1">IFERROR(__xludf.DUMMYFUNCTION("""COMPUTED_VALUE"""),14.64)</f>
        <v>14.64</v>
      </c>
    </row>
    <row r="1508" spans="1:2">
      <c r="A1508" s="3">
        <f ca="1">IFERROR(__xludf.DUMMYFUNCTION("""COMPUTED_VALUE"""),42543.6666666666)</f>
        <v>42543.666666666599</v>
      </c>
      <c r="B1508" s="1">
        <f ca="1">IFERROR(__xludf.DUMMYFUNCTION("""COMPUTED_VALUE"""),13.11)</f>
        <v>13.11</v>
      </c>
    </row>
    <row r="1509" spans="1:2">
      <c r="A1509" s="3">
        <f ca="1">IFERROR(__xludf.DUMMYFUNCTION("""COMPUTED_VALUE"""),42544.6666666666)</f>
        <v>42544.666666666599</v>
      </c>
      <c r="B1509" s="1">
        <f ca="1">IFERROR(__xludf.DUMMYFUNCTION("""COMPUTED_VALUE"""),13.09)</f>
        <v>13.09</v>
      </c>
    </row>
    <row r="1510" spans="1:2">
      <c r="A1510" s="3">
        <f ca="1">IFERROR(__xludf.DUMMYFUNCTION("""COMPUTED_VALUE"""),42545.6666666666)</f>
        <v>42545.666666666599</v>
      </c>
      <c r="B1510" s="1">
        <f ca="1">IFERROR(__xludf.DUMMYFUNCTION("""COMPUTED_VALUE"""),12.88)</f>
        <v>12.88</v>
      </c>
    </row>
    <row r="1511" spans="1:2">
      <c r="A1511" s="3">
        <f ca="1">IFERROR(__xludf.DUMMYFUNCTION("""COMPUTED_VALUE"""),42548.6666666666)</f>
        <v>42548.666666666599</v>
      </c>
      <c r="B1511" s="1">
        <f ca="1">IFERROR(__xludf.DUMMYFUNCTION("""COMPUTED_VALUE"""),13.24)</f>
        <v>13.24</v>
      </c>
    </row>
    <row r="1512" spans="1:2">
      <c r="A1512" s="3">
        <f ca="1">IFERROR(__xludf.DUMMYFUNCTION("""COMPUTED_VALUE"""),42549.6666666666)</f>
        <v>42549.666666666599</v>
      </c>
      <c r="B1512" s="1">
        <f ca="1">IFERROR(__xludf.DUMMYFUNCTION("""COMPUTED_VALUE"""),13.45)</f>
        <v>13.45</v>
      </c>
    </row>
    <row r="1513" spans="1:2">
      <c r="A1513" s="3">
        <f ca="1">IFERROR(__xludf.DUMMYFUNCTION("""COMPUTED_VALUE"""),42550.6666666666)</f>
        <v>42550.666666666599</v>
      </c>
      <c r="B1513" s="1">
        <f ca="1">IFERROR(__xludf.DUMMYFUNCTION("""COMPUTED_VALUE"""),14.01)</f>
        <v>14.01</v>
      </c>
    </row>
    <row r="1514" spans="1:2">
      <c r="A1514" s="3">
        <f ca="1">IFERROR(__xludf.DUMMYFUNCTION("""COMPUTED_VALUE"""),42551.6666666666)</f>
        <v>42551.666666666599</v>
      </c>
      <c r="B1514" s="1">
        <f ca="1">IFERROR(__xludf.DUMMYFUNCTION("""COMPUTED_VALUE"""),14.15)</f>
        <v>14.15</v>
      </c>
    </row>
    <row r="1515" spans="1:2">
      <c r="A1515" s="3">
        <f ca="1">IFERROR(__xludf.DUMMYFUNCTION("""COMPUTED_VALUE"""),42552.6666666666)</f>
        <v>42552.666666666599</v>
      </c>
      <c r="B1515" s="1">
        <f ca="1">IFERROR(__xludf.DUMMYFUNCTION("""COMPUTED_VALUE"""),14.43)</f>
        <v>14.43</v>
      </c>
    </row>
    <row r="1516" spans="1:2">
      <c r="A1516" s="3">
        <f ca="1">IFERROR(__xludf.DUMMYFUNCTION("""COMPUTED_VALUE"""),42556.6666666666)</f>
        <v>42556.666666666599</v>
      </c>
      <c r="B1516" s="1">
        <f ca="1">IFERROR(__xludf.DUMMYFUNCTION("""COMPUTED_VALUE"""),14.27)</f>
        <v>14.27</v>
      </c>
    </row>
    <row r="1517" spans="1:2">
      <c r="A1517" s="3">
        <f ca="1">IFERROR(__xludf.DUMMYFUNCTION("""COMPUTED_VALUE"""),42557.6666666666)</f>
        <v>42557.666666666599</v>
      </c>
      <c r="B1517" s="1">
        <f ca="1">IFERROR(__xludf.DUMMYFUNCTION("""COMPUTED_VALUE"""),14.3)</f>
        <v>14.3</v>
      </c>
    </row>
    <row r="1518" spans="1:2">
      <c r="A1518" s="3">
        <f ca="1">IFERROR(__xludf.DUMMYFUNCTION("""COMPUTED_VALUE"""),42558.6666666666)</f>
        <v>42558.666666666599</v>
      </c>
      <c r="B1518" s="1">
        <f ca="1">IFERROR(__xludf.DUMMYFUNCTION("""COMPUTED_VALUE"""),14.4)</f>
        <v>14.4</v>
      </c>
    </row>
    <row r="1519" spans="1:2">
      <c r="A1519" s="3">
        <f ca="1">IFERROR(__xludf.DUMMYFUNCTION("""COMPUTED_VALUE"""),42559.6666666666)</f>
        <v>42559.666666666599</v>
      </c>
      <c r="B1519" s="1">
        <f ca="1">IFERROR(__xludf.DUMMYFUNCTION("""COMPUTED_VALUE"""),14.45)</f>
        <v>14.45</v>
      </c>
    </row>
    <row r="1520" spans="1:2">
      <c r="A1520" s="3">
        <f ca="1">IFERROR(__xludf.DUMMYFUNCTION("""COMPUTED_VALUE"""),42562.6666666666)</f>
        <v>42562.666666666599</v>
      </c>
      <c r="B1520" s="1">
        <f ca="1">IFERROR(__xludf.DUMMYFUNCTION("""COMPUTED_VALUE"""),14.99)</f>
        <v>14.99</v>
      </c>
    </row>
    <row r="1521" spans="1:2">
      <c r="A1521" s="3">
        <f ca="1">IFERROR(__xludf.DUMMYFUNCTION("""COMPUTED_VALUE"""),42563.6666666666)</f>
        <v>42563.666666666599</v>
      </c>
      <c r="B1521" s="1">
        <f ca="1">IFERROR(__xludf.DUMMYFUNCTION("""COMPUTED_VALUE"""),14.98)</f>
        <v>14.98</v>
      </c>
    </row>
    <row r="1522" spans="1:2">
      <c r="A1522" s="3">
        <f ca="1">IFERROR(__xludf.DUMMYFUNCTION("""COMPUTED_VALUE"""),42564.6666666666)</f>
        <v>42564.666666666599</v>
      </c>
      <c r="B1522" s="1">
        <f ca="1">IFERROR(__xludf.DUMMYFUNCTION("""COMPUTED_VALUE"""),14.84)</f>
        <v>14.84</v>
      </c>
    </row>
    <row r="1523" spans="1:2">
      <c r="A1523" s="3">
        <f ca="1">IFERROR(__xludf.DUMMYFUNCTION("""COMPUTED_VALUE"""),42565.6666666666)</f>
        <v>42565.666666666599</v>
      </c>
      <c r="B1523" s="1">
        <f ca="1">IFERROR(__xludf.DUMMYFUNCTION("""COMPUTED_VALUE"""),14.77)</f>
        <v>14.77</v>
      </c>
    </row>
    <row r="1524" spans="1:2">
      <c r="A1524" s="3">
        <f ca="1">IFERROR(__xludf.DUMMYFUNCTION("""COMPUTED_VALUE"""),42566.6666666666)</f>
        <v>42566.666666666599</v>
      </c>
      <c r="B1524" s="1">
        <f ca="1">IFERROR(__xludf.DUMMYFUNCTION("""COMPUTED_VALUE"""),14.69)</f>
        <v>14.69</v>
      </c>
    </row>
    <row r="1525" spans="1:2">
      <c r="A1525" s="3">
        <f ca="1">IFERROR(__xludf.DUMMYFUNCTION("""COMPUTED_VALUE"""),42569.6666666666)</f>
        <v>42569.666666666599</v>
      </c>
      <c r="B1525" s="1">
        <f ca="1">IFERROR(__xludf.DUMMYFUNCTION("""COMPUTED_VALUE"""),15.08)</f>
        <v>15.08</v>
      </c>
    </row>
    <row r="1526" spans="1:2">
      <c r="A1526" s="3">
        <f ca="1">IFERROR(__xludf.DUMMYFUNCTION("""COMPUTED_VALUE"""),42570.6666666666)</f>
        <v>42570.666666666599</v>
      </c>
      <c r="B1526" s="1">
        <f ca="1">IFERROR(__xludf.DUMMYFUNCTION("""COMPUTED_VALUE"""),15.02)</f>
        <v>15.02</v>
      </c>
    </row>
    <row r="1527" spans="1:2">
      <c r="A1527" s="3">
        <f ca="1">IFERROR(__xludf.DUMMYFUNCTION("""COMPUTED_VALUE"""),42571.6666666666)</f>
        <v>42571.666666666599</v>
      </c>
      <c r="B1527" s="1">
        <f ca="1">IFERROR(__xludf.DUMMYFUNCTION("""COMPUTED_VALUE"""),15.22)</f>
        <v>15.22</v>
      </c>
    </row>
    <row r="1528" spans="1:2">
      <c r="A1528" s="3">
        <f ca="1">IFERROR(__xludf.DUMMYFUNCTION("""COMPUTED_VALUE"""),42572.6666666666)</f>
        <v>42572.666666666599</v>
      </c>
      <c r="B1528" s="1">
        <f ca="1">IFERROR(__xludf.DUMMYFUNCTION("""COMPUTED_VALUE"""),14.7)</f>
        <v>14.7</v>
      </c>
    </row>
    <row r="1529" spans="1:2">
      <c r="A1529" s="3">
        <f ca="1">IFERROR(__xludf.DUMMYFUNCTION("""COMPUTED_VALUE"""),42573.6666666666)</f>
        <v>42573.666666666599</v>
      </c>
      <c r="B1529" s="1">
        <f ca="1">IFERROR(__xludf.DUMMYFUNCTION("""COMPUTED_VALUE"""),14.82)</f>
        <v>14.82</v>
      </c>
    </row>
    <row r="1530" spans="1:2">
      <c r="A1530" s="3">
        <f ca="1">IFERROR(__xludf.DUMMYFUNCTION("""COMPUTED_VALUE"""),42576.6666666666)</f>
        <v>42576.666666666599</v>
      </c>
      <c r="B1530" s="1">
        <f ca="1">IFERROR(__xludf.DUMMYFUNCTION("""COMPUTED_VALUE"""),15.33)</f>
        <v>15.33</v>
      </c>
    </row>
    <row r="1531" spans="1:2">
      <c r="A1531" s="3">
        <f ca="1">IFERROR(__xludf.DUMMYFUNCTION("""COMPUTED_VALUE"""),42577.6666666666)</f>
        <v>42577.666666666599</v>
      </c>
      <c r="B1531" s="1">
        <f ca="1">IFERROR(__xludf.DUMMYFUNCTION("""COMPUTED_VALUE"""),15.3)</f>
        <v>15.3</v>
      </c>
    </row>
    <row r="1532" spans="1:2">
      <c r="A1532" s="3">
        <f ca="1">IFERROR(__xludf.DUMMYFUNCTION("""COMPUTED_VALUE"""),42578.6666666666)</f>
        <v>42578.666666666599</v>
      </c>
      <c r="B1532" s="1">
        <f ca="1">IFERROR(__xludf.DUMMYFUNCTION("""COMPUTED_VALUE"""),15.23)</f>
        <v>15.23</v>
      </c>
    </row>
    <row r="1533" spans="1:2">
      <c r="A1533" s="3">
        <f ca="1">IFERROR(__xludf.DUMMYFUNCTION("""COMPUTED_VALUE"""),42579.6666666666)</f>
        <v>42579.666666666599</v>
      </c>
      <c r="B1533" s="1">
        <f ca="1">IFERROR(__xludf.DUMMYFUNCTION("""COMPUTED_VALUE"""),15.37)</f>
        <v>15.37</v>
      </c>
    </row>
    <row r="1534" spans="1:2">
      <c r="A1534" s="3">
        <f ca="1">IFERROR(__xludf.DUMMYFUNCTION("""COMPUTED_VALUE"""),42580.6666666666)</f>
        <v>42580.666666666599</v>
      </c>
      <c r="B1534" s="1">
        <f ca="1">IFERROR(__xludf.DUMMYFUNCTION("""COMPUTED_VALUE"""),15.65)</f>
        <v>15.65</v>
      </c>
    </row>
    <row r="1535" spans="1:2">
      <c r="A1535" s="3">
        <f ca="1">IFERROR(__xludf.DUMMYFUNCTION("""COMPUTED_VALUE"""),42583.6666666666)</f>
        <v>42583.666666666599</v>
      </c>
      <c r="B1535" s="1">
        <f ca="1">IFERROR(__xludf.DUMMYFUNCTION("""COMPUTED_VALUE"""),15.33)</f>
        <v>15.33</v>
      </c>
    </row>
    <row r="1536" spans="1:2">
      <c r="A1536" s="3">
        <f ca="1">IFERROR(__xludf.DUMMYFUNCTION("""COMPUTED_VALUE"""),42584.6666666666)</f>
        <v>42584.666666666599</v>
      </c>
      <c r="B1536" s="1">
        <f ca="1">IFERROR(__xludf.DUMMYFUNCTION("""COMPUTED_VALUE"""),15.15)</f>
        <v>15.15</v>
      </c>
    </row>
    <row r="1537" spans="1:2">
      <c r="A1537" s="3">
        <f ca="1">IFERROR(__xludf.DUMMYFUNCTION("""COMPUTED_VALUE"""),42585.6666666666)</f>
        <v>42585.666666666599</v>
      </c>
      <c r="B1537" s="1">
        <f ca="1">IFERROR(__xludf.DUMMYFUNCTION("""COMPUTED_VALUE"""),15.05)</f>
        <v>15.05</v>
      </c>
    </row>
    <row r="1538" spans="1:2">
      <c r="A1538" s="3">
        <f ca="1">IFERROR(__xludf.DUMMYFUNCTION("""COMPUTED_VALUE"""),42586.6666666666)</f>
        <v>42586.666666666599</v>
      </c>
      <c r="B1538" s="1">
        <f ca="1">IFERROR(__xludf.DUMMYFUNCTION("""COMPUTED_VALUE"""),15.37)</f>
        <v>15.37</v>
      </c>
    </row>
    <row r="1539" spans="1:2">
      <c r="A1539" s="3">
        <f ca="1">IFERROR(__xludf.DUMMYFUNCTION("""COMPUTED_VALUE"""),42587.6666666666)</f>
        <v>42587.666666666599</v>
      </c>
      <c r="B1539" s="1">
        <f ca="1">IFERROR(__xludf.DUMMYFUNCTION("""COMPUTED_VALUE"""),15.34)</f>
        <v>15.34</v>
      </c>
    </row>
    <row r="1540" spans="1:2">
      <c r="A1540" s="3">
        <f ca="1">IFERROR(__xludf.DUMMYFUNCTION("""COMPUTED_VALUE"""),42590.6666666666)</f>
        <v>42590.666666666599</v>
      </c>
      <c r="B1540" s="1">
        <f ca="1">IFERROR(__xludf.DUMMYFUNCTION("""COMPUTED_VALUE"""),15.08)</f>
        <v>15.08</v>
      </c>
    </row>
    <row r="1541" spans="1:2">
      <c r="A1541" s="3">
        <f ca="1">IFERROR(__xludf.DUMMYFUNCTION("""COMPUTED_VALUE"""),42591.6666666666)</f>
        <v>42591.666666666599</v>
      </c>
      <c r="B1541" s="1">
        <f ca="1">IFERROR(__xludf.DUMMYFUNCTION("""COMPUTED_VALUE"""),15.27)</f>
        <v>15.27</v>
      </c>
    </row>
    <row r="1542" spans="1:2">
      <c r="A1542" s="3">
        <f ca="1">IFERROR(__xludf.DUMMYFUNCTION("""COMPUTED_VALUE"""),42592.6666666666)</f>
        <v>42592.666666666599</v>
      </c>
      <c r="B1542" s="1">
        <f ca="1">IFERROR(__xludf.DUMMYFUNCTION("""COMPUTED_VALUE"""),15.04)</f>
        <v>15.04</v>
      </c>
    </row>
    <row r="1543" spans="1:2">
      <c r="A1543" s="3">
        <f ca="1">IFERROR(__xludf.DUMMYFUNCTION("""COMPUTED_VALUE"""),42593.6666666666)</f>
        <v>42593.666666666599</v>
      </c>
      <c r="B1543" s="1">
        <f ca="1">IFERROR(__xludf.DUMMYFUNCTION("""COMPUTED_VALUE"""),14.99)</f>
        <v>14.99</v>
      </c>
    </row>
    <row r="1544" spans="1:2">
      <c r="A1544" s="3">
        <f ca="1">IFERROR(__xludf.DUMMYFUNCTION("""COMPUTED_VALUE"""),42594.6666666666)</f>
        <v>42594.666666666599</v>
      </c>
      <c r="B1544" s="1">
        <f ca="1">IFERROR(__xludf.DUMMYFUNCTION("""COMPUTED_VALUE"""),15.04)</f>
        <v>15.04</v>
      </c>
    </row>
    <row r="1545" spans="1:2">
      <c r="A1545" s="3">
        <f ca="1">IFERROR(__xludf.DUMMYFUNCTION("""COMPUTED_VALUE"""),42597.6666666666)</f>
        <v>42597.666666666599</v>
      </c>
      <c r="B1545" s="1">
        <f ca="1">IFERROR(__xludf.DUMMYFUNCTION("""COMPUTED_VALUE"""),15.04)</f>
        <v>15.04</v>
      </c>
    </row>
    <row r="1546" spans="1:2">
      <c r="A1546" s="3">
        <f ca="1">IFERROR(__xludf.DUMMYFUNCTION("""COMPUTED_VALUE"""),42598.6666666666)</f>
        <v>42598.666666666599</v>
      </c>
      <c r="B1546" s="1">
        <f ca="1">IFERROR(__xludf.DUMMYFUNCTION("""COMPUTED_VALUE"""),14.91)</f>
        <v>14.91</v>
      </c>
    </row>
    <row r="1547" spans="1:2">
      <c r="A1547" s="3">
        <f ca="1">IFERROR(__xludf.DUMMYFUNCTION("""COMPUTED_VALUE"""),42599.6666666666)</f>
        <v>42599.666666666599</v>
      </c>
      <c r="B1547" s="1">
        <f ca="1">IFERROR(__xludf.DUMMYFUNCTION("""COMPUTED_VALUE"""),14.88)</f>
        <v>14.88</v>
      </c>
    </row>
    <row r="1548" spans="1:2">
      <c r="A1548" s="3">
        <f ca="1">IFERROR(__xludf.DUMMYFUNCTION("""COMPUTED_VALUE"""),42600.6666666666)</f>
        <v>42600.666666666599</v>
      </c>
      <c r="B1548" s="1">
        <f ca="1">IFERROR(__xludf.DUMMYFUNCTION("""COMPUTED_VALUE"""),14.9)</f>
        <v>14.9</v>
      </c>
    </row>
    <row r="1549" spans="1:2">
      <c r="A1549" s="3">
        <f ca="1">IFERROR(__xludf.DUMMYFUNCTION("""COMPUTED_VALUE"""),42601.6666666666)</f>
        <v>42601.666666666599</v>
      </c>
      <c r="B1549" s="1">
        <f ca="1">IFERROR(__xludf.DUMMYFUNCTION("""COMPUTED_VALUE"""),15)</f>
        <v>15</v>
      </c>
    </row>
    <row r="1550" spans="1:2">
      <c r="A1550" s="3">
        <f ca="1">IFERROR(__xludf.DUMMYFUNCTION("""COMPUTED_VALUE"""),42604.6666666666)</f>
        <v>42604.666666666599</v>
      </c>
      <c r="B1550" s="1">
        <f ca="1">IFERROR(__xludf.DUMMYFUNCTION("""COMPUTED_VALUE"""),14.86)</f>
        <v>14.86</v>
      </c>
    </row>
    <row r="1551" spans="1:2">
      <c r="A1551" s="3">
        <f ca="1">IFERROR(__xludf.DUMMYFUNCTION("""COMPUTED_VALUE"""),42605.6666666666)</f>
        <v>42605.666666666599</v>
      </c>
      <c r="B1551" s="1">
        <f ca="1">IFERROR(__xludf.DUMMYFUNCTION("""COMPUTED_VALUE"""),14.99)</f>
        <v>14.99</v>
      </c>
    </row>
    <row r="1552" spans="1:2">
      <c r="A1552" s="3">
        <f ca="1">IFERROR(__xludf.DUMMYFUNCTION("""COMPUTED_VALUE"""),42606.6666666666)</f>
        <v>42606.666666666599</v>
      </c>
      <c r="B1552" s="1">
        <f ca="1">IFERROR(__xludf.DUMMYFUNCTION("""COMPUTED_VALUE"""),14.84)</f>
        <v>14.84</v>
      </c>
    </row>
    <row r="1553" spans="1:2">
      <c r="A1553" s="3">
        <f ca="1">IFERROR(__xludf.DUMMYFUNCTION("""COMPUTED_VALUE"""),42607.6666666666)</f>
        <v>42607.666666666599</v>
      </c>
      <c r="B1553" s="1">
        <f ca="1">IFERROR(__xludf.DUMMYFUNCTION("""COMPUTED_VALUE"""),14.73)</f>
        <v>14.73</v>
      </c>
    </row>
    <row r="1554" spans="1:2">
      <c r="A1554" s="3">
        <f ca="1">IFERROR(__xludf.DUMMYFUNCTION("""COMPUTED_VALUE"""),42608.6666666666)</f>
        <v>42608.666666666599</v>
      </c>
      <c r="B1554" s="1">
        <f ca="1">IFERROR(__xludf.DUMMYFUNCTION("""COMPUTED_VALUE"""),14.67)</f>
        <v>14.67</v>
      </c>
    </row>
    <row r="1555" spans="1:2">
      <c r="A1555" s="3">
        <f ca="1">IFERROR(__xludf.DUMMYFUNCTION("""COMPUTED_VALUE"""),42611.6666666666)</f>
        <v>42611.666666666599</v>
      </c>
      <c r="B1555" s="1">
        <f ca="1">IFERROR(__xludf.DUMMYFUNCTION("""COMPUTED_VALUE"""),14.35)</f>
        <v>14.35</v>
      </c>
    </row>
    <row r="1556" spans="1:2">
      <c r="A1556" s="3">
        <f ca="1">IFERROR(__xludf.DUMMYFUNCTION("""COMPUTED_VALUE"""),42612.6666666666)</f>
        <v>42612.666666666599</v>
      </c>
      <c r="B1556" s="1">
        <f ca="1">IFERROR(__xludf.DUMMYFUNCTION("""COMPUTED_VALUE"""),14.09)</f>
        <v>14.09</v>
      </c>
    </row>
    <row r="1557" spans="1:2">
      <c r="A1557" s="3">
        <f ca="1">IFERROR(__xludf.DUMMYFUNCTION("""COMPUTED_VALUE"""),42613.6666666666)</f>
        <v>42613.666666666599</v>
      </c>
      <c r="B1557" s="1">
        <f ca="1">IFERROR(__xludf.DUMMYFUNCTION("""COMPUTED_VALUE"""),14.13)</f>
        <v>14.13</v>
      </c>
    </row>
    <row r="1558" spans="1:2">
      <c r="A1558" s="3">
        <f ca="1">IFERROR(__xludf.DUMMYFUNCTION("""COMPUTED_VALUE"""),42614.6666666666)</f>
        <v>42614.666666666599</v>
      </c>
      <c r="B1558" s="1">
        <f ca="1">IFERROR(__xludf.DUMMYFUNCTION("""COMPUTED_VALUE"""),13.38)</f>
        <v>13.38</v>
      </c>
    </row>
    <row r="1559" spans="1:2">
      <c r="A1559" s="3">
        <f ca="1">IFERROR(__xludf.DUMMYFUNCTION("""COMPUTED_VALUE"""),42615.6666666666)</f>
        <v>42615.666666666599</v>
      </c>
      <c r="B1559" s="1">
        <f ca="1">IFERROR(__xludf.DUMMYFUNCTION("""COMPUTED_VALUE"""),13.19)</f>
        <v>13.19</v>
      </c>
    </row>
    <row r="1560" spans="1:2">
      <c r="A1560" s="3">
        <f ca="1">IFERROR(__xludf.DUMMYFUNCTION("""COMPUTED_VALUE"""),42619.6666666666)</f>
        <v>42619.666666666599</v>
      </c>
      <c r="B1560" s="1">
        <f ca="1">IFERROR(__xludf.DUMMYFUNCTION("""COMPUTED_VALUE"""),13.52)</f>
        <v>13.52</v>
      </c>
    </row>
    <row r="1561" spans="1:2">
      <c r="A1561" s="3">
        <f ca="1">IFERROR(__xludf.DUMMYFUNCTION("""COMPUTED_VALUE"""),42620.6666666666)</f>
        <v>42620.666666666599</v>
      </c>
      <c r="B1561" s="1">
        <f ca="1">IFERROR(__xludf.DUMMYFUNCTION("""COMPUTED_VALUE"""),13.45)</f>
        <v>13.45</v>
      </c>
    </row>
    <row r="1562" spans="1:2">
      <c r="A1562" s="3">
        <f ca="1">IFERROR(__xludf.DUMMYFUNCTION("""COMPUTED_VALUE"""),42621.6666666666)</f>
        <v>42621.666666666599</v>
      </c>
      <c r="B1562" s="1">
        <f ca="1">IFERROR(__xludf.DUMMYFUNCTION("""COMPUTED_VALUE"""),13.16)</f>
        <v>13.16</v>
      </c>
    </row>
    <row r="1563" spans="1:2">
      <c r="A1563" s="3">
        <f ca="1">IFERROR(__xludf.DUMMYFUNCTION("""COMPUTED_VALUE"""),42622.6666666666)</f>
        <v>42622.666666666599</v>
      </c>
      <c r="B1563" s="1">
        <f ca="1">IFERROR(__xludf.DUMMYFUNCTION("""COMPUTED_VALUE"""),12.96)</f>
        <v>12.96</v>
      </c>
    </row>
    <row r="1564" spans="1:2">
      <c r="A1564" s="3">
        <f ca="1">IFERROR(__xludf.DUMMYFUNCTION("""COMPUTED_VALUE"""),42625.6666666666)</f>
        <v>42625.666666666599</v>
      </c>
      <c r="B1564" s="1">
        <f ca="1">IFERROR(__xludf.DUMMYFUNCTION("""COMPUTED_VALUE"""),13.22)</f>
        <v>13.22</v>
      </c>
    </row>
    <row r="1565" spans="1:2">
      <c r="A1565" s="3">
        <f ca="1">IFERROR(__xludf.DUMMYFUNCTION("""COMPUTED_VALUE"""),42626.6666666666)</f>
        <v>42626.666666666599</v>
      </c>
      <c r="B1565" s="1">
        <f ca="1">IFERROR(__xludf.DUMMYFUNCTION("""COMPUTED_VALUE"""),13.07)</f>
        <v>13.07</v>
      </c>
    </row>
    <row r="1566" spans="1:2">
      <c r="A1566" s="3">
        <f ca="1">IFERROR(__xludf.DUMMYFUNCTION("""COMPUTED_VALUE"""),42627.6666666666)</f>
        <v>42627.666666666599</v>
      </c>
      <c r="B1566" s="1">
        <f ca="1">IFERROR(__xludf.DUMMYFUNCTION("""COMPUTED_VALUE"""),13.09)</f>
        <v>13.09</v>
      </c>
    </row>
    <row r="1567" spans="1:2">
      <c r="A1567" s="3">
        <f ca="1">IFERROR(__xludf.DUMMYFUNCTION("""COMPUTED_VALUE"""),42628.6666666666)</f>
        <v>42628.666666666599</v>
      </c>
      <c r="B1567" s="1">
        <f ca="1">IFERROR(__xludf.DUMMYFUNCTION("""COMPUTED_VALUE"""),13.36)</f>
        <v>13.36</v>
      </c>
    </row>
    <row r="1568" spans="1:2">
      <c r="A1568" s="3">
        <f ca="1">IFERROR(__xludf.DUMMYFUNCTION("""COMPUTED_VALUE"""),42629.6666666666)</f>
        <v>42629.666666666599</v>
      </c>
      <c r="B1568" s="1">
        <f ca="1">IFERROR(__xludf.DUMMYFUNCTION("""COMPUTED_VALUE"""),13.69)</f>
        <v>13.69</v>
      </c>
    </row>
    <row r="1569" spans="1:2">
      <c r="A1569" s="3">
        <f ca="1">IFERROR(__xludf.DUMMYFUNCTION("""COMPUTED_VALUE"""),42632.6666666666)</f>
        <v>42632.666666666599</v>
      </c>
      <c r="B1569" s="1">
        <f ca="1">IFERROR(__xludf.DUMMYFUNCTION("""COMPUTED_VALUE"""),13.76)</f>
        <v>13.76</v>
      </c>
    </row>
    <row r="1570" spans="1:2">
      <c r="A1570" s="3">
        <f ca="1">IFERROR(__xludf.DUMMYFUNCTION("""COMPUTED_VALUE"""),42633.6666666666)</f>
        <v>42633.666666666599</v>
      </c>
      <c r="B1570" s="1">
        <f ca="1">IFERROR(__xludf.DUMMYFUNCTION("""COMPUTED_VALUE"""),13.64)</f>
        <v>13.64</v>
      </c>
    </row>
    <row r="1571" spans="1:2">
      <c r="A1571" s="3">
        <f ca="1">IFERROR(__xludf.DUMMYFUNCTION("""COMPUTED_VALUE"""),42634.6666666666)</f>
        <v>42634.666666666599</v>
      </c>
      <c r="B1571" s="1">
        <f ca="1">IFERROR(__xludf.DUMMYFUNCTION("""COMPUTED_VALUE"""),13.68)</f>
        <v>13.68</v>
      </c>
    </row>
    <row r="1572" spans="1:2">
      <c r="A1572" s="3">
        <f ca="1">IFERROR(__xludf.DUMMYFUNCTION("""COMPUTED_VALUE"""),42635.6666666666)</f>
        <v>42635.666666666599</v>
      </c>
      <c r="B1572" s="1">
        <f ca="1">IFERROR(__xludf.DUMMYFUNCTION("""COMPUTED_VALUE"""),13.76)</f>
        <v>13.76</v>
      </c>
    </row>
    <row r="1573" spans="1:2">
      <c r="A1573" s="3">
        <f ca="1">IFERROR(__xludf.DUMMYFUNCTION("""COMPUTED_VALUE"""),42636.6666666666)</f>
        <v>42636.666666666599</v>
      </c>
      <c r="B1573" s="1">
        <f ca="1">IFERROR(__xludf.DUMMYFUNCTION("""COMPUTED_VALUE"""),13.83)</f>
        <v>13.83</v>
      </c>
    </row>
    <row r="1574" spans="1:2">
      <c r="A1574" s="3">
        <f ca="1">IFERROR(__xludf.DUMMYFUNCTION("""COMPUTED_VALUE"""),42639.6666666666)</f>
        <v>42639.666666666599</v>
      </c>
      <c r="B1574" s="1">
        <f ca="1">IFERROR(__xludf.DUMMYFUNCTION("""COMPUTED_VALUE"""),13.93)</f>
        <v>13.93</v>
      </c>
    </row>
    <row r="1575" spans="1:2">
      <c r="A1575" s="3">
        <f ca="1">IFERROR(__xludf.DUMMYFUNCTION("""COMPUTED_VALUE"""),42640.6666666666)</f>
        <v>42640.666666666599</v>
      </c>
      <c r="B1575" s="1">
        <f ca="1">IFERROR(__xludf.DUMMYFUNCTION("""COMPUTED_VALUE"""),13.72)</f>
        <v>13.72</v>
      </c>
    </row>
    <row r="1576" spans="1:2">
      <c r="A1576" s="3">
        <f ca="1">IFERROR(__xludf.DUMMYFUNCTION("""COMPUTED_VALUE"""),42641.6666666666)</f>
        <v>42641.666666666599</v>
      </c>
      <c r="B1576" s="1">
        <f ca="1">IFERROR(__xludf.DUMMYFUNCTION("""COMPUTED_VALUE"""),13.75)</f>
        <v>13.75</v>
      </c>
    </row>
    <row r="1577" spans="1:2">
      <c r="A1577" s="3">
        <f ca="1">IFERROR(__xludf.DUMMYFUNCTION("""COMPUTED_VALUE"""),42642.6666666666)</f>
        <v>42642.666666666599</v>
      </c>
      <c r="B1577" s="1">
        <f ca="1">IFERROR(__xludf.DUMMYFUNCTION("""COMPUTED_VALUE"""),13.38)</f>
        <v>13.38</v>
      </c>
    </row>
    <row r="1578" spans="1:2">
      <c r="A1578" s="3">
        <f ca="1">IFERROR(__xludf.DUMMYFUNCTION("""COMPUTED_VALUE"""),42643.6666666666)</f>
        <v>42643.666666666599</v>
      </c>
      <c r="B1578" s="1">
        <f ca="1">IFERROR(__xludf.DUMMYFUNCTION("""COMPUTED_VALUE"""),13.6)</f>
        <v>13.6</v>
      </c>
    </row>
    <row r="1579" spans="1:2">
      <c r="A1579" s="3">
        <f ca="1">IFERROR(__xludf.DUMMYFUNCTION("""COMPUTED_VALUE"""),42646.6666666666)</f>
        <v>42646.666666666599</v>
      </c>
      <c r="B1579" s="1">
        <f ca="1">IFERROR(__xludf.DUMMYFUNCTION("""COMPUTED_VALUE"""),14.25)</f>
        <v>14.25</v>
      </c>
    </row>
    <row r="1580" spans="1:2">
      <c r="A1580" s="3">
        <f ca="1">IFERROR(__xludf.DUMMYFUNCTION("""COMPUTED_VALUE"""),42647.6666666666)</f>
        <v>42647.666666666599</v>
      </c>
      <c r="B1580" s="1">
        <f ca="1">IFERROR(__xludf.DUMMYFUNCTION("""COMPUTED_VALUE"""),14.09)</f>
        <v>14.09</v>
      </c>
    </row>
    <row r="1581" spans="1:2">
      <c r="A1581" s="3">
        <f ca="1">IFERROR(__xludf.DUMMYFUNCTION("""COMPUTED_VALUE"""),42648.6666666666)</f>
        <v>42648.666666666599</v>
      </c>
      <c r="B1581" s="1">
        <f ca="1">IFERROR(__xludf.DUMMYFUNCTION("""COMPUTED_VALUE"""),13.9)</f>
        <v>13.9</v>
      </c>
    </row>
    <row r="1582" spans="1:2">
      <c r="A1582" s="3">
        <f ca="1">IFERROR(__xludf.DUMMYFUNCTION("""COMPUTED_VALUE"""),42649.6666666666)</f>
        <v>42649.666666666599</v>
      </c>
      <c r="B1582" s="1">
        <f ca="1">IFERROR(__xludf.DUMMYFUNCTION("""COMPUTED_VALUE"""),13.4)</f>
        <v>13.4</v>
      </c>
    </row>
    <row r="1583" spans="1:2">
      <c r="A1583" s="3">
        <f ca="1">IFERROR(__xludf.DUMMYFUNCTION("""COMPUTED_VALUE"""),42650.6666666666)</f>
        <v>42650.666666666599</v>
      </c>
      <c r="B1583" s="1">
        <f ca="1">IFERROR(__xludf.DUMMYFUNCTION("""COMPUTED_VALUE"""),13.11)</f>
        <v>13.11</v>
      </c>
    </row>
    <row r="1584" spans="1:2">
      <c r="A1584" s="3">
        <f ca="1">IFERROR(__xludf.DUMMYFUNCTION("""COMPUTED_VALUE"""),42653.6666666666)</f>
        <v>42653.666666666599</v>
      </c>
      <c r="B1584" s="1">
        <f ca="1">IFERROR(__xludf.DUMMYFUNCTION("""COMPUTED_VALUE"""),13.4)</f>
        <v>13.4</v>
      </c>
    </row>
    <row r="1585" spans="1:2">
      <c r="A1585" s="3">
        <f ca="1">IFERROR(__xludf.DUMMYFUNCTION("""COMPUTED_VALUE"""),42654.6666666666)</f>
        <v>42654.666666666599</v>
      </c>
      <c r="B1585" s="1">
        <f ca="1">IFERROR(__xludf.DUMMYFUNCTION("""COMPUTED_VALUE"""),13.34)</f>
        <v>13.34</v>
      </c>
    </row>
    <row r="1586" spans="1:2">
      <c r="A1586" s="3">
        <f ca="1">IFERROR(__xludf.DUMMYFUNCTION("""COMPUTED_VALUE"""),42655.6666666666)</f>
        <v>42655.666666666599</v>
      </c>
      <c r="B1586" s="1">
        <f ca="1">IFERROR(__xludf.DUMMYFUNCTION("""COMPUTED_VALUE"""),13.43)</f>
        <v>13.43</v>
      </c>
    </row>
    <row r="1587" spans="1:2">
      <c r="A1587" s="3">
        <f ca="1">IFERROR(__xludf.DUMMYFUNCTION("""COMPUTED_VALUE"""),42656.6666666666)</f>
        <v>42656.666666666599</v>
      </c>
      <c r="B1587" s="1">
        <f ca="1">IFERROR(__xludf.DUMMYFUNCTION("""COMPUTED_VALUE"""),13.35)</f>
        <v>13.35</v>
      </c>
    </row>
    <row r="1588" spans="1:2">
      <c r="A1588" s="3">
        <f ca="1">IFERROR(__xludf.DUMMYFUNCTION("""COMPUTED_VALUE"""),42657.6666666666)</f>
        <v>42657.666666666599</v>
      </c>
      <c r="B1588" s="1">
        <f ca="1">IFERROR(__xludf.DUMMYFUNCTION("""COMPUTED_VALUE"""),13.1)</f>
        <v>13.1</v>
      </c>
    </row>
    <row r="1589" spans="1:2">
      <c r="A1589" s="3">
        <f ca="1">IFERROR(__xludf.DUMMYFUNCTION("""COMPUTED_VALUE"""),42660.6666666666)</f>
        <v>42660.666666666599</v>
      </c>
      <c r="B1589" s="1">
        <f ca="1">IFERROR(__xludf.DUMMYFUNCTION("""COMPUTED_VALUE"""),12.93)</f>
        <v>12.93</v>
      </c>
    </row>
    <row r="1590" spans="1:2">
      <c r="A1590" s="3">
        <f ca="1">IFERROR(__xludf.DUMMYFUNCTION("""COMPUTED_VALUE"""),42661.6666666666)</f>
        <v>42661.666666666599</v>
      </c>
      <c r="B1590" s="1">
        <f ca="1">IFERROR(__xludf.DUMMYFUNCTION("""COMPUTED_VALUE"""),13.27)</f>
        <v>13.27</v>
      </c>
    </row>
    <row r="1591" spans="1:2">
      <c r="A1591" s="3">
        <f ca="1">IFERROR(__xludf.DUMMYFUNCTION("""COMPUTED_VALUE"""),42662.6666666666)</f>
        <v>42662.666666666599</v>
      </c>
      <c r="B1591" s="1">
        <f ca="1">IFERROR(__xludf.DUMMYFUNCTION("""COMPUTED_VALUE"""),13.57)</f>
        <v>13.57</v>
      </c>
    </row>
    <row r="1592" spans="1:2">
      <c r="A1592" s="3">
        <f ca="1">IFERROR(__xludf.DUMMYFUNCTION("""COMPUTED_VALUE"""),42663.6666666666)</f>
        <v>42663.666666666599</v>
      </c>
      <c r="B1592" s="1">
        <f ca="1">IFERROR(__xludf.DUMMYFUNCTION("""COMPUTED_VALUE"""),13.27)</f>
        <v>13.27</v>
      </c>
    </row>
    <row r="1593" spans="1:2">
      <c r="A1593" s="3">
        <f ca="1">IFERROR(__xludf.DUMMYFUNCTION("""COMPUTED_VALUE"""),42664.6666666666)</f>
        <v>42664.666666666599</v>
      </c>
      <c r="B1593" s="1">
        <f ca="1">IFERROR(__xludf.DUMMYFUNCTION("""COMPUTED_VALUE"""),13.34)</f>
        <v>13.34</v>
      </c>
    </row>
    <row r="1594" spans="1:2">
      <c r="A1594" s="3">
        <f ca="1">IFERROR(__xludf.DUMMYFUNCTION("""COMPUTED_VALUE"""),42667.6666666666)</f>
        <v>42667.666666666599</v>
      </c>
      <c r="B1594" s="1">
        <f ca="1">IFERROR(__xludf.DUMMYFUNCTION("""COMPUTED_VALUE"""),13.52)</f>
        <v>13.52</v>
      </c>
    </row>
    <row r="1595" spans="1:2">
      <c r="A1595" s="3">
        <f ca="1">IFERROR(__xludf.DUMMYFUNCTION("""COMPUTED_VALUE"""),42668.6666666666)</f>
        <v>42668.666666666599</v>
      </c>
      <c r="B1595" s="1">
        <f ca="1">IFERROR(__xludf.DUMMYFUNCTION("""COMPUTED_VALUE"""),13.49)</f>
        <v>13.49</v>
      </c>
    </row>
    <row r="1596" spans="1:2">
      <c r="A1596" s="3">
        <f ca="1">IFERROR(__xludf.DUMMYFUNCTION("""COMPUTED_VALUE"""),42669.6666666666)</f>
        <v>42669.666666666599</v>
      </c>
      <c r="B1596" s="1">
        <f ca="1">IFERROR(__xludf.DUMMYFUNCTION("""COMPUTED_VALUE"""),13.48)</f>
        <v>13.48</v>
      </c>
    </row>
    <row r="1597" spans="1:2">
      <c r="A1597" s="3">
        <f ca="1">IFERROR(__xludf.DUMMYFUNCTION("""COMPUTED_VALUE"""),42670.6666666666)</f>
        <v>42670.666666666599</v>
      </c>
      <c r="B1597" s="1">
        <f ca="1">IFERROR(__xludf.DUMMYFUNCTION("""COMPUTED_VALUE"""),13.6)</f>
        <v>13.6</v>
      </c>
    </row>
    <row r="1598" spans="1:2">
      <c r="A1598" s="3">
        <f ca="1">IFERROR(__xludf.DUMMYFUNCTION("""COMPUTED_VALUE"""),42671.6666666666)</f>
        <v>42671.666666666599</v>
      </c>
      <c r="B1598" s="1">
        <f ca="1">IFERROR(__xludf.DUMMYFUNCTION("""COMPUTED_VALUE"""),13.33)</f>
        <v>13.33</v>
      </c>
    </row>
    <row r="1599" spans="1:2">
      <c r="A1599" s="3">
        <f ca="1">IFERROR(__xludf.DUMMYFUNCTION("""COMPUTED_VALUE"""),42674.6666666666)</f>
        <v>42674.666666666599</v>
      </c>
      <c r="B1599" s="1">
        <f ca="1">IFERROR(__xludf.DUMMYFUNCTION("""COMPUTED_VALUE"""),13.18)</f>
        <v>13.18</v>
      </c>
    </row>
    <row r="1600" spans="1:2">
      <c r="A1600" s="3">
        <f ca="1">IFERROR(__xludf.DUMMYFUNCTION("""COMPUTED_VALUE"""),42675.6666666666)</f>
        <v>42675.666666666599</v>
      </c>
      <c r="B1600" s="1">
        <f ca="1">IFERROR(__xludf.DUMMYFUNCTION("""COMPUTED_VALUE"""),12.72)</f>
        <v>12.72</v>
      </c>
    </row>
    <row r="1601" spans="1:2">
      <c r="A1601" s="3">
        <f ca="1">IFERROR(__xludf.DUMMYFUNCTION("""COMPUTED_VALUE"""),42676.6666666666)</f>
        <v>42676.666666666599</v>
      </c>
      <c r="B1601" s="1">
        <f ca="1">IFERROR(__xludf.DUMMYFUNCTION("""COMPUTED_VALUE"""),12.53)</f>
        <v>12.53</v>
      </c>
    </row>
    <row r="1602" spans="1:2">
      <c r="A1602" s="3">
        <f ca="1">IFERROR(__xludf.DUMMYFUNCTION("""COMPUTED_VALUE"""),42677.6666666666)</f>
        <v>42677.666666666599</v>
      </c>
      <c r="B1602" s="1">
        <f ca="1">IFERROR(__xludf.DUMMYFUNCTION("""COMPUTED_VALUE"""),12.49)</f>
        <v>12.49</v>
      </c>
    </row>
    <row r="1603" spans="1:2">
      <c r="A1603" s="3">
        <f ca="1">IFERROR(__xludf.DUMMYFUNCTION("""COMPUTED_VALUE"""),42678.6666666666)</f>
        <v>42678.666666666599</v>
      </c>
      <c r="B1603" s="1">
        <f ca="1">IFERROR(__xludf.DUMMYFUNCTION("""COMPUTED_VALUE"""),12.7)</f>
        <v>12.7</v>
      </c>
    </row>
    <row r="1604" spans="1:2">
      <c r="A1604" s="3">
        <f ca="1">IFERROR(__xludf.DUMMYFUNCTION("""COMPUTED_VALUE"""),42681.6666666666)</f>
        <v>42681.666666666599</v>
      </c>
      <c r="B1604" s="1">
        <f ca="1">IFERROR(__xludf.DUMMYFUNCTION("""COMPUTED_VALUE"""),12.88)</f>
        <v>12.88</v>
      </c>
    </row>
    <row r="1605" spans="1:2">
      <c r="A1605" s="3">
        <f ca="1">IFERROR(__xludf.DUMMYFUNCTION("""COMPUTED_VALUE"""),42682.6666666666)</f>
        <v>42682.666666666599</v>
      </c>
      <c r="B1605" s="1">
        <f ca="1">IFERROR(__xludf.DUMMYFUNCTION("""COMPUTED_VALUE"""),13)</f>
        <v>13</v>
      </c>
    </row>
    <row r="1606" spans="1:2">
      <c r="A1606" s="3">
        <f ca="1">IFERROR(__xludf.DUMMYFUNCTION("""COMPUTED_VALUE"""),42683.6666666666)</f>
        <v>42683.666666666599</v>
      </c>
      <c r="B1606" s="1">
        <f ca="1">IFERROR(__xludf.DUMMYFUNCTION("""COMPUTED_VALUE"""),12.67)</f>
        <v>12.67</v>
      </c>
    </row>
    <row r="1607" spans="1:2">
      <c r="A1607" s="3">
        <f ca="1">IFERROR(__xludf.DUMMYFUNCTION("""COMPUTED_VALUE"""),42684.6666666666)</f>
        <v>42684.666666666599</v>
      </c>
      <c r="B1607" s="1">
        <f ca="1">IFERROR(__xludf.DUMMYFUNCTION("""COMPUTED_VALUE"""),12.36)</f>
        <v>12.36</v>
      </c>
    </row>
    <row r="1608" spans="1:2">
      <c r="A1608" s="3">
        <f ca="1">IFERROR(__xludf.DUMMYFUNCTION("""COMPUTED_VALUE"""),42685.6666666666)</f>
        <v>42685.666666666599</v>
      </c>
      <c r="B1608" s="1">
        <f ca="1">IFERROR(__xludf.DUMMYFUNCTION("""COMPUTED_VALUE"""),12.57)</f>
        <v>12.57</v>
      </c>
    </row>
    <row r="1609" spans="1:2">
      <c r="A1609" s="3">
        <f ca="1">IFERROR(__xludf.DUMMYFUNCTION("""COMPUTED_VALUE"""),42688.6666666666)</f>
        <v>42688.666666666599</v>
      </c>
      <c r="B1609" s="1">
        <f ca="1">IFERROR(__xludf.DUMMYFUNCTION("""COMPUTED_VALUE"""),12.1)</f>
        <v>12.1</v>
      </c>
    </row>
    <row r="1610" spans="1:2">
      <c r="A1610" s="3">
        <f ca="1">IFERROR(__xludf.DUMMYFUNCTION("""COMPUTED_VALUE"""),42689.6666666666)</f>
        <v>42689.666666666599</v>
      </c>
      <c r="B1610" s="1">
        <f ca="1">IFERROR(__xludf.DUMMYFUNCTION("""COMPUTED_VALUE"""),12.25)</f>
        <v>12.25</v>
      </c>
    </row>
    <row r="1611" spans="1:2">
      <c r="A1611" s="3">
        <f ca="1">IFERROR(__xludf.DUMMYFUNCTION("""COMPUTED_VALUE"""),42690.6666666666)</f>
        <v>42690.666666666599</v>
      </c>
      <c r="B1611" s="1">
        <f ca="1">IFERROR(__xludf.DUMMYFUNCTION("""COMPUTED_VALUE"""),12.26)</f>
        <v>12.26</v>
      </c>
    </row>
    <row r="1612" spans="1:2">
      <c r="A1612" s="3">
        <f ca="1">IFERROR(__xludf.DUMMYFUNCTION("""COMPUTED_VALUE"""),42691.6666666666)</f>
        <v>42691.666666666599</v>
      </c>
      <c r="B1612" s="1">
        <f ca="1">IFERROR(__xludf.DUMMYFUNCTION("""COMPUTED_VALUE"""),12.58)</f>
        <v>12.58</v>
      </c>
    </row>
    <row r="1613" spans="1:2">
      <c r="A1613" s="3">
        <f ca="1">IFERROR(__xludf.DUMMYFUNCTION("""COMPUTED_VALUE"""),42692.6666666666)</f>
        <v>42692.666666666599</v>
      </c>
      <c r="B1613" s="1">
        <f ca="1">IFERROR(__xludf.DUMMYFUNCTION("""COMPUTED_VALUE"""),12.33)</f>
        <v>12.33</v>
      </c>
    </row>
    <row r="1614" spans="1:2">
      <c r="A1614" s="3">
        <f ca="1">IFERROR(__xludf.DUMMYFUNCTION("""COMPUTED_VALUE"""),42695.6666666666)</f>
        <v>42695.666666666599</v>
      </c>
      <c r="B1614" s="1">
        <f ca="1">IFERROR(__xludf.DUMMYFUNCTION("""COMPUTED_VALUE"""),12.3)</f>
        <v>12.3</v>
      </c>
    </row>
    <row r="1615" spans="1:2">
      <c r="A1615" s="3">
        <f ca="1">IFERROR(__xludf.DUMMYFUNCTION("""COMPUTED_VALUE"""),42696.6666666666)</f>
        <v>42696.666666666599</v>
      </c>
      <c r="B1615" s="1">
        <f ca="1">IFERROR(__xludf.DUMMYFUNCTION("""COMPUTED_VALUE"""),12.74)</f>
        <v>12.74</v>
      </c>
    </row>
    <row r="1616" spans="1:2">
      <c r="A1616" s="3">
        <f ca="1">IFERROR(__xludf.DUMMYFUNCTION("""COMPUTED_VALUE"""),42697.6666666666)</f>
        <v>42697.666666666599</v>
      </c>
      <c r="B1616" s="1">
        <f ca="1">IFERROR(__xludf.DUMMYFUNCTION("""COMPUTED_VALUE"""),12.88)</f>
        <v>12.88</v>
      </c>
    </row>
    <row r="1617" spans="1:2">
      <c r="A1617" s="3">
        <f ca="1">IFERROR(__xludf.DUMMYFUNCTION("""COMPUTED_VALUE"""),42699.6666666666)</f>
        <v>42699.666666666599</v>
      </c>
      <c r="B1617" s="1">
        <f ca="1">IFERROR(__xludf.DUMMYFUNCTION("""COMPUTED_VALUE"""),13.11)</f>
        <v>13.11</v>
      </c>
    </row>
    <row r="1618" spans="1:2">
      <c r="A1618" s="3">
        <f ca="1">IFERROR(__xludf.DUMMYFUNCTION("""COMPUTED_VALUE"""),42702.6666666666)</f>
        <v>42702.666666666599</v>
      </c>
      <c r="B1618" s="1">
        <f ca="1">IFERROR(__xludf.DUMMYFUNCTION("""COMPUTED_VALUE"""),13.07)</f>
        <v>13.07</v>
      </c>
    </row>
    <row r="1619" spans="1:2">
      <c r="A1619" s="3">
        <f ca="1">IFERROR(__xludf.DUMMYFUNCTION("""COMPUTED_VALUE"""),42703.6666666666)</f>
        <v>42703.666666666599</v>
      </c>
      <c r="B1619" s="1">
        <f ca="1">IFERROR(__xludf.DUMMYFUNCTION("""COMPUTED_VALUE"""),12.64)</f>
        <v>12.64</v>
      </c>
    </row>
    <row r="1620" spans="1:2">
      <c r="A1620" s="3">
        <f ca="1">IFERROR(__xludf.DUMMYFUNCTION("""COMPUTED_VALUE"""),42704.6666666666)</f>
        <v>42704.666666666599</v>
      </c>
      <c r="B1620" s="1">
        <f ca="1">IFERROR(__xludf.DUMMYFUNCTION("""COMPUTED_VALUE"""),12.63)</f>
        <v>12.63</v>
      </c>
    </row>
    <row r="1621" spans="1:2">
      <c r="A1621" s="3">
        <f ca="1">IFERROR(__xludf.DUMMYFUNCTION("""COMPUTED_VALUE"""),42705.6666666666)</f>
        <v>42705.666666666599</v>
      </c>
      <c r="B1621" s="1">
        <f ca="1">IFERROR(__xludf.DUMMYFUNCTION("""COMPUTED_VALUE"""),12.13)</f>
        <v>12.13</v>
      </c>
    </row>
    <row r="1622" spans="1:2">
      <c r="A1622" s="3">
        <f ca="1">IFERROR(__xludf.DUMMYFUNCTION("""COMPUTED_VALUE"""),42706.6666666666)</f>
        <v>42706.666666666599</v>
      </c>
      <c r="B1622" s="1">
        <f ca="1">IFERROR(__xludf.DUMMYFUNCTION("""COMPUTED_VALUE"""),12.1)</f>
        <v>12.1</v>
      </c>
    </row>
    <row r="1623" spans="1:2">
      <c r="A1623" s="3">
        <f ca="1">IFERROR(__xludf.DUMMYFUNCTION("""COMPUTED_VALUE"""),42709.6666666666)</f>
        <v>42709.666666666599</v>
      </c>
      <c r="B1623" s="1">
        <f ca="1">IFERROR(__xludf.DUMMYFUNCTION("""COMPUTED_VALUE"""),12.45)</f>
        <v>12.45</v>
      </c>
    </row>
    <row r="1624" spans="1:2">
      <c r="A1624" s="3">
        <f ca="1">IFERROR(__xludf.DUMMYFUNCTION("""COMPUTED_VALUE"""),42710.6666666666)</f>
        <v>42710.666666666599</v>
      </c>
      <c r="B1624" s="1">
        <f ca="1">IFERROR(__xludf.DUMMYFUNCTION("""COMPUTED_VALUE"""),12.39)</f>
        <v>12.39</v>
      </c>
    </row>
    <row r="1625" spans="1:2">
      <c r="A1625" s="3">
        <f ca="1">IFERROR(__xludf.DUMMYFUNCTION("""COMPUTED_VALUE"""),42711.6666666666)</f>
        <v>42711.666666666599</v>
      </c>
      <c r="B1625" s="1">
        <f ca="1">IFERROR(__xludf.DUMMYFUNCTION("""COMPUTED_VALUE"""),12.88)</f>
        <v>12.88</v>
      </c>
    </row>
    <row r="1626" spans="1:2">
      <c r="A1626" s="3">
        <f ca="1">IFERROR(__xludf.DUMMYFUNCTION("""COMPUTED_VALUE"""),42712.6666666666)</f>
        <v>42712.666666666599</v>
      </c>
      <c r="B1626" s="1">
        <f ca="1">IFERROR(__xludf.DUMMYFUNCTION("""COMPUTED_VALUE"""),12.82)</f>
        <v>12.82</v>
      </c>
    </row>
    <row r="1627" spans="1:2">
      <c r="A1627" s="3">
        <f ca="1">IFERROR(__xludf.DUMMYFUNCTION("""COMPUTED_VALUE"""),42713.6666666666)</f>
        <v>42713.666666666599</v>
      </c>
      <c r="B1627" s="1">
        <f ca="1">IFERROR(__xludf.DUMMYFUNCTION("""COMPUTED_VALUE"""),12.81)</f>
        <v>12.81</v>
      </c>
    </row>
    <row r="1628" spans="1:2">
      <c r="A1628" s="3">
        <f ca="1">IFERROR(__xludf.DUMMYFUNCTION("""COMPUTED_VALUE"""),42716.6666666666)</f>
        <v>42716.666666666599</v>
      </c>
      <c r="B1628" s="1">
        <f ca="1">IFERROR(__xludf.DUMMYFUNCTION("""COMPUTED_VALUE"""),12.83)</f>
        <v>12.83</v>
      </c>
    </row>
    <row r="1629" spans="1:2">
      <c r="A1629" s="3">
        <f ca="1">IFERROR(__xludf.DUMMYFUNCTION("""COMPUTED_VALUE"""),42717.6666666666)</f>
        <v>42717.666666666599</v>
      </c>
      <c r="B1629" s="1">
        <f ca="1">IFERROR(__xludf.DUMMYFUNCTION("""COMPUTED_VALUE"""),13.21)</f>
        <v>13.21</v>
      </c>
    </row>
    <row r="1630" spans="1:2">
      <c r="A1630" s="3">
        <f ca="1">IFERROR(__xludf.DUMMYFUNCTION("""COMPUTED_VALUE"""),42718.6666666666)</f>
        <v>42718.666666666599</v>
      </c>
      <c r="B1630" s="1">
        <f ca="1">IFERROR(__xludf.DUMMYFUNCTION("""COMPUTED_VALUE"""),13.25)</f>
        <v>13.25</v>
      </c>
    </row>
    <row r="1631" spans="1:2">
      <c r="A1631" s="3">
        <f ca="1">IFERROR(__xludf.DUMMYFUNCTION("""COMPUTED_VALUE"""),42719.6666666666)</f>
        <v>42719.666666666599</v>
      </c>
      <c r="B1631" s="1">
        <f ca="1">IFERROR(__xludf.DUMMYFUNCTION("""COMPUTED_VALUE"""),13.17)</f>
        <v>13.17</v>
      </c>
    </row>
    <row r="1632" spans="1:2">
      <c r="A1632" s="3">
        <f ca="1">IFERROR(__xludf.DUMMYFUNCTION("""COMPUTED_VALUE"""),42720.6666666666)</f>
        <v>42720.666666666599</v>
      </c>
      <c r="B1632" s="1">
        <f ca="1">IFERROR(__xludf.DUMMYFUNCTION("""COMPUTED_VALUE"""),13.5)</f>
        <v>13.5</v>
      </c>
    </row>
    <row r="1633" spans="1:2">
      <c r="A1633" s="3">
        <f ca="1">IFERROR(__xludf.DUMMYFUNCTION("""COMPUTED_VALUE"""),42723.6666666666)</f>
        <v>42723.666666666599</v>
      </c>
      <c r="B1633" s="1">
        <f ca="1">IFERROR(__xludf.DUMMYFUNCTION("""COMPUTED_VALUE"""),13.52)</f>
        <v>13.52</v>
      </c>
    </row>
    <row r="1634" spans="1:2">
      <c r="A1634" s="3">
        <f ca="1">IFERROR(__xludf.DUMMYFUNCTION("""COMPUTED_VALUE"""),42724.6666666666)</f>
        <v>42724.666666666599</v>
      </c>
      <c r="B1634" s="1">
        <f ca="1">IFERROR(__xludf.DUMMYFUNCTION("""COMPUTED_VALUE"""),13.92)</f>
        <v>13.92</v>
      </c>
    </row>
    <row r="1635" spans="1:2">
      <c r="A1635" s="3">
        <f ca="1">IFERROR(__xludf.DUMMYFUNCTION("""COMPUTED_VALUE"""),42725.6666666666)</f>
        <v>42725.666666666599</v>
      </c>
      <c r="B1635" s="1">
        <f ca="1">IFERROR(__xludf.DUMMYFUNCTION("""COMPUTED_VALUE"""),13.85)</f>
        <v>13.85</v>
      </c>
    </row>
    <row r="1636" spans="1:2">
      <c r="A1636" s="3">
        <f ca="1">IFERROR(__xludf.DUMMYFUNCTION("""COMPUTED_VALUE"""),42726.6666666666)</f>
        <v>42726.666666666599</v>
      </c>
      <c r="B1636" s="1">
        <f ca="1">IFERROR(__xludf.DUMMYFUNCTION("""COMPUTED_VALUE"""),13.9)</f>
        <v>13.9</v>
      </c>
    </row>
    <row r="1637" spans="1:2">
      <c r="A1637" s="3">
        <f ca="1">IFERROR(__xludf.DUMMYFUNCTION("""COMPUTED_VALUE"""),42727.6666666666)</f>
        <v>42727.666666666599</v>
      </c>
      <c r="B1637" s="1">
        <f ca="1">IFERROR(__xludf.DUMMYFUNCTION("""COMPUTED_VALUE"""),14.22)</f>
        <v>14.22</v>
      </c>
    </row>
    <row r="1638" spans="1:2">
      <c r="A1638" s="3">
        <f ca="1">IFERROR(__xludf.DUMMYFUNCTION("""COMPUTED_VALUE"""),42731.6666666666)</f>
        <v>42731.666666666599</v>
      </c>
      <c r="B1638" s="1">
        <f ca="1">IFERROR(__xludf.DUMMYFUNCTION("""COMPUTED_VALUE"""),14.64)</f>
        <v>14.64</v>
      </c>
    </row>
    <row r="1639" spans="1:2">
      <c r="A1639" s="3">
        <f ca="1">IFERROR(__xludf.DUMMYFUNCTION("""COMPUTED_VALUE"""),42732.6666666666)</f>
        <v>42732.666666666599</v>
      </c>
      <c r="B1639" s="1">
        <f ca="1">IFERROR(__xludf.DUMMYFUNCTION("""COMPUTED_VALUE"""),14.65)</f>
        <v>14.65</v>
      </c>
    </row>
    <row r="1640" spans="1:2">
      <c r="A1640" s="3">
        <f ca="1">IFERROR(__xludf.DUMMYFUNCTION("""COMPUTED_VALUE"""),42733.6666666666)</f>
        <v>42733.666666666599</v>
      </c>
      <c r="B1640" s="1">
        <f ca="1">IFERROR(__xludf.DUMMYFUNCTION("""COMPUTED_VALUE"""),14.31)</f>
        <v>14.31</v>
      </c>
    </row>
    <row r="1641" spans="1:2">
      <c r="A1641" s="3">
        <f ca="1">IFERROR(__xludf.DUMMYFUNCTION("""COMPUTED_VALUE"""),42734.6666666666)</f>
        <v>42734.666666666599</v>
      </c>
      <c r="B1641" s="1">
        <f ca="1">IFERROR(__xludf.DUMMYFUNCTION("""COMPUTED_VALUE"""),14.25)</f>
        <v>14.25</v>
      </c>
    </row>
    <row r="1642" spans="1:2">
      <c r="A1642" s="3">
        <f ca="1">IFERROR(__xludf.DUMMYFUNCTION("""COMPUTED_VALUE"""),42738.6666666666)</f>
        <v>42738.666666666599</v>
      </c>
      <c r="B1642" s="1">
        <f ca="1">IFERROR(__xludf.DUMMYFUNCTION("""COMPUTED_VALUE"""),14.47)</f>
        <v>14.47</v>
      </c>
    </row>
    <row r="1643" spans="1:2">
      <c r="A1643" s="3">
        <f ca="1">IFERROR(__xludf.DUMMYFUNCTION("""COMPUTED_VALUE"""),42739.6666666666)</f>
        <v>42739.666666666599</v>
      </c>
      <c r="B1643" s="1">
        <f ca="1">IFERROR(__xludf.DUMMYFUNCTION("""COMPUTED_VALUE"""),15.13)</f>
        <v>15.13</v>
      </c>
    </row>
    <row r="1644" spans="1:2">
      <c r="A1644" s="3">
        <f ca="1">IFERROR(__xludf.DUMMYFUNCTION("""COMPUTED_VALUE"""),42740.6666666666)</f>
        <v>42740.666666666599</v>
      </c>
      <c r="B1644" s="1">
        <f ca="1">IFERROR(__xludf.DUMMYFUNCTION("""COMPUTED_VALUE"""),15.12)</f>
        <v>15.12</v>
      </c>
    </row>
    <row r="1645" spans="1:2">
      <c r="A1645" s="3">
        <f ca="1">IFERROR(__xludf.DUMMYFUNCTION("""COMPUTED_VALUE"""),42741.6666666666)</f>
        <v>42741.666666666599</v>
      </c>
      <c r="B1645" s="1">
        <f ca="1">IFERROR(__xludf.DUMMYFUNCTION("""COMPUTED_VALUE"""),15.27)</f>
        <v>15.27</v>
      </c>
    </row>
    <row r="1646" spans="1:2">
      <c r="A1646" s="3">
        <f ca="1">IFERROR(__xludf.DUMMYFUNCTION("""COMPUTED_VALUE"""),42744.6666666666)</f>
        <v>42744.666666666599</v>
      </c>
      <c r="B1646" s="1">
        <f ca="1">IFERROR(__xludf.DUMMYFUNCTION("""COMPUTED_VALUE"""),15.42)</f>
        <v>15.42</v>
      </c>
    </row>
    <row r="1647" spans="1:2">
      <c r="A1647" s="3">
        <f ca="1">IFERROR(__xludf.DUMMYFUNCTION("""COMPUTED_VALUE"""),42745.6666666666)</f>
        <v>42745.666666666599</v>
      </c>
      <c r="B1647" s="1">
        <f ca="1">IFERROR(__xludf.DUMMYFUNCTION("""COMPUTED_VALUE"""),15.32)</f>
        <v>15.32</v>
      </c>
    </row>
    <row r="1648" spans="1:2">
      <c r="A1648" s="3">
        <f ca="1">IFERROR(__xludf.DUMMYFUNCTION("""COMPUTED_VALUE"""),42746.6666666666)</f>
        <v>42746.666666666599</v>
      </c>
      <c r="B1648" s="1">
        <f ca="1">IFERROR(__xludf.DUMMYFUNCTION("""COMPUTED_VALUE"""),15.32)</f>
        <v>15.32</v>
      </c>
    </row>
    <row r="1649" spans="1:2">
      <c r="A1649" s="3">
        <f ca="1">IFERROR(__xludf.DUMMYFUNCTION("""COMPUTED_VALUE"""),42747.6666666666)</f>
        <v>42747.666666666599</v>
      </c>
      <c r="B1649" s="1">
        <f ca="1">IFERROR(__xludf.DUMMYFUNCTION("""COMPUTED_VALUE"""),15.31)</f>
        <v>15.31</v>
      </c>
    </row>
    <row r="1650" spans="1:2">
      <c r="A1650" s="3">
        <f ca="1">IFERROR(__xludf.DUMMYFUNCTION("""COMPUTED_VALUE"""),42748.6666666666)</f>
        <v>42748.666666666599</v>
      </c>
      <c r="B1650" s="1">
        <f ca="1">IFERROR(__xludf.DUMMYFUNCTION("""COMPUTED_VALUE"""),15.85)</f>
        <v>15.85</v>
      </c>
    </row>
    <row r="1651" spans="1:2">
      <c r="A1651" s="3">
        <f ca="1">IFERROR(__xludf.DUMMYFUNCTION("""COMPUTED_VALUE"""),42752.6666666666)</f>
        <v>42752.666666666599</v>
      </c>
      <c r="B1651" s="1">
        <f ca="1">IFERROR(__xludf.DUMMYFUNCTION("""COMPUTED_VALUE"""),15.71)</f>
        <v>15.71</v>
      </c>
    </row>
    <row r="1652" spans="1:2">
      <c r="A1652" s="3">
        <f ca="1">IFERROR(__xludf.DUMMYFUNCTION("""COMPUTED_VALUE"""),42753.6666666666)</f>
        <v>42753.666666666599</v>
      </c>
      <c r="B1652" s="1">
        <f ca="1">IFERROR(__xludf.DUMMYFUNCTION("""COMPUTED_VALUE"""),15.89)</f>
        <v>15.89</v>
      </c>
    </row>
    <row r="1653" spans="1:2">
      <c r="A1653" s="3">
        <f ca="1">IFERROR(__xludf.DUMMYFUNCTION("""COMPUTED_VALUE"""),42754.6666666666)</f>
        <v>42754.666666666599</v>
      </c>
      <c r="B1653" s="1">
        <f ca="1">IFERROR(__xludf.DUMMYFUNCTION("""COMPUTED_VALUE"""),16.25)</f>
        <v>16.25</v>
      </c>
    </row>
    <row r="1654" spans="1:2">
      <c r="A1654" s="3">
        <f ca="1">IFERROR(__xludf.DUMMYFUNCTION("""COMPUTED_VALUE"""),42755.6666666666)</f>
        <v>42755.666666666599</v>
      </c>
      <c r="B1654" s="1">
        <f ca="1">IFERROR(__xludf.DUMMYFUNCTION("""COMPUTED_VALUE"""),16.32)</f>
        <v>16.32</v>
      </c>
    </row>
    <row r="1655" spans="1:2">
      <c r="A1655" s="3">
        <f ca="1">IFERROR(__xludf.DUMMYFUNCTION("""COMPUTED_VALUE"""),42758.6666666666)</f>
        <v>42758.666666666599</v>
      </c>
      <c r="B1655" s="1">
        <f ca="1">IFERROR(__xludf.DUMMYFUNCTION("""COMPUTED_VALUE"""),16.59)</f>
        <v>16.59</v>
      </c>
    </row>
    <row r="1656" spans="1:2">
      <c r="A1656" s="3">
        <f ca="1">IFERROR(__xludf.DUMMYFUNCTION("""COMPUTED_VALUE"""),42759.6666666666)</f>
        <v>42759.666666666599</v>
      </c>
      <c r="B1656" s="1">
        <f ca="1">IFERROR(__xludf.DUMMYFUNCTION("""COMPUTED_VALUE"""),16.97)</f>
        <v>16.97</v>
      </c>
    </row>
    <row r="1657" spans="1:2">
      <c r="A1657" s="3">
        <f ca="1">IFERROR(__xludf.DUMMYFUNCTION("""COMPUTED_VALUE"""),42760.6666666666)</f>
        <v>42760.666666666599</v>
      </c>
      <c r="B1657" s="1">
        <f ca="1">IFERROR(__xludf.DUMMYFUNCTION("""COMPUTED_VALUE"""),16.96)</f>
        <v>16.96</v>
      </c>
    </row>
    <row r="1658" spans="1:2">
      <c r="A1658" s="3">
        <f ca="1">IFERROR(__xludf.DUMMYFUNCTION("""COMPUTED_VALUE"""),42761.6666666666)</f>
        <v>42761.666666666599</v>
      </c>
      <c r="B1658" s="1">
        <f ca="1">IFERROR(__xludf.DUMMYFUNCTION("""COMPUTED_VALUE"""),16.83)</f>
        <v>16.829999999999998</v>
      </c>
    </row>
    <row r="1659" spans="1:2">
      <c r="A1659" s="3">
        <f ca="1">IFERROR(__xludf.DUMMYFUNCTION("""COMPUTED_VALUE"""),42762.6666666666)</f>
        <v>42762.666666666599</v>
      </c>
      <c r="B1659" s="1">
        <f ca="1">IFERROR(__xludf.DUMMYFUNCTION("""COMPUTED_VALUE"""),16.86)</f>
        <v>16.86</v>
      </c>
    </row>
    <row r="1660" spans="1:2">
      <c r="A1660" s="3">
        <f ca="1">IFERROR(__xludf.DUMMYFUNCTION("""COMPUTED_VALUE"""),42765.6666666666)</f>
        <v>42765.666666666599</v>
      </c>
      <c r="B1660" s="1">
        <f ca="1">IFERROR(__xludf.DUMMYFUNCTION("""COMPUTED_VALUE"""),16.71)</f>
        <v>16.71</v>
      </c>
    </row>
    <row r="1661" spans="1:2">
      <c r="A1661" s="3">
        <f ca="1">IFERROR(__xludf.DUMMYFUNCTION("""COMPUTED_VALUE"""),42766.6666666666)</f>
        <v>42766.666666666599</v>
      </c>
      <c r="B1661" s="1">
        <f ca="1">IFERROR(__xludf.DUMMYFUNCTION("""COMPUTED_VALUE"""),16.8)</f>
        <v>16.8</v>
      </c>
    </row>
    <row r="1662" spans="1:2">
      <c r="A1662" s="3">
        <f ca="1">IFERROR(__xludf.DUMMYFUNCTION("""COMPUTED_VALUE"""),42767.6666666666)</f>
        <v>42767.666666666599</v>
      </c>
      <c r="B1662" s="1">
        <f ca="1">IFERROR(__xludf.DUMMYFUNCTION("""COMPUTED_VALUE"""),16.62)</f>
        <v>16.62</v>
      </c>
    </row>
    <row r="1663" spans="1:2">
      <c r="A1663" s="3">
        <f ca="1">IFERROR(__xludf.DUMMYFUNCTION("""COMPUTED_VALUE"""),42768.6666666666)</f>
        <v>42768.666666666599</v>
      </c>
      <c r="B1663" s="1">
        <f ca="1">IFERROR(__xludf.DUMMYFUNCTION("""COMPUTED_VALUE"""),16.77)</f>
        <v>16.77</v>
      </c>
    </row>
    <row r="1664" spans="1:2">
      <c r="A1664" s="3">
        <f ca="1">IFERROR(__xludf.DUMMYFUNCTION("""COMPUTED_VALUE"""),42769.6666666666)</f>
        <v>42769.666666666599</v>
      </c>
      <c r="B1664" s="1">
        <f ca="1">IFERROR(__xludf.DUMMYFUNCTION("""COMPUTED_VALUE"""),16.76)</f>
        <v>16.760000000000002</v>
      </c>
    </row>
    <row r="1665" spans="1:2">
      <c r="A1665" s="3">
        <f ca="1">IFERROR(__xludf.DUMMYFUNCTION("""COMPUTED_VALUE"""),42772.6666666666)</f>
        <v>42772.666666666599</v>
      </c>
      <c r="B1665" s="1">
        <f ca="1">IFERROR(__xludf.DUMMYFUNCTION("""COMPUTED_VALUE"""),17.18)</f>
        <v>17.18</v>
      </c>
    </row>
    <row r="1666" spans="1:2">
      <c r="A1666" s="3">
        <f ca="1">IFERROR(__xludf.DUMMYFUNCTION("""COMPUTED_VALUE"""),42773.6666666666)</f>
        <v>42773.666666666599</v>
      </c>
      <c r="B1666" s="1">
        <f ca="1">IFERROR(__xludf.DUMMYFUNCTION("""COMPUTED_VALUE"""),17.17)</f>
        <v>17.170000000000002</v>
      </c>
    </row>
    <row r="1667" spans="1:2">
      <c r="A1667" s="3">
        <f ca="1">IFERROR(__xludf.DUMMYFUNCTION("""COMPUTED_VALUE"""),42774.6666666666)</f>
        <v>42774.666666666599</v>
      </c>
      <c r="B1667" s="1">
        <f ca="1">IFERROR(__xludf.DUMMYFUNCTION("""COMPUTED_VALUE"""),17.47)</f>
        <v>17.47</v>
      </c>
    </row>
    <row r="1668" spans="1:2">
      <c r="A1668" s="3">
        <f ca="1">IFERROR(__xludf.DUMMYFUNCTION("""COMPUTED_VALUE"""),42775.6666666666)</f>
        <v>42775.666666666599</v>
      </c>
      <c r="B1668" s="1">
        <f ca="1">IFERROR(__xludf.DUMMYFUNCTION("""COMPUTED_VALUE"""),17.95)</f>
        <v>17.95</v>
      </c>
    </row>
    <row r="1669" spans="1:2">
      <c r="A1669" s="3">
        <f ca="1">IFERROR(__xludf.DUMMYFUNCTION("""COMPUTED_VALUE"""),42776.6666666666)</f>
        <v>42776.666666666599</v>
      </c>
      <c r="B1669" s="1">
        <f ca="1">IFERROR(__xludf.DUMMYFUNCTION("""COMPUTED_VALUE"""),17.95)</f>
        <v>17.95</v>
      </c>
    </row>
    <row r="1670" spans="1:2">
      <c r="A1670" s="3">
        <f ca="1">IFERROR(__xludf.DUMMYFUNCTION("""COMPUTED_VALUE"""),42779.6666666666)</f>
        <v>42779.666666666599</v>
      </c>
      <c r="B1670" s="1">
        <f ca="1">IFERROR(__xludf.DUMMYFUNCTION("""COMPUTED_VALUE"""),18.71)</f>
        <v>18.71</v>
      </c>
    </row>
    <row r="1671" spans="1:2">
      <c r="A1671" s="3">
        <f ca="1">IFERROR(__xludf.DUMMYFUNCTION("""COMPUTED_VALUE"""),42780.6666666666)</f>
        <v>42780.666666666599</v>
      </c>
      <c r="B1671" s="1">
        <f ca="1">IFERROR(__xludf.DUMMYFUNCTION("""COMPUTED_VALUE"""),18.73)</f>
        <v>18.73</v>
      </c>
    </row>
    <row r="1672" spans="1:2">
      <c r="A1672" s="3">
        <f ca="1">IFERROR(__xludf.DUMMYFUNCTION("""COMPUTED_VALUE"""),42781.6666666666)</f>
        <v>42781.666666666599</v>
      </c>
      <c r="B1672" s="1">
        <f ca="1">IFERROR(__xludf.DUMMYFUNCTION("""COMPUTED_VALUE"""),18.65)</f>
        <v>18.649999999999999</v>
      </c>
    </row>
    <row r="1673" spans="1:2">
      <c r="A1673" s="3">
        <f ca="1">IFERROR(__xludf.DUMMYFUNCTION("""COMPUTED_VALUE"""),42782.6666666666)</f>
        <v>42782.666666666599</v>
      </c>
      <c r="B1673" s="1">
        <f ca="1">IFERROR(__xludf.DUMMYFUNCTION("""COMPUTED_VALUE"""),17.93)</f>
        <v>17.93</v>
      </c>
    </row>
    <row r="1674" spans="1:2">
      <c r="A1674" s="3">
        <f ca="1">IFERROR(__xludf.DUMMYFUNCTION("""COMPUTED_VALUE"""),42783.6666666666)</f>
        <v>42783.666666666599</v>
      </c>
      <c r="B1674" s="1">
        <f ca="1">IFERROR(__xludf.DUMMYFUNCTION("""COMPUTED_VALUE"""),18.15)</f>
        <v>18.149999999999999</v>
      </c>
    </row>
    <row r="1675" spans="1:2">
      <c r="A1675" s="3">
        <f ca="1">IFERROR(__xludf.DUMMYFUNCTION("""COMPUTED_VALUE"""),42787.6666666666)</f>
        <v>42787.666666666599</v>
      </c>
      <c r="B1675" s="1">
        <f ca="1">IFERROR(__xludf.DUMMYFUNCTION("""COMPUTED_VALUE"""),18.49)</f>
        <v>18.489999999999998</v>
      </c>
    </row>
    <row r="1676" spans="1:2">
      <c r="A1676" s="3">
        <f ca="1">IFERROR(__xludf.DUMMYFUNCTION("""COMPUTED_VALUE"""),42788.6666666666)</f>
        <v>42788.666666666599</v>
      </c>
      <c r="B1676" s="1">
        <f ca="1">IFERROR(__xludf.DUMMYFUNCTION("""COMPUTED_VALUE"""),18.23)</f>
        <v>18.23</v>
      </c>
    </row>
    <row r="1677" spans="1:2">
      <c r="A1677" s="3">
        <f ca="1">IFERROR(__xludf.DUMMYFUNCTION("""COMPUTED_VALUE"""),42789.6666666666)</f>
        <v>42789.666666666599</v>
      </c>
      <c r="B1677" s="1">
        <f ca="1">IFERROR(__xludf.DUMMYFUNCTION("""COMPUTED_VALUE"""),17.07)</f>
        <v>17.07</v>
      </c>
    </row>
    <row r="1678" spans="1:2">
      <c r="A1678" s="3">
        <f ca="1">IFERROR(__xludf.DUMMYFUNCTION("""COMPUTED_VALUE"""),42790.6666666666)</f>
        <v>42790.666666666599</v>
      </c>
      <c r="B1678" s="1">
        <f ca="1">IFERROR(__xludf.DUMMYFUNCTION("""COMPUTED_VALUE"""),17.13)</f>
        <v>17.13</v>
      </c>
    </row>
    <row r="1679" spans="1:2">
      <c r="A1679" s="3">
        <f ca="1">IFERROR(__xludf.DUMMYFUNCTION("""COMPUTED_VALUE"""),42793.6666666666)</f>
        <v>42793.666666666599</v>
      </c>
      <c r="B1679" s="1">
        <f ca="1">IFERROR(__xludf.DUMMYFUNCTION("""COMPUTED_VALUE"""),16.42)</f>
        <v>16.420000000000002</v>
      </c>
    </row>
    <row r="1680" spans="1:2">
      <c r="A1680" s="3">
        <f ca="1">IFERROR(__xludf.DUMMYFUNCTION("""COMPUTED_VALUE"""),42794.6666666666)</f>
        <v>42794.666666666599</v>
      </c>
      <c r="B1680" s="1">
        <f ca="1">IFERROR(__xludf.DUMMYFUNCTION("""COMPUTED_VALUE"""),16.67)</f>
        <v>16.670000000000002</v>
      </c>
    </row>
    <row r="1681" spans="1:2">
      <c r="A1681" s="3">
        <f ca="1">IFERROR(__xludf.DUMMYFUNCTION("""COMPUTED_VALUE"""),42795.6666666666)</f>
        <v>42795.666666666599</v>
      </c>
      <c r="B1681" s="1">
        <f ca="1">IFERROR(__xludf.DUMMYFUNCTION("""COMPUTED_VALUE"""),16.67)</f>
        <v>16.670000000000002</v>
      </c>
    </row>
    <row r="1682" spans="1:2">
      <c r="A1682" s="3">
        <f ca="1">IFERROR(__xludf.DUMMYFUNCTION("""COMPUTED_VALUE"""),42796.6666666666)</f>
        <v>42796.666666666599</v>
      </c>
      <c r="B1682" s="1">
        <f ca="1">IFERROR(__xludf.DUMMYFUNCTION("""COMPUTED_VALUE"""),16.7)</f>
        <v>16.7</v>
      </c>
    </row>
    <row r="1683" spans="1:2">
      <c r="A1683" s="3">
        <f ca="1">IFERROR(__xludf.DUMMYFUNCTION("""COMPUTED_VALUE"""),42797.6666666666)</f>
        <v>42797.666666666599</v>
      </c>
      <c r="B1683" s="1">
        <f ca="1">IFERROR(__xludf.DUMMYFUNCTION("""COMPUTED_VALUE"""),16.77)</f>
        <v>16.77</v>
      </c>
    </row>
    <row r="1684" spans="1:2">
      <c r="A1684" s="3">
        <f ca="1">IFERROR(__xludf.DUMMYFUNCTION("""COMPUTED_VALUE"""),42800.6666666666)</f>
        <v>42800.666666666599</v>
      </c>
      <c r="B1684" s="1">
        <f ca="1">IFERROR(__xludf.DUMMYFUNCTION("""COMPUTED_VALUE"""),16.75)</f>
        <v>16.75</v>
      </c>
    </row>
    <row r="1685" spans="1:2">
      <c r="A1685" s="3">
        <f ca="1">IFERROR(__xludf.DUMMYFUNCTION("""COMPUTED_VALUE"""),42801.6666666666)</f>
        <v>42801.666666666599</v>
      </c>
      <c r="B1685" s="1">
        <f ca="1">IFERROR(__xludf.DUMMYFUNCTION("""COMPUTED_VALUE"""),16.57)</f>
        <v>16.57</v>
      </c>
    </row>
    <row r="1686" spans="1:2">
      <c r="A1686" s="3">
        <f ca="1">IFERROR(__xludf.DUMMYFUNCTION("""COMPUTED_VALUE"""),42802.6666666666)</f>
        <v>42802.666666666599</v>
      </c>
      <c r="B1686" s="1">
        <f ca="1">IFERROR(__xludf.DUMMYFUNCTION("""COMPUTED_VALUE"""),16.46)</f>
        <v>16.46</v>
      </c>
    </row>
    <row r="1687" spans="1:2">
      <c r="A1687" s="3">
        <f ca="1">IFERROR(__xludf.DUMMYFUNCTION("""COMPUTED_VALUE"""),42803.6666666666)</f>
        <v>42803.666666666599</v>
      </c>
      <c r="B1687" s="1">
        <f ca="1">IFERROR(__xludf.DUMMYFUNCTION("""COMPUTED_VALUE"""),16.33)</f>
        <v>16.329999999999998</v>
      </c>
    </row>
    <row r="1688" spans="1:2">
      <c r="A1688" s="3">
        <f ca="1">IFERROR(__xludf.DUMMYFUNCTION("""COMPUTED_VALUE"""),42804.6666666666)</f>
        <v>42804.666666666599</v>
      </c>
      <c r="B1688" s="1">
        <f ca="1">IFERROR(__xludf.DUMMYFUNCTION("""COMPUTED_VALUE"""),16.25)</f>
        <v>16.25</v>
      </c>
    </row>
    <row r="1689" spans="1:2">
      <c r="A1689" s="3">
        <f ca="1">IFERROR(__xludf.DUMMYFUNCTION("""COMPUTED_VALUE"""),42807.6666666666)</f>
        <v>42807.666666666599</v>
      </c>
      <c r="B1689" s="1">
        <f ca="1">IFERROR(__xludf.DUMMYFUNCTION("""COMPUTED_VALUE"""),16.41)</f>
        <v>16.41</v>
      </c>
    </row>
    <row r="1690" spans="1:2">
      <c r="A1690" s="3">
        <f ca="1">IFERROR(__xludf.DUMMYFUNCTION("""COMPUTED_VALUE"""),42808.6666666666)</f>
        <v>42808.666666666599</v>
      </c>
      <c r="B1690" s="1">
        <f ca="1">IFERROR(__xludf.DUMMYFUNCTION("""COMPUTED_VALUE"""),17.2)</f>
        <v>17.2</v>
      </c>
    </row>
    <row r="1691" spans="1:2">
      <c r="A1691" s="3">
        <f ca="1">IFERROR(__xludf.DUMMYFUNCTION("""COMPUTED_VALUE"""),42809.6666666666)</f>
        <v>42809.666666666599</v>
      </c>
      <c r="B1691" s="1">
        <f ca="1">IFERROR(__xludf.DUMMYFUNCTION("""COMPUTED_VALUE"""),17.05)</f>
        <v>17.05</v>
      </c>
    </row>
    <row r="1692" spans="1:2">
      <c r="A1692" s="3">
        <f ca="1">IFERROR(__xludf.DUMMYFUNCTION("""COMPUTED_VALUE"""),42810.6666666666)</f>
        <v>42810.666666666599</v>
      </c>
      <c r="B1692" s="1">
        <f ca="1">IFERROR(__xludf.DUMMYFUNCTION("""COMPUTED_VALUE"""),17.47)</f>
        <v>17.47</v>
      </c>
    </row>
    <row r="1693" spans="1:2">
      <c r="A1693" s="3">
        <f ca="1">IFERROR(__xludf.DUMMYFUNCTION("""COMPUTED_VALUE"""),42811.6666666666)</f>
        <v>42811.666666666599</v>
      </c>
      <c r="B1693" s="1">
        <f ca="1">IFERROR(__xludf.DUMMYFUNCTION("""COMPUTED_VALUE"""),17.43)</f>
        <v>17.43</v>
      </c>
    </row>
    <row r="1694" spans="1:2">
      <c r="A1694" s="3">
        <f ca="1">IFERROR(__xludf.DUMMYFUNCTION("""COMPUTED_VALUE"""),42814.6666666666)</f>
        <v>42814.666666666599</v>
      </c>
      <c r="B1694" s="1">
        <f ca="1">IFERROR(__xludf.DUMMYFUNCTION("""COMPUTED_VALUE"""),17.46)</f>
        <v>17.46</v>
      </c>
    </row>
    <row r="1695" spans="1:2">
      <c r="A1695" s="3">
        <f ca="1">IFERROR(__xludf.DUMMYFUNCTION("""COMPUTED_VALUE"""),42815.6666666666)</f>
        <v>42815.666666666599</v>
      </c>
      <c r="B1695" s="1">
        <f ca="1">IFERROR(__xludf.DUMMYFUNCTION("""COMPUTED_VALUE"""),16.71)</f>
        <v>16.71</v>
      </c>
    </row>
    <row r="1696" spans="1:2">
      <c r="A1696" s="3">
        <f ca="1">IFERROR(__xludf.DUMMYFUNCTION("""COMPUTED_VALUE"""),42816.6666666666)</f>
        <v>42816.666666666599</v>
      </c>
      <c r="B1696" s="1">
        <f ca="1">IFERROR(__xludf.DUMMYFUNCTION("""COMPUTED_VALUE"""),17)</f>
        <v>17</v>
      </c>
    </row>
    <row r="1697" spans="1:2">
      <c r="A1697" s="3">
        <f ca="1">IFERROR(__xludf.DUMMYFUNCTION("""COMPUTED_VALUE"""),42817.6666666666)</f>
        <v>42817.666666666599</v>
      </c>
      <c r="B1697" s="1">
        <f ca="1">IFERROR(__xludf.DUMMYFUNCTION("""COMPUTED_VALUE"""),16.99)</f>
        <v>16.989999999999998</v>
      </c>
    </row>
    <row r="1698" spans="1:2">
      <c r="A1698" s="3">
        <f ca="1">IFERROR(__xludf.DUMMYFUNCTION("""COMPUTED_VALUE"""),42818.6666666666)</f>
        <v>42818.666666666599</v>
      </c>
      <c r="B1698" s="1">
        <f ca="1">IFERROR(__xludf.DUMMYFUNCTION("""COMPUTED_VALUE"""),17.54)</f>
        <v>17.54</v>
      </c>
    </row>
    <row r="1699" spans="1:2">
      <c r="A1699" s="3">
        <f ca="1">IFERROR(__xludf.DUMMYFUNCTION("""COMPUTED_VALUE"""),42821.6666666666)</f>
        <v>42821.666666666599</v>
      </c>
      <c r="B1699" s="1">
        <f ca="1">IFERROR(__xludf.DUMMYFUNCTION("""COMPUTED_VALUE"""),18.01)</f>
        <v>18.010000000000002</v>
      </c>
    </row>
    <row r="1700" spans="1:2">
      <c r="A1700" s="3">
        <f ca="1">IFERROR(__xludf.DUMMYFUNCTION("""COMPUTED_VALUE"""),42822.6666666666)</f>
        <v>42822.666666666599</v>
      </c>
      <c r="B1700" s="1">
        <f ca="1">IFERROR(__xludf.DUMMYFUNCTION("""COMPUTED_VALUE"""),18.5)</f>
        <v>18.5</v>
      </c>
    </row>
    <row r="1701" spans="1:2">
      <c r="A1701" s="3">
        <f ca="1">IFERROR(__xludf.DUMMYFUNCTION("""COMPUTED_VALUE"""),42823.6666666666)</f>
        <v>42823.666666666599</v>
      </c>
      <c r="B1701" s="1">
        <f ca="1">IFERROR(__xludf.DUMMYFUNCTION("""COMPUTED_VALUE"""),18.49)</f>
        <v>18.489999999999998</v>
      </c>
    </row>
    <row r="1702" spans="1:2">
      <c r="A1702" s="3">
        <f ca="1">IFERROR(__xludf.DUMMYFUNCTION("""COMPUTED_VALUE"""),42824.6666666666)</f>
        <v>42824.666666666599</v>
      </c>
      <c r="B1702" s="1">
        <f ca="1">IFERROR(__xludf.DUMMYFUNCTION("""COMPUTED_VALUE"""),18.53)</f>
        <v>18.53</v>
      </c>
    </row>
    <row r="1703" spans="1:2">
      <c r="A1703" s="3">
        <f ca="1">IFERROR(__xludf.DUMMYFUNCTION("""COMPUTED_VALUE"""),42825.6666666666)</f>
        <v>42825.666666666599</v>
      </c>
      <c r="B1703" s="1">
        <f ca="1">IFERROR(__xludf.DUMMYFUNCTION("""COMPUTED_VALUE"""),18.55)</f>
        <v>18.55</v>
      </c>
    </row>
    <row r="1704" spans="1:2">
      <c r="A1704" s="3">
        <f ca="1">IFERROR(__xludf.DUMMYFUNCTION("""COMPUTED_VALUE"""),42828.6666666666)</f>
        <v>42828.666666666599</v>
      </c>
      <c r="B1704" s="1">
        <f ca="1">IFERROR(__xludf.DUMMYFUNCTION("""COMPUTED_VALUE"""),19.9)</f>
        <v>19.899999999999999</v>
      </c>
    </row>
    <row r="1705" spans="1:2">
      <c r="A1705" s="3">
        <f ca="1">IFERROR(__xludf.DUMMYFUNCTION("""COMPUTED_VALUE"""),42829.6666666666)</f>
        <v>42829.666666666599</v>
      </c>
      <c r="B1705" s="1">
        <f ca="1">IFERROR(__xludf.DUMMYFUNCTION("""COMPUTED_VALUE"""),20.25)</f>
        <v>20.25</v>
      </c>
    </row>
    <row r="1706" spans="1:2">
      <c r="A1706" s="3">
        <f ca="1">IFERROR(__xludf.DUMMYFUNCTION("""COMPUTED_VALUE"""),42830.6666666666)</f>
        <v>42830.666666666599</v>
      </c>
      <c r="B1706" s="1">
        <f ca="1">IFERROR(__xludf.DUMMYFUNCTION("""COMPUTED_VALUE"""),19.67)</f>
        <v>19.670000000000002</v>
      </c>
    </row>
    <row r="1707" spans="1:2">
      <c r="A1707" s="3">
        <f ca="1">IFERROR(__xludf.DUMMYFUNCTION("""COMPUTED_VALUE"""),42831.6666666666)</f>
        <v>42831.666666666599</v>
      </c>
      <c r="B1707" s="1">
        <f ca="1">IFERROR(__xludf.DUMMYFUNCTION("""COMPUTED_VALUE"""),19.91)</f>
        <v>19.91</v>
      </c>
    </row>
    <row r="1708" spans="1:2">
      <c r="A1708" s="3">
        <f ca="1">IFERROR(__xludf.DUMMYFUNCTION("""COMPUTED_VALUE"""),42832.6666666666)</f>
        <v>42832.666666666599</v>
      </c>
      <c r="B1708" s="1">
        <f ca="1">IFERROR(__xludf.DUMMYFUNCTION("""COMPUTED_VALUE"""),20.17)</f>
        <v>20.170000000000002</v>
      </c>
    </row>
    <row r="1709" spans="1:2">
      <c r="A1709" s="3">
        <f ca="1">IFERROR(__xludf.DUMMYFUNCTION("""COMPUTED_VALUE"""),42835.6666666666)</f>
        <v>42835.666666666599</v>
      </c>
      <c r="B1709" s="1">
        <f ca="1">IFERROR(__xludf.DUMMYFUNCTION("""COMPUTED_VALUE"""),20.83)</f>
        <v>20.83</v>
      </c>
    </row>
    <row r="1710" spans="1:2">
      <c r="A1710" s="3">
        <f ca="1">IFERROR(__xludf.DUMMYFUNCTION("""COMPUTED_VALUE"""),42836.6666666666)</f>
        <v>42836.666666666599</v>
      </c>
      <c r="B1710" s="1">
        <f ca="1">IFERROR(__xludf.DUMMYFUNCTION("""COMPUTED_VALUE"""),20.58)</f>
        <v>20.58</v>
      </c>
    </row>
    <row r="1711" spans="1:2">
      <c r="A1711" s="3">
        <f ca="1">IFERROR(__xludf.DUMMYFUNCTION("""COMPUTED_VALUE"""),42837.6666666666)</f>
        <v>42837.666666666599</v>
      </c>
      <c r="B1711" s="1">
        <f ca="1">IFERROR(__xludf.DUMMYFUNCTION("""COMPUTED_VALUE"""),19.79)</f>
        <v>19.79</v>
      </c>
    </row>
    <row r="1712" spans="1:2">
      <c r="A1712" s="3">
        <f ca="1">IFERROR(__xludf.DUMMYFUNCTION("""COMPUTED_VALUE"""),42838.6666666666)</f>
        <v>42838.666666666599</v>
      </c>
      <c r="B1712" s="1">
        <f ca="1">IFERROR(__xludf.DUMMYFUNCTION("""COMPUTED_VALUE"""),20.27)</f>
        <v>20.27</v>
      </c>
    </row>
    <row r="1713" spans="1:2">
      <c r="A1713" s="3">
        <f ca="1">IFERROR(__xludf.DUMMYFUNCTION("""COMPUTED_VALUE"""),42842.6666666666)</f>
        <v>42842.666666666599</v>
      </c>
      <c r="B1713" s="1">
        <f ca="1">IFERROR(__xludf.DUMMYFUNCTION("""COMPUTED_VALUE"""),20.1)</f>
        <v>20.100000000000001</v>
      </c>
    </row>
    <row r="1714" spans="1:2">
      <c r="A1714" s="3">
        <f ca="1">IFERROR(__xludf.DUMMYFUNCTION("""COMPUTED_VALUE"""),42843.6666666666)</f>
        <v>42843.666666666599</v>
      </c>
      <c r="B1714" s="1">
        <f ca="1">IFERROR(__xludf.DUMMYFUNCTION("""COMPUTED_VALUE"""),20.02)</f>
        <v>20.02</v>
      </c>
    </row>
    <row r="1715" spans="1:2">
      <c r="A1715" s="3">
        <f ca="1">IFERROR(__xludf.DUMMYFUNCTION("""COMPUTED_VALUE"""),42844.6666666666)</f>
        <v>42844.666666666599</v>
      </c>
      <c r="B1715" s="1">
        <f ca="1">IFERROR(__xludf.DUMMYFUNCTION("""COMPUTED_VALUE"""),20.37)</f>
        <v>20.37</v>
      </c>
    </row>
    <row r="1716" spans="1:2">
      <c r="A1716" s="3">
        <f ca="1">IFERROR(__xludf.DUMMYFUNCTION("""COMPUTED_VALUE"""),42845.6666666666)</f>
        <v>42845.666666666599</v>
      </c>
      <c r="B1716" s="1">
        <f ca="1">IFERROR(__xludf.DUMMYFUNCTION("""COMPUTED_VALUE"""),20.17)</f>
        <v>20.170000000000002</v>
      </c>
    </row>
    <row r="1717" spans="1:2">
      <c r="A1717" s="3">
        <f ca="1">IFERROR(__xludf.DUMMYFUNCTION("""COMPUTED_VALUE"""),42846.6666666666)</f>
        <v>42846.666666666599</v>
      </c>
      <c r="B1717" s="1">
        <f ca="1">IFERROR(__xludf.DUMMYFUNCTION("""COMPUTED_VALUE"""),20.37)</f>
        <v>20.37</v>
      </c>
    </row>
    <row r="1718" spans="1:2">
      <c r="A1718" s="3">
        <f ca="1">IFERROR(__xludf.DUMMYFUNCTION("""COMPUTED_VALUE"""),42849.6666666666)</f>
        <v>42849.666666666599</v>
      </c>
      <c r="B1718" s="1">
        <f ca="1">IFERROR(__xludf.DUMMYFUNCTION("""COMPUTED_VALUE"""),20.54)</f>
        <v>20.54</v>
      </c>
    </row>
    <row r="1719" spans="1:2">
      <c r="A1719" s="3">
        <f ca="1">IFERROR(__xludf.DUMMYFUNCTION("""COMPUTED_VALUE"""),42850.6666666666)</f>
        <v>42850.666666666599</v>
      </c>
      <c r="B1719" s="1">
        <f ca="1">IFERROR(__xludf.DUMMYFUNCTION("""COMPUTED_VALUE"""),20.92)</f>
        <v>20.92</v>
      </c>
    </row>
    <row r="1720" spans="1:2">
      <c r="A1720" s="3">
        <f ca="1">IFERROR(__xludf.DUMMYFUNCTION("""COMPUTED_VALUE"""),42851.6666666666)</f>
        <v>42851.666666666599</v>
      </c>
      <c r="B1720" s="1">
        <f ca="1">IFERROR(__xludf.DUMMYFUNCTION("""COMPUTED_VALUE"""),20.68)</f>
        <v>20.68</v>
      </c>
    </row>
    <row r="1721" spans="1:2">
      <c r="A1721" s="3">
        <f ca="1">IFERROR(__xludf.DUMMYFUNCTION("""COMPUTED_VALUE"""),42852.6666666666)</f>
        <v>42852.666666666599</v>
      </c>
      <c r="B1721" s="1">
        <f ca="1">IFERROR(__xludf.DUMMYFUNCTION("""COMPUTED_VALUE"""),20.58)</f>
        <v>20.58</v>
      </c>
    </row>
    <row r="1722" spans="1:2">
      <c r="A1722" s="3">
        <f ca="1">IFERROR(__xludf.DUMMYFUNCTION("""COMPUTED_VALUE"""),42853.6666666666)</f>
        <v>42853.666666666599</v>
      </c>
      <c r="B1722" s="1">
        <f ca="1">IFERROR(__xludf.DUMMYFUNCTION("""COMPUTED_VALUE"""),20.94)</f>
        <v>20.94</v>
      </c>
    </row>
    <row r="1723" spans="1:2">
      <c r="A1723" s="3">
        <f ca="1">IFERROR(__xludf.DUMMYFUNCTION("""COMPUTED_VALUE"""),42856.6666666666)</f>
        <v>42856.666666666599</v>
      </c>
      <c r="B1723" s="1">
        <f ca="1">IFERROR(__xludf.DUMMYFUNCTION("""COMPUTED_VALUE"""),21.52)</f>
        <v>21.52</v>
      </c>
    </row>
    <row r="1724" spans="1:2">
      <c r="A1724" s="3">
        <f ca="1">IFERROR(__xludf.DUMMYFUNCTION("""COMPUTED_VALUE"""),42857.6666666666)</f>
        <v>42857.666666666599</v>
      </c>
      <c r="B1724" s="1">
        <f ca="1">IFERROR(__xludf.DUMMYFUNCTION("""COMPUTED_VALUE"""),21.26)</f>
        <v>21.26</v>
      </c>
    </row>
    <row r="1725" spans="1:2">
      <c r="A1725" s="3">
        <f ca="1">IFERROR(__xludf.DUMMYFUNCTION("""COMPUTED_VALUE"""),42858.6666666666)</f>
        <v>42858.666666666599</v>
      </c>
      <c r="B1725" s="1">
        <f ca="1">IFERROR(__xludf.DUMMYFUNCTION("""COMPUTED_VALUE"""),20.73)</f>
        <v>20.73</v>
      </c>
    </row>
    <row r="1726" spans="1:2">
      <c r="A1726" s="3">
        <f ca="1">IFERROR(__xludf.DUMMYFUNCTION("""COMPUTED_VALUE"""),42859.6666666666)</f>
        <v>42859.666666666599</v>
      </c>
      <c r="B1726" s="1">
        <f ca="1">IFERROR(__xludf.DUMMYFUNCTION("""COMPUTED_VALUE"""),19.7)</f>
        <v>19.7</v>
      </c>
    </row>
    <row r="1727" spans="1:2">
      <c r="A1727" s="3">
        <f ca="1">IFERROR(__xludf.DUMMYFUNCTION("""COMPUTED_VALUE"""),42860.6666666666)</f>
        <v>42860.666666666599</v>
      </c>
      <c r="B1727" s="1">
        <f ca="1">IFERROR(__xludf.DUMMYFUNCTION("""COMPUTED_VALUE"""),20.56)</f>
        <v>20.56</v>
      </c>
    </row>
    <row r="1728" spans="1:2">
      <c r="A1728" s="3">
        <f ca="1">IFERROR(__xludf.DUMMYFUNCTION("""COMPUTED_VALUE"""),42863.6666666666)</f>
        <v>42863.666666666599</v>
      </c>
      <c r="B1728" s="1">
        <f ca="1">IFERROR(__xludf.DUMMYFUNCTION("""COMPUTED_VALUE"""),20.48)</f>
        <v>20.48</v>
      </c>
    </row>
    <row r="1729" spans="1:2">
      <c r="A1729" s="3">
        <f ca="1">IFERROR(__xludf.DUMMYFUNCTION("""COMPUTED_VALUE"""),42864.6666666666)</f>
        <v>42864.666666666599</v>
      </c>
      <c r="B1729" s="1">
        <f ca="1">IFERROR(__xludf.DUMMYFUNCTION("""COMPUTED_VALUE"""),21.42)</f>
        <v>21.42</v>
      </c>
    </row>
    <row r="1730" spans="1:2">
      <c r="A1730" s="3">
        <f ca="1">IFERROR(__xludf.DUMMYFUNCTION("""COMPUTED_VALUE"""),42865.6666666666)</f>
        <v>42865.666666666599</v>
      </c>
      <c r="B1730" s="1">
        <f ca="1">IFERROR(__xludf.DUMMYFUNCTION("""COMPUTED_VALUE"""),21.68)</f>
        <v>21.68</v>
      </c>
    </row>
    <row r="1731" spans="1:2">
      <c r="A1731" s="3">
        <f ca="1">IFERROR(__xludf.DUMMYFUNCTION("""COMPUTED_VALUE"""),42866.6666666666)</f>
        <v>42866.666666666599</v>
      </c>
      <c r="B1731" s="1">
        <f ca="1">IFERROR(__xludf.DUMMYFUNCTION("""COMPUTED_VALUE"""),21.54)</f>
        <v>21.54</v>
      </c>
    </row>
    <row r="1732" spans="1:2">
      <c r="A1732" s="3">
        <f ca="1">IFERROR(__xludf.DUMMYFUNCTION("""COMPUTED_VALUE"""),42867.6666666666)</f>
        <v>42867.666666666599</v>
      </c>
      <c r="B1732" s="1">
        <f ca="1">IFERROR(__xludf.DUMMYFUNCTION("""COMPUTED_VALUE"""),21.65)</f>
        <v>21.65</v>
      </c>
    </row>
    <row r="1733" spans="1:2">
      <c r="A1733" s="3">
        <f ca="1">IFERROR(__xludf.DUMMYFUNCTION("""COMPUTED_VALUE"""),42870.6666666666)</f>
        <v>42870.666666666599</v>
      </c>
      <c r="B1733" s="1">
        <f ca="1">IFERROR(__xludf.DUMMYFUNCTION("""COMPUTED_VALUE"""),21.06)</f>
        <v>21.06</v>
      </c>
    </row>
    <row r="1734" spans="1:2">
      <c r="A1734" s="3">
        <f ca="1">IFERROR(__xludf.DUMMYFUNCTION("""COMPUTED_VALUE"""),42871.6666666666)</f>
        <v>42871.666666666599</v>
      </c>
      <c r="B1734" s="1">
        <f ca="1">IFERROR(__xludf.DUMMYFUNCTION("""COMPUTED_VALUE"""),21.13)</f>
        <v>21.13</v>
      </c>
    </row>
    <row r="1735" spans="1:2">
      <c r="A1735" s="3">
        <f ca="1">IFERROR(__xludf.DUMMYFUNCTION("""COMPUTED_VALUE"""),42872.6666666666)</f>
        <v>42872.666666666599</v>
      </c>
      <c r="B1735" s="1">
        <f ca="1">IFERROR(__xludf.DUMMYFUNCTION("""COMPUTED_VALUE"""),20.41)</f>
        <v>20.41</v>
      </c>
    </row>
    <row r="1736" spans="1:2">
      <c r="A1736" s="3">
        <f ca="1">IFERROR(__xludf.DUMMYFUNCTION("""COMPUTED_VALUE"""),42873.6666666666)</f>
        <v>42873.666666666599</v>
      </c>
      <c r="B1736" s="1">
        <f ca="1">IFERROR(__xludf.DUMMYFUNCTION("""COMPUTED_VALUE"""),20.87)</f>
        <v>20.87</v>
      </c>
    </row>
    <row r="1737" spans="1:2">
      <c r="A1737" s="3">
        <f ca="1">IFERROR(__xludf.DUMMYFUNCTION("""COMPUTED_VALUE"""),42874.6666666666)</f>
        <v>42874.666666666599</v>
      </c>
      <c r="B1737" s="1">
        <f ca="1">IFERROR(__xludf.DUMMYFUNCTION("""COMPUTED_VALUE"""),20.72)</f>
        <v>20.72</v>
      </c>
    </row>
    <row r="1738" spans="1:2">
      <c r="A1738" s="3">
        <f ca="1">IFERROR(__xludf.DUMMYFUNCTION("""COMPUTED_VALUE"""),42877.6666666666)</f>
        <v>42877.666666666599</v>
      </c>
      <c r="B1738" s="1">
        <f ca="1">IFERROR(__xludf.DUMMYFUNCTION("""COMPUTED_VALUE"""),20.69)</f>
        <v>20.69</v>
      </c>
    </row>
    <row r="1739" spans="1:2">
      <c r="A1739" s="3">
        <f ca="1">IFERROR(__xludf.DUMMYFUNCTION("""COMPUTED_VALUE"""),42878.6666666666)</f>
        <v>42878.666666666599</v>
      </c>
      <c r="B1739" s="1">
        <f ca="1">IFERROR(__xludf.DUMMYFUNCTION("""COMPUTED_VALUE"""),20.26)</f>
        <v>20.260000000000002</v>
      </c>
    </row>
    <row r="1740" spans="1:2">
      <c r="A1740" s="3">
        <f ca="1">IFERROR(__xludf.DUMMYFUNCTION("""COMPUTED_VALUE"""),42879.6666666666)</f>
        <v>42879.666666666599</v>
      </c>
      <c r="B1740" s="1">
        <f ca="1">IFERROR(__xludf.DUMMYFUNCTION("""COMPUTED_VALUE"""),20.68)</f>
        <v>20.68</v>
      </c>
    </row>
    <row r="1741" spans="1:2">
      <c r="A1741" s="3">
        <f ca="1">IFERROR(__xludf.DUMMYFUNCTION("""COMPUTED_VALUE"""),42880.6666666666)</f>
        <v>42880.666666666599</v>
      </c>
      <c r="B1741" s="1">
        <f ca="1">IFERROR(__xludf.DUMMYFUNCTION("""COMPUTED_VALUE"""),21.12)</f>
        <v>21.12</v>
      </c>
    </row>
    <row r="1742" spans="1:2">
      <c r="A1742" s="3">
        <f ca="1">IFERROR(__xludf.DUMMYFUNCTION("""COMPUTED_VALUE"""),42881.6666666666)</f>
        <v>42881.666666666599</v>
      </c>
      <c r="B1742" s="1">
        <f ca="1">IFERROR(__xludf.DUMMYFUNCTION("""COMPUTED_VALUE"""),21.68)</f>
        <v>21.68</v>
      </c>
    </row>
    <row r="1743" spans="1:2">
      <c r="A1743" s="3">
        <f ca="1">IFERROR(__xludf.DUMMYFUNCTION("""COMPUTED_VALUE"""),42885.6666666666)</f>
        <v>42885.666666666599</v>
      </c>
      <c r="B1743" s="1">
        <f ca="1">IFERROR(__xludf.DUMMYFUNCTION("""COMPUTED_VALUE"""),22.34)</f>
        <v>22.34</v>
      </c>
    </row>
    <row r="1744" spans="1:2">
      <c r="A1744" s="3">
        <f ca="1">IFERROR(__xludf.DUMMYFUNCTION("""COMPUTED_VALUE"""),42886.6666666666)</f>
        <v>42886.666666666599</v>
      </c>
      <c r="B1744" s="1">
        <f ca="1">IFERROR(__xludf.DUMMYFUNCTION("""COMPUTED_VALUE"""),22.73)</f>
        <v>22.73</v>
      </c>
    </row>
    <row r="1745" spans="1:2">
      <c r="A1745" s="3">
        <f ca="1">IFERROR(__xludf.DUMMYFUNCTION("""COMPUTED_VALUE"""),42887.6666666666)</f>
        <v>42887.666666666599</v>
      </c>
      <c r="B1745" s="1">
        <f ca="1">IFERROR(__xludf.DUMMYFUNCTION("""COMPUTED_VALUE"""),22.69)</f>
        <v>22.69</v>
      </c>
    </row>
    <row r="1746" spans="1:2">
      <c r="A1746" s="3">
        <f ca="1">IFERROR(__xludf.DUMMYFUNCTION("""COMPUTED_VALUE"""),42888.6666666666)</f>
        <v>42888.666666666599</v>
      </c>
      <c r="B1746" s="1">
        <f ca="1">IFERROR(__xludf.DUMMYFUNCTION("""COMPUTED_VALUE"""),22.66)</f>
        <v>22.66</v>
      </c>
    </row>
    <row r="1747" spans="1:2">
      <c r="A1747" s="3">
        <f ca="1">IFERROR(__xludf.DUMMYFUNCTION("""COMPUTED_VALUE"""),42891.6666666666)</f>
        <v>42891.666666666599</v>
      </c>
      <c r="B1747" s="1">
        <f ca="1">IFERROR(__xludf.DUMMYFUNCTION("""COMPUTED_VALUE"""),23.15)</f>
        <v>23.15</v>
      </c>
    </row>
    <row r="1748" spans="1:2">
      <c r="A1748" s="3">
        <f ca="1">IFERROR(__xludf.DUMMYFUNCTION("""COMPUTED_VALUE"""),42892.6666666666)</f>
        <v>42892.666666666599</v>
      </c>
      <c r="B1748" s="1">
        <f ca="1">IFERROR(__xludf.DUMMYFUNCTION("""COMPUTED_VALUE"""),23.52)</f>
        <v>23.52</v>
      </c>
    </row>
    <row r="1749" spans="1:2">
      <c r="A1749" s="3">
        <f ca="1">IFERROR(__xludf.DUMMYFUNCTION("""COMPUTED_VALUE"""),42893.6666666666)</f>
        <v>42893.666666666599</v>
      </c>
      <c r="B1749" s="1">
        <f ca="1">IFERROR(__xludf.DUMMYFUNCTION("""COMPUTED_VALUE"""),23.98)</f>
        <v>23.98</v>
      </c>
    </row>
    <row r="1750" spans="1:2">
      <c r="A1750" s="3">
        <f ca="1">IFERROR(__xludf.DUMMYFUNCTION("""COMPUTED_VALUE"""),42894.6666666666)</f>
        <v>42894.666666666599</v>
      </c>
      <c r="B1750" s="1">
        <f ca="1">IFERROR(__xludf.DUMMYFUNCTION("""COMPUTED_VALUE"""),24.67)</f>
        <v>24.67</v>
      </c>
    </row>
    <row r="1751" spans="1:2">
      <c r="A1751" s="3">
        <f ca="1">IFERROR(__xludf.DUMMYFUNCTION("""COMPUTED_VALUE"""),42895.6666666666)</f>
        <v>42895.666666666599</v>
      </c>
      <c r="B1751" s="1">
        <f ca="1">IFERROR(__xludf.DUMMYFUNCTION("""COMPUTED_VALUE"""),23.82)</f>
        <v>23.82</v>
      </c>
    </row>
    <row r="1752" spans="1:2">
      <c r="A1752" s="3">
        <f ca="1">IFERROR(__xludf.DUMMYFUNCTION("""COMPUTED_VALUE"""),42898.6666666666)</f>
        <v>42898.666666666599</v>
      </c>
      <c r="B1752" s="1">
        <f ca="1">IFERROR(__xludf.DUMMYFUNCTION("""COMPUTED_VALUE"""),23.93)</f>
        <v>23.93</v>
      </c>
    </row>
    <row r="1753" spans="1:2">
      <c r="A1753" s="3">
        <f ca="1">IFERROR(__xludf.DUMMYFUNCTION("""COMPUTED_VALUE"""),42899.6666666666)</f>
        <v>42899.666666666599</v>
      </c>
      <c r="B1753" s="1">
        <f ca="1">IFERROR(__xludf.DUMMYFUNCTION("""COMPUTED_VALUE"""),25.06)</f>
        <v>25.06</v>
      </c>
    </row>
    <row r="1754" spans="1:2">
      <c r="A1754" s="3">
        <f ca="1">IFERROR(__xludf.DUMMYFUNCTION("""COMPUTED_VALUE"""),42900.6666666666)</f>
        <v>42900.666666666599</v>
      </c>
      <c r="B1754" s="1">
        <f ca="1">IFERROR(__xludf.DUMMYFUNCTION("""COMPUTED_VALUE"""),25.38)</f>
        <v>25.38</v>
      </c>
    </row>
    <row r="1755" spans="1:2">
      <c r="A1755" s="3">
        <f ca="1">IFERROR(__xludf.DUMMYFUNCTION("""COMPUTED_VALUE"""),42901.6666666666)</f>
        <v>42901.666666666599</v>
      </c>
      <c r="B1755" s="1">
        <f ca="1">IFERROR(__xludf.DUMMYFUNCTION("""COMPUTED_VALUE"""),25.02)</f>
        <v>25.02</v>
      </c>
    </row>
    <row r="1756" spans="1:2">
      <c r="A1756" s="3">
        <f ca="1">IFERROR(__xludf.DUMMYFUNCTION("""COMPUTED_VALUE"""),42902.6666666666)</f>
        <v>42902.666666666599</v>
      </c>
      <c r="B1756" s="1">
        <f ca="1">IFERROR(__xludf.DUMMYFUNCTION("""COMPUTED_VALUE"""),24.76)</f>
        <v>24.76</v>
      </c>
    </row>
    <row r="1757" spans="1:2">
      <c r="A1757" s="3">
        <f ca="1">IFERROR(__xludf.DUMMYFUNCTION("""COMPUTED_VALUE"""),42905.6666666666)</f>
        <v>42905.666666666599</v>
      </c>
      <c r="B1757" s="1">
        <f ca="1">IFERROR(__xludf.DUMMYFUNCTION("""COMPUTED_VALUE"""),24.65)</f>
        <v>24.65</v>
      </c>
    </row>
    <row r="1758" spans="1:2">
      <c r="A1758" s="3">
        <f ca="1">IFERROR(__xludf.DUMMYFUNCTION("""COMPUTED_VALUE"""),42906.6666666666)</f>
        <v>42906.666666666599</v>
      </c>
      <c r="B1758" s="1">
        <f ca="1">IFERROR(__xludf.DUMMYFUNCTION("""COMPUTED_VALUE"""),24.82)</f>
        <v>24.82</v>
      </c>
    </row>
    <row r="1759" spans="1:2">
      <c r="A1759" s="3">
        <f ca="1">IFERROR(__xludf.DUMMYFUNCTION("""COMPUTED_VALUE"""),42907.6666666666)</f>
        <v>42907.666666666599</v>
      </c>
      <c r="B1759" s="1">
        <f ca="1">IFERROR(__xludf.DUMMYFUNCTION("""COMPUTED_VALUE"""),25.09)</f>
        <v>25.09</v>
      </c>
    </row>
    <row r="1760" spans="1:2">
      <c r="A1760" s="3">
        <f ca="1">IFERROR(__xludf.DUMMYFUNCTION("""COMPUTED_VALUE"""),42908.6666666666)</f>
        <v>42908.666666666599</v>
      </c>
      <c r="B1760" s="1">
        <f ca="1">IFERROR(__xludf.DUMMYFUNCTION("""COMPUTED_VALUE"""),25.51)</f>
        <v>25.51</v>
      </c>
    </row>
    <row r="1761" spans="1:2">
      <c r="A1761" s="3">
        <f ca="1">IFERROR(__xludf.DUMMYFUNCTION("""COMPUTED_VALUE"""),42909.6666666666)</f>
        <v>42909.666666666599</v>
      </c>
      <c r="B1761" s="1">
        <f ca="1">IFERROR(__xludf.DUMMYFUNCTION("""COMPUTED_VALUE"""),25.56)</f>
        <v>25.56</v>
      </c>
    </row>
    <row r="1762" spans="1:2">
      <c r="A1762" s="3">
        <f ca="1">IFERROR(__xludf.DUMMYFUNCTION("""COMPUTED_VALUE"""),42912.6666666666)</f>
        <v>42912.666666666599</v>
      </c>
      <c r="B1762" s="1">
        <f ca="1">IFERROR(__xludf.DUMMYFUNCTION("""COMPUTED_VALUE"""),25.17)</f>
        <v>25.17</v>
      </c>
    </row>
    <row r="1763" spans="1:2">
      <c r="A1763" s="3">
        <f ca="1">IFERROR(__xludf.DUMMYFUNCTION("""COMPUTED_VALUE"""),42913.6666666666)</f>
        <v>42913.666666666599</v>
      </c>
      <c r="B1763" s="1">
        <f ca="1">IFERROR(__xludf.DUMMYFUNCTION("""COMPUTED_VALUE"""),24.16)</f>
        <v>24.16</v>
      </c>
    </row>
    <row r="1764" spans="1:2">
      <c r="A1764" s="3">
        <f ca="1">IFERROR(__xludf.DUMMYFUNCTION("""COMPUTED_VALUE"""),42914.6666666666)</f>
        <v>42914.666666666599</v>
      </c>
      <c r="B1764" s="1">
        <f ca="1">IFERROR(__xludf.DUMMYFUNCTION("""COMPUTED_VALUE"""),24.75)</f>
        <v>24.75</v>
      </c>
    </row>
    <row r="1765" spans="1:2">
      <c r="A1765" s="3">
        <f ca="1">IFERROR(__xludf.DUMMYFUNCTION("""COMPUTED_VALUE"""),42915.6666666666)</f>
        <v>42915.666666666599</v>
      </c>
      <c r="B1765" s="1">
        <f ca="1">IFERROR(__xludf.DUMMYFUNCTION("""COMPUTED_VALUE"""),24.05)</f>
        <v>24.05</v>
      </c>
    </row>
    <row r="1766" spans="1:2">
      <c r="A1766" s="3">
        <f ca="1">IFERROR(__xludf.DUMMYFUNCTION("""COMPUTED_VALUE"""),42916.6666666666)</f>
        <v>42916.666666666599</v>
      </c>
      <c r="B1766" s="1">
        <f ca="1">IFERROR(__xludf.DUMMYFUNCTION("""COMPUTED_VALUE"""),24.11)</f>
        <v>24.11</v>
      </c>
    </row>
    <row r="1767" spans="1:2">
      <c r="A1767" s="3">
        <f ca="1">IFERROR(__xludf.DUMMYFUNCTION("""COMPUTED_VALUE"""),42919.6666666666)</f>
        <v>42919.666666666599</v>
      </c>
      <c r="B1767" s="1">
        <f ca="1">IFERROR(__xludf.DUMMYFUNCTION("""COMPUTED_VALUE"""),23.51)</f>
        <v>23.51</v>
      </c>
    </row>
    <row r="1768" spans="1:2">
      <c r="A1768" s="3">
        <f ca="1">IFERROR(__xludf.DUMMYFUNCTION("""COMPUTED_VALUE"""),42921.6666666666)</f>
        <v>42921.666666666599</v>
      </c>
      <c r="B1768" s="1">
        <f ca="1">IFERROR(__xludf.DUMMYFUNCTION("""COMPUTED_VALUE"""),21.81)</f>
        <v>21.81</v>
      </c>
    </row>
    <row r="1769" spans="1:2">
      <c r="A1769" s="3">
        <f ca="1">IFERROR(__xludf.DUMMYFUNCTION("""COMPUTED_VALUE"""),42922.6666666666)</f>
        <v>42922.666666666599</v>
      </c>
      <c r="B1769" s="1">
        <f ca="1">IFERROR(__xludf.DUMMYFUNCTION("""COMPUTED_VALUE"""),20.59)</f>
        <v>20.59</v>
      </c>
    </row>
    <row r="1770" spans="1:2">
      <c r="A1770" s="3">
        <f ca="1">IFERROR(__xludf.DUMMYFUNCTION("""COMPUTED_VALUE"""),42923.6666666666)</f>
        <v>42923.666666666599</v>
      </c>
      <c r="B1770" s="1">
        <f ca="1">IFERROR(__xludf.DUMMYFUNCTION("""COMPUTED_VALUE"""),20.88)</f>
        <v>20.88</v>
      </c>
    </row>
    <row r="1771" spans="1:2">
      <c r="A1771" s="3">
        <f ca="1">IFERROR(__xludf.DUMMYFUNCTION("""COMPUTED_VALUE"""),42926.6666666666)</f>
        <v>42926.666666666599</v>
      </c>
      <c r="B1771" s="1">
        <f ca="1">IFERROR(__xludf.DUMMYFUNCTION("""COMPUTED_VALUE"""),21.07)</f>
        <v>21.07</v>
      </c>
    </row>
    <row r="1772" spans="1:2">
      <c r="A1772" s="3">
        <f ca="1">IFERROR(__xludf.DUMMYFUNCTION("""COMPUTED_VALUE"""),42927.6666666666)</f>
        <v>42927.666666666599</v>
      </c>
      <c r="B1772" s="1">
        <f ca="1">IFERROR(__xludf.DUMMYFUNCTION("""COMPUTED_VALUE"""),21.81)</f>
        <v>21.81</v>
      </c>
    </row>
    <row r="1773" spans="1:2">
      <c r="A1773" s="3">
        <f ca="1">IFERROR(__xludf.DUMMYFUNCTION("""COMPUTED_VALUE"""),42928.6666666666)</f>
        <v>42928.666666666599</v>
      </c>
      <c r="B1773" s="1">
        <f ca="1">IFERROR(__xludf.DUMMYFUNCTION("""COMPUTED_VALUE"""),21.97)</f>
        <v>21.97</v>
      </c>
    </row>
    <row r="1774" spans="1:2">
      <c r="A1774" s="3">
        <f ca="1">IFERROR(__xludf.DUMMYFUNCTION("""COMPUTED_VALUE"""),42929.6666666666)</f>
        <v>42929.666666666599</v>
      </c>
      <c r="B1774" s="1">
        <f ca="1">IFERROR(__xludf.DUMMYFUNCTION("""COMPUTED_VALUE"""),21.56)</f>
        <v>21.56</v>
      </c>
    </row>
    <row r="1775" spans="1:2">
      <c r="A1775" s="3">
        <f ca="1">IFERROR(__xludf.DUMMYFUNCTION("""COMPUTED_VALUE"""),42930.6666666666)</f>
        <v>42930.666666666599</v>
      </c>
      <c r="B1775" s="1">
        <f ca="1">IFERROR(__xludf.DUMMYFUNCTION("""COMPUTED_VALUE"""),21.85)</f>
        <v>21.85</v>
      </c>
    </row>
    <row r="1776" spans="1:2">
      <c r="A1776" s="3">
        <f ca="1">IFERROR(__xludf.DUMMYFUNCTION("""COMPUTED_VALUE"""),42933.6666666666)</f>
        <v>42933.666666666599</v>
      </c>
      <c r="B1776" s="1">
        <f ca="1">IFERROR(__xludf.DUMMYFUNCTION("""COMPUTED_VALUE"""),21.3)</f>
        <v>21.3</v>
      </c>
    </row>
    <row r="1777" spans="1:2">
      <c r="A1777" s="3">
        <f ca="1">IFERROR(__xludf.DUMMYFUNCTION("""COMPUTED_VALUE"""),42934.6666666666)</f>
        <v>42934.666666666599</v>
      </c>
      <c r="B1777" s="1">
        <f ca="1">IFERROR(__xludf.DUMMYFUNCTION("""COMPUTED_VALUE"""),21.88)</f>
        <v>21.88</v>
      </c>
    </row>
    <row r="1778" spans="1:2">
      <c r="A1778" s="3">
        <f ca="1">IFERROR(__xludf.DUMMYFUNCTION("""COMPUTED_VALUE"""),42935.6666666666)</f>
        <v>42935.666666666599</v>
      </c>
      <c r="B1778" s="1">
        <f ca="1">IFERROR(__xludf.DUMMYFUNCTION("""COMPUTED_VALUE"""),21.68)</f>
        <v>21.68</v>
      </c>
    </row>
    <row r="1779" spans="1:2">
      <c r="A1779" s="3">
        <f ca="1">IFERROR(__xludf.DUMMYFUNCTION("""COMPUTED_VALUE"""),42936.6666666666)</f>
        <v>42936.666666666599</v>
      </c>
      <c r="B1779" s="1">
        <f ca="1">IFERROR(__xludf.DUMMYFUNCTION("""COMPUTED_VALUE"""),21.99)</f>
        <v>21.99</v>
      </c>
    </row>
    <row r="1780" spans="1:2">
      <c r="A1780" s="3">
        <f ca="1">IFERROR(__xludf.DUMMYFUNCTION("""COMPUTED_VALUE"""),42937.6666666666)</f>
        <v>42937.666666666599</v>
      </c>
      <c r="B1780" s="1">
        <f ca="1">IFERROR(__xludf.DUMMYFUNCTION("""COMPUTED_VALUE"""),21.89)</f>
        <v>21.89</v>
      </c>
    </row>
    <row r="1781" spans="1:2">
      <c r="A1781" s="3">
        <f ca="1">IFERROR(__xludf.DUMMYFUNCTION("""COMPUTED_VALUE"""),42940.6666666666)</f>
        <v>42940.666666666599</v>
      </c>
      <c r="B1781" s="1">
        <f ca="1">IFERROR(__xludf.DUMMYFUNCTION("""COMPUTED_VALUE"""),22.83)</f>
        <v>22.83</v>
      </c>
    </row>
    <row r="1782" spans="1:2">
      <c r="A1782" s="3">
        <f ca="1">IFERROR(__xludf.DUMMYFUNCTION("""COMPUTED_VALUE"""),42941.6666666666)</f>
        <v>42941.666666666599</v>
      </c>
      <c r="B1782" s="1">
        <f ca="1">IFERROR(__xludf.DUMMYFUNCTION("""COMPUTED_VALUE"""),22.64)</f>
        <v>22.64</v>
      </c>
    </row>
    <row r="1783" spans="1:2">
      <c r="A1783" s="3">
        <f ca="1">IFERROR(__xludf.DUMMYFUNCTION("""COMPUTED_VALUE"""),42942.6666666666)</f>
        <v>42942.666666666599</v>
      </c>
      <c r="B1783" s="1">
        <f ca="1">IFERROR(__xludf.DUMMYFUNCTION("""COMPUTED_VALUE"""),22.92)</f>
        <v>22.92</v>
      </c>
    </row>
    <row r="1784" spans="1:2">
      <c r="A1784" s="3">
        <f ca="1">IFERROR(__xludf.DUMMYFUNCTION("""COMPUTED_VALUE"""),42943.6666666666)</f>
        <v>42943.666666666599</v>
      </c>
      <c r="B1784" s="1">
        <f ca="1">IFERROR(__xludf.DUMMYFUNCTION("""COMPUTED_VALUE"""),22.3)</f>
        <v>22.3</v>
      </c>
    </row>
    <row r="1785" spans="1:2">
      <c r="A1785" s="3">
        <f ca="1">IFERROR(__xludf.DUMMYFUNCTION("""COMPUTED_VALUE"""),42944.6666666666)</f>
        <v>42944.666666666599</v>
      </c>
      <c r="B1785" s="1">
        <f ca="1">IFERROR(__xludf.DUMMYFUNCTION("""COMPUTED_VALUE"""),22.34)</f>
        <v>22.34</v>
      </c>
    </row>
    <row r="1786" spans="1:2">
      <c r="A1786" s="3">
        <f ca="1">IFERROR(__xludf.DUMMYFUNCTION("""COMPUTED_VALUE"""),42947.6666666666)</f>
        <v>42947.666666666599</v>
      </c>
      <c r="B1786" s="1">
        <f ca="1">IFERROR(__xludf.DUMMYFUNCTION("""COMPUTED_VALUE"""),21.56)</f>
        <v>21.56</v>
      </c>
    </row>
    <row r="1787" spans="1:2">
      <c r="A1787" s="3">
        <f ca="1">IFERROR(__xludf.DUMMYFUNCTION("""COMPUTED_VALUE"""),42948.6666666666)</f>
        <v>42948.666666666599</v>
      </c>
      <c r="B1787" s="1">
        <f ca="1">IFERROR(__xludf.DUMMYFUNCTION("""COMPUTED_VALUE"""),21.3)</f>
        <v>21.3</v>
      </c>
    </row>
    <row r="1788" spans="1:2">
      <c r="A1788" s="3">
        <f ca="1">IFERROR(__xludf.DUMMYFUNCTION("""COMPUTED_VALUE"""),42949.6666666666)</f>
        <v>42949.666666666599</v>
      </c>
      <c r="B1788" s="1">
        <f ca="1">IFERROR(__xludf.DUMMYFUNCTION("""COMPUTED_VALUE"""),21.73)</f>
        <v>21.73</v>
      </c>
    </row>
    <row r="1789" spans="1:2">
      <c r="A1789" s="3">
        <f ca="1">IFERROR(__xludf.DUMMYFUNCTION("""COMPUTED_VALUE"""),42950.6666666666)</f>
        <v>42950.666666666599</v>
      </c>
      <c r="B1789" s="1">
        <f ca="1">IFERROR(__xludf.DUMMYFUNCTION("""COMPUTED_VALUE"""),23.14)</f>
        <v>23.14</v>
      </c>
    </row>
    <row r="1790" spans="1:2">
      <c r="A1790" s="3">
        <f ca="1">IFERROR(__xludf.DUMMYFUNCTION("""COMPUTED_VALUE"""),42951.6666666666)</f>
        <v>42951.666666666599</v>
      </c>
      <c r="B1790" s="1">
        <f ca="1">IFERROR(__xludf.DUMMYFUNCTION("""COMPUTED_VALUE"""),23.79)</f>
        <v>23.79</v>
      </c>
    </row>
    <row r="1791" spans="1:2">
      <c r="A1791" s="3">
        <f ca="1">IFERROR(__xludf.DUMMYFUNCTION("""COMPUTED_VALUE"""),42954.6666666666)</f>
        <v>42954.666666666599</v>
      </c>
      <c r="B1791" s="1">
        <f ca="1">IFERROR(__xludf.DUMMYFUNCTION("""COMPUTED_VALUE"""),23.68)</f>
        <v>23.68</v>
      </c>
    </row>
    <row r="1792" spans="1:2">
      <c r="A1792" s="3">
        <f ca="1">IFERROR(__xludf.DUMMYFUNCTION("""COMPUTED_VALUE"""),42955.6666666666)</f>
        <v>42955.666666666599</v>
      </c>
      <c r="B1792" s="1">
        <f ca="1">IFERROR(__xludf.DUMMYFUNCTION("""COMPUTED_VALUE"""),24.35)</f>
        <v>24.35</v>
      </c>
    </row>
    <row r="1793" spans="1:2">
      <c r="A1793" s="3">
        <f ca="1">IFERROR(__xludf.DUMMYFUNCTION("""COMPUTED_VALUE"""),42956.6666666666)</f>
        <v>42956.666666666599</v>
      </c>
      <c r="B1793" s="1">
        <f ca="1">IFERROR(__xludf.DUMMYFUNCTION("""COMPUTED_VALUE"""),24.24)</f>
        <v>24.24</v>
      </c>
    </row>
    <row r="1794" spans="1:2">
      <c r="A1794" s="3">
        <f ca="1">IFERROR(__xludf.DUMMYFUNCTION("""COMPUTED_VALUE"""),42957.6666666666)</f>
        <v>42957.666666666599</v>
      </c>
      <c r="B1794" s="1">
        <f ca="1">IFERROR(__xludf.DUMMYFUNCTION("""COMPUTED_VALUE"""),23.69)</f>
        <v>23.69</v>
      </c>
    </row>
    <row r="1795" spans="1:2">
      <c r="A1795" s="3">
        <f ca="1">IFERROR(__xludf.DUMMYFUNCTION("""COMPUTED_VALUE"""),42958.6666666666)</f>
        <v>42958.666666666599</v>
      </c>
      <c r="B1795" s="1">
        <f ca="1">IFERROR(__xludf.DUMMYFUNCTION("""COMPUTED_VALUE"""),23.86)</f>
        <v>23.86</v>
      </c>
    </row>
    <row r="1796" spans="1:2">
      <c r="A1796" s="3">
        <f ca="1">IFERROR(__xludf.DUMMYFUNCTION("""COMPUTED_VALUE"""),42961.6666666666)</f>
        <v>42961.666666666599</v>
      </c>
      <c r="B1796" s="1">
        <f ca="1">IFERROR(__xludf.DUMMYFUNCTION("""COMPUTED_VALUE"""),24.25)</f>
        <v>24.25</v>
      </c>
    </row>
    <row r="1797" spans="1:2">
      <c r="A1797" s="3">
        <f ca="1">IFERROR(__xludf.DUMMYFUNCTION("""COMPUTED_VALUE"""),42962.6666666666)</f>
        <v>42962.666666666599</v>
      </c>
      <c r="B1797" s="1">
        <f ca="1">IFERROR(__xludf.DUMMYFUNCTION("""COMPUTED_VALUE"""),24.16)</f>
        <v>24.16</v>
      </c>
    </row>
    <row r="1798" spans="1:2">
      <c r="A1798" s="3">
        <f ca="1">IFERROR(__xludf.DUMMYFUNCTION("""COMPUTED_VALUE"""),42963.6666666666)</f>
        <v>42963.666666666599</v>
      </c>
      <c r="B1798" s="1">
        <f ca="1">IFERROR(__xludf.DUMMYFUNCTION("""COMPUTED_VALUE"""),24.19)</f>
        <v>24.19</v>
      </c>
    </row>
    <row r="1799" spans="1:2">
      <c r="A1799" s="3">
        <f ca="1">IFERROR(__xludf.DUMMYFUNCTION("""COMPUTED_VALUE"""),42964.6666666666)</f>
        <v>42964.666666666599</v>
      </c>
      <c r="B1799" s="1">
        <f ca="1">IFERROR(__xludf.DUMMYFUNCTION("""COMPUTED_VALUE"""),23.46)</f>
        <v>23.46</v>
      </c>
    </row>
    <row r="1800" spans="1:2">
      <c r="A1800" s="3">
        <f ca="1">IFERROR(__xludf.DUMMYFUNCTION("""COMPUTED_VALUE"""),42965.6666666666)</f>
        <v>42965.666666666599</v>
      </c>
      <c r="B1800" s="1">
        <f ca="1">IFERROR(__xludf.DUMMYFUNCTION("""COMPUTED_VALUE"""),23.16)</f>
        <v>23.16</v>
      </c>
    </row>
    <row r="1801" spans="1:2">
      <c r="A1801" s="3">
        <f ca="1">IFERROR(__xludf.DUMMYFUNCTION("""COMPUTED_VALUE"""),42968.6666666666)</f>
        <v>42968.666666666599</v>
      </c>
      <c r="B1801" s="1">
        <f ca="1">IFERROR(__xludf.DUMMYFUNCTION("""COMPUTED_VALUE"""),22.52)</f>
        <v>22.52</v>
      </c>
    </row>
    <row r="1802" spans="1:2">
      <c r="A1802" s="3">
        <f ca="1">IFERROR(__xludf.DUMMYFUNCTION("""COMPUTED_VALUE"""),42969.6666666666)</f>
        <v>42969.666666666599</v>
      </c>
      <c r="B1802" s="1">
        <f ca="1">IFERROR(__xludf.DUMMYFUNCTION("""COMPUTED_VALUE"""),22.76)</f>
        <v>22.76</v>
      </c>
    </row>
    <row r="1803" spans="1:2">
      <c r="A1803" s="3">
        <f ca="1">IFERROR(__xludf.DUMMYFUNCTION("""COMPUTED_VALUE"""),42970.6666666666)</f>
        <v>42970.666666666599</v>
      </c>
      <c r="B1803" s="1">
        <f ca="1">IFERROR(__xludf.DUMMYFUNCTION("""COMPUTED_VALUE"""),23.52)</f>
        <v>23.52</v>
      </c>
    </row>
    <row r="1804" spans="1:2">
      <c r="A1804" s="3">
        <f ca="1">IFERROR(__xludf.DUMMYFUNCTION("""COMPUTED_VALUE"""),42971.6666666666)</f>
        <v>42971.666666666599</v>
      </c>
      <c r="B1804" s="1">
        <f ca="1">IFERROR(__xludf.DUMMYFUNCTION("""COMPUTED_VALUE"""),23.53)</f>
        <v>23.53</v>
      </c>
    </row>
    <row r="1805" spans="1:2">
      <c r="A1805" s="3">
        <f ca="1">IFERROR(__xludf.DUMMYFUNCTION("""COMPUTED_VALUE"""),42972.6666666666)</f>
        <v>42972.666666666599</v>
      </c>
      <c r="B1805" s="1">
        <f ca="1">IFERROR(__xludf.DUMMYFUNCTION("""COMPUTED_VALUE"""),23.2)</f>
        <v>23.2</v>
      </c>
    </row>
    <row r="1806" spans="1:2">
      <c r="A1806" s="3">
        <f ca="1">IFERROR(__xludf.DUMMYFUNCTION("""COMPUTED_VALUE"""),42975.6666666666)</f>
        <v>42975.666666666599</v>
      </c>
      <c r="B1806" s="1">
        <f ca="1">IFERROR(__xludf.DUMMYFUNCTION("""COMPUTED_VALUE"""),23.04)</f>
        <v>23.04</v>
      </c>
    </row>
    <row r="1807" spans="1:2">
      <c r="A1807" s="3">
        <f ca="1">IFERROR(__xludf.DUMMYFUNCTION("""COMPUTED_VALUE"""),42976.6666666666)</f>
        <v>42976.666666666599</v>
      </c>
      <c r="B1807" s="1">
        <f ca="1">IFERROR(__xludf.DUMMYFUNCTION("""COMPUTED_VALUE"""),23.16)</f>
        <v>23.16</v>
      </c>
    </row>
    <row r="1808" spans="1:2">
      <c r="A1808" s="3">
        <f ca="1">IFERROR(__xludf.DUMMYFUNCTION("""COMPUTED_VALUE"""),42977.6666666666)</f>
        <v>42977.666666666599</v>
      </c>
      <c r="B1808" s="1">
        <f ca="1">IFERROR(__xludf.DUMMYFUNCTION("""COMPUTED_VALUE"""),23.55)</f>
        <v>23.55</v>
      </c>
    </row>
    <row r="1809" spans="1:2">
      <c r="A1809" s="3">
        <f ca="1">IFERROR(__xludf.DUMMYFUNCTION("""COMPUTED_VALUE"""),42978.6666666666)</f>
        <v>42978.666666666599</v>
      </c>
      <c r="B1809" s="1">
        <f ca="1">IFERROR(__xludf.DUMMYFUNCTION("""COMPUTED_VALUE"""),23.73)</f>
        <v>23.73</v>
      </c>
    </row>
    <row r="1810" spans="1:2">
      <c r="A1810" s="3">
        <f ca="1">IFERROR(__xludf.DUMMYFUNCTION("""COMPUTED_VALUE"""),42979.6666666666)</f>
        <v>42979.666666666599</v>
      </c>
      <c r="B1810" s="1">
        <f ca="1">IFERROR(__xludf.DUMMYFUNCTION("""COMPUTED_VALUE"""),23.69)</f>
        <v>23.69</v>
      </c>
    </row>
    <row r="1811" spans="1:2">
      <c r="A1811" s="3">
        <f ca="1">IFERROR(__xludf.DUMMYFUNCTION("""COMPUTED_VALUE"""),42983.6666666666)</f>
        <v>42983.666666666599</v>
      </c>
      <c r="B1811" s="1">
        <f ca="1">IFERROR(__xludf.DUMMYFUNCTION("""COMPUTED_VALUE"""),23.31)</f>
        <v>23.31</v>
      </c>
    </row>
    <row r="1812" spans="1:2">
      <c r="A1812" s="3">
        <f ca="1">IFERROR(__xludf.DUMMYFUNCTION("""COMPUTED_VALUE"""),42984.6666666666)</f>
        <v>42984.666666666599</v>
      </c>
      <c r="B1812" s="1">
        <f ca="1">IFERROR(__xludf.DUMMYFUNCTION("""COMPUTED_VALUE"""),22.97)</f>
        <v>22.97</v>
      </c>
    </row>
    <row r="1813" spans="1:2">
      <c r="A1813" s="3">
        <f ca="1">IFERROR(__xludf.DUMMYFUNCTION("""COMPUTED_VALUE"""),42985.6666666666)</f>
        <v>42985.666666666599</v>
      </c>
      <c r="B1813" s="1">
        <f ca="1">IFERROR(__xludf.DUMMYFUNCTION("""COMPUTED_VALUE"""),23.37)</f>
        <v>23.37</v>
      </c>
    </row>
    <row r="1814" spans="1:2">
      <c r="A1814" s="3">
        <f ca="1">IFERROR(__xludf.DUMMYFUNCTION("""COMPUTED_VALUE"""),42986.6666666666)</f>
        <v>42986.666666666599</v>
      </c>
      <c r="B1814" s="1">
        <f ca="1">IFERROR(__xludf.DUMMYFUNCTION("""COMPUTED_VALUE"""),22.89)</f>
        <v>22.89</v>
      </c>
    </row>
    <row r="1815" spans="1:2">
      <c r="A1815" s="3">
        <f ca="1">IFERROR(__xludf.DUMMYFUNCTION("""COMPUTED_VALUE"""),42989.6666666666)</f>
        <v>42989.666666666599</v>
      </c>
      <c r="B1815" s="1">
        <f ca="1">IFERROR(__xludf.DUMMYFUNCTION("""COMPUTED_VALUE"""),24.25)</f>
        <v>24.25</v>
      </c>
    </row>
    <row r="1816" spans="1:2">
      <c r="A1816" s="3">
        <f ca="1">IFERROR(__xludf.DUMMYFUNCTION("""COMPUTED_VALUE"""),42990.6666666666)</f>
        <v>42990.666666666599</v>
      </c>
      <c r="B1816" s="1">
        <f ca="1">IFERROR(__xludf.DUMMYFUNCTION("""COMPUTED_VALUE"""),24.18)</f>
        <v>24.18</v>
      </c>
    </row>
    <row r="1817" spans="1:2">
      <c r="A1817" s="3">
        <f ca="1">IFERROR(__xludf.DUMMYFUNCTION("""COMPUTED_VALUE"""),42991.6666666666)</f>
        <v>42991.666666666599</v>
      </c>
      <c r="B1817" s="1">
        <f ca="1">IFERROR(__xludf.DUMMYFUNCTION("""COMPUTED_VALUE"""),24.42)</f>
        <v>24.42</v>
      </c>
    </row>
    <row r="1818" spans="1:2">
      <c r="A1818" s="3">
        <f ca="1">IFERROR(__xludf.DUMMYFUNCTION("""COMPUTED_VALUE"""),42992.6666666666)</f>
        <v>42992.666666666599</v>
      </c>
      <c r="B1818" s="1">
        <f ca="1">IFERROR(__xludf.DUMMYFUNCTION("""COMPUTED_VALUE"""),25.18)</f>
        <v>25.18</v>
      </c>
    </row>
    <row r="1819" spans="1:2">
      <c r="A1819" s="3">
        <f ca="1">IFERROR(__xludf.DUMMYFUNCTION("""COMPUTED_VALUE"""),42993.6666666666)</f>
        <v>42993.666666666599</v>
      </c>
      <c r="B1819" s="1">
        <f ca="1">IFERROR(__xludf.DUMMYFUNCTION("""COMPUTED_VALUE"""),25.32)</f>
        <v>25.32</v>
      </c>
    </row>
    <row r="1820" spans="1:2">
      <c r="A1820" s="3">
        <f ca="1">IFERROR(__xludf.DUMMYFUNCTION("""COMPUTED_VALUE"""),42996.6666666666)</f>
        <v>42996.666666666599</v>
      </c>
      <c r="B1820" s="1">
        <f ca="1">IFERROR(__xludf.DUMMYFUNCTION("""COMPUTED_VALUE"""),25.67)</f>
        <v>25.67</v>
      </c>
    </row>
    <row r="1821" spans="1:2">
      <c r="A1821" s="3">
        <f ca="1">IFERROR(__xludf.DUMMYFUNCTION("""COMPUTED_VALUE"""),42997.6666666666)</f>
        <v>42997.666666666599</v>
      </c>
      <c r="B1821" s="1">
        <f ca="1">IFERROR(__xludf.DUMMYFUNCTION("""COMPUTED_VALUE"""),25.01)</f>
        <v>25.01</v>
      </c>
    </row>
    <row r="1822" spans="1:2">
      <c r="A1822" s="3">
        <f ca="1">IFERROR(__xludf.DUMMYFUNCTION("""COMPUTED_VALUE"""),42998.6666666666)</f>
        <v>42998.666666666599</v>
      </c>
      <c r="B1822" s="1">
        <f ca="1">IFERROR(__xludf.DUMMYFUNCTION("""COMPUTED_VALUE"""),24.93)</f>
        <v>24.93</v>
      </c>
    </row>
    <row r="1823" spans="1:2">
      <c r="A1823" s="3">
        <f ca="1">IFERROR(__xludf.DUMMYFUNCTION("""COMPUTED_VALUE"""),42999.6666666666)</f>
        <v>42999.666666666599</v>
      </c>
      <c r="B1823" s="1">
        <f ca="1">IFERROR(__xludf.DUMMYFUNCTION("""COMPUTED_VALUE"""),24.43)</f>
        <v>24.43</v>
      </c>
    </row>
    <row r="1824" spans="1:2">
      <c r="A1824" s="3">
        <f ca="1">IFERROR(__xludf.DUMMYFUNCTION("""COMPUTED_VALUE"""),43000.6666666666)</f>
        <v>43000.666666666599</v>
      </c>
      <c r="B1824" s="1">
        <f ca="1">IFERROR(__xludf.DUMMYFUNCTION("""COMPUTED_VALUE"""),23.41)</f>
        <v>23.41</v>
      </c>
    </row>
    <row r="1825" spans="1:2">
      <c r="A1825" s="3">
        <f ca="1">IFERROR(__xludf.DUMMYFUNCTION("""COMPUTED_VALUE"""),43003.6666666666)</f>
        <v>43003.666666666599</v>
      </c>
      <c r="B1825" s="1">
        <f ca="1">IFERROR(__xludf.DUMMYFUNCTION("""COMPUTED_VALUE"""),23)</f>
        <v>23</v>
      </c>
    </row>
    <row r="1826" spans="1:2">
      <c r="A1826" s="3">
        <f ca="1">IFERROR(__xludf.DUMMYFUNCTION("""COMPUTED_VALUE"""),43004.6666666666)</f>
        <v>43004.666666666599</v>
      </c>
      <c r="B1826" s="1">
        <f ca="1">IFERROR(__xludf.DUMMYFUNCTION("""COMPUTED_VALUE"""),23.02)</f>
        <v>23.02</v>
      </c>
    </row>
    <row r="1827" spans="1:2">
      <c r="A1827" s="3">
        <f ca="1">IFERROR(__xludf.DUMMYFUNCTION("""COMPUTED_VALUE"""),43005.6666666666)</f>
        <v>43005.666666666599</v>
      </c>
      <c r="B1827" s="1">
        <f ca="1">IFERROR(__xludf.DUMMYFUNCTION("""COMPUTED_VALUE"""),22.73)</f>
        <v>22.73</v>
      </c>
    </row>
    <row r="1828" spans="1:2">
      <c r="A1828" s="3">
        <f ca="1">IFERROR(__xludf.DUMMYFUNCTION("""COMPUTED_VALUE"""),43006.6666666666)</f>
        <v>43006.666666666599</v>
      </c>
      <c r="B1828" s="1">
        <f ca="1">IFERROR(__xludf.DUMMYFUNCTION("""COMPUTED_VALUE"""),22.64)</f>
        <v>22.64</v>
      </c>
    </row>
    <row r="1829" spans="1:2">
      <c r="A1829" s="3">
        <f ca="1">IFERROR(__xludf.DUMMYFUNCTION("""COMPUTED_VALUE"""),43007.6666666666)</f>
        <v>43007.666666666599</v>
      </c>
      <c r="B1829" s="1">
        <f ca="1">IFERROR(__xludf.DUMMYFUNCTION("""COMPUTED_VALUE"""),22.74)</f>
        <v>22.74</v>
      </c>
    </row>
    <row r="1830" spans="1:2">
      <c r="A1830" s="3">
        <f ca="1">IFERROR(__xludf.DUMMYFUNCTION("""COMPUTED_VALUE"""),43010.6666666666)</f>
        <v>43010.666666666599</v>
      </c>
      <c r="B1830" s="1">
        <f ca="1">IFERROR(__xludf.DUMMYFUNCTION("""COMPUTED_VALUE"""),22.77)</f>
        <v>22.77</v>
      </c>
    </row>
    <row r="1831" spans="1:2">
      <c r="A1831" s="3">
        <f ca="1">IFERROR(__xludf.DUMMYFUNCTION("""COMPUTED_VALUE"""),43011.6666666666)</f>
        <v>43011.666666666599</v>
      </c>
      <c r="B1831" s="1">
        <f ca="1">IFERROR(__xludf.DUMMYFUNCTION("""COMPUTED_VALUE"""),23.21)</f>
        <v>23.21</v>
      </c>
    </row>
    <row r="1832" spans="1:2">
      <c r="A1832" s="3">
        <f ca="1">IFERROR(__xludf.DUMMYFUNCTION("""COMPUTED_VALUE"""),43012.6666666666)</f>
        <v>43012.666666666599</v>
      </c>
      <c r="B1832" s="1">
        <f ca="1">IFERROR(__xludf.DUMMYFUNCTION("""COMPUTED_VALUE"""),23.67)</f>
        <v>23.67</v>
      </c>
    </row>
    <row r="1833" spans="1:2">
      <c r="A1833" s="3">
        <f ca="1">IFERROR(__xludf.DUMMYFUNCTION("""COMPUTED_VALUE"""),43013.6666666666)</f>
        <v>43013.666666666599</v>
      </c>
      <c r="B1833" s="1">
        <f ca="1">IFERROR(__xludf.DUMMYFUNCTION("""COMPUTED_VALUE"""),23.69)</f>
        <v>23.69</v>
      </c>
    </row>
    <row r="1834" spans="1:2">
      <c r="A1834" s="3">
        <f ca="1">IFERROR(__xludf.DUMMYFUNCTION("""COMPUTED_VALUE"""),43014.6666666666)</f>
        <v>43014.666666666599</v>
      </c>
      <c r="B1834" s="1">
        <f ca="1">IFERROR(__xludf.DUMMYFUNCTION("""COMPUTED_VALUE"""),23.79)</f>
        <v>23.79</v>
      </c>
    </row>
    <row r="1835" spans="1:2">
      <c r="A1835" s="3">
        <f ca="1">IFERROR(__xludf.DUMMYFUNCTION("""COMPUTED_VALUE"""),43017.6666666666)</f>
        <v>43017.666666666599</v>
      </c>
      <c r="B1835" s="1">
        <f ca="1">IFERROR(__xludf.DUMMYFUNCTION("""COMPUTED_VALUE"""),22.86)</f>
        <v>22.86</v>
      </c>
    </row>
    <row r="1836" spans="1:2">
      <c r="A1836" s="3">
        <f ca="1">IFERROR(__xludf.DUMMYFUNCTION("""COMPUTED_VALUE"""),43018.6666666666)</f>
        <v>43018.666666666599</v>
      </c>
      <c r="B1836" s="1">
        <f ca="1">IFERROR(__xludf.DUMMYFUNCTION("""COMPUTED_VALUE"""),23.71)</f>
        <v>23.71</v>
      </c>
    </row>
    <row r="1837" spans="1:2">
      <c r="A1837" s="3">
        <f ca="1">IFERROR(__xludf.DUMMYFUNCTION("""COMPUTED_VALUE"""),43019.6666666666)</f>
        <v>43019.666666666599</v>
      </c>
      <c r="B1837" s="1">
        <f ca="1">IFERROR(__xludf.DUMMYFUNCTION("""COMPUTED_VALUE"""),23.64)</f>
        <v>23.64</v>
      </c>
    </row>
    <row r="1838" spans="1:2">
      <c r="A1838" s="3">
        <f ca="1">IFERROR(__xludf.DUMMYFUNCTION("""COMPUTED_VALUE"""),43020.6666666666)</f>
        <v>43020.666666666599</v>
      </c>
      <c r="B1838" s="1">
        <f ca="1">IFERROR(__xludf.DUMMYFUNCTION("""COMPUTED_VALUE"""),23.71)</f>
        <v>23.71</v>
      </c>
    </row>
    <row r="1839" spans="1:2">
      <c r="A1839" s="3">
        <f ca="1">IFERROR(__xludf.DUMMYFUNCTION("""COMPUTED_VALUE"""),43021.6666666666)</f>
        <v>43021.666666666599</v>
      </c>
      <c r="B1839" s="1">
        <f ca="1">IFERROR(__xludf.DUMMYFUNCTION("""COMPUTED_VALUE"""),23.7)</f>
        <v>23.7</v>
      </c>
    </row>
    <row r="1840" spans="1:2">
      <c r="A1840" s="3">
        <f ca="1">IFERROR(__xludf.DUMMYFUNCTION("""COMPUTED_VALUE"""),43024.6666666666)</f>
        <v>43024.666666666599</v>
      </c>
      <c r="B1840" s="1">
        <f ca="1">IFERROR(__xludf.DUMMYFUNCTION("""COMPUTED_VALUE"""),23.37)</f>
        <v>23.37</v>
      </c>
    </row>
    <row r="1841" spans="1:2">
      <c r="A1841" s="3">
        <f ca="1">IFERROR(__xludf.DUMMYFUNCTION("""COMPUTED_VALUE"""),43025.6666666666)</f>
        <v>43025.666666666599</v>
      </c>
      <c r="B1841" s="1">
        <f ca="1">IFERROR(__xludf.DUMMYFUNCTION("""COMPUTED_VALUE"""),23.72)</f>
        <v>23.72</v>
      </c>
    </row>
    <row r="1842" spans="1:2">
      <c r="A1842" s="3">
        <f ca="1">IFERROR(__xludf.DUMMYFUNCTION("""COMPUTED_VALUE"""),43026.6666666666)</f>
        <v>43026.666666666599</v>
      </c>
      <c r="B1842" s="1">
        <f ca="1">IFERROR(__xludf.DUMMYFUNCTION("""COMPUTED_VALUE"""),23.98)</f>
        <v>23.98</v>
      </c>
    </row>
    <row r="1843" spans="1:2">
      <c r="A1843" s="3">
        <f ca="1">IFERROR(__xludf.DUMMYFUNCTION("""COMPUTED_VALUE"""),43027.6666666666)</f>
        <v>43027.666666666599</v>
      </c>
      <c r="B1843" s="1">
        <f ca="1">IFERROR(__xludf.DUMMYFUNCTION("""COMPUTED_VALUE"""),23.45)</f>
        <v>23.45</v>
      </c>
    </row>
    <row r="1844" spans="1:2">
      <c r="A1844" s="3">
        <f ca="1">IFERROR(__xludf.DUMMYFUNCTION("""COMPUTED_VALUE"""),43028.6666666666)</f>
        <v>43028.666666666599</v>
      </c>
      <c r="B1844" s="1">
        <f ca="1">IFERROR(__xludf.DUMMYFUNCTION("""COMPUTED_VALUE"""),23.01)</f>
        <v>23.01</v>
      </c>
    </row>
    <row r="1845" spans="1:2">
      <c r="A1845" s="3">
        <f ca="1">IFERROR(__xludf.DUMMYFUNCTION("""COMPUTED_VALUE"""),43031.6666666666)</f>
        <v>43031.666666666599</v>
      </c>
      <c r="B1845" s="1">
        <f ca="1">IFERROR(__xludf.DUMMYFUNCTION("""COMPUTED_VALUE"""),22.47)</f>
        <v>22.47</v>
      </c>
    </row>
    <row r="1846" spans="1:2">
      <c r="A1846" s="3">
        <f ca="1">IFERROR(__xludf.DUMMYFUNCTION("""COMPUTED_VALUE"""),43032.6666666666)</f>
        <v>43032.666666666599</v>
      </c>
      <c r="B1846" s="1">
        <f ca="1">IFERROR(__xludf.DUMMYFUNCTION("""COMPUTED_VALUE"""),22.49)</f>
        <v>22.49</v>
      </c>
    </row>
    <row r="1847" spans="1:2">
      <c r="A1847" s="3">
        <f ca="1">IFERROR(__xludf.DUMMYFUNCTION("""COMPUTED_VALUE"""),43033.6666666666)</f>
        <v>43033.666666666599</v>
      </c>
      <c r="B1847" s="1">
        <f ca="1">IFERROR(__xludf.DUMMYFUNCTION("""COMPUTED_VALUE"""),21.72)</f>
        <v>21.72</v>
      </c>
    </row>
    <row r="1848" spans="1:2">
      <c r="A1848" s="3">
        <f ca="1">IFERROR(__xludf.DUMMYFUNCTION("""COMPUTED_VALUE"""),43034.6666666666)</f>
        <v>43034.666666666599</v>
      </c>
      <c r="B1848" s="1">
        <f ca="1">IFERROR(__xludf.DUMMYFUNCTION("""COMPUTED_VALUE"""),21.74)</f>
        <v>21.74</v>
      </c>
    </row>
    <row r="1849" spans="1:2">
      <c r="A1849" s="3">
        <f ca="1">IFERROR(__xludf.DUMMYFUNCTION("""COMPUTED_VALUE"""),43035.6666666666)</f>
        <v>43035.666666666599</v>
      </c>
      <c r="B1849" s="1">
        <f ca="1">IFERROR(__xludf.DUMMYFUNCTION("""COMPUTED_VALUE"""),21.39)</f>
        <v>21.39</v>
      </c>
    </row>
    <row r="1850" spans="1:2">
      <c r="A1850" s="3">
        <f ca="1">IFERROR(__xludf.DUMMYFUNCTION("""COMPUTED_VALUE"""),43038.6666666666)</f>
        <v>43038.666666666599</v>
      </c>
      <c r="B1850" s="1">
        <f ca="1">IFERROR(__xludf.DUMMYFUNCTION("""COMPUTED_VALUE"""),21.34)</f>
        <v>21.34</v>
      </c>
    </row>
    <row r="1851" spans="1:2">
      <c r="A1851" s="3">
        <f ca="1">IFERROR(__xludf.DUMMYFUNCTION("""COMPUTED_VALUE"""),43039.6666666666)</f>
        <v>43039.666666666599</v>
      </c>
      <c r="B1851" s="1">
        <f ca="1">IFERROR(__xludf.DUMMYFUNCTION("""COMPUTED_VALUE"""),22.1)</f>
        <v>22.1</v>
      </c>
    </row>
    <row r="1852" spans="1:2">
      <c r="A1852" s="3">
        <f ca="1">IFERROR(__xludf.DUMMYFUNCTION("""COMPUTED_VALUE"""),43040.6666666666)</f>
        <v>43040.666666666599</v>
      </c>
      <c r="B1852" s="1">
        <f ca="1">IFERROR(__xludf.DUMMYFUNCTION("""COMPUTED_VALUE"""),21.41)</f>
        <v>21.41</v>
      </c>
    </row>
    <row r="1853" spans="1:2">
      <c r="A1853" s="3">
        <f ca="1">IFERROR(__xludf.DUMMYFUNCTION("""COMPUTED_VALUE"""),43041.6666666666)</f>
        <v>43041.666666666599</v>
      </c>
      <c r="B1853" s="1">
        <f ca="1">IFERROR(__xludf.DUMMYFUNCTION("""COMPUTED_VALUE"""),19.95)</f>
        <v>19.95</v>
      </c>
    </row>
    <row r="1854" spans="1:2">
      <c r="A1854" s="3">
        <f ca="1">IFERROR(__xludf.DUMMYFUNCTION("""COMPUTED_VALUE"""),43042.6666666666)</f>
        <v>43042.666666666599</v>
      </c>
      <c r="B1854" s="1">
        <f ca="1">IFERROR(__xludf.DUMMYFUNCTION("""COMPUTED_VALUE"""),20.41)</f>
        <v>20.41</v>
      </c>
    </row>
    <row r="1855" spans="1:2">
      <c r="A1855" s="3">
        <f ca="1">IFERROR(__xludf.DUMMYFUNCTION("""COMPUTED_VALUE"""),43045.6666666666)</f>
        <v>43045.666666666599</v>
      </c>
      <c r="B1855" s="1">
        <f ca="1">IFERROR(__xludf.DUMMYFUNCTION("""COMPUTED_VALUE"""),20.19)</f>
        <v>20.190000000000001</v>
      </c>
    </row>
    <row r="1856" spans="1:2">
      <c r="A1856" s="3">
        <f ca="1">IFERROR(__xludf.DUMMYFUNCTION("""COMPUTED_VALUE"""),43046.6666666666)</f>
        <v>43046.666666666599</v>
      </c>
      <c r="B1856" s="1">
        <f ca="1">IFERROR(__xludf.DUMMYFUNCTION("""COMPUTED_VALUE"""),20.4)</f>
        <v>20.399999999999999</v>
      </c>
    </row>
    <row r="1857" spans="1:2">
      <c r="A1857" s="3">
        <f ca="1">IFERROR(__xludf.DUMMYFUNCTION("""COMPUTED_VALUE"""),43047.6666666666)</f>
        <v>43047.666666666599</v>
      </c>
      <c r="B1857" s="1">
        <f ca="1">IFERROR(__xludf.DUMMYFUNCTION("""COMPUTED_VALUE"""),20.29)</f>
        <v>20.29</v>
      </c>
    </row>
    <row r="1858" spans="1:2">
      <c r="A1858" s="3">
        <f ca="1">IFERROR(__xludf.DUMMYFUNCTION("""COMPUTED_VALUE"""),43048.6666666666)</f>
        <v>43048.666666666599</v>
      </c>
      <c r="B1858" s="1">
        <f ca="1">IFERROR(__xludf.DUMMYFUNCTION("""COMPUTED_VALUE"""),20.2)</f>
        <v>20.2</v>
      </c>
    </row>
    <row r="1859" spans="1:2">
      <c r="A1859" s="3">
        <f ca="1">IFERROR(__xludf.DUMMYFUNCTION("""COMPUTED_VALUE"""),43049.6666666666)</f>
        <v>43049.666666666599</v>
      </c>
      <c r="B1859" s="1">
        <f ca="1">IFERROR(__xludf.DUMMYFUNCTION("""COMPUTED_VALUE"""),20.2)</f>
        <v>20.2</v>
      </c>
    </row>
    <row r="1860" spans="1:2">
      <c r="A1860" s="3">
        <f ca="1">IFERROR(__xludf.DUMMYFUNCTION("""COMPUTED_VALUE"""),43052.6666666666)</f>
        <v>43052.666666666599</v>
      </c>
      <c r="B1860" s="1">
        <f ca="1">IFERROR(__xludf.DUMMYFUNCTION("""COMPUTED_VALUE"""),21.03)</f>
        <v>21.03</v>
      </c>
    </row>
    <row r="1861" spans="1:2">
      <c r="A1861" s="3">
        <f ca="1">IFERROR(__xludf.DUMMYFUNCTION("""COMPUTED_VALUE"""),43053.6666666666)</f>
        <v>43053.666666666599</v>
      </c>
      <c r="B1861" s="1">
        <f ca="1">IFERROR(__xludf.DUMMYFUNCTION("""COMPUTED_VALUE"""),20.58)</f>
        <v>20.58</v>
      </c>
    </row>
    <row r="1862" spans="1:2">
      <c r="A1862" s="3">
        <f ca="1">IFERROR(__xludf.DUMMYFUNCTION("""COMPUTED_VALUE"""),43054.6666666666)</f>
        <v>43054.666666666599</v>
      </c>
      <c r="B1862" s="1">
        <f ca="1">IFERROR(__xludf.DUMMYFUNCTION("""COMPUTED_VALUE"""),20.75)</f>
        <v>20.75</v>
      </c>
    </row>
    <row r="1863" spans="1:2">
      <c r="A1863" s="3">
        <f ca="1">IFERROR(__xludf.DUMMYFUNCTION("""COMPUTED_VALUE"""),43055.6666666666)</f>
        <v>43055.666666666599</v>
      </c>
      <c r="B1863" s="1">
        <f ca="1">IFERROR(__xludf.DUMMYFUNCTION("""COMPUTED_VALUE"""),20.83)</f>
        <v>20.83</v>
      </c>
    </row>
    <row r="1864" spans="1:2">
      <c r="A1864" s="3">
        <f ca="1">IFERROR(__xludf.DUMMYFUNCTION("""COMPUTED_VALUE"""),43056.6666666666)</f>
        <v>43056.666666666599</v>
      </c>
      <c r="B1864" s="1">
        <f ca="1">IFERROR(__xludf.DUMMYFUNCTION("""COMPUTED_VALUE"""),21)</f>
        <v>21</v>
      </c>
    </row>
    <row r="1865" spans="1:2">
      <c r="A1865" s="3">
        <f ca="1">IFERROR(__xludf.DUMMYFUNCTION("""COMPUTED_VALUE"""),43059.6666666666)</f>
        <v>43059.666666666599</v>
      </c>
      <c r="B1865" s="1">
        <f ca="1">IFERROR(__xludf.DUMMYFUNCTION("""COMPUTED_VALUE"""),20.58)</f>
        <v>20.58</v>
      </c>
    </row>
    <row r="1866" spans="1:2">
      <c r="A1866" s="3">
        <f ca="1">IFERROR(__xludf.DUMMYFUNCTION("""COMPUTED_VALUE"""),43060.6666666666)</f>
        <v>43060.666666666599</v>
      </c>
      <c r="B1866" s="1">
        <f ca="1">IFERROR(__xludf.DUMMYFUNCTION("""COMPUTED_VALUE"""),21.19)</f>
        <v>21.19</v>
      </c>
    </row>
    <row r="1867" spans="1:2">
      <c r="A1867" s="3">
        <f ca="1">IFERROR(__xludf.DUMMYFUNCTION("""COMPUTED_VALUE"""),43061.6666666666)</f>
        <v>43061.666666666599</v>
      </c>
      <c r="B1867" s="1">
        <f ca="1">IFERROR(__xludf.DUMMYFUNCTION("""COMPUTED_VALUE"""),20.84)</f>
        <v>20.84</v>
      </c>
    </row>
    <row r="1868" spans="1:2">
      <c r="A1868" s="3">
        <f ca="1">IFERROR(__xludf.DUMMYFUNCTION("""COMPUTED_VALUE"""),43063.5416666666)</f>
        <v>43063.541666666599</v>
      </c>
      <c r="B1868" s="1">
        <f ca="1">IFERROR(__xludf.DUMMYFUNCTION("""COMPUTED_VALUE"""),21.04)</f>
        <v>21.04</v>
      </c>
    </row>
    <row r="1869" spans="1:2">
      <c r="A1869" s="3">
        <f ca="1">IFERROR(__xludf.DUMMYFUNCTION("""COMPUTED_VALUE"""),43066.6666666666)</f>
        <v>43066.666666666599</v>
      </c>
      <c r="B1869" s="1">
        <f ca="1">IFERROR(__xludf.DUMMYFUNCTION("""COMPUTED_VALUE"""),21.12)</f>
        <v>21.12</v>
      </c>
    </row>
    <row r="1870" spans="1:2">
      <c r="A1870" s="3">
        <f ca="1">IFERROR(__xludf.DUMMYFUNCTION("""COMPUTED_VALUE"""),43067.6666666666)</f>
        <v>43067.666666666599</v>
      </c>
      <c r="B1870" s="1">
        <f ca="1">IFERROR(__xludf.DUMMYFUNCTION("""COMPUTED_VALUE"""),21.17)</f>
        <v>21.17</v>
      </c>
    </row>
    <row r="1871" spans="1:2">
      <c r="A1871" s="3">
        <f ca="1">IFERROR(__xludf.DUMMYFUNCTION("""COMPUTED_VALUE"""),43068.6666666666)</f>
        <v>43068.666666666599</v>
      </c>
      <c r="B1871" s="1">
        <f ca="1">IFERROR(__xludf.DUMMYFUNCTION("""COMPUTED_VALUE"""),20.5)</f>
        <v>20.5</v>
      </c>
    </row>
    <row r="1872" spans="1:2">
      <c r="A1872" s="3">
        <f ca="1">IFERROR(__xludf.DUMMYFUNCTION("""COMPUTED_VALUE"""),43069.6666666666)</f>
        <v>43069.666666666599</v>
      </c>
      <c r="B1872" s="1">
        <f ca="1">IFERROR(__xludf.DUMMYFUNCTION("""COMPUTED_VALUE"""),20.59)</f>
        <v>20.59</v>
      </c>
    </row>
    <row r="1873" spans="1:2">
      <c r="A1873" s="3">
        <f ca="1">IFERROR(__xludf.DUMMYFUNCTION("""COMPUTED_VALUE"""),43070.6666666666)</f>
        <v>43070.666666666599</v>
      </c>
      <c r="B1873" s="1">
        <f ca="1">IFERROR(__xludf.DUMMYFUNCTION("""COMPUTED_VALUE"""),20.44)</f>
        <v>20.440000000000001</v>
      </c>
    </row>
    <row r="1874" spans="1:2">
      <c r="A1874" s="3">
        <f ca="1">IFERROR(__xludf.DUMMYFUNCTION("""COMPUTED_VALUE"""),43073.6666666666)</f>
        <v>43073.666666666599</v>
      </c>
      <c r="B1874" s="1">
        <f ca="1">IFERROR(__xludf.DUMMYFUNCTION("""COMPUTED_VALUE"""),20.35)</f>
        <v>20.350000000000001</v>
      </c>
    </row>
    <row r="1875" spans="1:2">
      <c r="A1875" s="3">
        <f ca="1">IFERROR(__xludf.DUMMYFUNCTION("""COMPUTED_VALUE"""),43074.6666666666)</f>
        <v>43074.666666666599</v>
      </c>
      <c r="B1875" s="1">
        <f ca="1">IFERROR(__xludf.DUMMYFUNCTION("""COMPUTED_VALUE"""),20.25)</f>
        <v>20.25</v>
      </c>
    </row>
    <row r="1876" spans="1:2">
      <c r="A1876" s="3">
        <f ca="1">IFERROR(__xludf.DUMMYFUNCTION("""COMPUTED_VALUE"""),43075.6666666666)</f>
        <v>43075.666666666599</v>
      </c>
      <c r="B1876" s="1">
        <f ca="1">IFERROR(__xludf.DUMMYFUNCTION("""COMPUTED_VALUE"""),20.88)</f>
        <v>20.88</v>
      </c>
    </row>
    <row r="1877" spans="1:2">
      <c r="A1877" s="3">
        <f ca="1">IFERROR(__xludf.DUMMYFUNCTION("""COMPUTED_VALUE"""),43076.6666666666)</f>
        <v>43076.666666666599</v>
      </c>
      <c r="B1877" s="1">
        <f ca="1">IFERROR(__xludf.DUMMYFUNCTION("""COMPUTED_VALUE"""),20.75)</f>
        <v>20.75</v>
      </c>
    </row>
    <row r="1878" spans="1:2">
      <c r="A1878" s="3">
        <f ca="1">IFERROR(__xludf.DUMMYFUNCTION("""COMPUTED_VALUE"""),43077.6666666666)</f>
        <v>43077.666666666599</v>
      </c>
      <c r="B1878" s="1">
        <f ca="1">IFERROR(__xludf.DUMMYFUNCTION("""COMPUTED_VALUE"""),21.01)</f>
        <v>21.01</v>
      </c>
    </row>
    <row r="1879" spans="1:2">
      <c r="A1879" s="3">
        <f ca="1">IFERROR(__xludf.DUMMYFUNCTION("""COMPUTED_VALUE"""),43080.6666666666)</f>
        <v>43080.666666666599</v>
      </c>
      <c r="B1879" s="1">
        <f ca="1">IFERROR(__xludf.DUMMYFUNCTION("""COMPUTED_VALUE"""),21.93)</f>
        <v>21.93</v>
      </c>
    </row>
    <row r="1880" spans="1:2">
      <c r="A1880" s="3">
        <f ca="1">IFERROR(__xludf.DUMMYFUNCTION("""COMPUTED_VALUE"""),43081.6666666666)</f>
        <v>43081.666666666599</v>
      </c>
      <c r="B1880" s="1">
        <f ca="1">IFERROR(__xludf.DUMMYFUNCTION("""COMPUTED_VALUE"""),22.74)</f>
        <v>22.74</v>
      </c>
    </row>
    <row r="1881" spans="1:2">
      <c r="A1881" s="3">
        <f ca="1">IFERROR(__xludf.DUMMYFUNCTION("""COMPUTED_VALUE"""),43082.6666666666)</f>
        <v>43082.666666666599</v>
      </c>
      <c r="B1881" s="1">
        <f ca="1">IFERROR(__xludf.DUMMYFUNCTION("""COMPUTED_VALUE"""),22.6)</f>
        <v>22.6</v>
      </c>
    </row>
    <row r="1882" spans="1:2">
      <c r="A1882" s="3">
        <f ca="1">IFERROR(__xludf.DUMMYFUNCTION("""COMPUTED_VALUE"""),43083.6666666666)</f>
        <v>43083.666666666599</v>
      </c>
      <c r="B1882" s="1">
        <f ca="1">IFERROR(__xludf.DUMMYFUNCTION("""COMPUTED_VALUE"""),22.53)</f>
        <v>22.53</v>
      </c>
    </row>
    <row r="1883" spans="1:2">
      <c r="A1883" s="3">
        <f ca="1">IFERROR(__xludf.DUMMYFUNCTION("""COMPUTED_VALUE"""),43084.6666666666)</f>
        <v>43084.666666666599</v>
      </c>
      <c r="B1883" s="1">
        <f ca="1">IFERROR(__xludf.DUMMYFUNCTION("""COMPUTED_VALUE"""),22.9)</f>
        <v>22.9</v>
      </c>
    </row>
    <row r="1884" spans="1:2">
      <c r="A1884" s="3">
        <f ca="1">IFERROR(__xludf.DUMMYFUNCTION("""COMPUTED_VALUE"""),43087.6666666666)</f>
        <v>43087.666666666599</v>
      </c>
      <c r="B1884" s="1">
        <f ca="1">IFERROR(__xludf.DUMMYFUNCTION("""COMPUTED_VALUE"""),22.59)</f>
        <v>22.59</v>
      </c>
    </row>
    <row r="1885" spans="1:2">
      <c r="A1885" s="3">
        <f ca="1">IFERROR(__xludf.DUMMYFUNCTION("""COMPUTED_VALUE"""),43088.6666666666)</f>
        <v>43088.666666666599</v>
      </c>
      <c r="B1885" s="1">
        <f ca="1">IFERROR(__xludf.DUMMYFUNCTION("""COMPUTED_VALUE"""),22.07)</f>
        <v>22.07</v>
      </c>
    </row>
    <row r="1886" spans="1:2">
      <c r="A1886" s="3">
        <f ca="1">IFERROR(__xludf.DUMMYFUNCTION("""COMPUTED_VALUE"""),43089.6666666666)</f>
        <v>43089.666666666599</v>
      </c>
      <c r="B1886" s="1">
        <f ca="1">IFERROR(__xludf.DUMMYFUNCTION("""COMPUTED_VALUE"""),21.93)</f>
        <v>21.93</v>
      </c>
    </row>
    <row r="1887" spans="1:2">
      <c r="A1887" s="3">
        <f ca="1">IFERROR(__xludf.DUMMYFUNCTION("""COMPUTED_VALUE"""),43090.6666666666)</f>
        <v>43090.666666666599</v>
      </c>
      <c r="B1887" s="1">
        <f ca="1">IFERROR(__xludf.DUMMYFUNCTION("""COMPUTED_VALUE"""),22.11)</f>
        <v>22.11</v>
      </c>
    </row>
    <row r="1888" spans="1:2">
      <c r="A1888" s="3">
        <f ca="1">IFERROR(__xludf.DUMMYFUNCTION("""COMPUTED_VALUE"""),43091.6666666666)</f>
        <v>43091.666666666599</v>
      </c>
      <c r="B1888" s="1">
        <f ca="1">IFERROR(__xludf.DUMMYFUNCTION("""COMPUTED_VALUE"""),21.68)</f>
        <v>21.68</v>
      </c>
    </row>
    <row r="1889" spans="1:2">
      <c r="A1889" s="3">
        <f ca="1">IFERROR(__xludf.DUMMYFUNCTION("""COMPUTED_VALUE"""),43095.6666666666)</f>
        <v>43095.666666666599</v>
      </c>
      <c r="B1889" s="1">
        <f ca="1">IFERROR(__xludf.DUMMYFUNCTION("""COMPUTED_VALUE"""),21.15)</f>
        <v>21.15</v>
      </c>
    </row>
    <row r="1890" spans="1:2">
      <c r="A1890" s="3">
        <f ca="1">IFERROR(__xludf.DUMMYFUNCTION("""COMPUTED_VALUE"""),43096.6666666666)</f>
        <v>43096.666666666599</v>
      </c>
      <c r="B1890" s="1">
        <f ca="1">IFERROR(__xludf.DUMMYFUNCTION("""COMPUTED_VALUE"""),20.78)</f>
        <v>20.78</v>
      </c>
    </row>
    <row r="1891" spans="1:2">
      <c r="A1891" s="3">
        <f ca="1">IFERROR(__xludf.DUMMYFUNCTION("""COMPUTED_VALUE"""),43097.6666666666)</f>
        <v>43097.666666666599</v>
      </c>
      <c r="B1891" s="1">
        <f ca="1">IFERROR(__xludf.DUMMYFUNCTION("""COMPUTED_VALUE"""),21.02)</f>
        <v>21.02</v>
      </c>
    </row>
    <row r="1892" spans="1:2">
      <c r="A1892" s="3">
        <f ca="1">IFERROR(__xludf.DUMMYFUNCTION("""COMPUTED_VALUE"""),43098.6666666666)</f>
        <v>43098.666666666599</v>
      </c>
      <c r="B1892" s="1">
        <f ca="1">IFERROR(__xludf.DUMMYFUNCTION("""COMPUTED_VALUE"""),20.76)</f>
        <v>20.76</v>
      </c>
    </row>
    <row r="1893" spans="1:2">
      <c r="A1893" s="3">
        <f ca="1">IFERROR(__xludf.DUMMYFUNCTION("""COMPUTED_VALUE"""),43102.6666666666)</f>
        <v>43102.666666666599</v>
      </c>
      <c r="B1893" s="1">
        <f ca="1">IFERROR(__xludf.DUMMYFUNCTION("""COMPUTED_VALUE"""),21.37)</f>
        <v>21.37</v>
      </c>
    </row>
    <row r="1894" spans="1:2">
      <c r="A1894" s="3">
        <f ca="1">IFERROR(__xludf.DUMMYFUNCTION("""COMPUTED_VALUE"""),43103.6666666666)</f>
        <v>43103.666666666599</v>
      </c>
      <c r="B1894" s="1">
        <f ca="1">IFERROR(__xludf.DUMMYFUNCTION("""COMPUTED_VALUE"""),21.15)</f>
        <v>21.15</v>
      </c>
    </row>
    <row r="1895" spans="1:2">
      <c r="A1895" s="3">
        <f ca="1">IFERROR(__xludf.DUMMYFUNCTION("""COMPUTED_VALUE"""),43104.6666666666)</f>
        <v>43104.666666666599</v>
      </c>
      <c r="B1895" s="1">
        <f ca="1">IFERROR(__xludf.DUMMYFUNCTION("""COMPUTED_VALUE"""),20.97)</f>
        <v>20.97</v>
      </c>
    </row>
    <row r="1896" spans="1:2">
      <c r="A1896" s="3">
        <f ca="1">IFERROR(__xludf.DUMMYFUNCTION("""COMPUTED_VALUE"""),43105.6666666666)</f>
        <v>43105.666666666599</v>
      </c>
      <c r="B1896" s="1">
        <f ca="1">IFERROR(__xludf.DUMMYFUNCTION("""COMPUTED_VALUE"""),21.11)</f>
        <v>21.11</v>
      </c>
    </row>
    <row r="1897" spans="1:2">
      <c r="A1897" s="3">
        <f ca="1">IFERROR(__xludf.DUMMYFUNCTION("""COMPUTED_VALUE"""),43108.6666666666)</f>
        <v>43108.666666666599</v>
      </c>
      <c r="B1897" s="1">
        <f ca="1">IFERROR(__xludf.DUMMYFUNCTION("""COMPUTED_VALUE"""),22.43)</f>
        <v>22.43</v>
      </c>
    </row>
    <row r="1898" spans="1:2">
      <c r="A1898" s="3">
        <f ca="1">IFERROR(__xludf.DUMMYFUNCTION("""COMPUTED_VALUE"""),43109.6666666666)</f>
        <v>43109.666666666599</v>
      </c>
      <c r="B1898" s="1">
        <f ca="1">IFERROR(__xludf.DUMMYFUNCTION("""COMPUTED_VALUE"""),22.25)</f>
        <v>22.25</v>
      </c>
    </row>
    <row r="1899" spans="1:2">
      <c r="A1899" s="3">
        <f ca="1">IFERROR(__xludf.DUMMYFUNCTION("""COMPUTED_VALUE"""),43110.6666666666)</f>
        <v>43110.666666666599</v>
      </c>
      <c r="B1899" s="1">
        <f ca="1">IFERROR(__xludf.DUMMYFUNCTION("""COMPUTED_VALUE"""),22.32)</f>
        <v>22.32</v>
      </c>
    </row>
    <row r="1900" spans="1:2">
      <c r="A1900" s="3">
        <f ca="1">IFERROR(__xludf.DUMMYFUNCTION("""COMPUTED_VALUE"""),43111.6666666666)</f>
        <v>43111.666666666599</v>
      </c>
      <c r="B1900" s="1">
        <f ca="1">IFERROR(__xludf.DUMMYFUNCTION("""COMPUTED_VALUE"""),22.53)</f>
        <v>22.53</v>
      </c>
    </row>
    <row r="1901" spans="1:2">
      <c r="A1901" s="3">
        <f ca="1">IFERROR(__xludf.DUMMYFUNCTION("""COMPUTED_VALUE"""),43112.6666666666)</f>
        <v>43112.666666666599</v>
      </c>
      <c r="B1901" s="1">
        <f ca="1">IFERROR(__xludf.DUMMYFUNCTION("""COMPUTED_VALUE"""),22.41)</f>
        <v>22.41</v>
      </c>
    </row>
    <row r="1902" spans="1:2">
      <c r="A1902" s="3">
        <f ca="1">IFERROR(__xludf.DUMMYFUNCTION("""COMPUTED_VALUE"""),43116.6666666666)</f>
        <v>43116.666666666599</v>
      </c>
      <c r="B1902" s="1">
        <f ca="1">IFERROR(__xludf.DUMMYFUNCTION("""COMPUTED_VALUE"""),22.67)</f>
        <v>22.67</v>
      </c>
    </row>
    <row r="1903" spans="1:2">
      <c r="A1903" s="3">
        <f ca="1">IFERROR(__xludf.DUMMYFUNCTION("""COMPUTED_VALUE"""),43117.6666666666)</f>
        <v>43117.666666666599</v>
      </c>
      <c r="B1903" s="1">
        <f ca="1">IFERROR(__xludf.DUMMYFUNCTION("""COMPUTED_VALUE"""),23.14)</f>
        <v>23.14</v>
      </c>
    </row>
    <row r="1904" spans="1:2">
      <c r="A1904" s="3">
        <f ca="1">IFERROR(__xludf.DUMMYFUNCTION("""COMPUTED_VALUE"""),43118.6666666666)</f>
        <v>43118.666666666599</v>
      </c>
      <c r="B1904" s="1">
        <f ca="1">IFERROR(__xludf.DUMMYFUNCTION("""COMPUTED_VALUE"""),22.97)</f>
        <v>22.97</v>
      </c>
    </row>
    <row r="1905" spans="1:2">
      <c r="A1905" s="3">
        <f ca="1">IFERROR(__xludf.DUMMYFUNCTION("""COMPUTED_VALUE"""),43119.6666666666)</f>
        <v>43119.666666666599</v>
      </c>
      <c r="B1905" s="1">
        <f ca="1">IFERROR(__xludf.DUMMYFUNCTION("""COMPUTED_VALUE"""),23.33)</f>
        <v>23.33</v>
      </c>
    </row>
    <row r="1906" spans="1:2">
      <c r="A1906" s="3">
        <f ca="1">IFERROR(__xludf.DUMMYFUNCTION("""COMPUTED_VALUE"""),43122.6666666666)</f>
        <v>43122.666666666599</v>
      </c>
      <c r="B1906" s="1">
        <f ca="1">IFERROR(__xludf.DUMMYFUNCTION("""COMPUTED_VALUE"""),23.44)</f>
        <v>23.44</v>
      </c>
    </row>
    <row r="1907" spans="1:2">
      <c r="A1907" s="3">
        <f ca="1">IFERROR(__xludf.DUMMYFUNCTION("""COMPUTED_VALUE"""),43123.6666666666)</f>
        <v>43123.666666666599</v>
      </c>
      <c r="B1907" s="1">
        <f ca="1">IFERROR(__xludf.DUMMYFUNCTION("""COMPUTED_VALUE"""),23.52)</f>
        <v>23.52</v>
      </c>
    </row>
    <row r="1908" spans="1:2">
      <c r="A1908" s="3">
        <f ca="1">IFERROR(__xludf.DUMMYFUNCTION("""COMPUTED_VALUE"""),43124.6666666666)</f>
        <v>43124.666666666599</v>
      </c>
      <c r="B1908" s="1">
        <f ca="1">IFERROR(__xludf.DUMMYFUNCTION("""COMPUTED_VALUE"""),23.06)</f>
        <v>23.06</v>
      </c>
    </row>
    <row r="1909" spans="1:2">
      <c r="A1909" s="3">
        <f ca="1">IFERROR(__xludf.DUMMYFUNCTION("""COMPUTED_VALUE"""),43125.6666666666)</f>
        <v>43125.666666666599</v>
      </c>
      <c r="B1909" s="1">
        <f ca="1">IFERROR(__xludf.DUMMYFUNCTION("""COMPUTED_VALUE"""),22.51)</f>
        <v>22.51</v>
      </c>
    </row>
    <row r="1910" spans="1:2">
      <c r="A1910" s="3">
        <f ca="1">IFERROR(__xludf.DUMMYFUNCTION("""COMPUTED_VALUE"""),43126.6666666666)</f>
        <v>43126.666666666599</v>
      </c>
      <c r="B1910" s="1">
        <f ca="1">IFERROR(__xludf.DUMMYFUNCTION("""COMPUTED_VALUE"""),22.86)</f>
        <v>22.86</v>
      </c>
    </row>
    <row r="1911" spans="1:2">
      <c r="A1911" s="3">
        <f ca="1">IFERROR(__xludf.DUMMYFUNCTION("""COMPUTED_VALUE"""),43129.6666666666)</f>
        <v>43129.666666666599</v>
      </c>
      <c r="B1911" s="1">
        <f ca="1">IFERROR(__xludf.DUMMYFUNCTION("""COMPUTED_VALUE"""),23.3)</f>
        <v>23.3</v>
      </c>
    </row>
    <row r="1912" spans="1:2">
      <c r="A1912" s="3">
        <f ca="1">IFERROR(__xludf.DUMMYFUNCTION("""COMPUTED_VALUE"""),43130.6666666666)</f>
        <v>43130.666666666599</v>
      </c>
      <c r="B1912" s="1">
        <f ca="1">IFERROR(__xludf.DUMMYFUNCTION("""COMPUTED_VALUE"""),23.05)</f>
        <v>23.05</v>
      </c>
    </row>
    <row r="1913" spans="1:2">
      <c r="A1913" s="3">
        <f ca="1">IFERROR(__xludf.DUMMYFUNCTION("""COMPUTED_VALUE"""),43131.6666666666)</f>
        <v>43131.666666666599</v>
      </c>
      <c r="B1913" s="1">
        <f ca="1">IFERROR(__xludf.DUMMYFUNCTION("""COMPUTED_VALUE"""),23.62)</f>
        <v>23.62</v>
      </c>
    </row>
    <row r="1914" spans="1:2">
      <c r="A1914" s="3">
        <f ca="1">IFERROR(__xludf.DUMMYFUNCTION("""COMPUTED_VALUE"""),43132.6666666666)</f>
        <v>43132.666666666599</v>
      </c>
      <c r="B1914" s="1">
        <f ca="1">IFERROR(__xludf.DUMMYFUNCTION("""COMPUTED_VALUE"""),23.28)</f>
        <v>23.28</v>
      </c>
    </row>
    <row r="1915" spans="1:2">
      <c r="A1915" s="3">
        <f ca="1">IFERROR(__xludf.DUMMYFUNCTION("""COMPUTED_VALUE"""),43133.6666666666)</f>
        <v>43133.666666666599</v>
      </c>
      <c r="B1915" s="1">
        <f ca="1">IFERROR(__xludf.DUMMYFUNCTION("""COMPUTED_VALUE"""),22.92)</f>
        <v>22.92</v>
      </c>
    </row>
    <row r="1916" spans="1:2">
      <c r="A1916" s="3">
        <f ca="1">IFERROR(__xludf.DUMMYFUNCTION("""COMPUTED_VALUE"""),43136.6666666666)</f>
        <v>43136.666666666599</v>
      </c>
      <c r="B1916" s="1">
        <f ca="1">IFERROR(__xludf.DUMMYFUNCTION("""COMPUTED_VALUE"""),22.21)</f>
        <v>22.21</v>
      </c>
    </row>
    <row r="1917" spans="1:2">
      <c r="A1917" s="3">
        <f ca="1">IFERROR(__xludf.DUMMYFUNCTION("""COMPUTED_VALUE"""),43137.6666666666)</f>
        <v>43137.666666666599</v>
      </c>
      <c r="B1917" s="1">
        <f ca="1">IFERROR(__xludf.DUMMYFUNCTION("""COMPUTED_VALUE"""),22.26)</f>
        <v>22.26</v>
      </c>
    </row>
    <row r="1918" spans="1:2">
      <c r="A1918" s="3">
        <f ca="1">IFERROR(__xludf.DUMMYFUNCTION("""COMPUTED_VALUE"""),43138.6666666666)</f>
        <v>43138.666666666599</v>
      </c>
      <c r="B1918" s="1">
        <f ca="1">IFERROR(__xludf.DUMMYFUNCTION("""COMPUTED_VALUE"""),23)</f>
        <v>23</v>
      </c>
    </row>
    <row r="1919" spans="1:2">
      <c r="A1919" s="3">
        <f ca="1">IFERROR(__xludf.DUMMYFUNCTION("""COMPUTED_VALUE"""),43139.6666666666)</f>
        <v>43139.666666666599</v>
      </c>
      <c r="B1919" s="1">
        <f ca="1">IFERROR(__xludf.DUMMYFUNCTION("""COMPUTED_VALUE"""),21.02)</f>
        <v>21.02</v>
      </c>
    </row>
    <row r="1920" spans="1:2">
      <c r="A1920" s="3">
        <f ca="1">IFERROR(__xludf.DUMMYFUNCTION("""COMPUTED_VALUE"""),43140.6666666666)</f>
        <v>43140.666666666599</v>
      </c>
      <c r="B1920" s="1">
        <f ca="1">IFERROR(__xludf.DUMMYFUNCTION("""COMPUTED_VALUE"""),20.69)</f>
        <v>20.69</v>
      </c>
    </row>
    <row r="1921" spans="1:2">
      <c r="A1921" s="3">
        <f ca="1">IFERROR(__xludf.DUMMYFUNCTION("""COMPUTED_VALUE"""),43143.6666666666)</f>
        <v>43143.666666666599</v>
      </c>
      <c r="B1921" s="1">
        <f ca="1">IFERROR(__xludf.DUMMYFUNCTION("""COMPUTED_VALUE"""),21.05)</f>
        <v>21.05</v>
      </c>
    </row>
    <row r="1922" spans="1:2">
      <c r="A1922" s="3">
        <f ca="1">IFERROR(__xludf.DUMMYFUNCTION("""COMPUTED_VALUE"""),43144.6666666666)</f>
        <v>43144.666666666599</v>
      </c>
      <c r="B1922" s="1">
        <f ca="1">IFERROR(__xludf.DUMMYFUNCTION("""COMPUTED_VALUE"""),21.58)</f>
        <v>21.58</v>
      </c>
    </row>
    <row r="1923" spans="1:2">
      <c r="A1923" s="3">
        <f ca="1">IFERROR(__xludf.DUMMYFUNCTION("""COMPUTED_VALUE"""),43145.6666666666)</f>
        <v>43145.666666666599</v>
      </c>
      <c r="B1923" s="1">
        <f ca="1">IFERROR(__xludf.DUMMYFUNCTION("""COMPUTED_VALUE"""),21.49)</f>
        <v>21.49</v>
      </c>
    </row>
    <row r="1924" spans="1:2">
      <c r="A1924" s="3">
        <f ca="1">IFERROR(__xludf.DUMMYFUNCTION("""COMPUTED_VALUE"""),43146.6666666666)</f>
        <v>43146.666666666599</v>
      </c>
      <c r="B1924" s="1">
        <f ca="1">IFERROR(__xludf.DUMMYFUNCTION("""COMPUTED_VALUE"""),22.27)</f>
        <v>22.27</v>
      </c>
    </row>
    <row r="1925" spans="1:2">
      <c r="A1925" s="3">
        <f ca="1">IFERROR(__xludf.DUMMYFUNCTION("""COMPUTED_VALUE"""),43147.6666666666)</f>
        <v>43147.666666666599</v>
      </c>
      <c r="B1925" s="1">
        <f ca="1">IFERROR(__xludf.DUMMYFUNCTION("""COMPUTED_VALUE"""),22.37)</f>
        <v>22.37</v>
      </c>
    </row>
    <row r="1926" spans="1:2">
      <c r="A1926" s="3">
        <f ca="1">IFERROR(__xludf.DUMMYFUNCTION("""COMPUTED_VALUE"""),43151.6666666666)</f>
        <v>43151.666666666599</v>
      </c>
      <c r="B1926" s="1">
        <f ca="1">IFERROR(__xludf.DUMMYFUNCTION("""COMPUTED_VALUE"""),22.32)</f>
        <v>22.32</v>
      </c>
    </row>
    <row r="1927" spans="1:2">
      <c r="A1927" s="3">
        <f ca="1">IFERROR(__xludf.DUMMYFUNCTION("""COMPUTED_VALUE"""),43152.6666666666)</f>
        <v>43152.666666666599</v>
      </c>
      <c r="B1927" s="1">
        <f ca="1">IFERROR(__xludf.DUMMYFUNCTION("""COMPUTED_VALUE"""),22.22)</f>
        <v>22.22</v>
      </c>
    </row>
    <row r="1928" spans="1:2">
      <c r="A1928" s="3">
        <f ca="1">IFERROR(__xludf.DUMMYFUNCTION("""COMPUTED_VALUE"""),43153.6666666666)</f>
        <v>43153.666666666599</v>
      </c>
      <c r="B1928" s="1">
        <f ca="1">IFERROR(__xludf.DUMMYFUNCTION("""COMPUTED_VALUE"""),23.08)</f>
        <v>23.08</v>
      </c>
    </row>
    <row r="1929" spans="1:2">
      <c r="A1929" s="3">
        <f ca="1">IFERROR(__xludf.DUMMYFUNCTION("""COMPUTED_VALUE"""),43154.6666666666)</f>
        <v>43154.666666666599</v>
      </c>
      <c r="B1929" s="1">
        <f ca="1">IFERROR(__xludf.DUMMYFUNCTION("""COMPUTED_VALUE"""),23.47)</f>
        <v>23.47</v>
      </c>
    </row>
    <row r="1930" spans="1:2">
      <c r="A1930" s="3">
        <f ca="1">IFERROR(__xludf.DUMMYFUNCTION("""COMPUTED_VALUE"""),43157.6666666666)</f>
        <v>43157.666666666599</v>
      </c>
      <c r="B1930" s="1">
        <f ca="1">IFERROR(__xludf.DUMMYFUNCTION("""COMPUTED_VALUE"""),23.83)</f>
        <v>23.83</v>
      </c>
    </row>
    <row r="1931" spans="1:2">
      <c r="A1931" s="3">
        <f ca="1">IFERROR(__xludf.DUMMYFUNCTION("""COMPUTED_VALUE"""),43158.6666666666)</f>
        <v>43158.666666666599</v>
      </c>
      <c r="B1931" s="1">
        <f ca="1">IFERROR(__xludf.DUMMYFUNCTION("""COMPUTED_VALUE"""),23.4)</f>
        <v>23.4</v>
      </c>
    </row>
    <row r="1932" spans="1:2">
      <c r="A1932" s="3">
        <f ca="1">IFERROR(__xludf.DUMMYFUNCTION("""COMPUTED_VALUE"""),43159.6666666666)</f>
        <v>43159.666666666599</v>
      </c>
      <c r="B1932" s="1">
        <f ca="1">IFERROR(__xludf.DUMMYFUNCTION("""COMPUTED_VALUE"""),22.87)</f>
        <v>22.87</v>
      </c>
    </row>
    <row r="1933" spans="1:2">
      <c r="A1933" s="3">
        <f ca="1">IFERROR(__xludf.DUMMYFUNCTION("""COMPUTED_VALUE"""),43160.6666666666)</f>
        <v>43160.666666666599</v>
      </c>
      <c r="B1933" s="1">
        <f ca="1">IFERROR(__xludf.DUMMYFUNCTION("""COMPUTED_VALUE"""),22.06)</f>
        <v>22.06</v>
      </c>
    </row>
    <row r="1934" spans="1:2">
      <c r="A1934" s="3">
        <f ca="1">IFERROR(__xludf.DUMMYFUNCTION("""COMPUTED_VALUE"""),43161.6666666666)</f>
        <v>43161.666666666599</v>
      </c>
      <c r="B1934" s="1">
        <f ca="1">IFERROR(__xludf.DUMMYFUNCTION("""COMPUTED_VALUE"""),22.34)</f>
        <v>22.34</v>
      </c>
    </row>
    <row r="1935" spans="1:2">
      <c r="A1935" s="3">
        <f ca="1">IFERROR(__xludf.DUMMYFUNCTION("""COMPUTED_VALUE"""),43164.6666666666)</f>
        <v>43164.666666666599</v>
      </c>
      <c r="B1935" s="1">
        <f ca="1">IFERROR(__xludf.DUMMYFUNCTION("""COMPUTED_VALUE"""),22.22)</f>
        <v>22.22</v>
      </c>
    </row>
    <row r="1936" spans="1:2">
      <c r="A1936" s="3">
        <f ca="1">IFERROR(__xludf.DUMMYFUNCTION("""COMPUTED_VALUE"""),43165.6666666666)</f>
        <v>43165.666666666599</v>
      </c>
      <c r="B1936" s="1">
        <f ca="1">IFERROR(__xludf.DUMMYFUNCTION("""COMPUTED_VALUE"""),21.88)</f>
        <v>21.88</v>
      </c>
    </row>
    <row r="1937" spans="1:2">
      <c r="A1937" s="3">
        <f ca="1">IFERROR(__xludf.DUMMYFUNCTION("""COMPUTED_VALUE"""),43166.6666666666)</f>
        <v>43166.666666666599</v>
      </c>
      <c r="B1937" s="1">
        <f ca="1">IFERROR(__xludf.DUMMYFUNCTION("""COMPUTED_VALUE"""),22.15)</f>
        <v>22.15</v>
      </c>
    </row>
    <row r="1938" spans="1:2">
      <c r="A1938" s="3">
        <f ca="1">IFERROR(__xludf.DUMMYFUNCTION("""COMPUTED_VALUE"""),43167.6666666666)</f>
        <v>43167.666666666599</v>
      </c>
      <c r="B1938" s="1">
        <f ca="1">IFERROR(__xludf.DUMMYFUNCTION("""COMPUTED_VALUE"""),21.94)</f>
        <v>21.94</v>
      </c>
    </row>
    <row r="1939" spans="1:2">
      <c r="A1939" s="3">
        <f ca="1">IFERROR(__xludf.DUMMYFUNCTION("""COMPUTED_VALUE"""),43168.6666666666)</f>
        <v>43168.666666666599</v>
      </c>
      <c r="B1939" s="1">
        <f ca="1">IFERROR(__xludf.DUMMYFUNCTION("""COMPUTED_VALUE"""),21.81)</f>
        <v>21.81</v>
      </c>
    </row>
    <row r="1940" spans="1:2">
      <c r="A1940" s="3">
        <f ca="1">IFERROR(__xludf.DUMMYFUNCTION("""COMPUTED_VALUE"""),43171.6666666666)</f>
        <v>43171.666666666599</v>
      </c>
      <c r="B1940" s="1">
        <f ca="1">IFERROR(__xludf.DUMMYFUNCTION("""COMPUTED_VALUE"""),23.03)</f>
        <v>23.03</v>
      </c>
    </row>
    <row r="1941" spans="1:2">
      <c r="A1941" s="3">
        <f ca="1">IFERROR(__xludf.DUMMYFUNCTION("""COMPUTED_VALUE"""),43172.6666666666)</f>
        <v>43172.666666666599</v>
      </c>
      <c r="B1941" s="1">
        <f ca="1">IFERROR(__xludf.DUMMYFUNCTION("""COMPUTED_VALUE"""),22.79)</f>
        <v>22.79</v>
      </c>
    </row>
    <row r="1942" spans="1:2">
      <c r="A1942" s="3">
        <f ca="1">IFERROR(__xludf.DUMMYFUNCTION("""COMPUTED_VALUE"""),43173.6666666666)</f>
        <v>43173.666666666599</v>
      </c>
      <c r="B1942" s="1">
        <f ca="1">IFERROR(__xludf.DUMMYFUNCTION("""COMPUTED_VALUE"""),21.78)</f>
        <v>21.78</v>
      </c>
    </row>
    <row r="1943" spans="1:2">
      <c r="A1943" s="3">
        <f ca="1">IFERROR(__xludf.DUMMYFUNCTION("""COMPUTED_VALUE"""),43174.6666666666)</f>
        <v>43174.666666666599</v>
      </c>
      <c r="B1943" s="1">
        <f ca="1">IFERROR(__xludf.DUMMYFUNCTION("""COMPUTED_VALUE"""),21.71)</f>
        <v>21.71</v>
      </c>
    </row>
    <row r="1944" spans="1:2">
      <c r="A1944" s="3">
        <f ca="1">IFERROR(__xludf.DUMMYFUNCTION("""COMPUTED_VALUE"""),43175.6666666666)</f>
        <v>43175.666666666599</v>
      </c>
      <c r="B1944" s="1">
        <f ca="1">IFERROR(__xludf.DUMMYFUNCTION("""COMPUTED_VALUE"""),21.42)</f>
        <v>21.42</v>
      </c>
    </row>
    <row r="1945" spans="1:2">
      <c r="A1945" s="3">
        <f ca="1">IFERROR(__xludf.DUMMYFUNCTION("""COMPUTED_VALUE"""),43178.6666666666)</f>
        <v>43178.666666666599</v>
      </c>
      <c r="B1945" s="1">
        <f ca="1">IFERROR(__xludf.DUMMYFUNCTION("""COMPUTED_VALUE"""),20.9)</f>
        <v>20.9</v>
      </c>
    </row>
    <row r="1946" spans="1:2">
      <c r="A1946" s="3">
        <f ca="1">IFERROR(__xludf.DUMMYFUNCTION("""COMPUTED_VALUE"""),43179.6666666666)</f>
        <v>43179.666666666599</v>
      </c>
      <c r="B1946" s="1">
        <f ca="1">IFERROR(__xludf.DUMMYFUNCTION("""COMPUTED_VALUE"""),20.7)</f>
        <v>20.7</v>
      </c>
    </row>
    <row r="1947" spans="1:2">
      <c r="A1947" s="3">
        <f ca="1">IFERROR(__xludf.DUMMYFUNCTION("""COMPUTED_VALUE"""),43180.6666666666)</f>
        <v>43180.666666666599</v>
      </c>
      <c r="B1947" s="1">
        <f ca="1">IFERROR(__xludf.DUMMYFUNCTION("""COMPUTED_VALUE"""),21.1)</f>
        <v>21.1</v>
      </c>
    </row>
    <row r="1948" spans="1:2">
      <c r="A1948" s="3">
        <f ca="1">IFERROR(__xludf.DUMMYFUNCTION("""COMPUTED_VALUE"""),43181.6666666666)</f>
        <v>43181.666666666599</v>
      </c>
      <c r="B1948" s="1">
        <f ca="1">IFERROR(__xludf.DUMMYFUNCTION("""COMPUTED_VALUE"""),20.61)</f>
        <v>20.61</v>
      </c>
    </row>
    <row r="1949" spans="1:2">
      <c r="A1949" s="3">
        <f ca="1">IFERROR(__xludf.DUMMYFUNCTION("""COMPUTED_VALUE"""),43182.6666666666)</f>
        <v>43182.666666666599</v>
      </c>
      <c r="B1949" s="1">
        <f ca="1">IFERROR(__xludf.DUMMYFUNCTION("""COMPUTED_VALUE"""),20.1)</f>
        <v>20.100000000000001</v>
      </c>
    </row>
    <row r="1950" spans="1:2">
      <c r="A1950" s="3">
        <f ca="1">IFERROR(__xludf.DUMMYFUNCTION("""COMPUTED_VALUE"""),43185.6666666666)</f>
        <v>43185.666666666599</v>
      </c>
      <c r="B1950" s="1">
        <f ca="1">IFERROR(__xludf.DUMMYFUNCTION("""COMPUTED_VALUE"""),20.28)</f>
        <v>20.28</v>
      </c>
    </row>
    <row r="1951" spans="1:2">
      <c r="A1951" s="3">
        <f ca="1">IFERROR(__xludf.DUMMYFUNCTION("""COMPUTED_VALUE"""),43186.6666666666)</f>
        <v>43186.666666666599</v>
      </c>
      <c r="B1951" s="1">
        <f ca="1">IFERROR(__xludf.DUMMYFUNCTION("""COMPUTED_VALUE"""),18.61)</f>
        <v>18.61</v>
      </c>
    </row>
    <row r="1952" spans="1:2">
      <c r="A1952" s="3">
        <f ca="1">IFERROR(__xludf.DUMMYFUNCTION("""COMPUTED_VALUE"""),43187.6666666666)</f>
        <v>43187.666666666599</v>
      </c>
      <c r="B1952" s="1">
        <f ca="1">IFERROR(__xludf.DUMMYFUNCTION("""COMPUTED_VALUE"""),17.19)</f>
        <v>17.190000000000001</v>
      </c>
    </row>
    <row r="1953" spans="1:2">
      <c r="A1953" s="3">
        <f ca="1">IFERROR(__xludf.DUMMYFUNCTION("""COMPUTED_VALUE"""),43188.6666666666)</f>
        <v>43188.666666666599</v>
      </c>
      <c r="B1953" s="1">
        <f ca="1">IFERROR(__xludf.DUMMYFUNCTION("""COMPUTED_VALUE"""),17.74)</f>
        <v>17.739999999999998</v>
      </c>
    </row>
    <row r="1954" spans="1:2">
      <c r="A1954" s="3">
        <f ca="1">IFERROR(__xludf.DUMMYFUNCTION("""COMPUTED_VALUE"""),43192.6666666666)</f>
        <v>43192.666666666599</v>
      </c>
      <c r="B1954" s="1">
        <f ca="1">IFERROR(__xludf.DUMMYFUNCTION("""COMPUTED_VALUE"""),16.83)</f>
        <v>16.829999999999998</v>
      </c>
    </row>
    <row r="1955" spans="1:2">
      <c r="A1955" s="3">
        <f ca="1">IFERROR(__xludf.DUMMYFUNCTION("""COMPUTED_VALUE"""),43193.6666666666)</f>
        <v>43193.666666666599</v>
      </c>
      <c r="B1955" s="1">
        <f ca="1">IFERROR(__xludf.DUMMYFUNCTION("""COMPUTED_VALUE"""),17.84)</f>
        <v>17.84</v>
      </c>
    </row>
    <row r="1956" spans="1:2">
      <c r="A1956" s="3">
        <f ca="1">IFERROR(__xludf.DUMMYFUNCTION("""COMPUTED_VALUE"""),43194.6666666666)</f>
        <v>43194.666666666599</v>
      </c>
      <c r="B1956" s="1">
        <f ca="1">IFERROR(__xludf.DUMMYFUNCTION("""COMPUTED_VALUE"""),19.13)</f>
        <v>19.13</v>
      </c>
    </row>
    <row r="1957" spans="1:2">
      <c r="A1957" s="3">
        <f ca="1">IFERROR(__xludf.DUMMYFUNCTION("""COMPUTED_VALUE"""),43195.6666666666)</f>
        <v>43195.666666666599</v>
      </c>
      <c r="B1957" s="1">
        <f ca="1">IFERROR(__xludf.DUMMYFUNCTION("""COMPUTED_VALUE"""),20.38)</f>
        <v>20.38</v>
      </c>
    </row>
    <row r="1958" spans="1:2">
      <c r="A1958" s="3">
        <f ca="1">IFERROR(__xludf.DUMMYFUNCTION("""COMPUTED_VALUE"""),43196.6666666666)</f>
        <v>43196.666666666599</v>
      </c>
      <c r="B1958" s="1">
        <f ca="1">IFERROR(__xludf.DUMMYFUNCTION("""COMPUTED_VALUE"""),19.95)</f>
        <v>19.95</v>
      </c>
    </row>
    <row r="1959" spans="1:2">
      <c r="A1959" s="3">
        <f ca="1">IFERROR(__xludf.DUMMYFUNCTION("""COMPUTED_VALUE"""),43199.6666666666)</f>
        <v>43199.666666666599</v>
      </c>
      <c r="B1959" s="1">
        <f ca="1">IFERROR(__xludf.DUMMYFUNCTION("""COMPUTED_VALUE"""),19.31)</f>
        <v>19.309999999999999</v>
      </c>
    </row>
    <row r="1960" spans="1:2">
      <c r="A1960" s="3">
        <f ca="1">IFERROR(__xludf.DUMMYFUNCTION("""COMPUTED_VALUE"""),43200.6666666666)</f>
        <v>43200.666666666599</v>
      </c>
      <c r="B1960" s="1">
        <f ca="1">IFERROR(__xludf.DUMMYFUNCTION("""COMPUTED_VALUE"""),20.31)</f>
        <v>20.309999999999999</v>
      </c>
    </row>
    <row r="1961" spans="1:2">
      <c r="A1961" s="3">
        <f ca="1">IFERROR(__xludf.DUMMYFUNCTION("""COMPUTED_VALUE"""),43201.6666666666)</f>
        <v>43201.666666666599</v>
      </c>
      <c r="B1961" s="1">
        <f ca="1">IFERROR(__xludf.DUMMYFUNCTION("""COMPUTED_VALUE"""),20.06)</f>
        <v>20.059999999999999</v>
      </c>
    </row>
    <row r="1962" spans="1:2">
      <c r="A1962" s="3">
        <f ca="1">IFERROR(__xludf.DUMMYFUNCTION("""COMPUTED_VALUE"""),43202.6666666666)</f>
        <v>43202.666666666599</v>
      </c>
      <c r="B1962" s="1">
        <f ca="1">IFERROR(__xludf.DUMMYFUNCTION("""COMPUTED_VALUE"""),19.61)</f>
        <v>19.61</v>
      </c>
    </row>
    <row r="1963" spans="1:2">
      <c r="A1963" s="3">
        <f ca="1">IFERROR(__xludf.DUMMYFUNCTION("""COMPUTED_VALUE"""),43203.6666666666)</f>
        <v>43203.666666666599</v>
      </c>
      <c r="B1963" s="1">
        <f ca="1">IFERROR(__xludf.DUMMYFUNCTION("""COMPUTED_VALUE"""),20.02)</f>
        <v>20.02</v>
      </c>
    </row>
    <row r="1964" spans="1:2">
      <c r="A1964" s="3">
        <f ca="1">IFERROR(__xludf.DUMMYFUNCTION("""COMPUTED_VALUE"""),43206.6666666666)</f>
        <v>43206.666666666599</v>
      </c>
      <c r="B1964" s="1">
        <f ca="1">IFERROR(__xludf.DUMMYFUNCTION("""COMPUTED_VALUE"""),19.41)</f>
        <v>19.41</v>
      </c>
    </row>
    <row r="1965" spans="1:2">
      <c r="A1965" s="3">
        <f ca="1">IFERROR(__xludf.DUMMYFUNCTION("""COMPUTED_VALUE"""),43207.6666666666)</f>
        <v>43207.666666666599</v>
      </c>
      <c r="B1965" s="1">
        <f ca="1">IFERROR(__xludf.DUMMYFUNCTION("""COMPUTED_VALUE"""),19.18)</f>
        <v>19.18</v>
      </c>
    </row>
    <row r="1966" spans="1:2">
      <c r="A1966" s="3">
        <f ca="1">IFERROR(__xludf.DUMMYFUNCTION("""COMPUTED_VALUE"""),43208.6666666666)</f>
        <v>43208.666666666599</v>
      </c>
      <c r="B1966" s="1">
        <f ca="1">IFERROR(__xludf.DUMMYFUNCTION("""COMPUTED_VALUE"""),19.56)</f>
        <v>19.559999999999999</v>
      </c>
    </row>
    <row r="1967" spans="1:2">
      <c r="A1967" s="3">
        <f ca="1">IFERROR(__xludf.DUMMYFUNCTION("""COMPUTED_VALUE"""),43209.6666666666)</f>
        <v>43209.666666666599</v>
      </c>
      <c r="B1967" s="1">
        <f ca="1">IFERROR(__xludf.DUMMYFUNCTION("""COMPUTED_VALUE"""),20.01)</f>
        <v>20.010000000000002</v>
      </c>
    </row>
    <row r="1968" spans="1:2">
      <c r="A1968" s="3">
        <f ca="1">IFERROR(__xludf.DUMMYFUNCTION("""COMPUTED_VALUE"""),43210.6666666666)</f>
        <v>43210.666666666599</v>
      </c>
      <c r="B1968" s="1">
        <f ca="1">IFERROR(__xludf.DUMMYFUNCTION("""COMPUTED_VALUE"""),19.35)</f>
        <v>19.350000000000001</v>
      </c>
    </row>
    <row r="1969" spans="1:2">
      <c r="A1969" s="3">
        <f ca="1">IFERROR(__xludf.DUMMYFUNCTION("""COMPUTED_VALUE"""),43213.6666666666)</f>
        <v>43213.666666666599</v>
      </c>
      <c r="B1969" s="1">
        <f ca="1">IFERROR(__xludf.DUMMYFUNCTION("""COMPUTED_VALUE"""),18.89)</f>
        <v>18.89</v>
      </c>
    </row>
    <row r="1970" spans="1:2">
      <c r="A1970" s="3">
        <f ca="1">IFERROR(__xludf.DUMMYFUNCTION("""COMPUTED_VALUE"""),43214.6666666666)</f>
        <v>43214.666666666599</v>
      </c>
      <c r="B1970" s="1">
        <f ca="1">IFERROR(__xludf.DUMMYFUNCTION("""COMPUTED_VALUE"""),18.9)</f>
        <v>18.899999999999999</v>
      </c>
    </row>
    <row r="1971" spans="1:2">
      <c r="A1971" s="3">
        <f ca="1">IFERROR(__xludf.DUMMYFUNCTION("""COMPUTED_VALUE"""),43215.6666666666)</f>
        <v>43215.666666666599</v>
      </c>
      <c r="B1971" s="1">
        <f ca="1">IFERROR(__xludf.DUMMYFUNCTION("""COMPUTED_VALUE"""),18.71)</f>
        <v>18.71</v>
      </c>
    </row>
    <row r="1972" spans="1:2">
      <c r="A1972" s="3">
        <f ca="1">IFERROR(__xludf.DUMMYFUNCTION("""COMPUTED_VALUE"""),43216.6666666666)</f>
        <v>43216.666666666599</v>
      </c>
      <c r="B1972" s="1">
        <f ca="1">IFERROR(__xludf.DUMMYFUNCTION("""COMPUTED_VALUE"""),19.03)</f>
        <v>19.03</v>
      </c>
    </row>
    <row r="1973" spans="1:2">
      <c r="A1973" s="3">
        <f ca="1">IFERROR(__xludf.DUMMYFUNCTION("""COMPUTED_VALUE"""),43217.6666666666)</f>
        <v>43217.666666666599</v>
      </c>
      <c r="B1973" s="1">
        <f ca="1">IFERROR(__xludf.DUMMYFUNCTION("""COMPUTED_VALUE"""),19.61)</f>
        <v>19.61</v>
      </c>
    </row>
    <row r="1974" spans="1:2">
      <c r="A1974" s="3">
        <f ca="1">IFERROR(__xludf.DUMMYFUNCTION("""COMPUTED_VALUE"""),43220.6666666666)</f>
        <v>43220.666666666599</v>
      </c>
      <c r="B1974" s="1">
        <f ca="1">IFERROR(__xludf.DUMMYFUNCTION("""COMPUTED_VALUE"""),19.59)</f>
        <v>19.59</v>
      </c>
    </row>
    <row r="1975" spans="1:2">
      <c r="A1975" s="3">
        <f ca="1">IFERROR(__xludf.DUMMYFUNCTION("""COMPUTED_VALUE"""),43221.6666666666)</f>
        <v>43221.666666666599</v>
      </c>
      <c r="B1975" s="1">
        <f ca="1">IFERROR(__xludf.DUMMYFUNCTION("""COMPUTED_VALUE"""),19.99)</f>
        <v>19.989999999999998</v>
      </c>
    </row>
    <row r="1976" spans="1:2">
      <c r="A1976" s="3">
        <f ca="1">IFERROR(__xludf.DUMMYFUNCTION("""COMPUTED_VALUE"""),43222.6666666666)</f>
        <v>43222.666666666599</v>
      </c>
      <c r="B1976" s="1">
        <f ca="1">IFERROR(__xludf.DUMMYFUNCTION("""COMPUTED_VALUE"""),20.08)</f>
        <v>20.079999999999998</v>
      </c>
    </row>
    <row r="1977" spans="1:2">
      <c r="A1977" s="3">
        <f ca="1">IFERROR(__xludf.DUMMYFUNCTION("""COMPUTED_VALUE"""),43223.6666666666)</f>
        <v>43223.666666666599</v>
      </c>
      <c r="B1977" s="1">
        <f ca="1">IFERROR(__xludf.DUMMYFUNCTION("""COMPUTED_VALUE"""),18.96)</f>
        <v>18.96</v>
      </c>
    </row>
    <row r="1978" spans="1:2">
      <c r="A1978" s="3">
        <f ca="1">IFERROR(__xludf.DUMMYFUNCTION("""COMPUTED_VALUE"""),43224.6666666666)</f>
        <v>43224.666666666599</v>
      </c>
      <c r="B1978" s="1">
        <f ca="1">IFERROR(__xludf.DUMMYFUNCTION("""COMPUTED_VALUE"""),19.61)</f>
        <v>19.61</v>
      </c>
    </row>
    <row r="1979" spans="1:2">
      <c r="A1979" s="3">
        <f ca="1">IFERROR(__xludf.DUMMYFUNCTION("""COMPUTED_VALUE"""),43227.6666666666)</f>
        <v>43227.666666666599</v>
      </c>
      <c r="B1979" s="1">
        <f ca="1">IFERROR(__xludf.DUMMYFUNCTION("""COMPUTED_VALUE"""),20.18)</f>
        <v>20.18</v>
      </c>
    </row>
    <row r="1980" spans="1:2">
      <c r="A1980" s="3">
        <f ca="1">IFERROR(__xludf.DUMMYFUNCTION("""COMPUTED_VALUE"""),43228.6666666666)</f>
        <v>43228.666666666599</v>
      </c>
      <c r="B1980" s="1">
        <f ca="1">IFERROR(__xludf.DUMMYFUNCTION("""COMPUTED_VALUE"""),20.13)</f>
        <v>20.13</v>
      </c>
    </row>
    <row r="1981" spans="1:2">
      <c r="A1981" s="3">
        <f ca="1">IFERROR(__xludf.DUMMYFUNCTION("""COMPUTED_VALUE"""),43229.6666666666)</f>
        <v>43229.666666666599</v>
      </c>
      <c r="B1981" s="1">
        <f ca="1">IFERROR(__xludf.DUMMYFUNCTION("""COMPUTED_VALUE"""),20.46)</f>
        <v>20.46</v>
      </c>
    </row>
    <row r="1982" spans="1:2">
      <c r="A1982" s="3">
        <f ca="1">IFERROR(__xludf.DUMMYFUNCTION("""COMPUTED_VALUE"""),43230.6666666666)</f>
        <v>43230.666666666599</v>
      </c>
      <c r="B1982" s="1">
        <f ca="1">IFERROR(__xludf.DUMMYFUNCTION("""COMPUTED_VALUE"""),20.33)</f>
        <v>20.329999999999998</v>
      </c>
    </row>
    <row r="1983" spans="1:2">
      <c r="A1983" s="3">
        <f ca="1">IFERROR(__xludf.DUMMYFUNCTION("""COMPUTED_VALUE"""),43231.6666666666)</f>
        <v>43231.666666666599</v>
      </c>
      <c r="B1983" s="1">
        <f ca="1">IFERROR(__xludf.DUMMYFUNCTION("""COMPUTED_VALUE"""),20.07)</f>
        <v>20.07</v>
      </c>
    </row>
    <row r="1984" spans="1:2">
      <c r="A1984" s="3">
        <f ca="1">IFERROR(__xludf.DUMMYFUNCTION("""COMPUTED_VALUE"""),43234.6666666666)</f>
        <v>43234.666666666599</v>
      </c>
      <c r="B1984" s="1">
        <f ca="1">IFERROR(__xludf.DUMMYFUNCTION("""COMPUTED_VALUE"""),19.46)</f>
        <v>19.46</v>
      </c>
    </row>
    <row r="1985" spans="1:2">
      <c r="A1985" s="3">
        <f ca="1">IFERROR(__xludf.DUMMYFUNCTION("""COMPUTED_VALUE"""),43235.6666666666)</f>
        <v>43235.666666666599</v>
      </c>
      <c r="B1985" s="1">
        <f ca="1">IFERROR(__xludf.DUMMYFUNCTION("""COMPUTED_VALUE"""),18.95)</f>
        <v>18.95</v>
      </c>
    </row>
    <row r="1986" spans="1:2">
      <c r="A1986" s="3">
        <f ca="1">IFERROR(__xludf.DUMMYFUNCTION("""COMPUTED_VALUE"""),43236.6666666666)</f>
        <v>43236.666666666599</v>
      </c>
      <c r="B1986" s="1">
        <f ca="1">IFERROR(__xludf.DUMMYFUNCTION("""COMPUTED_VALUE"""),19.1)</f>
        <v>19.100000000000001</v>
      </c>
    </row>
    <row r="1987" spans="1:2">
      <c r="A1987" s="3">
        <f ca="1">IFERROR(__xludf.DUMMYFUNCTION("""COMPUTED_VALUE"""),43237.6666666666)</f>
        <v>43237.666666666599</v>
      </c>
      <c r="B1987" s="1">
        <f ca="1">IFERROR(__xludf.DUMMYFUNCTION("""COMPUTED_VALUE"""),18.97)</f>
        <v>18.97</v>
      </c>
    </row>
    <row r="1988" spans="1:2">
      <c r="A1988" s="3">
        <f ca="1">IFERROR(__xludf.DUMMYFUNCTION("""COMPUTED_VALUE"""),43238.6666666666)</f>
        <v>43238.666666666599</v>
      </c>
      <c r="B1988" s="1">
        <f ca="1">IFERROR(__xludf.DUMMYFUNCTION("""COMPUTED_VALUE"""),18.97)</f>
        <v>18.97</v>
      </c>
    </row>
    <row r="1989" spans="1:2">
      <c r="A1989" s="3">
        <f ca="1">IFERROR(__xludf.DUMMYFUNCTION("""COMPUTED_VALUE"""),43241.6666666666)</f>
        <v>43241.666666666599</v>
      </c>
      <c r="B1989" s="1">
        <f ca="1">IFERROR(__xludf.DUMMYFUNCTION("""COMPUTED_VALUE"""),18.97)</f>
        <v>18.97</v>
      </c>
    </row>
    <row r="1990" spans="1:2">
      <c r="A1990" s="3">
        <f ca="1">IFERROR(__xludf.DUMMYFUNCTION("""COMPUTED_VALUE"""),43242.6666666666)</f>
        <v>43242.666666666599</v>
      </c>
      <c r="B1990" s="1">
        <f ca="1">IFERROR(__xludf.DUMMYFUNCTION("""COMPUTED_VALUE"""),18.33)</f>
        <v>18.329999999999998</v>
      </c>
    </row>
    <row r="1991" spans="1:2">
      <c r="A1991" s="3">
        <f ca="1">IFERROR(__xludf.DUMMYFUNCTION("""COMPUTED_VALUE"""),43243.6666666666)</f>
        <v>43243.666666666599</v>
      </c>
      <c r="B1991" s="1">
        <f ca="1">IFERROR(__xludf.DUMMYFUNCTION("""COMPUTED_VALUE"""),18.6)</f>
        <v>18.600000000000001</v>
      </c>
    </row>
    <row r="1992" spans="1:2">
      <c r="A1992" s="3">
        <f ca="1">IFERROR(__xludf.DUMMYFUNCTION("""COMPUTED_VALUE"""),43244.6666666666)</f>
        <v>43244.666666666599</v>
      </c>
      <c r="B1992" s="1">
        <f ca="1">IFERROR(__xludf.DUMMYFUNCTION("""COMPUTED_VALUE"""),18.52)</f>
        <v>18.52</v>
      </c>
    </row>
    <row r="1993" spans="1:2">
      <c r="A1993" s="3">
        <f ca="1">IFERROR(__xludf.DUMMYFUNCTION("""COMPUTED_VALUE"""),43245.6666666666)</f>
        <v>43245.666666666599</v>
      </c>
      <c r="B1993" s="1">
        <f ca="1">IFERROR(__xludf.DUMMYFUNCTION("""COMPUTED_VALUE"""),18.59)</f>
        <v>18.59</v>
      </c>
    </row>
    <row r="1994" spans="1:2">
      <c r="A1994" s="3">
        <f ca="1">IFERROR(__xludf.DUMMYFUNCTION("""COMPUTED_VALUE"""),43249.6666666666)</f>
        <v>43249.666666666599</v>
      </c>
      <c r="B1994" s="1">
        <f ca="1">IFERROR(__xludf.DUMMYFUNCTION("""COMPUTED_VALUE"""),18.92)</f>
        <v>18.920000000000002</v>
      </c>
    </row>
    <row r="1995" spans="1:2">
      <c r="A1995" s="3">
        <f ca="1">IFERROR(__xludf.DUMMYFUNCTION("""COMPUTED_VALUE"""),43250.6666666666)</f>
        <v>43250.666666666599</v>
      </c>
      <c r="B1995" s="1">
        <f ca="1">IFERROR(__xludf.DUMMYFUNCTION("""COMPUTED_VALUE"""),19.45)</f>
        <v>19.45</v>
      </c>
    </row>
    <row r="1996" spans="1:2">
      <c r="A1996" s="3">
        <f ca="1">IFERROR(__xludf.DUMMYFUNCTION("""COMPUTED_VALUE"""),43251.6666666666)</f>
        <v>43251.666666666599</v>
      </c>
      <c r="B1996" s="1">
        <f ca="1">IFERROR(__xludf.DUMMYFUNCTION("""COMPUTED_VALUE"""),18.98)</f>
        <v>18.98</v>
      </c>
    </row>
    <row r="1997" spans="1:2">
      <c r="A1997" s="3">
        <f ca="1">IFERROR(__xludf.DUMMYFUNCTION("""COMPUTED_VALUE"""),43252.6666666666)</f>
        <v>43252.666666666599</v>
      </c>
      <c r="B1997" s="1">
        <f ca="1">IFERROR(__xludf.DUMMYFUNCTION("""COMPUTED_VALUE"""),19.45)</f>
        <v>19.45</v>
      </c>
    </row>
    <row r="1998" spans="1:2">
      <c r="A1998" s="3">
        <f ca="1">IFERROR(__xludf.DUMMYFUNCTION("""COMPUTED_VALUE"""),43255.6666666666)</f>
        <v>43255.666666666599</v>
      </c>
      <c r="B1998" s="1">
        <f ca="1">IFERROR(__xludf.DUMMYFUNCTION("""COMPUTED_VALUE"""),19.78)</f>
        <v>19.78</v>
      </c>
    </row>
    <row r="1999" spans="1:2">
      <c r="A1999" s="3">
        <f ca="1">IFERROR(__xludf.DUMMYFUNCTION("""COMPUTED_VALUE"""),43256.6666666666)</f>
        <v>43256.666666666599</v>
      </c>
      <c r="B1999" s="1">
        <f ca="1">IFERROR(__xludf.DUMMYFUNCTION("""COMPUTED_VALUE"""),19.41)</f>
        <v>19.41</v>
      </c>
    </row>
    <row r="2000" spans="1:2">
      <c r="A2000" s="3">
        <f ca="1">IFERROR(__xludf.DUMMYFUNCTION("""COMPUTED_VALUE"""),43257.6666666666)</f>
        <v>43257.666666666599</v>
      </c>
      <c r="B2000" s="1">
        <f ca="1">IFERROR(__xludf.DUMMYFUNCTION("""COMPUTED_VALUE"""),21.3)</f>
        <v>21.3</v>
      </c>
    </row>
    <row r="2001" spans="1:2">
      <c r="A2001" s="3">
        <f ca="1">IFERROR(__xludf.DUMMYFUNCTION("""COMPUTED_VALUE"""),43258.6666666666)</f>
        <v>43258.666666666599</v>
      </c>
      <c r="B2001" s="1">
        <f ca="1">IFERROR(__xludf.DUMMYFUNCTION("""COMPUTED_VALUE"""),21.07)</f>
        <v>21.07</v>
      </c>
    </row>
    <row r="2002" spans="1:2">
      <c r="A2002" s="3">
        <f ca="1">IFERROR(__xludf.DUMMYFUNCTION("""COMPUTED_VALUE"""),43259.6666666666)</f>
        <v>43259.666666666599</v>
      </c>
      <c r="B2002" s="1">
        <f ca="1">IFERROR(__xludf.DUMMYFUNCTION("""COMPUTED_VALUE"""),21.18)</f>
        <v>21.18</v>
      </c>
    </row>
    <row r="2003" spans="1:2">
      <c r="A2003" s="3">
        <f ca="1">IFERROR(__xludf.DUMMYFUNCTION("""COMPUTED_VALUE"""),43262.6666666666)</f>
        <v>43262.666666666599</v>
      </c>
      <c r="B2003" s="1">
        <f ca="1">IFERROR(__xludf.DUMMYFUNCTION("""COMPUTED_VALUE"""),22.14)</f>
        <v>22.14</v>
      </c>
    </row>
    <row r="2004" spans="1:2">
      <c r="A2004" s="3">
        <f ca="1">IFERROR(__xludf.DUMMYFUNCTION("""COMPUTED_VALUE"""),43263.6666666666)</f>
        <v>43263.666666666599</v>
      </c>
      <c r="B2004" s="1">
        <f ca="1">IFERROR(__xludf.DUMMYFUNCTION("""COMPUTED_VALUE"""),22.85)</f>
        <v>22.85</v>
      </c>
    </row>
    <row r="2005" spans="1:2">
      <c r="A2005" s="3">
        <f ca="1">IFERROR(__xludf.DUMMYFUNCTION("""COMPUTED_VALUE"""),43264.6666666666)</f>
        <v>43264.666666666599</v>
      </c>
      <c r="B2005" s="1">
        <f ca="1">IFERROR(__xludf.DUMMYFUNCTION("""COMPUTED_VALUE"""),22.99)</f>
        <v>22.99</v>
      </c>
    </row>
    <row r="2006" spans="1:2">
      <c r="A2006" s="3">
        <f ca="1">IFERROR(__xludf.DUMMYFUNCTION("""COMPUTED_VALUE"""),43265.6666666666)</f>
        <v>43265.666666666599</v>
      </c>
      <c r="B2006" s="1">
        <f ca="1">IFERROR(__xludf.DUMMYFUNCTION("""COMPUTED_VALUE"""),23.85)</f>
        <v>23.85</v>
      </c>
    </row>
    <row r="2007" spans="1:2">
      <c r="A2007" s="3">
        <f ca="1">IFERROR(__xludf.DUMMYFUNCTION("""COMPUTED_VALUE"""),43266.6666666666)</f>
        <v>43266.666666666599</v>
      </c>
      <c r="B2007" s="1">
        <f ca="1">IFERROR(__xludf.DUMMYFUNCTION("""COMPUTED_VALUE"""),23.88)</f>
        <v>23.88</v>
      </c>
    </row>
    <row r="2008" spans="1:2">
      <c r="A2008" s="3">
        <f ca="1">IFERROR(__xludf.DUMMYFUNCTION("""COMPUTED_VALUE"""),43269.6666666666)</f>
        <v>43269.666666666599</v>
      </c>
      <c r="B2008" s="1">
        <f ca="1">IFERROR(__xludf.DUMMYFUNCTION("""COMPUTED_VALUE"""),24.72)</f>
        <v>24.72</v>
      </c>
    </row>
    <row r="2009" spans="1:2">
      <c r="A2009" s="3">
        <f ca="1">IFERROR(__xludf.DUMMYFUNCTION("""COMPUTED_VALUE"""),43270.6666666666)</f>
        <v>43270.666666666599</v>
      </c>
      <c r="B2009" s="1">
        <f ca="1">IFERROR(__xludf.DUMMYFUNCTION("""COMPUTED_VALUE"""),23.5)</f>
        <v>23.5</v>
      </c>
    </row>
    <row r="2010" spans="1:2">
      <c r="A2010" s="3">
        <f ca="1">IFERROR(__xludf.DUMMYFUNCTION("""COMPUTED_VALUE"""),43271.6666666666)</f>
        <v>43271.666666666599</v>
      </c>
      <c r="B2010" s="1">
        <f ca="1">IFERROR(__xludf.DUMMYFUNCTION("""COMPUTED_VALUE"""),24.15)</f>
        <v>24.15</v>
      </c>
    </row>
    <row r="2011" spans="1:2">
      <c r="A2011" s="3">
        <f ca="1">IFERROR(__xludf.DUMMYFUNCTION("""COMPUTED_VALUE"""),43272.6666666666)</f>
        <v>43272.666666666599</v>
      </c>
      <c r="B2011" s="1">
        <f ca="1">IFERROR(__xludf.DUMMYFUNCTION("""COMPUTED_VALUE"""),23.17)</f>
        <v>23.17</v>
      </c>
    </row>
    <row r="2012" spans="1:2">
      <c r="A2012" s="3">
        <f ca="1">IFERROR(__xludf.DUMMYFUNCTION("""COMPUTED_VALUE"""),43273.6666666666)</f>
        <v>43273.666666666599</v>
      </c>
      <c r="B2012" s="1">
        <f ca="1">IFERROR(__xludf.DUMMYFUNCTION("""COMPUTED_VALUE"""),22.24)</f>
        <v>22.24</v>
      </c>
    </row>
    <row r="2013" spans="1:2">
      <c r="A2013" s="3">
        <f ca="1">IFERROR(__xludf.DUMMYFUNCTION("""COMPUTED_VALUE"""),43276.6666666666)</f>
        <v>43276.666666666599</v>
      </c>
      <c r="B2013" s="1">
        <f ca="1">IFERROR(__xludf.DUMMYFUNCTION("""COMPUTED_VALUE"""),22.2)</f>
        <v>22.2</v>
      </c>
    </row>
    <row r="2014" spans="1:2">
      <c r="A2014" s="3">
        <f ca="1">IFERROR(__xludf.DUMMYFUNCTION("""COMPUTED_VALUE"""),43277.6666666666)</f>
        <v>43277.666666666599</v>
      </c>
      <c r="B2014" s="1">
        <f ca="1">IFERROR(__xludf.DUMMYFUNCTION("""COMPUTED_VALUE"""),22.8)</f>
        <v>22.8</v>
      </c>
    </row>
    <row r="2015" spans="1:2">
      <c r="A2015" s="3">
        <f ca="1">IFERROR(__xludf.DUMMYFUNCTION("""COMPUTED_VALUE"""),43278.6666666666)</f>
        <v>43278.666666666599</v>
      </c>
      <c r="B2015" s="1">
        <f ca="1">IFERROR(__xludf.DUMMYFUNCTION("""COMPUTED_VALUE"""),22.97)</f>
        <v>22.97</v>
      </c>
    </row>
    <row r="2016" spans="1:2">
      <c r="A2016" s="3">
        <f ca="1">IFERROR(__xludf.DUMMYFUNCTION("""COMPUTED_VALUE"""),43279.6666666666)</f>
        <v>43279.666666666599</v>
      </c>
      <c r="B2016" s="1">
        <f ca="1">IFERROR(__xludf.DUMMYFUNCTION("""COMPUTED_VALUE"""),23.33)</f>
        <v>23.33</v>
      </c>
    </row>
    <row r="2017" spans="1:2">
      <c r="A2017" s="3">
        <f ca="1">IFERROR(__xludf.DUMMYFUNCTION("""COMPUTED_VALUE"""),43280.6666666666)</f>
        <v>43280.666666666599</v>
      </c>
      <c r="B2017" s="1">
        <f ca="1">IFERROR(__xludf.DUMMYFUNCTION("""COMPUTED_VALUE"""),22.86)</f>
        <v>22.86</v>
      </c>
    </row>
    <row r="2018" spans="1:2">
      <c r="A2018" s="3">
        <f ca="1">IFERROR(__xludf.DUMMYFUNCTION("""COMPUTED_VALUE"""),43283.6666666666)</f>
        <v>43283.666666666599</v>
      </c>
      <c r="B2018" s="1">
        <f ca="1">IFERROR(__xludf.DUMMYFUNCTION("""COMPUTED_VALUE"""),22.34)</f>
        <v>22.34</v>
      </c>
    </row>
    <row r="2019" spans="1:2">
      <c r="A2019" s="3">
        <f ca="1">IFERROR(__xludf.DUMMYFUNCTION("""COMPUTED_VALUE"""),43284.5416666666)</f>
        <v>43284.541666666599</v>
      </c>
      <c r="B2019" s="1">
        <f ca="1">IFERROR(__xludf.DUMMYFUNCTION("""COMPUTED_VALUE"""),20.72)</f>
        <v>20.72</v>
      </c>
    </row>
    <row r="2020" spans="1:2">
      <c r="A2020" s="3">
        <f ca="1">IFERROR(__xludf.DUMMYFUNCTION("""COMPUTED_VALUE"""),43286.6666666666)</f>
        <v>43286.666666666599</v>
      </c>
      <c r="B2020" s="1">
        <f ca="1">IFERROR(__xludf.DUMMYFUNCTION("""COMPUTED_VALUE"""),20.61)</f>
        <v>20.61</v>
      </c>
    </row>
    <row r="2021" spans="1:2">
      <c r="A2021" s="3">
        <f ca="1">IFERROR(__xludf.DUMMYFUNCTION("""COMPUTED_VALUE"""),43287.6666666666)</f>
        <v>43287.666666666599</v>
      </c>
      <c r="B2021" s="1">
        <f ca="1">IFERROR(__xludf.DUMMYFUNCTION("""COMPUTED_VALUE"""),20.59)</f>
        <v>20.59</v>
      </c>
    </row>
    <row r="2022" spans="1:2">
      <c r="A2022" s="3">
        <f ca="1">IFERROR(__xludf.DUMMYFUNCTION("""COMPUTED_VALUE"""),43290.6666666666)</f>
        <v>43290.666666666599</v>
      </c>
      <c r="B2022" s="1">
        <f ca="1">IFERROR(__xludf.DUMMYFUNCTION("""COMPUTED_VALUE"""),21.23)</f>
        <v>21.23</v>
      </c>
    </row>
    <row r="2023" spans="1:2">
      <c r="A2023" s="3">
        <f ca="1">IFERROR(__xludf.DUMMYFUNCTION("""COMPUTED_VALUE"""),43291.6666666666)</f>
        <v>43291.666666666599</v>
      </c>
      <c r="B2023" s="1">
        <f ca="1">IFERROR(__xludf.DUMMYFUNCTION("""COMPUTED_VALUE"""),21.5)</f>
        <v>21.5</v>
      </c>
    </row>
    <row r="2024" spans="1:2">
      <c r="A2024" s="3">
        <f ca="1">IFERROR(__xludf.DUMMYFUNCTION("""COMPUTED_VALUE"""),43292.6666666666)</f>
        <v>43292.666666666599</v>
      </c>
      <c r="B2024" s="1">
        <f ca="1">IFERROR(__xludf.DUMMYFUNCTION("""COMPUTED_VALUE"""),21.26)</f>
        <v>21.26</v>
      </c>
    </row>
    <row r="2025" spans="1:2">
      <c r="A2025" s="3">
        <f ca="1">IFERROR(__xludf.DUMMYFUNCTION("""COMPUTED_VALUE"""),43293.6666666666)</f>
        <v>43293.666666666599</v>
      </c>
      <c r="B2025" s="1">
        <f ca="1">IFERROR(__xludf.DUMMYFUNCTION("""COMPUTED_VALUE"""),21.11)</f>
        <v>21.11</v>
      </c>
    </row>
    <row r="2026" spans="1:2">
      <c r="A2026" s="3">
        <f ca="1">IFERROR(__xludf.DUMMYFUNCTION("""COMPUTED_VALUE"""),43294.6666666666)</f>
        <v>43294.666666666599</v>
      </c>
      <c r="B2026" s="1">
        <f ca="1">IFERROR(__xludf.DUMMYFUNCTION("""COMPUTED_VALUE"""),21.26)</f>
        <v>21.26</v>
      </c>
    </row>
    <row r="2027" spans="1:2">
      <c r="A2027" s="3">
        <f ca="1">IFERROR(__xludf.DUMMYFUNCTION("""COMPUTED_VALUE"""),43297.6666666666)</f>
        <v>43297.666666666599</v>
      </c>
      <c r="B2027" s="1">
        <f ca="1">IFERROR(__xludf.DUMMYFUNCTION("""COMPUTED_VALUE"""),20.67)</f>
        <v>20.67</v>
      </c>
    </row>
    <row r="2028" spans="1:2">
      <c r="A2028" s="3">
        <f ca="1">IFERROR(__xludf.DUMMYFUNCTION("""COMPUTED_VALUE"""),43298.6666666666)</f>
        <v>43298.666666666599</v>
      </c>
      <c r="B2028" s="1">
        <f ca="1">IFERROR(__xludf.DUMMYFUNCTION("""COMPUTED_VALUE"""),21.51)</f>
        <v>21.51</v>
      </c>
    </row>
    <row r="2029" spans="1:2">
      <c r="A2029" s="3">
        <f ca="1">IFERROR(__xludf.DUMMYFUNCTION("""COMPUTED_VALUE"""),43299.6666666666)</f>
        <v>43299.666666666599</v>
      </c>
      <c r="B2029" s="1">
        <f ca="1">IFERROR(__xludf.DUMMYFUNCTION("""COMPUTED_VALUE"""),21.59)</f>
        <v>21.59</v>
      </c>
    </row>
    <row r="2030" spans="1:2">
      <c r="A2030" s="3">
        <f ca="1">IFERROR(__xludf.DUMMYFUNCTION("""COMPUTED_VALUE"""),43300.6666666666)</f>
        <v>43300.666666666599</v>
      </c>
      <c r="B2030" s="1">
        <f ca="1">IFERROR(__xludf.DUMMYFUNCTION("""COMPUTED_VALUE"""),21.35)</f>
        <v>21.35</v>
      </c>
    </row>
    <row r="2031" spans="1:2">
      <c r="A2031" s="3">
        <f ca="1">IFERROR(__xludf.DUMMYFUNCTION("""COMPUTED_VALUE"""),43301.6666666666)</f>
        <v>43301.666666666599</v>
      </c>
      <c r="B2031" s="1">
        <f ca="1">IFERROR(__xludf.DUMMYFUNCTION("""COMPUTED_VALUE"""),20.91)</f>
        <v>20.91</v>
      </c>
    </row>
    <row r="2032" spans="1:2">
      <c r="A2032" s="3">
        <f ca="1">IFERROR(__xludf.DUMMYFUNCTION("""COMPUTED_VALUE"""),43304.6666666666)</f>
        <v>43304.666666666599</v>
      </c>
      <c r="B2032" s="1">
        <f ca="1">IFERROR(__xludf.DUMMYFUNCTION("""COMPUTED_VALUE"""),20.21)</f>
        <v>20.21</v>
      </c>
    </row>
    <row r="2033" spans="1:2">
      <c r="A2033" s="3">
        <f ca="1">IFERROR(__xludf.DUMMYFUNCTION("""COMPUTED_VALUE"""),43305.6666666666)</f>
        <v>43305.666666666599</v>
      </c>
      <c r="B2033" s="1">
        <f ca="1">IFERROR(__xludf.DUMMYFUNCTION("""COMPUTED_VALUE"""),19.83)</f>
        <v>19.829999999999998</v>
      </c>
    </row>
    <row r="2034" spans="1:2">
      <c r="A2034" s="3">
        <f ca="1">IFERROR(__xludf.DUMMYFUNCTION("""COMPUTED_VALUE"""),43306.6666666666)</f>
        <v>43306.666666666599</v>
      </c>
      <c r="B2034" s="1">
        <f ca="1">IFERROR(__xludf.DUMMYFUNCTION("""COMPUTED_VALUE"""),20.58)</f>
        <v>20.58</v>
      </c>
    </row>
    <row r="2035" spans="1:2">
      <c r="A2035" s="3">
        <f ca="1">IFERROR(__xludf.DUMMYFUNCTION("""COMPUTED_VALUE"""),43307.6666666666)</f>
        <v>43307.666666666599</v>
      </c>
      <c r="B2035" s="1">
        <f ca="1">IFERROR(__xludf.DUMMYFUNCTION("""COMPUTED_VALUE"""),20.44)</f>
        <v>20.440000000000001</v>
      </c>
    </row>
    <row r="2036" spans="1:2">
      <c r="A2036" s="3">
        <f ca="1">IFERROR(__xludf.DUMMYFUNCTION("""COMPUTED_VALUE"""),43308.6666666666)</f>
        <v>43308.666666666599</v>
      </c>
      <c r="B2036" s="1">
        <f ca="1">IFERROR(__xludf.DUMMYFUNCTION("""COMPUTED_VALUE"""),19.81)</f>
        <v>19.809999999999999</v>
      </c>
    </row>
    <row r="2037" spans="1:2">
      <c r="A2037" s="3">
        <f ca="1">IFERROR(__xludf.DUMMYFUNCTION("""COMPUTED_VALUE"""),43311.6666666666)</f>
        <v>43311.666666666599</v>
      </c>
      <c r="B2037" s="1">
        <f ca="1">IFERROR(__xludf.DUMMYFUNCTION("""COMPUTED_VALUE"""),19.34)</f>
        <v>19.34</v>
      </c>
    </row>
    <row r="2038" spans="1:2">
      <c r="A2038" s="3">
        <f ca="1">IFERROR(__xludf.DUMMYFUNCTION("""COMPUTED_VALUE"""),43312.6666666666)</f>
        <v>43312.666666666599</v>
      </c>
      <c r="B2038" s="1">
        <f ca="1">IFERROR(__xludf.DUMMYFUNCTION("""COMPUTED_VALUE"""),19.88)</f>
        <v>19.88</v>
      </c>
    </row>
    <row r="2039" spans="1:2">
      <c r="A2039" s="3">
        <f ca="1">IFERROR(__xludf.DUMMYFUNCTION("""COMPUTED_VALUE"""),43313.6666666666)</f>
        <v>43313.666666666599</v>
      </c>
      <c r="B2039" s="1">
        <f ca="1">IFERROR(__xludf.DUMMYFUNCTION("""COMPUTED_VALUE"""),20.06)</f>
        <v>20.059999999999999</v>
      </c>
    </row>
    <row r="2040" spans="1:2">
      <c r="A2040" s="3">
        <f ca="1">IFERROR(__xludf.DUMMYFUNCTION("""COMPUTED_VALUE"""),43314.6666666666)</f>
        <v>43314.666666666599</v>
      </c>
      <c r="B2040" s="1">
        <f ca="1">IFERROR(__xludf.DUMMYFUNCTION("""COMPUTED_VALUE"""),23.3)</f>
        <v>23.3</v>
      </c>
    </row>
    <row r="2041" spans="1:2">
      <c r="A2041" s="3">
        <f ca="1">IFERROR(__xludf.DUMMYFUNCTION("""COMPUTED_VALUE"""),43315.6666666666)</f>
        <v>43315.666666666599</v>
      </c>
      <c r="B2041" s="1">
        <f ca="1">IFERROR(__xludf.DUMMYFUNCTION("""COMPUTED_VALUE"""),23.21)</f>
        <v>23.21</v>
      </c>
    </row>
    <row r="2042" spans="1:2">
      <c r="A2042" s="3">
        <f ca="1">IFERROR(__xludf.DUMMYFUNCTION("""COMPUTED_VALUE"""),43318.6666666666)</f>
        <v>43318.666666666599</v>
      </c>
      <c r="B2042" s="1">
        <f ca="1">IFERROR(__xludf.DUMMYFUNCTION("""COMPUTED_VALUE"""),22.8)</f>
        <v>22.8</v>
      </c>
    </row>
    <row r="2043" spans="1:2">
      <c r="A2043" s="3">
        <f ca="1">IFERROR(__xludf.DUMMYFUNCTION("""COMPUTED_VALUE"""),43319.6666666666)</f>
        <v>43319.666666666599</v>
      </c>
      <c r="B2043" s="1">
        <f ca="1">IFERROR(__xludf.DUMMYFUNCTION("""COMPUTED_VALUE"""),25.3)</f>
        <v>25.3</v>
      </c>
    </row>
    <row r="2044" spans="1:2">
      <c r="A2044" s="3">
        <f ca="1">IFERROR(__xludf.DUMMYFUNCTION("""COMPUTED_VALUE"""),43320.6666666666)</f>
        <v>43320.666666666599</v>
      </c>
      <c r="B2044" s="1">
        <f ca="1">IFERROR(__xludf.DUMMYFUNCTION("""COMPUTED_VALUE"""),24.69)</f>
        <v>24.69</v>
      </c>
    </row>
    <row r="2045" spans="1:2">
      <c r="A2045" s="3">
        <f ca="1">IFERROR(__xludf.DUMMYFUNCTION("""COMPUTED_VALUE"""),43321.6666666666)</f>
        <v>43321.666666666599</v>
      </c>
      <c r="B2045" s="1">
        <f ca="1">IFERROR(__xludf.DUMMYFUNCTION("""COMPUTED_VALUE"""),23.5)</f>
        <v>23.5</v>
      </c>
    </row>
    <row r="2046" spans="1:2">
      <c r="A2046" s="3">
        <f ca="1">IFERROR(__xludf.DUMMYFUNCTION("""COMPUTED_VALUE"""),43322.6666666666)</f>
        <v>43322.666666666599</v>
      </c>
      <c r="B2046" s="1">
        <f ca="1">IFERROR(__xludf.DUMMYFUNCTION("""COMPUTED_VALUE"""),23.7)</f>
        <v>23.7</v>
      </c>
    </row>
    <row r="2047" spans="1:2">
      <c r="A2047" s="3">
        <f ca="1">IFERROR(__xludf.DUMMYFUNCTION("""COMPUTED_VALUE"""),43325.6666666666)</f>
        <v>43325.666666666599</v>
      </c>
      <c r="B2047" s="1">
        <f ca="1">IFERROR(__xludf.DUMMYFUNCTION("""COMPUTED_VALUE"""),23.76)</f>
        <v>23.76</v>
      </c>
    </row>
    <row r="2048" spans="1:2">
      <c r="A2048" s="3">
        <f ca="1">IFERROR(__xludf.DUMMYFUNCTION("""COMPUTED_VALUE"""),43326.6666666666)</f>
        <v>43326.666666666599</v>
      </c>
      <c r="B2048" s="1">
        <f ca="1">IFERROR(__xludf.DUMMYFUNCTION("""COMPUTED_VALUE"""),23.18)</f>
        <v>23.18</v>
      </c>
    </row>
    <row r="2049" spans="1:2">
      <c r="A2049" s="3">
        <f ca="1">IFERROR(__xludf.DUMMYFUNCTION("""COMPUTED_VALUE"""),43327.6666666666)</f>
        <v>43327.666666666599</v>
      </c>
      <c r="B2049" s="1">
        <f ca="1">IFERROR(__xludf.DUMMYFUNCTION("""COMPUTED_VALUE"""),22.58)</f>
        <v>22.58</v>
      </c>
    </row>
    <row r="2050" spans="1:2">
      <c r="A2050" s="3">
        <f ca="1">IFERROR(__xludf.DUMMYFUNCTION("""COMPUTED_VALUE"""),43328.6666666666)</f>
        <v>43328.666666666599</v>
      </c>
      <c r="B2050" s="1">
        <f ca="1">IFERROR(__xludf.DUMMYFUNCTION("""COMPUTED_VALUE"""),22.36)</f>
        <v>22.36</v>
      </c>
    </row>
    <row r="2051" spans="1:2">
      <c r="A2051" s="3">
        <f ca="1">IFERROR(__xludf.DUMMYFUNCTION("""COMPUTED_VALUE"""),43329.6666666666)</f>
        <v>43329.666666666599</v>
      </c>
      <c r="B2051" s="1">
        <f ca="1">IFERROR(__xludf.DUMMYFUNCTION("""COMPUTED_VALUE"""),20.37)</f>
        <v>20.37</v>
      </c>
    </row>
    <row r="2052" spans="1:2">
      <c r="A2052" s="3">
        <f ca="1">IFERROR(__xludf.DUMMYFUNCTION("""COMPUTED_VALUE"""),43332.6666666666)</f>
        <v>43332.666666666599</v>
      </c>
      <c r="B2052" s="1">
        <f ca="1">IFERROR(__xludf.DUMMYFUNCTION("""COMPUTED_VALUE"""),20.56)</f>
        <v>20.56</v>
      </c>
    </row>
    <row r="2053" spans="1:2">
      <c r="A2053" s="3">
        <f ca="1">IFERROR(__xludf.DUMMYFUNCTION("""COMPUTED_VALUE"""),43333.6666666666)</f>
        <v>43333.666666666599</v>
      </c>
      <c r="B2053" s="1">
        <f ca="1">IFERROR(__xludf.DUMMYFUNCTION("""COMPUTED_VALUE"""),21.46)</f>
        <v>21.46</v>
      </c>
    </row>
    <row r="2054" spans="1:2">
      <c r="A2054" s="3">
        <f ca="1">IFERROR(__xludf.DUMMYFUNCTION("""COMPUTED_VALUE"""),43334.6666666666)</f>
        <v>43334.666666666599</v>
      </c>
      <c r="B2054" s="1">
        <f ca="1">IFERROR(__xludf.DUMMYFUNCTION("""COMPUTED_VALUE"""),21.44)</f>
        <v>21.44</v>
      </c>
    </row>
    <row r="2055" spans="1:2">
      <c r="A2055" s="3">
        <f ca="1">IFERROR(__xludf.DUMMYFUNCTION("""COMPUTED_VALUE"""),43335.6666666666)</f>
        <v>43335.666666666599</v>
      </c>
      <c r="B2055" s="1">
        <f ca="1">IFERROR(__xludf.DUMMYFUNCTION("""COMPUTED_VALUE"""),21.34)</f>
        <v>21.34</v>
      </c>
    </row>
    <row r="2056" spans="1:2">
      <c r="A2056" s="3">
        <f ca="1">IFERROR(__xludf.DUMMYFUNCTION("""COMPUTED_VALUE"""),43336.6666666666)</f>
        <v>43336.666666666599</v>
      </c>
      <c r="B2056" s="1">
        <f ca="1">IFERROR(__xludf.DUMMYFUNCTION("""COMPUTED_VALUE"""),21.52)</f>
        <v>21.52</v>
      </c>
    </row>
    <row r="2057" spans="1:2">
      <c r="A2057" s="3">
        <f ca="1">IFERROR(__xludf.DUMMYFUNCTION("""COMPUTED_VALUE"""),43339.6666666666)</f>
        <v>43339.666666666599</v>
      </c>
      <c r="B2057" s="1">
        <f ca="1">IFERROR(__xludf.DUMMYFUNCTION("""COMPUTED_VALUE"""),21.28)</f>
        <v>21.28</v>
      </c>
    </row>
    <row r="2058" spans="1:2">
      <c r="A2058" s="3">
        <f ca="1">IFERROR(__xludf.DUMMYFUNCTION("""COMPUTED_VALUE"""),43340.6666666666)</f>
        <v>43340.666666666599</v>
      </c>
      <c r="B2058" s="1">
        <f ca="1">IFERROR(__xludf.DUMMYFUNCTION("""COMPUTED_VALUE"""),20.79)</f>
        <v>20.79</v>
      </c>
    </row>
    <row r="2059" spans="1:2">
      <c r="A2059" s="3">
        <f ca="1">IFERROR(__xludf.DUMMYFUNCTION("""COMPUTED_VALUE"""),43341.6666666666)</f>
        <v>43341.666666666599</v>
      </c>
      <c r="B2059" s="1">
        <f ca="1">IFERROR(__xludf.DUMMYFUNCTION("""COMPUTED_VALUE"""),20.33)</f>
        <v>20.329999999999998</v>
      </c>
    </row>
    <row r="2060" spans="1:2">
      <c r="A2060" s="3">
        <f ca="1">IFERROR(__xludf.DUMMYFUNCTION("""COMPUTED_VALUE"""),43342.6666666666)</f>
        <v>43342.666666666599</v>
      </c>
      <c r="B2060" s="1">
        <f ca="1">IFERROR(__xludf.DUMMYFUNCTION("""COMPUTED_VALUE"""),20.21)</f>
        <v>20.21</v>
      </c>
    </row>
    <row r="2061" spans="1:2">
      <c r="A2061" s="3">
        <f ca="1">IFERROR(__xludf.DUMMYFUNCTION("""COMPUTED_VALUE"""),43343.6666666666)</f>
        <v>43343.666666666599</v>
      </c>
      <c r="B2061" s="1">
        <f ca="1">IFERROR(__xludf.DUMMYFUNCTION("""COMPUTED_VALUE"""),20.11)</f>
        <v>20.11</v>
      </c>
    </row>
    <row r="2062" spans="1:2">
      <c r="A2062" s="3">
        <f ca="1">IFERROR(__xludf.DUMMYFUNCTION("""COMPUTED_VALUE"""),43347.6666666666)</f>
        <v>43347.666666666599</v>
      </c>
      <c r="B2062" s="1">
        <f ca="1">IFERROR(__xludf.DUMMYFUNCTION("""COMPUTED_VALUE"""),19.26)</f>
        <v>19.260000000000002</v>
      </c>
    </row>
    <row r="2063" spans="1:2">
      <c r="A2063" s="3">
        <f ca="1">IFERROR(__xludf.DUMMYFUNCTION("""COMPUTED_VALUE"""),43348.6666666666)</f>
        <v>43348.666666666599</v>
      </c>
      <c r="B2063" s="1">
        <f ca="1">IFERROR(__xludf.DUMMYFUNCTION("""COMPUTED_VALUE"""),18.72)</f>
        <v>18.72</v>
      </c>
    </row>
    <row r="2064" spans="1:2">
      <c r="A2064" s="3">
        <f ca="1">IFERROR(__xludf.DUMMYFUNCTION("""COMPUTED_VALUE"""),43349.6666666666)</f>
        <v>43349.666666666599</v>
      </c>
      <c r="B2064" s="1">
        <f ca="1">IFERROR(__xludf.DUMMYFUNCTION("""COMPUTED_VALUE"""),18.73)</f>
        <v>18.73</v>
      </c>
    </row>
    <row r="2065" spans="1:2">
      <c r="A2065" s="3">
        <f ca="1">IFERROR(__xludf.DUMMYFUNCTION("""COMPUTED_VALUE"""),43350.6666666666)</f>
        <v>43350.666666666599</v>
      </c>
      <c r="B2065" s="1">
        <f ca="1">IFERROR(__xludf.DUMMYFUNCTION("""COMPUTED_VALUE"""),17.55)</f>
        <v>17.55</v>
      </c>
    </row>
    <row r="2066" spans="1:2">
      <c r="A2066" s="3">
        <f ca="1">IFERROR(__xludf.DUMMYFUNCTION("""COMPUTED_VALUE"""),43353.6666666666)</f>
        <v>43353.666666666599</v>
      </c>
      <c r="B2066" s="1">
        <f ca="1">IFERROR(__xludf.DUMMYFUNCTION("""COMPUTED_VALUE"""),19.03)</f>
        <v>19.03</v>
      </c>
    </row>
    <row r="2067" spans="1:2">
      <c r="A2067" s="3">
        <f ca="1">IFERROR(__xludf.DUMMYFUNCTION("""COMPUTED_VALUE"""),43354.6666666666)</f>
        <v>43354.666666666599</v>
      </c>
      <c r="B2067" s="1">
        <f ca="1">IFERROR(__xludf.DUMMYFUNCTION("""COMPUTED_VALUE"""),18.63)</f>
        <v>18.63</v>
      </c>
    </row>
    <row r="2068" spans="1:2">
      <c r="A2068" s="3">
        <f ca="1">IFERROR(__xludf.DUMMYFUNCTION("""COMPUTED_VALUE"""),43355.6666666666)</f>
        <v>43355.666666666599</v>
      </c>
      <c r="B2068" s="1">
        <f ca="1">IFERROR(__xludf.DUMMYFUNCTION("""COMPUTED_VALUE"""),19.37)</f>
        <v>19.37</v>
      </c>
    </row>
    <row r="2069" spans="1:2">
      <c r="A2069" s="3">
        <f ca="1">IFERROR(__xludf.DUMMYFUNCTION("""COMPUTED_VALUE"""),43356.6666666666)</f>
        <v>43356.666666666599</v>
      </c>
      <c r="B2069" s="1">
        <f ca="1">IFERROR(__xludf.DUMMYFUNCTION("""COMPUTED_VALUE"""),19.3)</f>
        <v>19.3</v>
      </c>
    </row>
    <row r="2070" spans="1:2">
      <c r="A2070" s="3">
        <f ca="1">IFERROR(__xludf.DUMMYFUNCTION("""COMPUTED_VALUE"""),43357.6666666666)</f>
        <v>43357.666666666599</v>
      </c>
      <c r="B2070" s="1">
        <f ca="1">IFERROR(__xludf.DUMMYFUNCTION("""COMPUTED_VALUE"""),19.68)</f>
        <v>19.68</v>
      </c>
    </row>
    <row r="2071" spans="1:2">
      <c r="A2071" s="3">
        <f ca="1">IFERROR(__xludf.DUMMYFUNCTION("""COMPUTED_VALUE"""),43360.6666666666)</f>
        <v>43360.666666666599</v>
      </c>
      <c r="B2071" s="1">
        <f ca="1">IFERROR(__xludf.DUMMYFUNCTION("""COMPUTED_VALUE"""),19.66)</f>
        <v>19.66</v>
      </c>
    </row>
    <row r="2072" spans="1:2">
      <c r="A2072" s="3">
        <f ca="1">IFERROR(__xludf.DUMMYFUNCTION("""COMPUTED_VALUE"""),43361.6666666666)</f>
        <v>43361.666666666599</v>
      </c>
      <c r="B2072" s="1">
        <f ca="1">IFERROR(__xludf.DUMMYFUNCTION("""COMPUTED_VALUE"""),19)</f>
        <v>19</v>
      </c>
    </row>
    <row r="2073" spans="1:2">
      <c r="A2073" s="3">
        <f ca="1">IFERROR(__xludf.DUMMYFUNCTION("""COMPUTED_VALUE"""),43362.6666666666)</f>
        <v>43362.666666666599</v>
      </c>
      <c r="B2073" s="1">
        <f ca="1">IFERROR(__xludf.DUMMYFUNCTION("""COMPUTED_VALUE"""),19.93)</f>
        <v>19.93</v>
      </c>
    </row>
    <row r="2074" spans="1:2">
      <c r="A2074" s="3">
        <f ca="1">IFERROR(__xludf.DUMMYFUNCTION("""COMPUTED_VALUE"""),43363.6666666666)</f>
        <v>43363.666666666599</v>
      </c>
      <c r="B2074" s="1">
        <f ca="1">IFERROR(__xludf.DUMMYFUNCTION("""COMPUTED_VALUE"""),19.89)</f>
        <v>19.89</v>
      </c>
    </row>
    <row r="2075" spans="1:2">
      <c r="A2075" s="3">
        <f ca="1">IFERROR(__xludf.DUMMYFUNCTION("""COMPUTED_VALUE"""),43364.6666666666)</f>
        <v>43364.666666666599</v>
      </c>
      <c r="B2075" s="1">
        <f ca="1">IFERROR(__xludf.DUMMYFUNCTION("""COMPUTED_VALUE"""),19.94)</f>
        <v>19.940000000000001</v>
      </c>
    </row>
    <row r="2076" spans="1:2">
      <c r="A2076" s="3">
        <f ca="1">IFERROR(__xludf.DUMMYFUNCTION("""COMPUTED_VALUE"""),43367.6666666666)</f>
        <v>43367.666666666599</v>
      </c>
      <c r="B2076" s="1">
        <f ca="1">IFERROR(__xludf.DUMMYFUNCTION("""COMPUTED_VALUE"""),19.98)</f>
        <v>19.98</v>
      </c>
    </row>
    <row r="2077" spans="1:2">
      <c r="A2077" s="3">
        <f ca="1">IFERROR(__xludf.DUMMYFUNCTION("""COMPUTED_VALUE"""),43368.6666666666)</f>
        <v>43368.666666666599</v>
      </c>
      <c r="B2077" s="1">
        <f ca="1">IFERROR(__xludf.DUMMYFUNCTION("""COMPUTED_VALUE"""),20.07)</f>
        <v>20.07</v>
      </c>
    </row>
    <row r="2078" spans="1:2">
      <c r="A2078" s="3">
        <f ca="1">IFERROR(__xludf.DUMMYFUNCTION("""COMPUTED_VALUE"""),43369.6666666666)</f>
        <v>43369.666666666599</v>
      </c>
      <c r="B2078" s="1">
        <f ca="1">IFERROR(__xludf.DUMMYFUNCTION("""COMPUTED_VALUE"""),20.64)</f>
        <v>20.64</v>
      </c>
    </row>
    <row r="2079" spans="1:2">
      <c r="A2079" s="3">
        <f ca="1">IFERROR(__xludf.DUMMYFUNCTION("""COMPUTED_VALUE"""),43370.6666666666)</f>
        <v>43370.666666666599</v>
      </c>
      <c r="B2079" s="1">
        <f ca="1">IFERROR(__xludf.DUMMYFUNCTION("""COMPUTED_VALUE"""),20.5)</f>
        <v>20.5</v>
      </c>
    </row>
    <row r="2080" spans="1:2">
      <c r="A2080" s="3">
        <f ca="1">IFERROR(__xludf.DUMMYFUNCTION("""COMPUTED_VALUE"""),43371.6666666666)</f>
        <v>43371.666666666599</v>
      </c>
      <c r="B2080" s="1">
        <f ca="1">IFERROR(__xludf.DUMMYFUNCTION("""COMPUTED_VALUE"""),17.65)</f>
        <v>17.649999999999999</v>
      </c>
    </row>
    <row r="2081" spans="1:2">
      <c r="A2081" s="3">
        <f ca="1">IFERROR(__xludf.DUMMYFUNCTION("""COMPUTED_VALUE"""),43374.6666666666)</f>
        <v>43374.666666666599</v>
      </c>
      <c r="B2081" s="1">
        <f ca="1">IFERROR(__xludf.DUMMYFUNCTION("""COMPUTED_VALUE"""),20.71)</f>
        <v>20.71</v>
      </c>
    </row>
    <row r="2082" spans="1:2">
      <c r="A2082" s="3">
        <f ca="1">IFERROR(__xludf.DUMMYFUNCTION("""COMPUTED_VALUE"""),43375.6666666666)</f>
        <v>43375.666666666599</v>
      </c>
      <c r="B2082" s="1">
        <f ca="1">IFERROR(__xludf.DUMMYFUNCTION("""COMPUTED_VALUE"""),20.07)</f>
        <v>20.07</v>
      </c>
    </row>
    <row r="2083" spans="1:2">
      <c r="A2083" s="3">
        <f ca="1">IFERROR(__xludf.DUMMYFUNCTION("""COMPUTED_VALUE"""),43376.6666666666)</f>
        <v>43376.666666666599</v>
      </c>
      <c r="B2083" s="1">
        <f ca="1">IFERROR(__xludf.DUMMYFUNCTION("""COMPUTED_VALUE"""),19.65)</f>
        <v>19.649999999999999</v>
      </c>
    </row>
    <row r="2084" spans="1:2">
      <c r="A2084" s="3">
        <f ca="1">IFERROR(__xludf.DUMMYFUNCTION("""COMPUTED_VALUE"""),43377.6666666666)</f>
        <v>43377.666666666599</v>
      </c>
      <c r="B2084" s="1">
        <f ca="1">IFERROR(__xludf.DUMMYFUNCTION("""COMPUTED_VALUE"""),18.79)</f>
        <v>18.79</v>
      </c>
    </row>
    <row r="2085" spans="1:2">
      <c r="A2085" s="3">
        <f ca="1">IFERROR(__xludf.DUMMYFUNCTION("""COMPUTED_VALUE"""),43378.6666666666)</f>
        <v>43378.666666666599</v>
      </c>
      <c r="B2085" s="1">
        <f ca="1">IFERROR(__xludf.DUMMYFUNCTION("""COMPUTED_VALUE"""),17.46)</f>
        <v>17.46</v>
      </c>
    </row>
    <row r="2086" spans="1:2">
      <c r="A2086" s="3">
        <f ca="1">IFERROR(__xludf.DUMMYFUNCTION("""COMPUTED_VALUE"""),43381.6666666666)</f>
        <v>43381.666666666599</v>
      </c>
      <c r="B2086" s="1">
        <f ca="1">IFERROR(__xludf.DUMMYFUNCTION("""COMPUTED_VALUE"""),16.7)</f>
        <v>16.7</v>
      </c>
    </row>
    <row r="2087" spans="1:2">
      <c r="A2087" s="3">
        <f ca="1">IFERROR(__xludf.DUMMYFUNCTION("""COMPUTED_VALUE"""),43382.6666666666)</f>
        <v>43382.666666666599</v>
      </c>
      <c r="B2087" s="1">
        <f ca="1">IFERROR(__xludf.DUMMYFUNCTION("""COMPUTED_VALUE"""),17.52)</f>
        <v>17.52</v>
      </c>
    </row>
    <row r="2088" spans="1:2">
      <c r="A2088" s="3">
        <f ca="1">IFERROR(__xludf.DUMMYFUNCTION("""COMPUTED_VALUE"""),43383.6666666666)</f>
        <v>43383.666666666599</v>
      </c>
      <c r="B2088" s="1">
        <f ca="1">IFERROR(__xludf.DUMMYFUNCTION("""COMPUTED_VALUE"""),17.13)</f>
        <v>17.13</v>
      </c>
    </row>
    <row r="2089" spans="1:2">
      <c r="A2089" s="3">
        <f ca="1">IFERROR(__xludf.DUMMYFUNCTION("""COMPUTED_VALUE"""),43384.6666666666)</f>
        <v>43384.666666666599</v>
      </c>
      <c r="B2089" s="1">
        <f ca="1">IFERROR(__xludf.DUMMYFUNCTION("""COMPUTED_VALUE"""),16.82)</f>
        <v>16.82</v>
      </c>
    </row>
    <row r="2090" spans="1:2">
      <c r="A2090" s="3">
        <f ca="1">IFERROR(__xludf.DUMMYFUNCTION("""COMPUTED_VALUE"""),43385.6666666666)</f>
        <v>43385.666666666599</v>
      </c>
      <c r="B2090" s="1">
        <f ca="1">IFERROR(__xludf.DUMMYFUNCTION("""COMPUTED_VALUE"""),17.25)</f>
        <v>17.25</v>
      </c>
    </row>
    <row r="2091" spans="1:2">
      <c r="A2091" s="3">
        <f ca="1">IFERROR(__xludf.DUMMYFUNCTION("""COMPUTED_VALUE"""),43388.6666666666)</f>
        <v>43388.666666666599</v>
      </c>
      <c r="B2091" s="1">
        <f ca="1">IFERROR(__xludf.DUMMYFUNCTION("""COMPUTED_VALUE"""),17.31)</f>
        <v>17.309999999999999</v>
      </c>
    </row>
    <row r="2092" spans="1:2">
      <c r="A2092" s="3">
        <f ca="1">IFERROR(__xludf.DUMMYFUNCTION("""COMPUTED_VALUE"""),43389.6666666666)</f>
        <v>43389.666666666599</v>
      </c>
      <c r="B2092" s="1">
        <f ca="1">IFERROR(__xludf.DUMMYFUNCTION("""COMPUTED_VALUE"""),18.44)</f>
        <v>18.440000000000001</v>
      </c>
    </row>
    <row r="2093" spans="1:2">
      <c r="A2093" s="3">
        <f ca="1">IFERROR(__xludf.DUMMYFUNCTION("""COMPUTED_VALUE"""),43390.6666666666)</f>
        <v>43390.666666666599</v>
      </c>
      <c r="B2093" s="1">
        <f ca="1">IFERROR(__xludf.DUMMYFUNCTION("""COMPUTED_VALUE"""),18.12)</f>
        <v>18.12</v>
      </c>
    </row>
    <row r="2094" spans="1:2">
      <c r="A2094" s="3">
        <f ca="1">IFERROR(__xludf.DUMMYFUNCTION("""COMPUTED_VALUE"""),43391.6666666666)</f>
        <v>43391.666666666599</v>
      </c>
      <c r="B2094" s="1">
        <f ca="1">IFERROR(__xludf.DUMMYFUNCTION("""COMPUTED_VALUE"""),17.59)</f>
        <v>17.59</v>
      </c>
    </row>
    <row r="2095" spans="1:2">
      <c r="A2095" s="3">
        <f ca="1">IFERROR(__xludf.DUMMYFUNCTION("""COMPUTED_VALUE"""),43392.6666666666)</f>
        <v>43392.666666666599</v>
      </c>
      <c r="B2095" s="1">
        <f ca="1">IFERROR(__xludf.DUMMYFUNCTION("""COMPUTED_VALUE"""),17.33)</f>
        <v>17.329999999999998</v>
      </c>
    </row>
    <row r="2096" spans="1:2">
      <c r="A2096" s="3">
        <f ca="1">IFERROR(__xludf.DUMMYFUNCTION("""COMPUTED_VALUE"""),43395.6666666666)</f>
        <v>43395.666666666599</v>
      </c>
      <c r="B2096" s="1">
        <f ca="1">IFERROR(__xludf.DUMMYFUNCTION("""COMPUTED_VALUE"""),17.4)</f>
        <v>17.399999999999999</v>
      </c>
    </row>
    <row r="2097" spans="1:2">
      <c r="A2097" s="3">
        <f ca="1">IFERROR(__xludf.DUMMYFUNCTION("""COMPUTED_VALUE"""),43396.6666666666)</f>
        <v>43396.666666666599</v>
      </c>
      <c r="B2097" s="1">
        <f ca="1">IFERROR(__xludf.DUMMYFUNCTION("""COMPUTED_VALUE"""),19.61)</f>
        <v>19.61</v>
      </c>
    </row>
    <row r="2098" spans="1:2">
      <c r="A2098" s="3">
        <f ca="1">IFERROR(__xludf.DUMMYFUNCTION("""COMPUTED_VALUE"""),43397.6666666666)</f>
        <v>43397.666666666599</v>
      </c>
      <c r="B2098" s="1">
        <f ca="1">IFERROR(__xludf.DUMMYFUNCTION("""COMPUTED_VALUE"""),19.23)</f>
        <v>19.23</v>
      </c>
    </row>
    <row r="2099" spans="1:2">
      <c r="A2099" s="3">
        <f ca="1">IFERROR(__xludf.DUMMYFUNCTION("""COMPUTED_VALUE"""),43398.6666666666)</f>
        <v>43398.666666666599</v>
      </c>
      <c r="B2099" s="1">
        <f ca="1">IFERROR(__xludf.DUMMYFUNCTION("""COMPUTED_VALUE"""),20.99)</f>
        <v>20.99</v>
      </c>
    </row>
    <row r="2100" spans="1:2">
      <c r="A2100" s="3">
        <f ca="1">IFERROR(__xludf.DUMMYFUNCTION("""COMPUTED_VALUE"""),43399.6666666666)</f>
        <v>43399.666666666599</v>
      </c>
      <c r="B2100" s="1">
        <f ca="1">IFERROR(__xludf.DUMMYFUNCTION("""COMPUTED_VALUE"""),22.06)</f>
        <v>22.06</v>
      </c>
    </row>
    <row r="2101" spans="1:2">
      <c r="A2101" s="3">
        <f ca="1">IFERROR(__xludf.DUMMYFUNCTION("""COMPUTED_VALUE"""),43402.6666666666)</f>
        <v>43402.666666666599</v>
      </c>
      <c r="B2101" s="1">
        <f ca="1">IFERROR(__xludf.DUMMYFUNCTION("""COMPUTED_VALUE"""),22.32)</f>
        <v>22.32</v>
      </c>
    </row>
    <row r="2102" spans="1:2">
      <c r="A2102" s="3">
        <f ca="1">IFERROR(__xludf.DUMMYFUNCTION("""COMPUTED_VALUE"""),43403.6666666666)</f>
        <v>43403.666666666599</v>
      </c>
      <c r="B2102" s="1">
        <f ca="1">IFERROR(__xludf.DUMMYFUNCTION("""COMPUTED_VALUE"""),21.99)</f>
        <v>21.99</v>
      </c>
    </row>
    <row r="2103" spans="1:2">
      <c r="A2103" s="3">
        <f ca="1">IFERROR(__xludf.DUMMYFUNCTION("""COMPUTED_VALUE"""),43404.6666666666)</f>
        <v>43404.666666666599</v>
      </c>
      <c r="B2103" s="1">
        <f ca="1">IFERROR(__xludf.DUMMYFUNCTION("""COMPUTED_VALUE"""),22.49)</f>
        <v>22.49</v>
      </c>
    </row>
    <row r="2104" spans="1:2">
      <c r="A2104" s="3">
        <f ca="1">IFERROR(__xludf.DUMMYFUNCTION("""COMPUTED_VALUE"""),43405.6666666666)</f>
        <v>43405.666666666599</v>
      </c>
      <c r="B2104" s="1">
        <f ca="1">IFERROR(__xludf.DUMMYFUNCTION("""COMPUTED_VALUE"""),22.95)</f>
        <v>22.95</v>
      </c>
    </row>
    <row r="2105" spans="1:2">
      <c r="A2105" s="3">
        <f ca="1">IFERROR(__xludf.DUMMYFUNCTION("""COMPUTED_VALUE"""),43406.6666666666)</f>
        <v>43406.666666666599</v>
      </c>
      <c r="B2105" s="1">
        <f ca="1">IFERROR(__xludf.DUMMYFUNCTION("""COMPUTED_VALUE"""),23.09)</f>
        <v>23.09</v>
      </c>
    </row>
    <row r="2106" spans="1:2">
      <c r="A2106" s="3">
        <f ca="1">IFERROR(__xludf.DUMMYFUNCTION("""COMPUTED_VALUE"""),43409.6666666666)</f>
        <v>43409.666666666599</v>
      </c>
      <c r="B2106" s="1">
        <f ca="1">IFERROR(__xludf.DUMMYFUNCTION("""COMPUTED_VALUE"""),22.76)</f>
        <v>22.76</v>
      </c>
    </row>
    <row r="2107" spans="1:2">
      <c r="A2107" s="3">
        <f ca="1">IFERROR(__xludf.DUMMYFUNCTION("""COMPUTED_VALUE"""),43410.6666666666)</f>
        <v>43410.666666666599</v>
      </c>
      <c r="B2107" s="1">
        <f ca="1">IFERROR(__xludf.DUMMYFUNCTION("""COMPUTED_VALUE"""),22.74)</f>
        <v>22.74</v>
      </c>
    </row>
    <row r="2108" spans="1:2">
      <c r="A2108" s="3">
        <f ca="1">IFERROR(__xludf.DUMMYFUNCTION("""COMPUTED_VALUE"""),43411.6666666666)</f>
        <v>43411.666666666599</v>
      </c>
      <c r="B2108" s="1">
        <f ca="1">IFERROR(__xludf.DUMMYFUNCTION("""COMPUTED_VALUE"""),23.21)</f>
        <v>23.21</v>
      </c>
    </row>
    <row r="2109" spans="1:2">
      <c r="A2109" s="3">
        <f ca="1">IFERROR(__xludf.DUMMYFUNCTION("""COMPUTED_VALUE"""),43412.6666666666)</f>
        <v>43412.666666666599</v>
      </c>
      <c r="B2109" s="1">
        <f ca="1">IFERROR(__xludf.DUMMYFUNCTION("""COMPUTED_VALUE"""),23.43)</f>
        <v>23.43</v>
      </c>
    </row>
    <row r="2110" spans="1:2">
      <c r="A2110" s="3">
        <f ca="1">IFERROR(__xludf.DUMMYFUNCTION("""COMPUTED_VALUE"""),43413.6666666666)</f>
        <v>43413.666666666599</v>
      </c>
      <c r="B2110" s="1">
        <f ca="1">IFERROR(__xludf.DUMMYFUNCTION("""COMPUTED_VALUE"""),23.37)</f>
        <v>23.37</v>
      </c>
    </row>
    <row r="2111" spans="1:2">
      <c r="A2111" s="3">
        <f ca="1">IFERROR(__xludf.DUMMYFUNCTION("""COMPUTED_VALUE"""),43416.6666666666)</f>
        <v>43416.666666666599</v>
      </c>
      <c r="B2111" s="1">
        <f ca="1">IFERROR(__xludf.DUMMYFUNCTION("""COMPUTED_VALUE"""),22.09)</f>
        <v>22.09</v>
      </c>
    </row>
    <row r="2112" spans="1:2">
      <c r="A2112" s="3">
        <f ca="1">IFERROR(__xludf.DUMMYFUNCTION("""COMPUTED_VALUE"""),43417.6666666666)</f>
        <v>43417.666666666599</v>
      </c>
      <c r="B2112" s="1">
        <f ca="1">IFERROR(__xludf.DUMMYFUNCTION("""COMPUTED_VALUE"""),22.58)</f>
        <v>22.58</v>
      </c>
    </row>
    <row r="2113" spans="1:2">
      <c r="A2113" s="3">
        <f ca="1">IFERROR(__xludf.DUMMYFUNCTION("""COMPUTED_VALUE"""),43418.6666666666)</f>
        <v>43418.666666666599</v>
      </c>
      <c r="B2113" s="1">
        <f ca="1">IFERROR(__xludf.DUMMYFUNCTION("""COMPUTED_VALUE"""),22.93)</f>
        <v>22.93</v>
      </c>
    </row>
    <row r="2114" spans="1:2">
      <c r="A2114" s="3">
        <f ca="1">IFERROR(__xludf.DUMMYFUNCTION("""COMPUTED_VALUE"""),43419.6666666666)</f>
        <v>43419.666666666599</v>
      </c>
      <c r="B2114" s="1">
        <f ca="1">IFERROR(__xludf.DUMMYFUNCTION("""COMPUTED_VALUE"""),23.23)</f>
        <v>23.23</v>
      </c>
    </row>
    <row r="2115" spans="1:2">
      <c r="A2115" s="3">
        <f ca="1">IFERROR(__xludf.DUMMYFUNCTION("""COMPUTED_VALUE"""),43420.6666666666)</f>
        <v>43420.666666666599</v>
      </c>
      <c r="B2115" s="1">
        <f ca="1">IFERROR(__xludf.DUMMYFUNCTION("""COMPUTED_VALUE"""),23.62)</f>
        <v>23.62</v>
      </c>
    </row>
    <row r="2116" spans="1:2">
      <c r="A2116" s="3">
        <f ca="1">IFERROR(__xludf.DUMMYFUNCTION("""COMPUTED_VALUE"""),43423.6666666666)</f>
        <v>43423.666666666599</v>
      </c>
      <c r="B2116" s="1">
        <f ca="1">IFERROR(__xludf.DUMMYFUNCTION("""COMPUTED_VALUE"""),23.56)</f>
        <v>23.56</v>
      </c>
    </row>
    <row r="2117" spans="1:2">
      <c r="A2117" s="3">
        <f ca="1">IFERROR(__xludf.DUMMYFUNCTION("""COMPUTED_VALUE"""),43424.6666666666)</f>
        <v>43424.666666666599</v>
      </c>
      <c r="B2117" s="1">
        <f ca="1">IFERROR(__xludf.DUMMYFUNCTION("""COMPUTED_VALUE"""),23.17)</f>
        <v>23.17</v>
      </c>
    </row>
    <row r="2118" spans="1:2">
      <c r="A2118" s="3">
        <f ca="1">IFERROR(__xludf.DUMMYFUNCTION("""COMPUTED_VALUE"""),43425.6666666666)</f>
        <v>43425.666666666599</v>
      </c>
      <c r="B2118" s="1">
        <f ca="1">IFERROR(__xludf.DUMMYFUNCTION("""COMPUTED_VALUE"""),22.55)</f>
        <v>22.55</v>
      </c>
    </row>
    <row r="2119" spans="1:2">
      <c r="A2119" s="3">
        <f ca="1">IFERROR(__xludf.DUMMYFUNCTION("""COMPUTED_VALUE"""),43427.5416666666)</f>
        <v>43427.541666666599</v>
      </c>
      <c r="B2119" s="1">
        <f ca="1">IFERROR(__xludf.DUMMYFUNCTION("""COMPUTED_VALUE"""),21.72)</f>
        <v>21.72</v>
      </c>
    </row>
    <row r="2120" spans="1:2">
      <c r="A2120" s="3">
        <f ca="1">IFERROR(__xludf.DUMMYFUNCTION("""COMPUTED_VALUE"""),43430.6666666666)</f>
        <v>43430.666666666599</v>
      </c>
      <c r="B2120" s="1">
        <f ca="1">IFERROR(__xludf.DUMMYFUNCTION("""COMPUTED_VALUE"""),23.07)</f>
        <v>23.07</v>
      </c>
    </row>
    <row r="2121" spans="1:2">
      <c r="A2121" s="3">
        <f ca="1">IFERROR(__xludf.DUMMYFUNCTION("""COMPUTED_VALUE"""),43431.6666666666)</f>
        <v>43431.666666666599</v>
      </c>
      <c r="B2121" s="1">
        <f ca="1">IFERROR(__xludf.DUMMYFUNCTION("""COMPUTED_VALUE"""),22.93)</f>
        <v>22.93</v>
      </c>
    </row>
    <row r="2122" spans="1:2">
      <c r="A2122" s="3">
        <f ca="1">IFERROR(__xludf.DUMMYFUNCTION("""COMPUTED_VALUE"""),43432.6666666666)</f>
        <v>43432.666666666599</v>
      </c>
      <c r="B2122" s="1">
        <f ca="1">IFERROR(__xludf.DUMMYFUNCTION("""COMPUTED_VALUE"""),23.19)</f>
        <v>23.19</v>
      </c>
    </row>
    <row r="2123" spans="1:2">
      <c r="A2123" s="3">
        <f ca="1">IFERROR(__xludf.DUMMYFUNCTION("""COMPUTED_VALUE"""),43433.6666666666)</f>
        <v>43433.666666666599</v>
      </c>
      <c r="B2123" s="1">
        <f ca="1">IFERROR(__xludf.DUMMYFUNCTION("""COMPUTED_VALUE"""),22.74)</f>
        <v>22.74</v>
      </c>
    </row>
    <row r="2124" spans="1:2">
      <c r="A2124" s="3">
        <f ca="1">IFERROR(__xludf.DUMMYFUNCTION("""COMPUTED_VALUE"""),43434.6666666666)</f>
        <v>43434.666666666599</v>
      </c>
      <c r="B2124" s="1">
        <f ca="1">IFERROR(__xludf.DUMMYFUNCTION("""COMPUTED_VALUE"""),23.37)</f>
        <v>23.37</v>
      </c>
    </row>
    <row r="2125" spans="1:2">
      <c r="A2125" s="3">
        <f ca="1">IFERROR(__xludf.DUMMYFUNCTION("""COMPUTED_VALUE"""),43437.6666666666)</f>
        <v>43437.666666666599</v>
      </c>
      <c r="B2125" s="1">
        <f ca="1">IFERROR(__xludf.DUMMYFUNCTION("""COMPUTED_VALUE"""),23.9)</f>
        <v>23.9</v>
      </c>
    </row>
    <row r="2126" spans="1:2">
      <c r="A2126" s="3">
        <f ca="1">IFERROR(__xludf.DUMMYFUNCTION("""COMPUTED_VALUE"""),43438.6666666666)</f>
        <v>43438.666666666599</v>
      </c>
      <c r="B2126" s="1">
        <f ca="1">IFERROR(__xludf.DUMMYFUNCTION("""COMPUTED_VALUE"""),23.98)</f>
        <v>23.98</v>
      </c>
    </row>
    <row r="2127" spans="1:2">
      <c r="A2127" s="3">
        <f ca="1">IFERROR(__xludf.DUMMYFUNCTION("""COMPUTED_VALUE"""),43440.6666666666)</f>
        <v>43440.666666666599</v>
      </c>
      <c r="B2127" s="1">
        <f ca="1">IFERROR(__xludf.DUMMYFUNCTION("""COMPUTED_VALUE"""),24.2)</f>
        <v>24.2</v>
      </c>
    </row>
    <row r="2128" spans="1:2">
      <c r="A2128" s="3">
        <f ca="1">IFERROR(__xludf.DUMMYFUNCTION("""COMPUTED_VALUE"""),43441.6666666666)</f>
        <v>43441.666666666599</v>
      </c>
      <c r="B2128" s="1">
        <f ca="1">IFERROR(__xludf.DUMMYFUNCTION("""COMPUTED_VALUE"""),23.86)</f>
        <v>23.86</v>
      </c>
    </row>
    <row r="2129" spans="1:2">
      <c r="A2129" s="3">
        <f ca="1">IFERROR(__xludf.DUMMYFUNCTION("""COMPUTED_VALUE"""),43444.6666666666)</f>
        <v>43444.666666666599</v>
      </c>
      <c r="B2129" s="1">
        <f ca="1">IFERROR(__xludf.DUMMYFUNCTION("""COMPUTED_VALUE"""),24.34)</f>
        <v>24.34</v>
      </c>
    </row>
    <row r="2130" spans="1:2">
      <c r="A2130" s="3">
        <f ca="1">IFERROR(__xludf.DUMMYFUNCTION("""COMPUTED_VALUE"""),43445.6666666666)</f>
        <v>43445.666666666599</v>
      </c>
      <c r="B2130" s="1">
        <f ca="1">IFERROR(__xludf.DUMMYFUNCTION("""COMPUTED_VALUE"""),24.45)</f>
        <v>24.45</v>
      </c>
    </row>
    <row r="2131" spans="1:2">
      <c r="A2131" s="3">
        <f ca="1">IFERROR(__xludf.DUMMYFUNCTION("""COMPUTED_VALUE"""),43446.6666666666)</f>
        <v>43446.666666666599</v>
      </c>
      <c r="B2131" s="1">
        <f ca="1">IFERROR(__xludf.DUMMYFUNCTION("""COMPUTED_VALUE"""),24.44)</f>
        <v>24.44</v>
      </c>
    </row>
    <row r="2132" spans="1:2">
      <c r="A2132" s="3">
        <f ca="1">IFERROR(__xludf.DUMMYFUNCTION("""COMPUTED_VALUE"""),43447.6666666666)</f>
        <v>43447.666666666599</v>
      </c>
      <c r="B2132" s="1">
        <f ca="1">IFERROR(__xludf.DUMMYFUNCTION("""COMPUTED_VALUE"""),25.12)</f>
        <v>25.12</v>
      </c>
    </row>
    <row r="2133" spans="1:2">
      <c r="A2133" s="3">
        <f ca="1">IFERROR(__xludf.DUMMYFUNCTION("""COMPUTED_VALUE"""),43448.6666666666)</f>
        <v>43448.666666666599</v>
      </c>
      <c r="B2133" s="1">
        <f ca="1">IFERROR(__xludf.DUMMYFUNCTION("""COMPUTED_VALUE"""),24.38)</f>
        <v>24.38</v>
      </c>
    </row>
    <row r="2134" spans="1:2">
      <c r="A2134" s="3">
        <f ca="1">IFERROR(__xludf.DUMMYFUNCTION("""COMPUTED_VALUE"""),43451.6666666666)</f>
        <v>43451.666666666599</v>
      </c>
      <c r="B2134" s="1">
        <f ca="1">IFERROR(__xludf.DUMMYFUNCTION("""COMPUTED_VALUE"""),23.23)</f>
        <v>23.23</v>
      </c>
    </row>
    <row r="2135" spans="1:2">
      <c r="A2135" s="3">
        <f ca="1">IFERROR(__xludf.DUMMYFUNCTION("""COMPUTED_VALUE"""),43452.6666666666)</f>
        <v>43452.666666666599</v>
      </c>
      <c r="B2135" s="1">
        <f ca="1">IFERROR(__xludf.DUMMYFUNCTION("""COMPUTED_VALUE"""),22.47)</f>
        <v>22.47</v>
      </c>
    </row>
    <row r="2136" spans="1:2">
      <c r="A2136" s="3">
        <f ca="1">IFERROR(__xludf.DUMMYFUNCTION("""COMPUTED_VALUE"""),43453.6666666666)</f>
        <v>43453.666666666599</v>
      </c>
      <c r="B2136" s="1">
        <f ca="1">IFERROR(__xludf.DUMMYFUNCTION("""COMPUTED_VALUE"""),22.2)</f>
        <v>22.2</v>
      </c>
    </row>
    <row r="2137" spans="1:2">
      <c r="A2137" s="3">
        <f ca="1">IFERROR(__xludf.DUMMYFUNCTION("""COMPUTED_VALUE"""),43454.6666666666)</f>
        <v>43454.666666666599</v>
      </c>
      <c r="B2137" s="1">
        <f ca="1">IFERROR(__xludf.DUMMYFUNCTION("""COMPUTED_VALUE"""),21.03)</f>
        <v>21.03</v>
      </c>
    </row>
    <row r="2138" spans="1:2">
      <c r="A2138" s="3">
        <f ca="1">IFERROR(__xludf.DUMMYFUNCTION("""COMPUTED_VALUE"""),43455.6666666666)</f>
        <v>43455.666666666599</v>
      </c>
      <c r="B2138" s="1">
        <f ca="1">IFERROR(__xludf.DUMMYFUNCTION("""COMPUTED_VALUE"""),21.32)</f>
        <v>21.32</v>
      </c>
    </row>
    <row r="2139" spans="1:2">
      <c r="A2139" s="3">
        <f ca="1">IFERROR(__xludf.DUMMYFUNCTION("""COMPUTED_VALUE"""),43458.5416666666)</f>
        <v>43458.541666666599</v>
      </c>
      <c r="B2139" s="1">
        <f ca="1">IFERROR(__xludf.DUMMYFUNCTION("""COMPUTED_VALUE"""),19.69)</f>
        <v>19.690000000000001</v>
      </c>
    </row>
    <row r="2140" spans="1:2">
      <c r="A2140" s="3">
        <f ca="1">IFERROR(__xludf.DUMMYFUNCTION("""COMPUTED_VALUE"""),43460.6666666666)</f>
        <v>43460.666666666599</v>
      </c>
      <c r="B2140" s="1">
        <f ca="1">IFERROR(__xludf.DUMMYFUNCTION("""COMPUTED_VALUE"""),21.74)</f>
        <v>21.74</v>
      </c>
    </row>
    <row r="2141" spans="1:2">
      <c r="A2141" s="3">
        <f ca="1">IFERROR(__xludf.DUMMYFUNCTION("""COMPUTED_VALUE"""),43461.6666666666)</f>
        <v>43461.666666666599</v>
      </c>
      <c r="B2141" s="1">
        <f ca="1">IFERROR(__xludf.DUMMYFUNCTION("""COMPUTED_VALUE"""),21.08)</f>
        <v>21.08</v>
      </c>
    </row>
    <row r="2142" spans="1:2">
      <c r="A2142" s="3">
        <f ca="1">IFERROR(__xludf.DUMMYFUNCTION("""COMPUTED_VALUE"""),43462.6666666666)</f>
        <v>43462.666666666599</v>
      </c>
      <c r="B2142" s="1">
        <f ca="1">IFERROR(__xludf.DUMMYFUNCTION("""COMPUTED_VALUE"""),22.26)</f>
        <v>22.26</v>
      </c>
    </row>
    <row r="2143" spans="1:2">
      <c r="A2143" s="3">
        <f ca="1">IFERROR(__xludf.DUMMYFUNCTION("""COMPUTED_VALUE"""),43465.6666666666)</f>
        <v>43465.666666666599</v>
      </c>
      <c r="B2143" s="1">
        <f ca="1">IFERROR(__xludf.DUMMYFUNCTION("""COMPUTED_VALUE"""),22.19)</f>
        <v>22.19</v>
      </c>
    </row>
    <row r="2144" spans="1:2">
      <c r="A2144" s="3">
        <f ca="1">IFERROR(__xludf.DUMMYFUNCTION("""COMPUTED_VALUE"""),43467.6666666666)</f>
        <v>43467.666666666599</v>
      </c>
      <c r="B2144" s="1">
        <f ca="1">IFERROR(__xludf.DUMMYFUNCTION("""COMPUTED_VALUE"""),20.67)</f>
        <v>20.67</v>
      </c>
    </row>
    <row r="2145" spans="1:2">
      <c r="A2145" s="3">
        <f ca="1">IFERROR(__xludf.DUMMYFUNCTION("""COMPUTED_VALUE"""),43468.6666666666)</f>
        <v>43468.666666666599</v>
      </c>
      <c r="B2145" s="1">
        <f ca="1">IFERROR(__xludf.DUMMYFUNCTION("""COMPUTED_VALUE"""),20.02)</f>
        <v>20.02</v>
      </c>
    </row>
    <row r="2146" spans="1:2">
      <c r="A2146" s="3">
        <f ca="1">IFERROR(__xludf.DUMMYFUNCTION("""COMPUTED_VALUE"""),43469.6666666666)</f>
        <v>43469.666666666599</v>
      </c>
      <c r="B2146" s="1">
        <f ca="1">IFERROR(__xludf.DUMMYFUNCTION("""COMPUTED_VALUE"""),21.18)</f>
        <v>21.18</v>
      </c>
    </row>
    <row r="2147" spans="1:2">
      <c r="A2147" s="3">
        <f ca="1">IFERROR(__xludf.DUMMYFUNCTION("""COMPUTED_VALUE"""),43472.6666666666)</f>
        <v>43472.666666666599</v>
      </c>
      <c r="B2147" s="1">
        <f ca="1">IFERROR(__xludf.DUMMYFUNCTION("""COMPUTED_VALUE"""),22.33)</f>
        <v>22.33</v>
      </c>
    </row>
    <row r="2148" spans="1:2">
      <c r="A2148" s="3">
        <f ca="1">IFERROR(__xludf.DUMMYFUNCTION("""COMPUTED_VALUE"""),43473.6666666666)</f>
        <v>43473.666666666599</v>
      </c>
      <c r="B2148" s="1">
        <f ca="1">IFERROR(__xludf.DUMMYFUNCTION("""COMPUTED_VALUE"""),22.36)</f>
        <v>22.36</v>
      </c>
    </row>
    <row r="2149" spans="1:2">
      <c r="A2149" s="3">
        <f ca="1">IFERROR(__xludf.DUMMYFUNCTION("""COMPUTED_VALUE"""),43474.6666666666)</f>
        <v>43474.666666666599</v>
      </c>
      <c r="B2149" s="1">
        <f ca="1">IFERROR(__xludf.DUMMYFUNCTION("""COMPUTED_VALUE"""),22.57)</f>
        <v>22.57</v>
      </c>
    </row>
    <row r="2150" spans="1:2">
      <c r="A2150" s="3">
        <f ca="1">IFERROR(__xludf.DUMMYFUNCTION("""COMPUTED_VALUE"""),43475.6666666666)</f>
        <v>43475.666666666599</v>
      </c>
      <c r="B2150" s="1">
        <f ca="1">IFERROR(__xludf.DUMMYFUNCTION("""COMPUTED_VALUE"""),23)</f>
        <v>23</v>
      </c>
    </row>
    <row r="2151" spans="1:2">
      <c r="A2151" s="3">
        <f ca="1">IFERROR(__xludf.DUMMYFUNCTION("""COMPUTED_VALUE"""),43476.6666666666)</f>
        <v>43476.666666666599</v>
      </c>
      <c r="B2151" s="1">
        <f ca="1">IFERROR(__xludf.DUMMYFUNCTION("""COMPUTED_VALUE"""),23.15)</f>
        <v>23.15</v>
      </c>
    </row>
    <row r="2152" spans="1:2">
      <c r="A2152" s="3">
        <f ca="1">IFERROR(__xludf.DUMMYFUNCTION("""COMPUTED_VALUE"""),43479.6666666666)</f>
        <v>43479.666666666599</v>
      </c>
      <c r="B2152" s="1">
        <f ca="1">IFERROR(__xludf.DUMMYFUNCTION("""COMPUTED_VALUE"""),22.29)</f>
        <v>22.29</v>
      </c>
    </row>
    <row r="2153" spans="1:2">
      <c r="A2153" s="3">
        <f ca="1">IFERROR(__xludf.DUMMYFUNCTION("""COMPUTED_VALUE"""),43480.6666666666)</f>
        <v>43480.666666666599</v>
      </c>
      <c r="B2153" s="1">
        <f ca="1">IFERROR(__xludf.DUMMYFUNCTION("""COMPUTED_VALUE"""),22.96)</f>
        <v>22.96</v>
      </c>
    </row>
    <row r="2154" spans="1:2">
      <c r="A2154" s="3">
        <f ca="1">IFERROR(__xludf.DUMMYFUNCTION("""COMPUTED_VALUE"""),43481.6666666666)</f>
        <v>43481.666666666599</v>
      </c>
      <c r="B2154" s="1">
        <f ca="1">IFERROR(__xludf.DUMMYFUNCTION("""COMPUTED_VALUE"""),23.07)</f>
        <v>23.07</v>
      </c>
    </row>
    <row r="2155" spans="1:2">
      <c r="A2155" s="3">
        <f ca="1">IFERROR(__xludf.DUMMYFUNCTION("""COMPUTED_VALUE"""),43482.6666666666)</f>
        <v>43482.666666666599</v>
      </c>
      <c r="B2155" s="1">
        <f ca="1">IFERROR(__xludf.DUMMYFUNCTION("""COMPUTED_VALUE"""),23.15)</f>
        <v>23.15</v>
      </c>
    </row>
    <row r="2156" spans="1:2">
      <c r="A2156" s="3">
        <f ca="1">IFERROR(__xludf.DUMMYFUNCTION("""COMPUTED_VALUE"""),43483.6666666666)</f>
        <v>43483.666666666599</v>
      </c>
      <c r="B2156" s="1">
        <f ca="1">IFERROR(__xludf.DUMMYFUNCTION("""COMPUTED_VALUE"""),20.15)</f>
        <v>20.149999999999999</v>
      </c>
    </row>
    <row r="2157" spans="1:2">
      <c r="A2157" s="3">
        <f ca="1">IFERROR(__xludf.DUMMYFUNCTION("""COMPUTED_VALUE"""),43487.6666666666)</f>
        <v>43487.666666666599</v>
      </c>
      <c r="B2157" s="1">
        <f ca="1">IFERROR(__xludf.DUMMYFUNCTION("""COMPUTED_VALUE"""),19.93)</f>
        <v>19.93</v>
      </c>
    </row>
    <row r="2158" spans="1:2">
      <c r="A2158" s="3">
        <f ca="1">IFERROR(__xludf.DUMMYFUNCTION("""COMPUTED_VALUE"""),43488.6666666666)</f>
        <v>43488.666666666599</v>
      </c>
      <c r="B2158" s="1">
        <f ca="1">IFERROR(__xludf.DUMMYFUNCTION("""COMPUTED_VALUE"""),19.17)</f>
        <v>19.170000000000002</v>
      </c>
    </row>
    <row r="2159" spans="1:2">
      <c r="A2159" s="3">
        <f ca="1">IFERROR(__xludf.DUMMYFUNCTION("""COMPUTED_VALUE"""),43489.6666666666)</f>
        <v>43489.666666666599</v>
      </c>
      <c r="B2159" s="1">
        <f ca="1">IFERROR(__xludf.DUMMYFUNCTION("""COMPUTED_VALUE"""),19.43)</f>
        <v>19.43</v>
      </c>
    </row>
    <row r="2160" spans="1:2">
      <c r="A2160" s="3">
        <f ca="1">IFERROR(__xludf.DUMMYFUNCTION("""COMPUTED_VALUE"""),43490.6666666666)</f>
        <v>43490.666666666599</v>
      </c>
      <c r="B2160" s="1">
        <f ca="1">IFERROR(__xludf.DUMMYFUNCTION("""COMPUTED_VALUE"""),19.8)</f>
        <v>19.8</v>
      </c>
    </row>
    <row r="2161" spans="1:2">
      <c r="A2161" s="3">
        <f ca="1">IFERROR(__xludf.DUMMYFUNCTION("""COMPUTED_VALUE"""),43493.6666666666)</f>
        <v>43493.666666666599</v>
      </c>
      <c r="B2161" s="1">
        <f ca="1">IFERROR(__xludf.DUMMYFUNCTION("""COMPUTED_VALUE"""),19.76)</f>
        <v>19.760000000000002</v>
      </c>
    </row>
    <row r="2162" spans="1:2">
      <c r="A2162" s="3">
        <f ca="1">IFERROR(__xludf.DUMMYFUNCTION("""COMPUTED_VALUE"""),43494.6666666666)</f>
        <v>43494.666666666599</v>
      </c>
      <c r="B2162" s="1">
        <f ca="1">IFERROR(__xludf.DUMMYFUNCTION("""COMPUTED_VALUE"""),19.83)</f>
        <v>19.829999999999998</v>
      </c>
    </row>
    <row r="2163" spans="1:2">
      <c r="A2163" s="3">
        <f ca="1">IFERROR(__xludf.DUMMYFUNCTION("""COMPUTED_VALUE"""),43495.6666666666)</f>
        <v>43495.666666666599</v>
      </c>
      <c r="B2163" s="1">
        <f ca="1">IFERROR(__xludf.DUMMYFUNCTION("""COMPUTED_VALUE"""),20.58)</f>
        <v>20.58</v>
      </c>
    </row>
    <row r="2164" spans="1:2">
      <c r="A2164" s="3">
        <f ca="1">IFERROR(__xludf.DUMMYFUNCTION("""COMPUTED_VALUE"""),43496.6666666666)</f>
        <v>43496.666666666599</v>
      </c>
      <c r="B2164" s="1">
        <f ca="1">IFERROR(__xludf.DUMMYFUNCTION("""COMPUTED_VALUE"""),20.47)</f>
        <v>20.47</v>
      </c>
    </row>
    <row r="2165" spans="1:2">
      <c r="A2165" s="3">
        <f ca="1">IFERROR(__xludf.DUMMYFUNCTION("""COMPUTED_VALUE"""),43497.6666666666)</f>
        <v>43497.666666666599</v>
      </c>
      <c r="B2165" s="1">
        <f ca="1">IFERROR(__xludf.DUMMYFUNCTION("""COMPUTED_VALUE"""),20.81)</f>
        <v>20.81</v>
      </c>
    </row>
    <row r="2166" spans="1:2">
      <c r="A2166" s="3">
        <f ca="1">IFERROR(__xludf.DUMMYFUNCTION("""COMPUTED_VALUE"""),43500.6666666666)</f>
        <v>43500.666666666599</v>
      </c>
      <c r="B2166" s="1">
        <f ca="1">IFERROR(__xludf.DUMMYFUNCTION("""COMPUTED_VALUE"""),20.86)</f>
        <v>20.86</v>
      </c>
    </row>
    <row r="2167" spans="1:2">
      <c r="A2167" s="3">
        <f ca="1">IFERROR(__xludf.DUMMYFUNCTION("""COMPUTED_VALUE"""),43501.6666666666)</f>
        <v>43501.666666666599</v>
      </c>
      <c r="B2167" s="1">
        <f ca="1">IFERROR(__xludf.DUMMYFUNCTION("""COMPUTED_VALUE"""),21.42)</f>
        <v>21.42</v>
      </c>
    </row>
    <row r="2168" spans="1:2">
      <c r="A2168" s="3">
        <f ca="1">IFERROR(__xludf.DUMMYFUNCTION("""COMPUTED_VALUE"""),43502.6666666666)</f>
        <v>43502.666666666599</v>
      </c>
      <c r="B2168" s="1">
        <f ca="1">IFERROR(__xludf.DUMMYFUNCTION("""COMPUTED_VALUE"""),21.15)</f>
        <v>21.15</v>
      </c>
    </row>
    <row r="2169" spans="1:2">
      <c r="A2169" s="3">
        <f ca="1">IFERROR(__xludf.DUMMYFUNCTION("""COMPUTED_VALUE"""),43503.6666666666)</f>
        <v>43503.666666666599</v>
      </c>
      <c r="B2169" s="1">
        <f ca="1">IFERROR(__xludf.DUMMYFUNCTION("""COMPUTED_VALUE"""),20.5)</f>
        <v>20.5</v>
      </c>
    </row>
    <row r="2170" spans="1:2">
      <c r="A2170" s="3">
        <f ca="1">IFERROR(__xludf.DUMMYFUNCTION("""COMPUTED_VALUE"""),43504.6666666666)</f>
        <v>43504.666666666599</v>
      </c>
      <c r="B2170" s="1">
        <f ca="1">IFERROR(__xludf.DUMMYFUNCTION("""COMPUTED_VALUE"""),20.39)</f>
        <v>20.39</v>
      </c>
    </row>
    <row r="2171" spans="1:2">
      <c r="A2171" s="3">
        <f ca="1">IFERROR(__xludf.DUMMYFUNCTION("""COMPUTED_VALUE"""),43507.6666666666)</f>
        <v>43507.666666666599</v>
      </c>
      <c r="B2171" s="1">
        <f ca="1">IFERROR(__xludf.DUMMYFUNCTION("""COMPUTED_VALUE"""),20.86)</f>
        <v>20.86</v>
      </c>
    </row>
    <row r="2172" spans="1:2">
      <c r="A2172" s="3">
        <f ca="1">IFERROR(__xludf.DUMMYFUNCTION("""COMPUTED_VALUE"""),43508.6666666666)</f>
        <v>43508.666666666599</v>
      </c>
      <c r="B2172" s="1">
        <f ca="1">IFERROR(__xludf.DUMMYFUNCTION("""COMPUTED_VALUE"""),20.79)</f>
        <v>20.79</v>
      </c>
    </row>
    <row r="2173" spans="1:2">
      <c r="A2173" s="3">
        <f ca="1">IFERROR(__xludf.DUMMYFUNCTION("""COMPUTED_VALUE"""),43509.6666666666)</f>
        <v>43509.666666666599</v>
      </c>
      <c r="B2173" s="1">
        <f ca="1">IFERROR(__xludf.DUMMYFUNCTION("""COMPUTED_VALUE"""),20.54)</f>
        <v>20.54</v>
      </c>
    </row>
    <row r="2174" spans="1:2">
      <c r="A2174" s="3">
        <f ca="1">IFERROR(__xludf.DUMMYFUNCTION("""COMPUTED_VALUE"""),43510.6666666666)</f>
        <v>43510.666666666599</v>
      </c>
      <c r="B2174" s="1">
        <f ca="1">IFERROR(__xludf.DUMMYFUNCTION("""COMPUTED_VALUE"""),20.25)</f>
        <v>20.25</v>
      </c>
    </row>
    <row r="2175" spans="1:2">
      <c r="A2175" s="3">
        <f ca="1">IFERROR(__xludf.DUMMYFUNCTION("""COMPUTED_VALUE"""),43511.6666666666)</f>
        <v>43511.666666666599</v>
      </c>
      <c r="B2175" s="1">
        <f ca="1">IFERROR(__xludf.DUMMYFUNCTION("""COMPUTED_VALUE"""),20.53)</f>
        <v>20.53</v>
      </c>
    </row>
    <row r="2176" spans="1:2">
      <c r="A2176" s="3">
        <f ca="1">IFERROR(__xludf.DUMMYFUNCTION("""COMPUTED_VALUE"""),43515.6666666666)</f>
        <v>43515.666666666599</v>
      </c>
      <c r="B2176" s="1">
        <f ca="1">IFERROR(__xludf.DUMMYFUNCTION("""COMPUTED_VALUE"""),20.38)</f>
        <v>20.38</v>
      </c>
    </row>
    <row r="2177" spans="1:2">
      <c r="A2177" s="3">
        <f ca="1">IFERROR(__xludf.DUMMYFUNCTION("""COMPUTED_VALUE"""),43516.6666666666)</f>
        <v>43516.666666666599</v>
      </c>
      <c r="B2177" s="1">
        <f ca="1">IFERROR(__xludf.DUMMYFUNCTION("""COMPUTED_VALUE"""),20.17)</f>
        <v>20.170000000000002</v>
      </c>
    </row>
    <row r="2178" spans="1:2">
      <c r="A2178" s="3">
        <f ca="1">IFERROR(__xludf.DUMMYFUNCTION("""COMPUTED_VALUE"""),43517.6666666666)</f>
        <v>43517.666666666599</v>
      </c>
      <c r="B2178" s="1">
        <f ca="1">IFERROR(__xludf.DUMMYFUNCTION("""COMPUTED_VALUE"""),19.42)</f>
        <v>19.420000000000002</v>
      </c>
    </row>
    <row r="2179" spans="1:2">
      <c r="A2179" s="3">
        <f ca="1">IFERROR(__xludf.DUMMYFUNCTION("""COMPUTED_VALUE"""),43518.6666666666)</f>
        <v>43518.666666666599</v>
      </c>
      <c r="B2179" s="1">
        <f ca="1">IFERROR(__xludf.DUMMYFUNCTION("""COMPUTED_VALUE"""),19.65)</f>
        <v>19.649999999999999</v>
      </c>
    </row>
    <row r="2180" spans="1:2">
      <c r="A2180" s="3">
        <f ca="1">IFERROR(__xludf.DUMMYFUNCTION("""COMPUTED_VALUE"""),43521.6666666666)</f>
        <v>43521.666666666599</v>
      </c>
      <c r="B2180" s="1">
        <f ca="1">IFERROR(__xludf.DUMMYFUNCTION("""COMPUTED_VALUE"""),19.92)</f>
        <v>19.920000000000002</v>
      </c>
    </row>
    <row r="2181" spans="1:2">
      <c r="A2181" s="3">
        <f ca="1">IFERROR(__xludf.DUMMYFUNCTION("""COMPUTED_VALUE"""),43522.6666666666)</f>
        <v>43522.666666666599</v>
      </c>
      <c r="B2181" s="1">
        <f ca="1">IFERROR(__xludf.DUMMYFUNCTION("""COMPUTED_VALUE"""),19.86)</f>
        <v>19.86</v>
      </c>
    </row>
    <row r="2182" spans="1:2">
      <c r="A2182" s="3">
        <f ca="1">IFERROR(__xludf.DUMMYFUNCTION("""COMPUTED_VALUE"""),43523.6666666666)</f>
        <v>43523.666666666599</v>
      </c>
      <c r="B2182" s="1">
        <f ca="1">IFERROR(__xludf.DUMMYFUNCTION("""COMPUTED_VALUE"""),20.98)</f>
        <v>20.98</v>
      </c>
    </row>
    <row r="2183" spans="1:2">
      <c r="A2183" s="3">
        <f ca="1">IFERROR(__xludf.DUMMYFUNCTION("""COMPUTED_VALUE"""),43524.6666666666)</f>
        <v>43524.666666666599</v>
      </c>
      <c r="B2183" s="1">
        <f ca="1">IFERROR(__xludf.DUMMYFUNCTION("""COMPUTED_VALUE"""),21.33)</f>
        <v>21.33</v>
      </c>
    </row>
    <row r="2184" spans="1:2">
      <c r="A2184" s="3">
        <f ca="1">IFERROR(__xludf.DUMMYFUNCTION("""COMPUTED_VALUE"""),43525.6666666666)</f>
        <v>43525.666666666599</v>
      </c>
      <c r="B2184" s="1">
        <f ca="1">IFERROR(__xludf.DUMMYFUNCTION("""COMPUTED_VALUE"""),19.65)</f>
        <v>19.649999999999999</v>
      </c>
    </row>
    <row r="2185" spans="1:2">
      <c r="A2185" s="3">
        <f ca="1">IFERROR(__xludf.DUMMYFUNCTION("""COMPUTED_VALUE"""),43528.6666666666)</f>
        <v>43528.666666666599</v>
      </c>
      <c r="B2185" s="1">
        <f ca="1">IFERROR(__xludf.DUMMYFUNCTION("""COMPUTED_VALUE"""),19.02)</f>
        <v>19.02</v>
      </c>
    </row>
    <row r="2186" spans="1:2">
      <c r="A2186" s="3">
        <f ca="1">IFERROR(__xludf.DUMMYFUNCTION("""COMPUTED_VALUE"""),43529.6666666666)</f>
        <v>43529.666666666599</v>
      </c>
      <c r="B2186" s="1">
        <f ca="1">IFERROR(__xludf.DUMMYFUNCTION("""COMPUTED_VALUE"""),18.44)</f>
        <v>18.440000000000001</v>
      </c>
    </row>
    <row r="2187" spans="1:2">
      <c r="A2187" s="3">
        <f ca="1">IFERROR(__xludf.DUMMYFUNCTION("""COMPUTED_VALUE"""),43530.6666666666)</f>
        <v>43530.666666666599</v>
      </c>
      <c r="B2187" s="1">
        <f ca="1">IFERROR(__xludf.DUMMYFUNCTION("""COMPUTED_VALUE"""),18.42)</f>
        <v>18.420000000000002</v>
      </c>
    </row>
    <row r="2188" spans="1:2">
      <c r="A2188" s="3">
        <f ca="1">IFERROR(__xludf.DUMMYFUNCTION("""COMPUTED_VALUE"""),43531.6666666666)</f>
        <v>43531.666666666599</v>
      </c>
      <c r="B2188" s="1">
        <f ca="1">IFERROR(__xludf.DUMMYFUNCTION("""COMPUTED_VALUE"""),18.44)</f>
        <v>18.440000000000001</v>
      </c>
    </row>
    <row r="2189" spans="1:2">
      <c r="A2189" s="3">
        <f ca="1">IFERROR(__xludf.DUMMYFUNCTION("""COMPUTED_VALUE"""),43532.6666666666)</f>
        <v>43532.666666666599</v>
      </c>
      <c r="B2189" s="1">
        <f ca="1">IFERROR(__xludf.DUMMYFUNCTION("""COMPUTED_VALUE"""),18.94)</f>
        <v>18.940000000000001</v>
      </c>
    </row>
    <row r="2190" spans="1:2">
      <c r="A2190" s="3">
        <f ca="1">IFERROR(__xludf.DUMMYFUNCTION("""COMPUTED_VALUE"""),43535.6666666666)</f>
        <v>43535.666666666599</v>
      </c>
      <c r="B2190" s="1">
        <f ca="1">IFERROR(__xludf.DUMMYFUNCTION("""COMPUTED_VALUE"""),19.39)</f>
        <v>19.39</v>
      </c>
    </row>
    <row r="2191" spans="1:2">
      <c r="A2191" s="3">
        <f ca="1">IFERROR(__xludf.DUMMYFUNCTION("""COMPUTED_VALUE"""),43536.6666666666)</f>
        <v>43536.666666666599</v>
      </c>
      <c r="B2191" s="1">
        <f ca="1">IFERROR(__xludf.DUMMYFUNCTION("""COMPUTED_VALUE"""),18.89)</f>
        <v>18.89</v>
      </c>
    </row>
    <row r="2192" spans="1:2">
      <c r="A2192" s="3">
        <f ca="1">IFERROR(__xludf.DUMMYFUNCTION("""COMPUTED_VALUE"""),43537.6666666666)</f>
        <v>43537.666666666599</v>
      </c>
      <c r="B2192" s="1">
        <f ca="1">IFERROR(__xludf.DUMMYFUNCTION("""COMPUTED_VALUE"""),19.26)</f>
        <v>19.260000000000002</v>
      </c>
    </row>
    <row r="2193" spans="1:2">
      <c r="A2193" s="3">
        <f ca="1">IFERROR(__xludf.DUMMYFUNCTION("""COMPUTED_VALUE"""),43538.6666666666)</f>
        <v>43538.666666666599</v>
      </c>
      <c r="B2193" s="1">
        <f ca="1">IFERROR(__xludf.DUMMYFUNCTION("""COMPUTED_VALUE"""),19.33)</f>
        <v>19.329999999999998</v>
      </c>
    </row>
    <row r="2194" spans="1:2">
      <c r="A2194" s="3">
        <f ca="1">IFERROR(__xludf.DUMMYFUNCTION("""COMPUTED_VALUE"""),43539.6666666666)</f>
        <v>43539.666666666599</v>
      </c>
      <c r="B2194" s="1">
        <f ca="1">IFERROR(__xludf.DUMMYFUNCTION("""COMPUTED_VALUE"""),18.36)</f>
        <v>18.36</v>
      </c>
    </row>
    <row r="2195" spans="1:2">
      <c r="A2195" s="3">
        <f ca="1">IFERROR(__xludf.DUMMYFUNCTION("""COMPUTED_VALUE"""),43542.6666666666)</f>
        <v>43542.666666666599</v>
      </c>
      <c r="B2195" s="1">
        <f ca="1">IFERROR(__xludf.DUMMYFUNCTION("""COMPUTED_VALUE"""),17.97)</f>
        <v>17.97</v>
      </c>
    </row>
    <row r="2196" spans="1:2">
      <c r="A2196" s="3">
        <f ca="1">IFERROR(__xludf.DUMMYFUNCTION("""COMPUTED_VALUE"""),43543.6666666666)</f>
        <v>43543.666666666599</v>
      </c>
      <c r="B2196" s="1">
        <f ca="1">IFERROR(__xludf.DUMMYFUNCTION("""COMPUTED_VALUE"""),17.83)</f>
        <v>17.829999999999998</v>
      </c>
    </row>
    <row r="2197" spans="1:2">
      <c r="A2197" s="3">
        <f ca="1">IFERROR(__xludf.DUMMYFUNCTION("""COMPUTED_VALUE"""),43544.6666666666)</f>
        <v>43544.666666666599</v>
      </c>
      <c r="B2197" s="1">
        <f ca="1">IFERROR(__xludf.DUMMYFUNCTION("""COMPUTED_VALUE"""),18.24)</f>
        <v>18.239999999999998</v>
      </c>
    </row>
    <row r="2198" spans="1:2">
      <c r="A2198" s="3">
        <f ca="1">IFERROR(__xludf.DUMMYFUNCTION("""COMPUTED_VALUE"""),43545.6666666666)</f>
        <v>43545.666666666599</v>
      </c>
      <c r="B2198" s="1">
        <f ca="1">IFERROR(__xludf.DUMMYFUNCTION("""COMPUTED_VALUE"""),18.27)</f>
        <v>18.27</v>
      </c>
    </row>
    <row r="2199" spans="1:2">
      <c r="A2199" s="3">
        <f ca="1">IFERROR(__xludf.DUMMYFUNCTION("""COMPUTED_VALUE"""),43546.6666666666)</f>
        <v>43546.666666666599</v>
      </c>
      <c r="B2199" s="1">
        <f ca="1">IFERROR(__xludf.DUMMYFUNCTION("""COMPUTED_VALUE"""),17.64)</f>
        <v>17.64</v>
      </c>
    </row>
    <row r="2200" spans="1:2">
      <c r="A2200" s="3">
        <f ca="1">IFERROR(__xludf.DUMMYFUNCTION("""COMPUTED_VALUE"""),43549.6666666666)</f>
        <v>43549.666666666599</v>
      </c>
      <c r="B2200" s="1">
        <f ca="1">IFERROR(__xludf.DUMMYFUNCTION("""COMPUTED_VALUE"""),17.36)</f>
        <v>17.36</v>
      </c>
    </row>
    <row r="2201" spans="1:2">
      <c r="A2201" s="3">
        <f ca="1">IFERROR(__xludf.DUMMYFUNCTION("""COMPUTED_VALUE"""),43550.6666666666)</f>
        <v>43550.666666666599</v>
      </c>
      <c r="B2201" s="1">
        <f ca="1">IFERROR(__xludf.DUMMYFUNCTION("""COMPUTED_VALUE"""),17.85)</f>
        <v>17.850000000000001</v>
      </c>
    </row>
    <row r="2202" spans="1:2">
      <c r="A2202" s="3">
        <f ca="1">IFERROR(__xludf.DUMMYFUNCTION("""COMPUTED_VALUE"""),43551.6666666666)</f>
        <v>43551.666666666599</v>
      </c>
      <c r="B2202" s="1">
        <f ca="1">IFERROR(__xludf.DUMMYFUNCTION("""COMPUTED_VALUE"""),18.32)</f>
        <v>18.32</v>
      </c>
    </row>
    <row r="2203" spans="1:2">
      <c r="A2203" s="3">
        <f ca="1">IFERROR(__xludf.DUMMYFUNCTION("""COMPUTED_VALUE"""),43552.6666666666)</f>
        <v>43552.666666666599</v>
      </c>
      <c r="B2203" s="1">
        <f ca="1">IFERROR(__xludf.DUMMYFUNCTION("""COMPUTED_VALUE"""),18.57)</f>
        <v>18.57</v>
      </c>
    </row>
    <row r="2204" spans="1:2">
      <c r="A2204" s="3">
        <f ca="1">IFERROR(__xludf.DUMMYFUNCTION("""COMPUTED_VALUE"""),43553.6666666666)</f>
        <v>43553.666666666599</v>
      </c>
      <c r="B2204" s="1">
        <f ca="1">IFERROR(__xludf.DUMMYFUNCTION("""COMPUTED_VALUE"""),18.66)</f>
        <v>18.66</v>
      </c>
    </row>
    <row r="2205" spans="1:2">
      <c r="A2205" s="3">
        <f ca="1">IFERROR(__xludf.DUMMYFUNCTION("""COMPUTED_VALUE"""),43556.6666666666)</f>
        <v>43556.666666666599</v>
      </c>
      <c r="B2205" s="1">
        <f ca="1">IFERROR(__xludf.DUMMYFUNCTION("""COMPUTED_VALUE"""),19.28)</f>
        <v>19.28</v>
      </c>
    </row>
    <row r="2206" spans="1:2">
      <c r="A2206" s="3">
        <f ca="1">IFERROR(__xludf.DUMMYFUNCTION("""COMPUTED_VALUE"""),43557.6666666666)</f>
        <v>43557.666666666599</v>
      </c>
      <c r="B2206" s="1">
        <f ca="1">IFERROR(__xludf.DUMMYFUNCTION("""COMPUTED_VALUE"""),19.06)</f>
        <v>19.059999999999999</v>
      </c>
    </row>
    <row r="2207" spans="1:2">
      <c r="A2207" s="3">
        <f ca="1">IFERROR(__xludf.DUMMYFUNCTION("""COMPUTED_VALUE"""),43558.6666666666)</f>
        <v>43558.666666666599</v>
      </c>
      <c r="B2207" s="1">
        <f ca="1">IFERROR(__xludf.DUMMYFUNCTION("""COMPUTED_VALUE"""),19.45)</f>
        <v>19.45</v>
      </c>
    </row>
    <row r="2208" spans="1:2">
      <c r="A2208" s="3">
        <f ca="1">IFERROR(__xludf.DUMMYFUNCTION("""COMPUTED_VALUE"""),43559.6666666666)</f>
        <v>43559.666666666599</v>
      </c>
      <c r="B2208" s="1">
        <f ca="1">IFERROR(__xludf.DUMMYFUNCTION("""COMPUTED_VALUE"""),17.85)</f>
        <v>17.850000000000001</v>
      </c>
    </row>
    <row r="2209" spans="1:2">
      <c r="A2209" s="3">
        <f ca="1">IFERROR(__xludf.DUMMYFUNCTION("""COMPUTED_VALUE"""),43560.6666666666)</f>
        <v>43560.666666666599</v>
      </c>
      <c r="B2209" s="1">
        <f ca="1">IFERROR(__xludf.DUMMYFUNCTION("""COMPUTED_VALUE"""),18.33)</f>
        <v>18.329999999999998</v>
      </c>
    </row>
    <row r="2210" spans="1:2">
      <c r="A2210" s="3">
        <f ca="1">IFERROR(__xludf.DUMMYFUNCTION("""COMPUTED_VALUE"""),43563.6666666666)</f>
        <v>43563.666666666599</v>
      </c>
      <c r="B2210" s="1">
        <f ca="1">IFERROR(__xludf.DUMMYFUNCTION("""COMPUTED_VALUE"""),18.21)</f>
        <v>18.21</v>
      </c>
    </row>
    <row r="2211" spans="1:2">
      <c r="A2211" s="3">
        <f ca="1">IFERROR(__xludf.DUMMYFUNCTION("""COMPUTED_VALUE"""),43564.6666666666)</f>
        <v>43564.666666666599</v>
      </c>
      <c r="B2211" s="1">
        <f ca="1">IFERROR(__xludf.DUMMYFUNCTION("""COMPUTED_VALUE"""),18.15)</f>
        <v>18.149999999999999</v>
      </c>
    </row>
    <row r="2212" spans="1:2">
      <c r="A2212" s="3">
        <f ca="1">IFERROR(__xludf.DUMMYFUNCTION("""COMPUTED_VALUE"""),43565.6666666666)</f>
        <v>43565.666666666599</v>
      </c>
      <c r="B2212" s="1">
        <f ca="1">IFERROR(__xludf.DUMMYFUNCTION("""COMPUTED_VALUE"""),18.4)</f>
        <v>18.399999999999999</v>
      </c>
    </row>
    <row r="2213" spans="1:2">
      <c r="A2213" s="3">
        <f ca="1">IFERROR(__xludf.DUMMYFUNCTION("""COMPUTED_VALUE"""),43566.6666666666)</f>
        <v>43566.666666666599</v>
      </c>
      <c r="B2213" s="1">
        <f ca="1">IFERROR(__xludf.DUMMYFUNCTION("""COMPUTED_VALUE"""),17.89)</f>
        <v>17.89</v>
      </c>
    </row>
    <row r="2214" spans="1:2">
      <c r="A2214" s="3">
        <f ca="1">IFERROR(__xludf.DUMMYFUNCTION("""COMPUTED_VALUE"""),43567.6666666666)</f>
        <v>43567.666666666599</v>
      </c>
      <c r="B2214" s="1">
        <f ca="1">IFERROR(__xludf.DUMMYFUNCTION("""COMPUTED_VALUE"""),17.85)</f>
        <v>17.850000000000001</v>
      </c>
    </row>
    <row r="2215" spans="1:2">
      <c r="A2215" s="3">
        <f ca="1">IFERROR(__xludf.DUMMYFUNCTION("""COMPUTED_VALUE"""),43570.6666666666)</f>
        <v>43570.666666666599</v>
      </c>
      <c r="B2215" s="1">
        <f ca="1">IFERROR(__xludf.DUMMYFUNCTION("""COMPUTED_VALUE"""),17.76)</f>
        <v>17.760000000000002</v>
      </c>
    </row>
    <row r="2216" spans="1:2">
      <c r="A2216" s="3">
        <f ca="1">IFERROR(__xludf.DUMMYFUNCTION("""COMPUTED_VALUE"""),43571.6666666666)</f>
        <v>43571.666666666599</v>
      </c>
      <c r="B2216" s="1">
        <f ca="1">IFERROR(__xludf.DUMMYFUNCTION("""COMPUTED_VALUE"""),18.22)</f>
        <v>18.22</v>
      </c>
    </row>
    <row r="2217" spans="1:2">
      <c r="A2217" s="3">
        <f ca="1">IFERROR(__xludf.DUMMYFUNCTION("""COMPUTED_VALUE"""),43572.6666666666)</f>
        <v>43572.666666666599</v>
      </c>
      <c r="B2217" s="1">
        <f ca="1">IFERROR(__xludf.DUMMYFUNCTION("""COMPUTED_VALUE"""),18.08)</f>
        <v>18.079999999999998</v>
      </c>
    </row>
    <row r="2218" spans="1:2">
      <c r="A2218" s="3">
        <f ca="1">IFERROR(__xludf.DUMMYFUNCTION("""COMPUTED_VALUE"""),43573.6666666666)</f>
        <v>43573.666666666599</v>
      </c>
      <c r="B2218" s="1">
        <f ca="1">IFERROR(__xludf.DUMMYFUNCTION("""COMPUTED_VALUE"""),18.22)</f>
        <v>18.22</v>
      </c>
    </row>
    <row r="2219" spans="1:2">
      <c r="A2219" s="3">
        <f ca="1">IFERROR(__xludf.DUMMYFUNCTION("""COMPUTED_VALUE"""),43577.6666666666)</f>
        <v>43577.666666666599</v>
      </c>
      <c r="B2219" s="1">
        <f ca="1">IFERROR(__xludf.DUMMYFUNCTION("""COMPUTED_VALUE"""),17.52)</f>
        <v>17.52</v>
      </c>
    </row>
    <row r="2220" spans="1:2">
      <c r="A2220" s="3">
        <f ca="1">IFERROR(__xludf.DUMMYFUNCTION("""COMPUTED_VALUE"""),43578.6666666666)</f>
        <v>43578.666666666599</v>
      </c>
      <c r="B2220" s="1">
        <f ca="1">IFERROR(__xludf.DUMMYFUNCTION("""COMPUTED_VALUE"""),17.59)</f>
        <v>17.59</v>
      </c>
    </row>
    <row r="2221" spans="1:2">
      <c r="A2221" s="3">
        <f ca="1">IFERROR(__xludf.DUMMYFUNCTION("""COMPUTED_VALUE"""),43579.6666666666)</f>
        <v>43579.666666666599</v>
      </c>
      <c r="B2221" s="1">
        <f ca="1">IFERROR(__xludf.DUMMYFUNCTION("""COMPUTED_VALUE"""),17.24)</f>
        <v>17.239999999999998</v>
      </c>
    </row>
    <row r="2222" spans="1:2">
      <c r="A2222" s="3">
        <f ca="1">IFERROR(__xludf.DUMMYFUNCTION("""COMPUTED_VALUE"""),43580.6666666666)</f>
        <v>43580.666666666599</v>
      </c>
      <c r="B2222" s="1">
        <f ca="1">IFERROR(__xludf.DUMMYFUNCTION("""COMPUTED_VALUE"""),16.51)</f>
        <v>16.510000000000002</v>
      </c>
    </row>
    <row r="2223" spans="1:2">
      <c r="A2223" s="3">
        <f ca="1">IFERROR(__xludf.DUMMYFUNCTION("""COMPUTED_VALUE"""),43581.6666666666)</f>
        <v>43581.666666666599</v>
      </c>
      <c r="B2223" s="1">
        <f ca="1">IFERROR(__xludf.DUMMYFUNCTION("""COMPUTED_VALUE"""),15.68)</f>
        <v>15.68</v>
      </c>
    </row>
    <row r="2224" spans="1:2">
      <c r="A2224" s="3">
        <f ca="1">IFERROR(__xludf.DUMMYFUNCTION("""COMPUTED_VALUE"""),43584.6666666666)</f>
        <v>43584.666666666599</v>
      </c>
      <c r="B2224" s="1">
        <f ca="1">IFERROR(__xludf.DUMMYFUNCTION("""COMPUTED_VALUE"""),16.1)</f>
        <v>16.100000000000001</v>
      </c>
    </row>
    <row r="2225" spans="1:2">
      <c r="A2225" s="3">
        <f ca="1">IFERROR(__xludf.DUMMYFUNCTION("""COMPUTED_VALUE"""),43585.6666666666)</f>
        <v>43585.666666666599</v>
      </c>
      <c r="B2225" s="1">
        <f ca="1">IFERROR(__xludf.DUMMYFUNCTION("""COMPUTED_VALUE"""),15.91)</f>
        <v>15.91</v>
      </c>
    </row>
    <row r="2226" spans="1:2">
      <c r="A2226" s="3">
        <f ca="1">IFERROR(__xludf.DUMMYFUNCTION("""COMPUTED_VALUE"""),43586.6666666666)</f>
        <v>43586.666666666599</v>
      </c>
      <c r="B2226" s="1">
        <f ca="1">IFERROR(__xludf.DUMMYFUNCTION("""COMPUTED_VALUE"""),15.6)</f>
        <v>15.6</v>
      </c>
    </row>
    <row r="2227" spans="1:2">
      <c r="A2227" s="3">
        <f ca="1">IFERROR(__xludf.DUMMYFUNCTION("""COMPUTED_VALUE"""),43587.6666666666)</f>
        <v>43587.666666666599</v>
      </c>
      <c r="B2227" s="1">
        <f ca="1">IFERROR(__xludf.DUMMYFUNCTION("""COMPUTED_VALUE"""),16.27)</f>
        <v>16.27</v>
      </c>
    </row>
    <row r="2228" spans="1:2">
      <c r="A2228" s="3">
        <f ca="1">IFERROR(__xludf.DUMMYFUNCTION("""COMPUTED_VALUE"""),43588.6666666666)</f>
        <v>43588.666666666599</v>
      </c>
      <c r="B2228" s="1">
        <f ca="1">IFERROR(__xludf.DUMMYFUNCTION("""COMPUTED_VALUE"""),17)</f>
        <v>17</v>
      </c>
    </row>
    <row r="2229" spans="1:2">
      <c r="A2229" s="3">
        <f ca="1">IFERROR(__xludf.DUMMYFUNCTION("""COMPUTED_VALUE"""),43591.6666666666)</f>
        <v>43591.666666666599</v>
      </c>
      <c r="B2229" s="1">
        <f ca="1">IFERROR(__xludf.DUMMYFUNCTION("""COMPUTED_VALUE"""),17.02)</f>
        <v>17.02</v>
      </c>
    </row>
    <row r="2230" spans="1:2">
      <c r="A2230" s="3">
        <f ca="1">IFERROR(__xludf.DUMMYFUNCTION("""COMPUTED_VALUE"""),43592.6666666666)</f>
        <v>43592.666666666599</v>
      </c>
      <c r="B2230" s="1">
        <f ca="1">IFERROR(__xludf.DUMMYFUNCTION("""COMPUTED_VALUE"""),16.47)</f>
        <v>16.47</v>
      </c>
    </row>
    <row r="2231" spans="1:2">
      <c r="A2231" s="3">
        <f ca="1">IFERROR(__xludf.DUMMYFUNCTION("""COMPUTED_VALUE"""),43593.6666666666)</f>
        <v>43593.666666666599</v>
      </c>
      <c r="B2231" s="1">
        <f ca="1">IFERROR(__xludf.DUMMYFUNCTION("""COMPUTED_VALUE"""),16.32)</f>
        <v>16.32</v>
      </c>
    </row>
    <row r="2232" spans="1:2">
      <c r="A2232" s="3">
        <f ca="1">IFERROR(__xludf.DUMMYFUNCTION("""COMPUTED_VALUE"""),43594.6666666666)</f>
        <v>43594.666666666599</v>
      </c>
      <c r="B2232" s="1">
        <f ca="1">IFERROR(__xludf.DUMMYFUNCTION("""COMPUTED_VALUE"""),16.13)</f>
        <v>16.13</v>
      </c>
    </row>
    <row r="2233" spans="1:2">
      <c r="A2233" s="3">
        <f ca="1">IFERROR(__xludf.DUMMYFUNCTION("""COMPUTED_VALUE"""),43595.6666666666)</f>
        <v>43595.666666666599</v>
      </c>
      <c r="B2233" s="1">
        <f ca="1">IFERROR(__xludf.DUMMYFUNCTION("""COMPUTED_VALUE"""),15.97)</f>
        <v>15.97</v>
      </c>
    </row>
    <row r="2234" spans="1:2">
      <c r="A2234" s="3">
        <f ca="1">IFERROR(__xludf.DUMMYFUNCTION("""COMPUTED_VALUE"""),43598.6666666666)</f>
        <v>43598.666666666599</v>
      </c>
      <c r="B2234" s="1">
        <f ca="1">IFERROR(__xludf.DUMMYFUNCTION("""COMPUTED_VALUE"""),15.13)</f>
        <v>15.13</v>
      </c>
    </row>
    <row r="2235" spans="1:2">
      <c r="A2235" s="3">
        <f ca="1">IFERROR(__xludf.DUMMYFUNCTION("""COMPUTED_VALUE"""),43599.6666666666)</f>
        <v>43599.666666666599</v>
      </c>
      <c r="B2235" s="1">
        <f ca="1">IFERROR(__xludf.DUMMYFUNCTION("""COMPUTED_VALUE"""),15.49)</f>
        <v>15.49</v>
      </c>
    </row>
    <row r="2236" spans="1:2">
      <c r="A2236" s="3">
        <f ca="1">IFERROR(__xludf.DUMMYFUNCTION("""COMPUTED_VALUE"""),43600.6666666666)</f>
        <v>43600.666666666599</v>
      </c>
      <c r="B2236" s="1">
        <f ca="1">IFERROR(__xludf.DUMMYFUNCTION("""COMPUTED_VALUE"""),15.46)</f>
        <v>15.46</v>
      </c>
    </row>
    <row r="2237" spans="1:2">
      <c r="A2237" s="3">
        <f ca="1">IFERROR(__xludf.DUMMYFUNCTION("""COMPUTED_VALUE"""),43601.6666666666)</f>
        <v>43601.666666666599</v>
      </c>
      <c r="B2237" s="1">
        <f ca="1">IFERROR(__xludf.DUMMYFUNCTION("""COMPUTED_VALUE"""),15.22)</f>
        <v>15.22</v>
      </c>
    </row>
    <row r="2238" spans="1:2">
      <c r="A2238" s="3">
        <f ca="1">IFERROR(__xludf.DUMMYFUNCTION("""COMPUTED_VALUE"""),43602.6666666666)</f>
        <v>43602.666666666599</v>
      </c>
      <c r="B2238" s="1">
        <f ca="1">IFERROR(__xludf.DUMMYFUNCTION("""COMPUTED_VALUE"""),14.07)</f>
        <v>14.07</v>
      </c>
    </row>
    <row r="2239" spans="1:2">
      <c r="A2239" s="3">
        <f ca="1">IFERROR(__xludf.DUMMYFUNCTION("""COMPUTED_VALUE"""),43605.6666666666)</f>
        <v>43605.666666666599</v>
      </c>
      <c r="B2239" s="1">
        <f ca="1">IFERROR(__xludf.DUMMYFUNCTION("""COMPUTED_VALUE"""),13.69)</f>
        <v>13.69</v>
      </c>
    </row>
    <row r="2240" spans="1:2">
      <c r="A2240" s="3">
        <f ca="1">IFERROR(__xludf.DUMMYFUNCTION("""COMPUTED_VALUE"""),43606.6666666666)</f>
        <v>43606.666666666599</v>
      </c>
      <c r="B2240" s="1">
        <f ca="1">IFERROR(__xludf.DUMMYFUNCTION("""COMPUTED_VALUE"""),13.67)</f>
        <v>13.67</v>
      </c>
    </row>
    <row r="2241" spans="1:2">
      <c r="A2241" s="3">
        <f ca="1">IFERROR(__xludf.DUMMYFUNCTION("""COMPUTED_VALUE"""),43607.6666666666)</f>
        <v>43607.666666666599</v>
      </c>
      <c r="B2241" s="1">
        <f ca="1">IFERROR(__xludf.DUMMYFUNCTION("""COMPUTED_VALUE"""),12.85)</f>
        <v>12.85</v>
      </c>
    </row>
    <row r="2242" spans="1:2">
      <c r="A2242" s="3">
        <f ca="1">IFERROR(__xludf.DUMMYFUNCTION("""COMPUTED_VALUE"""),43608.6666666666)</f>
        <v>43608.666666666599</v>
      </c>
      <c r="B2242" s="1">
        <f ca="1">IFERROR(__xludf.DUMMYFUNCTION("""COMPUTED_VALUE"""),13.03)</f>
        <v>13.03</v>
      </c>
    </row>
    <row r="2243" spans="1:2">
      <c r="A2243" s="3">
        <f ca="1">IFERROR(__xludf.DUMMYFUNCTION("""COMPUTED_VALUE"""),43609.6666666666)</f>
        <v>43609.666666666599</v>
      </c>
      <c r="B2243" s="1">
        <f ca="1">IFERROR(__xludf.DUMMYFUNCTION("""COMPUTED_VALUE"""),12.71)</f>
        <v>12.71</v>
      </c>
    </row>
    <row r="2244" spans="1:2">
      <c r="A2244" s="3">
        <f ca="1">IFERROR(__xludf.DUMMYFUNCTION("""COMPUTED_VALUE"""),43613.6666666666)</f>
        <v>43613.666666666599</v>
      </c>
      <c r="B2244" s="1">
        <f ca="1">IFERROR(__xludf.DUMMYFUNCTION("""COMPUTED_VALUE"""),12.58)</f>
        <v>12.58</v>
      </c>
    </row>
    <row r="2245" spans="1:2">
      <c r="A2245" s="3">
        <f ca="1">IFERROR(__xludf.DUMMYFUNCTION("""COMPUTED_VALUE"""),43614.6666666666)</f>
        <v>43614.666666666599</v>
      </c>
      <c r="B2245" s="1">
        <f ca="1">IFERROR(__xludf.DUMMYFUNCTION("""COMPUTED_VALUE"""),12.66)</f>
        <v>12.66</v>
      </c>
    </row>
    <row r="2246" spans="1:2">
      <c r="A2246" s="3">
        <f ca="1">IFERROR(__xludf.DUMMYFUNCTION("""COMPUTED_VALUE"""),43615.6666666666)</f>
        <v>43615.666666666599</v>
      </c>
      <c r="B2246" s="1">
        <f ca="1">IFERROR(__xludf.DUMMYFUNCTION("""COMPUTED_VALUE"""),12.55)</f>
        <v>12.55</v>
      </c>
    </row>
    <row r="2247" spans="1:2">
      <c r="A2247" s="3">
        <f ca="1">IFERROR(__xludf.DUMMYFUNCTION("""COMPUTED_VALUE"""),43616.6666666666)</f>
        <v>43616.666666666599</v>
      </c>
      <c r="B2247" s="1">
        <f ca="1">IFERROR(__xludf.DUMMYFUNCTION("""COMPUTED_VALUE"""),12.34)</f>
        <v>12.34</v>
      </c>
    </row>
    <row r="2248" spans="1:2">
      <c r="A2248" s="3">
        <f ca="1">IFERROR(__xludf.DUMMYFUNCTION("""COMPUTED_VALUE"""),43619.6666666666)</f>
        <v>43619.666666666599</v>
      </c>
      <c r="B2248" s="1">
        <f ca="1">IFERROR(__xludf.DUMMYFUNCTION("""COMPUTED_VALUE"""),11.93)</f>
        <v>11.93</v>
      </c>
    </row>
    <row r="2249" spans="1:2">
      <c r="A2249" s="3">
        <f ca="1">IFERROR(__xludf.DUMMYFUNCTION("""COMPUTED_VALUE"""),43620.6666666666)</f>
        <v>43620.666666666599</v>
      </c>
      <c r="B2249" s="1">
        <f ca="1">IFERROR(__xludf.DUMMYFUNCTION("""COMPUTED_VALUE"""),12.91)</f>
        <v>12.91</v>
      </c>
    </row>
    <row r="2250" spans="1:2">
      <c r="A2250" s="3">
        <f ca="1">IFERROR(__xludf.DUMMYFUNCTION("""COMPUTED_VALUE"""),43621.6666666666)</f>
        <v>43621.666666666599</v>
      </c>
      <c r="B2250" s="1">
        <f ca="1">IFERROR(__xludf.DUMMYFUNCTION("""COMPUTED_VALUE"""),13.11)</f>
        <v>13.11</v>
      </c>
    </row>
    <row r="2251" spans="1:2">
      <c r="A2251" s="3">
        <f ca="1">IFERROR(__xludf.DUMMYFUNCTION("""COMPUTED_VALUE"""),43622.6666666666)</f>
        <v>43622.666666666599</v>
      </c>
      <c r="B2251" s="1">
        <f ca="1">IFERROR(__xludf.DUMMYFUNCTION("""COMPUTED_VALUE"""),13.73)</f>
        <v>13.73</v>
      </c>
    </row>
    <row r="2252" spans="1:2">
      <c r="A2252" s="3">
        <f ca="1">IFERROR(__xludf.DUMMYFUNCTION("""COMPUTED_VALUE"""),43623.6666666666)</f>
        <v>43623.666666666599</v>
      </c>
      <c r="B2252" s="1">
        <f ca="1">IFERROR(__xludf.DUMMYFUNCTION("""COMPUTED_VALUE"""),13.63)</f>
        <v>13.63</v>
      </c>
    </row>
    <row r="2253" spans="1:2">
      <c r="A2253" s="3">
        <f ca="1">IFERROR(__xludf.DUMMYFUNCTION("""COMPUTED_VALUE"""),43626.6666666666)</f>
        <v>43626.666666666599</v>
      </c>
      <c r="B2253" s="1">
        <f ca="1">IFERROR(__xludf.DUMMYFUNCTION("""COMPUTED_VALUE"""),14.19)</f>
        <v>14.19</v>
      </c>
    </row>
    <row r="2254" spans="1:2">
      <c r="A2254" s="3">
        <f ca="1">IFERROR(__xludf.DUMMYFUNCTION("""COMPUTED_VALUE"""),43627.6666666666)</f>
        <v>43627.666666666599</v>
      </c>
      <c r="B2254" s="1">
        <f ca="1">IFERROR(__xludf.DUMMYFUNCTION("""COMPUTED_VALUE"""),14.47)</f>
        <v>14.47</v>
      </c>
    </row>
    <row r="2255" spans="1:2">
      <c r="A2255" s="3">
        <f ca="1">IFERROR(__xludf.DUMMYFUNCTION("""COMPUTED_VALUE"""),43628.6666666666)</f>
        <v>43628.666666666599</v>
      </c>
      <c r="B2255" s="1">
        <f ca="1">IFERROR(__xludf.DUMMYFUNCTION("""COMPUTED_VALUE"""),13.95)</f>
        <v>13.95</v>
      </c>
    </row>
    <row r="2256" spans="1:2">
      <c r="A2256" s="3">
        <f ca="1">IFERROR(__xludf.DUMMYFUNCTION("""COMPUTED_VALUE"""),43629.6666666666)</f>
        <v>43629.666666666599</v>
      </c>
      <c r="B2256" s="1">
        <f ca="1">IFERROR(__xludf.DUMMYFUNCTION("""COMPUTED_VALUE"""),14.26)</f>
        <v>14.26</v>
      </c>
    </row>
    <row r="2257" spans="1:2">
      <c r="A2257" s="3">
        <f ca="1">IFERROR(__xludf.DUMMYFUNCTION("""COMPUTED_VALUE"""),43630.6666666666)</f>
        <v>43630.666666666599</v>
      </c>
      <c r="B2257" s="1">
        <f ca="1">IFERROR(__xludf.DUMMYFUNCTION("""COMPUTED_VALUE"""),14.33)</f>
        <v>14.33</v>
      </c>
    </row>
    <row r="2258" spans="1:2">
      <c r="A2258" s="3">
        <f ca="1">IFERROR(__xludf.DUMMYFUNCTION("""COMPUTED_VALUE"""),43633.6666666666)</f>
        <v>43633.666666666599</v>
      </c>
      <c r="B2258" s="1">
        <f ca="1">IFERROR(__xludf.DUMMYFUNCTION("""COMPUTED_VALUE"""),15)</f>
        <v>15</v>
      </c>
    </row>
    <row r="2259" spans="1:2">
      <c r="A2259" s="3">
        <f ca="1">IFERROR(__xludf.DUMMYFUNCTION("""COMPUTED_VALUE"""),43634.6666666666)</f>
        <v>43634.666666666599</v>
      </c>
      <c r="B2259" s="1">
        <f ca="1">IFERROR(__xludf.DUMMYFUNCTION("""COMPUTED_VALUE"""),14.98)</f>
        <v>14.98</v>
      </c>
    </row>
    <row r="2260" spans="1:2">
      <c r="A2260" s="3">
        <f ca="1">IFERROR(__xludf.DUMMYFUNCTION("""COMPUTED_VALUE"""),43635.6666666666)</f>
        <v>43635.666666666599</v>
      </c>
      <c r="B2260" s="1">
        <f ca="1">IFERROR(__xludf.DUMMYFUNCTION("""COMPUTED_VALUE"""),15.1)</f>
        <v>15.1</v>
      </c>
    </row>
    <row r="2261" spans="1:2">
      <c r="A2261" s="3">
        <f ca="1">IFERROR(__xludf.DUMMYFUNCTION("""COMPUTED_VALUE"""),43636.6666666666)</f>
        <v>43636.666666666599</v>
      </c>
      <c r="B2261" s="1">
        <f ca="1">IFERROR(__xludf.DUMMYFUNCTION("""COMPUTED_VALUE"""),14.64)</f>
        <v>14.64</v>
      </c>
    </row>
    <row r="2262" spans="1:2">
      <c r="A2262" s="3">
        <f ca="1">IFERROR(__xludf.DUMMYFUNCTION("""COMPUTED_VALUE"""),43637.6666666666)</f>
        <v>43637.666666666599</v>
      </c>
      <c r="B2262" s="1">
        <f ca="1">IFERROR(__xludf.DUMMYFUNCTION("""COMPUTED_VALUE"""),14.79)</f>
        <v>14.79</v>
      </c>
    </row>
    <row r="2263" spans="1:2">
      <c r="A2263" s="3">
        <f ca="1">IFERROR(__xludf.DUMMYFUNCTION("""COMPUTED_VALUE"""),43640.6666666666)</f>
        <v>43640.666666666599</v>
      </c>
      <c r="B2263" s="1">
        <f ca="1">IFERROR(__xludf.DUMMYFUNCTION("""COMPUTED_VALUE"""),14.91)</f>
        <v>14.91</v>
      </c>
    </row>
    <row r="2264" spans="1:2">
      <c r="A2264" s="3">
        <f ca="1">IFERROR(__xludf.DUMMYFUNCTION("""COMPUTED_VALUE"""),43641.6666666666)</f>
        <v>43641.666666666599</v>
      </c>
      <c r="B2264" s="1">
        <f ca="1">IFERROR(__xludf.DUMMYFUNCTION("""COMPUTED_VALUE"""),14.65)</f>
        <v>14.65</v>
      </c>
    </row>
    <row r="2265" spans="1:2">
      <c r="A2265" s="3">
        <f ca="1">IFERROR(__xludf.DUMMYFUNCTION("""COMPUTED_VALUE"""),43642.6666666666)</f>
        <v>43642.666666666599</v>
      </c>
      <c r="B2265" s="1">
        <f ca="1">IFERROR(__xludf.DUMMYFUNCTION("""COMPUTED_VALUE"""),14.62)</f>
        <v>14.62</v>
      </c>
    </row>
    <row r="2266" spans="1:2">
      <c r="A2266" s="3">
        <f ca="1">IFERROR(__xludf.DUMMYFUNCTION("""COMPUTED_VALUE"""),43643.6666666666)</f>
        <v>43643.666666666599</v>
      </c>
      <c r="B2266" s="1">
        <f ca="1">IFERROR(__xludf.DUMMYFUNCTION("""COMPUTED_VALUE"""),14.86)</f>
        <v>14.86</v>
      </c>
    </row>
    <row r="2267" spans="1:2">
      <c r="A2267" s="3">
        <f ca="1">IFERROR(__xludf.DUMMYFUNCTION("""COMPUTED_VALUE"""),43644.6666666666)</f>
        <v>43644.666666666599</v>
      </c>
      <c r="B2267" s="1">
        <f ca="1">IFERROR(__xludf.DUMMYFUNCTION("""COMPUTED_VALUE"""),14.9)</f>
        <v>14.9</v>
      </c>
    </row>
    <row r="2268" spans="1:2">
      <c r="A2268" s="3">
        <f ca="1">IFERROR(__xludf.DUMMYFUNCTION("""COMPUTED_VALUE"""),43647.6666666666)</f>
        <v>43647.666666666599</v>
      </c>
      <c r="B2268" s="1">
        <f ca="1">IFERROR(__xludf.DUMMYFUNCTION("""COMPUTED_VALUE"""),15.14)</f>
        <v>15.14</v>
      </c>
    </row>
    <row r="2269" spans="1:2">
      <c r="A2269" s="3">
        <f ca="1">IFERROR(__xludf.DUMMYFUNCTION("""COMPUTED_VALUE"""),43648.6666666666)</f>
        <v>43648.666666666599</v>
      </c>
      <c r="B2269" s="1">
        <f ca="1">IFERROR(__xludf.DUMMYFUNCTION("""COMPUTED_VALUE"""),14.97)</f>
        <v>14.97</v>
      </c>
    </row>
    <row r="2270" spans="1:2">
      <c r="A2270" s="3">
        <f ca="1">IFERROR(__xludf.DUMMYFUNCTION("""COMPUTED_VALUE"""),43649.5416666666)</f>
        <v>43649.541666666599</v>
      </c>
      <c r="B2270" s="1">
        <f ca="1">IFERROR(__xludf.DUMMYFUNCTION("""COMPUTED_VALUE"""),15.66)</f>
        <v>15.66</v>
      </c>
    </row>
    <row r="2271" spans="1:2">
      <c r="A2271" s="3">
        <f ca="1">IFERROR(__xludf.DUMMYFUNCTION("""COMPUTED_VALUE"""),43651.6666666666)</f>
        <v>43651.666666666599</v>
      </c>
      <c r="B2271" s="1">
        <f ca="1">IFERROR(__xludf.DUMMYFUNCTION("""COMPUTED_VALUE"""),15.54)</f>
        <v>15.54</v>
      </c>
    </row>
    <row r="2272" spans="1:2">
      <c r="A2272" s="3">
        <f ca="1">IFERROR(__xludf.DUMMYFUNCTION("""COMPUTED_VALUE"""),43654.6666666666)</f>
        <v>43654.666666666599</v>
      </c>
      <c r="B2272" s="1">
        <f ca="1">IFERROR(__xludf.DUMMYFUNCTION("""COMPUTED_VALUE"""),15.36)</f>
        <v>15.36</v>
      </c>
    </row>
    <row r="2273" spans="1:2">
      <c r="A2273" s="3">
        <f ca="1">IFERROR(__xludf.DUMMYFUNCTION("""COMPUTED_VALUE"""),43655.6666666666)</f>
        <v>43655.666666666599</v>
      </c>
      <c r="B2273" s="1">
        <f ca="1">IFERROR(__xludf.DUMMYFUNCTION("""COMPUTED_VALUE"""),15.34)</f>
        <v>15.34</v>
      </c>
    </row>
    <row r="2274" spans="1:2">
      <c r="A2274" s="3">
        <f ca="1">IFERROR(__xludf.DUMMYFUNCTION("""COMPUTED_VALUE"""),43656.6666666666)</f>
        <v>43656.666666666599</v>
      </c>
      <c r="B2274" s="1">
        <f ca="1">IFERROR(__xludf.DUMMYFUNCTION("""COMPUTED_VALUE"""),15.93)</f>
        <v>15.93</v>
      </c>
    </row>
    <row r="2275" spans="1:2">
      <c r="A2275" s="3">
        <f ca="1">IFERROR(__xludf.DUMMYFUNCTION("""COMPUTED_VALUE"""),43657.6666666666)</f>
        <v>43657.666666666599</v>
      </c>
      <c r="B2275" s="1">
        <f ca="1">IFERROR(__xludf.DUMMYFUNCTION("""COMPUTED_VALUE"""),15.91)</f>
        <v>15.91</v>
      </c>
    </row>
    <row r="2276" spans="1:2">
      <c r="A2276" s="3">
        <f ca="1">IFERROR(__xludf.DUMMYFUNCTION("""COMPUTED_VALUE"""),43658.6666666666)</f>
        <v>43658.666666666599</v>
      </c>
      <c r="B2276" s="1">
        <f ca="1">IFERROR(__xludf.DUMMYFUNCTION("""COMPUTED_VALUE"""),16.34)</f>
        <v>16.34</v>
      </c>
    </row>
    <row r="2277" spans="1:2">
      <c r="A2277" s="3">
        <f ca="1">IFERROR(__xludf.DUMMYFUNCTION("""COMPUTED_VALUE"""),43661.6666666666)</f>
        <v>43661.666666666599</v>
      </c>
      <c r="B2277" s="1">
        <f ca="1">IFERROR(__xludf.DUMMYFUNCTION("""COMPUTED_VALUE"""),16.9)</f>
        <v>16.899999999999999</v>
      </c>
    </row>
    <row r="2278" spans="1:2">
      <c r="A2278" s="3">
        <f ca="1">IFERROR(__xludf.DUMMYFUNCTION("""COMPUTED_VALUE"""),43662.6666666666)</f>
        <v>43662.666666666599</v>
      </c>
      <c r="B2278" s="1">
        <f ca="1">IFERROR(__xludf.DUMMYFUNCTION("""COMPUTED_VALUE"""),16.83)</f>
        <v>16.829999999999998</v>
      </c>
    </row>
    <row r="2279" spans="1:2">
      <c r="A2279" s="3">
        <f ca="1">IFERROR(__xludf.DUMMYFUNCTION("""COMPUTED_VALUE"""),43663.6666666666)</f>
        <v>43663.666666666599</v>
      </c>
      <c r="B2279" s="1">
        <f ca="1">IFERROR(__xludf.DUMMYFUNCTION("""COMPUTED_VALUE"""),16.99)</f>
        <v>16.989999999999998</v>
      </c>
    </row>
    <row r="2280" spans="1:2">
      <c r="A2280" s="3">
        <f ca="1">IFERROR(__xludf.DUMMYFUNCTION("""COMPUTED_VALUE"""),43664.6666666666)</f>
        <v>43664.666666666599</v>
      </c>
      <c r="B2280" s="1">
        <f ca="1">IFERROR(__xludf.DUMMYFUNCTION("""COMPUTED_VALUE"""),16.9)</f>
        <v>16.899999999999999</v>
      </c>
    </row>
    <row r="2281" spans="1:2">
      <c r="A2281" s="3">
        <f ca="1">IFERROR(__xludf.DUMMYFUNCTION("""COMPUTED_VALUE"""),43665.6666666666)</f>
        <v>43665.666666666599</v>
      </c>
      <c r="B2281" s="1">
        <f ca="1">IFERROR(__xludf.DUMMYFUNCTION("""COMPUTED_VALUE"""),17.21)</f>
        <v>17.21</v>
      </c>
    </row>
    <row r="2282" spans="1:2">
      <c r="A2282" s="3">
        <f ca="1">IFERROR(__xludf.DUMMYFUNCTION("""COMPUTED_VALUE"""),43668.6666666666)</f>
        <v>43668.666666666599</v>
      </c>
      <c r="B2282" s="1">
        <f ca="1">IFERROR(__xludf.DUMMYFUNCTION("""COMPUTED_VALUE"""),17.05)</f>
        <v>17.05</v>
      </c>
    </row>
    <row r="2283" spans="1:2">
      <c r="A2283" s="3">
        <f ca="1">IFERROR(__xludf.DUMMYFUNCTION("""COMPUTED_VALUE"""),43669.6666666666)</f>
        <v>43669.666666666599</v>
      </c>
      <c r="B2283" s="1">
        <f ca="1">IFERROR(__xludf.DUMMYFUNCTION("""COMPUTED_VALUE"""),17.34)</f>
        <v>17.34</v>
      </c>
    </row>
    <row r="2284" spans="1:2">
      <c r="A2284" s="3">
        <f ca="1">IFERROR(__xludf.DUMMYFUNCTION("""COMPUTED_VALUE"""),43670.6666666666)</f>
        <v>43670.666666666599</v>
      </c>
      <c r="B2284" s="1">
        <f ca="1">IFERROR(__xludf.DUMMYFUNCTION("""COMPUTED_VALUE"""),17.66)</f>
        <v>17.66</v>
      </c>
    </row>
    <row r="2285" spans="1:2">
      <c r="A2285" s="3">
        <f ca="1">IFERROR(__xludf.DUMMYFUNCTION("""COMPUTED_VALUE"""),43671.6666666666)</f>
        <v>43671.666666666599</v>
      </c>
      <c r="B2285" s="1">
        <f ca="1">IFERROR(__xludf.DUMMYFUNCTION("""COMPUTED_VALUE"""),15.25)</f>
        <v>15.25</v>
      </c>
    </row>
    <row r="2286" spans="1:2">
      <c r="A2286" s="3">
        <f ca="1">IFERROR(__xludf.DUMMYFUNCTION("""COMPUTED_VALUE"""),43672.6666666666)</f>
        <v>43672.666666666599</v>
      </c>
      <c r="B2286" s="1">
        <f ca="1">IFERROR(__xludf.DUMMYFUNCTION("""COMPUTED_VALUE"""),15.2)</f>
        <v>15.2</v>
      </c>
    </row>
    <row r="2287" spans="1:2">
      <c r="A2287" s="3">
        <f ca="1">IFERROR(__xludf.DUMMYFUNCTION("""COMPUTED_VALUE"""),43675.6666666666)</f>
        <v>43675.666666666599</v>
      </c>
      <c r="B2287" s="1">
        <f ca="1">IFERROR(__xludf.DUMMYFUNCTION("""COMPUTED_VALUE"""),15.72)</f>
        <v>15.72</v>
      </c>
    </row>
    <row r="2288" spans="1:2">
      <c r="A2288" s="3">
        <f ca="1">IFERROR(__xludf.DUMMYFUNCTION("""COMPUTED_VALUE"""),43676.6666666666)</f>
        <v>43676.666666666599</v>
      </c>
      <c r="B2288" s="1">
        <f ca="1">IFERROR(__xludf.DUMMYFUNCTION("""COMPUTED_VALUE"""),16.15)</f>
        <v>16.149999999999999</v>
      </c>
    </row>
    <row r="2289" spans="1:2">
      <c r="A2289" s="3">
        <f ca="1">IFERROR(__xludf.DUMMYFUNCTION("""COMPUTED_VALUE"""),43677.6666666666)</f>
        <v>43677.666666666599</v>
      </c>
      <c r="B2289" s="1">
        <f ca="1">IFERROR(__xludf.DUMMYFUNCTION("""COMPUTED_VALUE"""),16.11)</f>
        <v>16.11</v>
      </c>
    </row>
    <row r="2290" spans="1:2">
      <c r="A2290" s="3">
        <f ca="1">IFERROR(__xludf.DUMMYFUNCTION("""COMPUTED_VALUE"""),43678.6666666666)</f>
        <v>43678.666666666599</v>
      </c>
      <c r="B2290" s="1">
        <f ca="1">IFERROR(__xludf.DUMMYFUNCTION("""COMPUTED_VALUE"""),15.59)</f>
        <v>15.59</v>
      </c>
    </row>
    <row r="2291" spans="1:2">
      <c r="A2291" s="3">
        <f ca="1">IFERROR(__xludf.DUMMYFUNCTION("""COMPUTED_VALUE"""),43679.6666666666)</f>
        <v>43679.666666666599</v>
      </c>
      <c r="B2291" s="1">
        <f ca="1">IFERROR(__xludf.DUMMYFUNCTION("""COMPUTED_VALUE"""),15.62)</f>
        <v>15.62</v>
      </c>
    </row>
    <row r="2292" spans="1:2">
      <c r="A2292" s="3">
        <f ca="1">IFERROR(__xludf.DUMMYFUNCTION("""COMPUTED_VALUE"""),43682.6666666666)</f>
        <v>43682.666666666599</v>
      </c>
      <c r="B2292" s="1">
        <f ca="1">IFERROR(__xludf.DUMMYFUNCTION("""COMPUTED_VALUE"""),15.22)</f>
        <v>15.22</v>
      </c>
    </row>
    <row r="2293" spans="1:2">
      <c r="A2293" s="3">
        <f ca="1">IFERROR(__xludf.DUMMYFUNCTION("""COMPUTED_VALUE"""),43683.6666666666)</f>
        <v>43683.666666666599</v>
      </c>
      <c r="B2293" s="1">
        <f ca="1">IFERROR(__xludf.DUMMYFUNCTION("""COMPUTED_VALUE"""),15.38)</f>
        <v>15.38</v>
      </c>
    </row>
    <row r="2294" spans="1:2">
      <c r="A2294" s="3">
        <f ca="1">IFERROR(__xludf.DUMMYFUNCTION("""COMPUTED_VALUE"""),43684.6666666666)</f>
        <v>43684.666666666599</v>
      </c>
      <c r="B2294" s="1">
        <f ca="1">IFERROR(__xludf.DUMMYFUNCTION("""COMPUTED_VALUE"""),15.56)</f>
        <v>15.56</v>
      </c>
    </row>
    <row r="2295" spans="1:2">
      <c r="A2295" s="3">
        <f ca="1">IFERROR(__xludf.DUMMYFUNCTION("""COMPUTED_VALUE"""),43685.6666666666)</f>
        <v>43685.666666666599</v>
      </c>
      <c r="B2295" s="1">
        <f ca="1">IFERROR(__xludf.DUMMYFUNCTION("""COMPUTED_VALUE"""),15.89)</f>
        <v>15.89</v>
      </c>
    </row>
    <row r="2296" spans="1:2">
      <c r="A2296" s="3">
        <f ca="1">IFERROR(__xludf.DUMMYFUNCTION("""COMPUTED_VALUE"""),43686.6666666666)</f>
        <v>43686.666666666599</v>
      </c>
      <c r="B2296" s="1">
        <f ca="1">IFERROR(__xludf.DUMMYFUNCTION("""COMPUTED_VALUE"""),15.67)</f>
        <v>15.67</v>
      </c>
    </row>
    <row r="2297" spans="1:2">
      <c r="A2297" s="3">
        <f ca="1">IFERROR(__xludf.DUMMYFUNCTION("""COMPUTED_VALUE"""),43689.6666666666)</f>
        <v>43689.666666666599</v>
      </c>
      <c r="B2297" s="1">
        <f ca="1">IFERROR(__xludf.DUMMYFUNCTION("""COMPUTED_VALUE"""),15.27)</f>
        <v>15.27</v>
      </c>
    </row>
    <row r="2298" spans="1:2">
      <c r="A2298" s="3">
        <f ca="1">IFERROR(__xludf.DUMMYFUNCTION("""COMPUTED_VALUE"""),43690.6666666666)</f>
        <v>43690.666666666599</v>
      </c>
      <c r="B2298" s="1">
        <f ca="1">IFERROR(__xludf.DUMMYFUNCTION("""COMPUTED_VALUE"""),15.67)</f>
        <v>15.67</v>
      </c>
    </row>
    <row r="2299" spans="1:2">
      <c r="A2299" s="3">
        <f ca="1">IFERROR(__xludf.DUMMYFUNCTION("""COMPUTED_VALUE"""),43691.6666666666)</f>
        <v>43691.666666666599</v>
      </c>
      <c r="B2299" s="1">
        <f ca="1">IFERROR(__xludf.DUMMYFUNCTION("""COMPUTED_VALUE"""),14.64)</f>
        <v>14.64</v>
      </c>
    </row>
    <row r="2300" spans="1:2">
      <c r="A2300" s="3">
        <f ca="1">IFERROR(__xludf.DUMMYFUNCTION("""COMPUTED_VALUE"""),43692.6666666666)</f>
        <v>43692.666666666599</v>
      </c>
      <c r="B2300" s="1">
        <f ca="1">IFERROR(__xludf.DUMMYFUNCTION("""COMPUTED_VALUE"""),14.38)</f>
        <v>14.38</v>
      </c>
    </row>
    <row r="2301" spans="1:2">
      <c r="A2301" s="3">
        <f ca="1">IFERROR(__xludf.DUMMYFUNCTION("""COMPUTED_VALUE"""),43693.6666666666)</f>
        <v>43693.666666666599</v>
      </c>
      <c r="B2301" s="1">
        <f ca="1">IFERROR(__xludf.DUMMYFUNCTION("""COMPUTED_VALUE"""),14.66)</f>
        <v>14.66</v>
      </c>
    </row>
    <row r="2302" spans="1:2">
      <c r="A2302" s="3">
        <f ca="1">IFERROR(__xludf.DUMMYFUNCTION("""COMPUTED_VALUE"""),43696.6666666666)</f>
        <v>43696.666666666599</v>
      </c>
      <c r="B2302" s="1">
        <f ca="1">IFERROR(__xludf.DUMMYFUNCTION("""COMPUTED_VALUE"""),15.12)</f>
        <v>15.12</v>
      </c>
    </row>
    <row r="2303" spans="1:2">
      <c r="A2303" s="3">
        <f ca="1">IFERROR(__xludf.DUMMYFUNCTION("""COMPUTED_VALUE"""),43697.6666666666)</f>
        <v>43697.666666666599</v>
      </c>
      <c r="B2303" s="1">
        <f ca="1">IFERROR(__xludf.DUMMYFUNCTION("""COMPUTED_VALUE"""),15.06)</f>
        <v>15.06</v>
      </c>
    </row>
    <row r="2304" spans="1:2">
      <c r="A2304" s="3">
        <f ca="1">IFERROR(__xludf.DUMMYFUNCTION("""COMPUTED_VALUE"""),43698.6666666666)</f>
        <v>43698.666666666599</v>
      </c>
      <c r="B2304" s="1">
        <f ca="1">IFERROR(__xludf.DUMMYFUNCTION("""COMPUTED_VALUE"""),14.72)</f>
        <v>14.72</v>
      </c>
    </row>
    <row r="2305" spans="1:2">
      <c r="A2305" s="3">
        <f ca="1">IFERROR(__xludf.DUMMYFUNCTION("""COMPUTED_VALUE"""),43699.6666666666)</f>
        <v>43699.666666666599</v>
      </c>
      <c r="B2305" s="1">
        <f ca="1">IFERROR(__xludf.DUMMYFUNCTION("""COMPUTED_VALUE"""),14.81)</f>
        <v>14.81</v>
      </c>
    </row>
    <row r="2306" spans="1:2">
      <c r="A2306" s="3">
        <f ca="1">IFERROR(__xludf.DUMMYFUNCTION("""COMPUTED_VALUE"""),43700.6666666666)</f>
        <v>43700.666666666599</v>
      </c>
      <c r="B2306" s="1">
        <f ca="1">IFERROR(__xludf.DUMMYFUNCTION("""COMPUTED_VALUE"""),14.09)</f>
        <v>14.09</v>
      </c>
    </row>
    <row r="2307" spans="1:2">
      <c r="A2307" s="3">
        <f ca="1">IFERROR(__xludf.DUMMYFUNCTION("""COMPUTED_VALUE"""),43703.6666666666)</f>
        <v>43703.666666666599</v>
      </c>
      <c r="B2307" s="1">
        <f ca="1">IFERROR(__xludf.DUMMYFUNCTION("""COMPUTED_VALUE"""),14.33)</f>
        <v>14.33</v>
      </c>
    </row>
    <row r="2308" spans="1:2">
      <c r="A2308" s="3">
        <f ca="1">IFERROR(__xludf.DUMMYFUNCTION("""COMPUTED_VALUE"""),43704.6666666666)</f>
        <v>43704.666666666599</v>
      </c>
      <c r="B2308" s="1">
        <f ca="1">IFERROR(__xludf.DUMMYFUNCTION("""COMPUTED_VALUE"""),14.27)</f>
        <v>14.27</v>
      </c>
    </row>
    <row r="2309" spans="1:2">
      <c r="A2309" s="3">
        <f ca="1">IFERROR(__xludf.DUMMYFUNCTION("""COMPUTED_VALUE"""),43705.6666666666)</f>
        <v>43705.666666666599</v>
      </c>
      <c r="B2309" s="1">
        <f ca="1">IFERROR(__xludf.DUMMYFUNCTION("""COMPUTED_VALUE"""),14.37)</f>
        <v>14.37</v>
      </c>
    </row>
    <row r="2310" spans="1:2">
      <c r="A2310" s="3">
        <f ca="1">IFERROR(__xludf.DUMMYFUNCTION("""COMPUTED_VALUE"""),43706.6666666666)</f>
        <v>43706.666666666599</v>
      </c>
      <c r="B2310" s="1">
        <f ca="1">IFERROR(__xludf.DUMMYFUNCTION("""COMPUTED_VALUE"""),14.78)</f>
        <v>14.78</v>
      </c>
    </row>
    <row r="2311" spans="1:2">
      <c r="A2311" s="3">
        <f ca="1">IFERROR(__xludf.DUMMYFUNCTION("""COMPUTED_VALUE"""),43707.6666666666)</f>
        <v>43707.666666666599</v>
      </c>
      <c r="B2311" s="1">
        <f ca="1">IFERROR(__xludf.DUMMYFUNCTION("""COMPUTED_VALUE"""),15.04)</f>
        <v>15.04</v>
      </c>
    </row>
    <row r="2312" spans="1:2">
      <c r="A2312" s="3">
        <f ca="1">IFERROR(__xludf.DUMMYFUNCTION("""COMPUTED_VALUE"""),43711.6666666666)</f>
        <v>43711.666666666599</v>
      </c>
      <c r="B2312" s="1">
        <f ca="1">IFERROR(__xludf.DUMMYFUNCTION("""COMPUTED_VALUE"""),15)</f>
        <v>15</v>
      </c>
    </row>
    <row r="2313" spans="1:2">
      <c r="A2313" s="3">
        <f ca="1">IFERROR(__xludf.DUMMYFUNCTION("""COMPUTED_VALUE"""),43712.6666666666)</f>
        <v>43712.666666666599</v>
      </c>
      <c r="B2313" s="1">
        <f ca="1">IFERROR(__xludf.DUMMYFUNCTION("""COMPUTED_VALUE"""),14.71)</f>
        <v>14.71</v>
      </c>
    </row>
    <row r="2314" spans="1:2">
      <c r="A2314" s="3">
        <f ca="1">IFERROR(__xludf.DUMMYFUNCTION("""COMPUTED_VALUE"""),43713.6666666666)</f>
        <v>43713.666666666599</v>
      </c>
      <c r="B2314" s="1">
        <f ca="1">IFERROR(__xludf.DUMMYFUNCTION("""COMPUTED_VALUE"""),15.31)</f>
        <v>15.31</v>
      </c>
    </row>
    <row r="2315" spans="1:2">
      <c r="A2315" s="3">
        <f ca="1">IFERROR(__xludf.DUMMYFUNCTION("""COMPUTED_VALUE"""),43714.6666666666)</f>
        <v>43714.666666666599</v>
      </c>
      <c r="B2315" s="1">
        <f ca="1">IFERROR(__xludf.DUMMYFUNCTION("""COMPUTED_VALUE"""),15.16)</f>
        <v>15.16</v>
      </c>
    </row>
    <row r="2316" spans="1:2">
      <c r="A2316" s="3">
        <f ca="1">IFERROR(__xludf.DUMMYFUNCTION("""COMPUTED_VALUE"""),43717.6666666666)</f>
        <v>43717.666666666599</v>
      </c>
      <c r="B2316" s="1">
        <f ca="1">IFERROR(__xludf.DUMMYFUNCTION("""COMPUTED_VALUE"""),15.45)</f>
        <v>15.45</v>
      </c>
    </row>
    <row r="2317" spans="1:2">
      <c r="A2317" s="3">
        <f ca="1">IFERROR(__xludf.DUMMYFUNCTION("""COMPUTED_VALUE"""),43718.6666666666)</f>
        <v>43718.666666666599</v>
      </c>
      <c r="B2317" s="1">
        <f ca="1">IFERROR(__xludf.DUMMYFUNCTION("""COMPUTED_VALUE"""),15.7)</f>
        <v>15.7</v>
      </c>
    </row>
    <row r="2318" spans="1:2">
      <c r="A2318" s="3">
        <f ca="1">IFERROR(__xludf.DUMMYFUNCTION("""COMPUTED_VALUE"""),43719.6666666666)</f>
        <v>43719.666666666599</v>
      </c>
      <c r="B2318" s="1">
        <f ca="1">IFERROR(__xludf.DUMMYFUNCTION("""COMPUTED_VALUE"""),16.47)</f>
        <v>16.47</v>
      </c>
    </row>
    <row r="2319" spans="1:2">
      <c r="A2319" s="3">
        <f ca="1">IFERROR(__xludf.DUMMYFUNCTION("""COMPUTED_VALUE"""),43720.6666666666)</f>
        <v>43720.666666666599</v>
      </c>
      <c r="B2319" s="1">
        <f ca="1">IFERROR(__xludf.DUMMYFUNCTION("""COMPUTED_VALUE"""),16.39)</f>
        <v>16.39</v>
      </c>
    </row>
    <row r="2320" spans="1:2">
      <c r="A2320" s="3">
        <f ca="1">IFERROR(__xludf.DUMMYFUNCTION("""COMPUTED_VALUE"""),43721.6666666666)</f>
        <v>43721.666666666599</v>
      </c>
      <c r="B2320" s="1">
        <f ca="1">IFERROR(__xludf.DUMMYFUNCTION("""COMPUTED_VALUE"""),16.35)</f>
        <v>16.350000000000001</v>
      </c>
    </row>
    <row r="2321" spans="1:2">
      <c r="A2321" s="3">
        <f ca="1">IFERROR(__xludf.DUMMYFUNCTION("""COMPUTED_VALUE"""),43724.6666666666)</f>
        <v>43724.666666666599</v>
      </c>
      <c r="B2321" s="1">
        <f ca="1">IFERROR(__xludf.DUMMYFUNCTION("""COMPUTED_VALUE"""),16.19)</f>
        <v>16.190000000000001</v>
      </c>
    </row>
    <row r="2322" spans="1:2">
      <c r="A2322" s="3">
        <f ca="1">IFERROR(__xludf.DUMMYFUNCTION("""COMPUTED_VALUE"""),43725.6666666666)</f>
        <v>43725.666666666599</v>
      </c>
      <c r="B2322" s="1">
        <f ca="1">IFERROR(__xludf.DUMMYFUNCTION("""COMPUTED_VALUE"""),16.32)</f>
        <v>16.32</v>
      </c>
    </row>
    <row r="2323" spans="1:2">
      <c r="A2323" s="3">
        <f ca="1">IFERROR(__xludf.DUMMYFUNCTION("""COMPUTED_VALUE"""),43726.6666666666)</f>
        <v>43726.666666666599</v>
      </c>
      <c r="B2323" s="1">
        <f ca="1">IFERROR(__xludf.DUMMYFUNCTION("""COMPUTED_VALUE"""),16.23)</f>
        <v>16.23</v>
      </c>
    </row>
    <row r="2324" spans="1:2">
      <c r="A2324" s="3">
        <f ca="1">IFERROR(__xludf.DUMMYFUNCTION("""COMPUTED_VALUE"""),43727.6666666666)</f>
        <v>43727.666666666599</v>
      </c>
      <c r="B2324" s="1">
        <f ca="1">IFERROR(__xludf.DUMMYFUNCTION("""COMPUTED_VALUE"""),16.44)</f>
        <v>16.440000000000001</v>
      </c>
    </row>
    <row r="2325" spans="1:2">
      <c r="A2325" s="3">
        <f ca="1">IFERROR(__xludf.DUMMYFUNCTION("""COMPUTED_VALUE"""),43728.6666666666)</f>
        <v>43728.666666666599</v>
      </c>
      <c r="B2325" s="1">
        <f ca="1">IFERROR(__xludf.DUMMYFUNCTION("""COMPUTED_VALUE"""),16.04)</f>
        <v>16.04</v>
      </c>
    </row>
    <row r="2326" spans="1:2">
      <c r="A2326" s="3">
        <f ca="1">IFERROR(__xludf.DUMMYFUNCTION("""COMPUTED_VALUE"""),43731.6666666666)</f>
        <v>43731.666666666599</v>
      </c>
      <c r="B2326" s="1">
        <f ca="1">IFERROR(__xludf.DUMMYFUNCTION("""COMPUTED_VALUE"""),16.08)</f>
        <v>16.079999999999998</v>
      </c>
    </row>
    <row r="2327" spans="1:2">
      <c r="A2327" s="3">
        <f ca="1">IFERROR(__xludf.DUMMYFUNCTION("""COMPUTED_VALUE"""),43732.6666666666)</f>
        <v>43732.666666666599</v>
      </c>
      <c r="B2327" s="1">
        <f ca="1">IFERROR(__xludf.DUMMYFUNCTION("""COMPUTED_VALUE"""),14.88)</f>
        <v>14.88</v>
      </c>
    </row>
    <row r="2328" spans="1:2">
      <c r="A2328" s="3">
        <f ca="1">IFERROR(__xludf.DUMMYFUNCTION("""COMPUTED_VALUE"""),43733.6666666666)</f>
        <v>43733.666666666599</v>
      </c>
      <c r="B2328" s="1">
        <f ca="1">IFERROR(__xludf.DUMMYFUNCTION("""COMPUTED_VALUE"""),15.25)</f>
        <v>15.25</v>
      </c>
    </row>
    <row r="2329" spans="1:2">
      <c r="A2329" s="3">
        <f ca="1">IFERROR(__xludf.DUMMYFUNCTION("""COMPUTED_VALUE"""),43734.6666666666)</f>
        <v>43734.666666666599</v>
      </c>
      <c r="B2329" s="1">
        <f ca="1">IFERROR(__xludf.DUMMYFUNCTION("""COMPUTED_VALUE"""),16.17)</f>
        <v>16.170000000000002</v>
      </c>
    </row>
    <row r="2330" spans="1:2">
      <c r="A2330" s="3">
        <f ca="1">IFERROR(__xludf.DUMMYFUNCTION("""COMPUTED_VALUE"""),43735.6666666666)</f>
        <v>43735.666666666599</v>
      </c>
      <c r="B2330" s="1">
        <f ca="1">IFERROR(__xludf.DUMMYFUNCTION("""COMPUTED_VALUE"""),16.14)</f>
        <v>16.14</v>
      </c>
    </row>
    <row r="2331" spans="1:2">
      <c r="A2331" s="3">
        <f ca="1">IFERROR(__xludf.DUMMYFUNCTION("""COMPUTED_VALUE"""),43738.6666666666)</f>
        <v>43738.666666666599</v>
      </c>
      <c r="B2331" s="1">
        <f ca="1">IFERROR(__xludf.DUMMYFUNCTION("""COMPUTED_VALUE"""),16.06)</f>
        <v>16.059999999999999</v>
      </c>
    </row>
    <row r="2332" spans="1:2">
      <c r="A2332" s="3">
        <f ca="1">IFERROR(__xludf.DUMMYFUNCTION("""COMPUTED_VALUE"""),43739.6666666666)</f>
        <v>43739.666666666599</v>
      </c>
      <c r="B2332" s="1">
        <f ca="1">IFERROR(__xludf.DUMMYFUNCTION("""COMPUTED_VALUE"""),16.31)</f>
        <v>16.309999999999999</v>
      </c>
    </row>
    <row r="2333" spans="1:2">
      <c r="A2333" s="3">
        <f ca="1">IFERROR(__xludf.DUMMYFUNCTION("""COMPUTED_VALUE"""),43740.6666666666)</f>
        <v>43740.666666666599</v>
      </c>
      <c r="B2333" s="1">
        <f ca="1">IFERROR(__xludf.DUMMYFUNCTION("""COMPUTED_VALUE"""),16.21)</f>
        <v>16.21</v>
      </c>
    </row>
    <row r="2334" spans="1:2">
      <c r="A2334" s="3">
        <f ca="1">IFERROR(__xludf.DUMMYFUNCTION("""COMPUTED_VALUE"""),43741.6666666666)</f>
        <v>43741.666666666599</v>
      </c>
      <c r="B2334" s="1">
        <f ca="1">IFERROR(__xludf.DUMMYFUNCTION("""COMPUTED_VALUE"""),15.54)</f>
        <v>15.54</v>
      </c>
    </row>
    <row r="2335" spans="1:2">
      <c r="A2335" s="3">
        <f ca="1">IFERROR(__xludf.DUMMYFUNCTION("""COMPUTED_VALUE"""),43742.6666666666)</f>
        <v>43742.666666666599</v>
      </c>
      <c r="B2335" s="1">
        <f ca="1">IFERROR(__xludf.DUMMYFUNCTION("""COMPUTED_VALUE"""),15.43)</f>
        <v>15.43</v>
      </c>
    </row>
    <row r="2336" spans="1:2">
      <c r="A2336" s="3">
        <f ca="1">IFERROR(__xludf.DUMMYFUNCTION("""COMPUTED_VALUE"""),43745.6666666666)</f>
        <v>43745.666666666599</v>
      </c>
      <c r="B2336" s="1">
        <f ca="1">IFERROR(__xludf.DUMMYFUNCTION("""COMPUTED_VALUE"""),15.85)</f>
        <v>15.85</v>
      </c>
    </row>
    <row r="2337" spans="1:2">
      <c r="A2337" s="3">
        <f ca="1">IFERROR(__xludf.DUMMYFUNCTION("""COMPUTED_VALUE"""),43746.6666666666)</f>
        <v>43746.666666666599</v>
      </c>
      <c r="B2337" s="1">
        <f ca="1">IFERROR(__xludf.DUMMYFUNCTION("""COMPUTED_VALUE"""),16)</f>
        <v>16</v>
      </c>
    </row>
    <row r="2338" spans="1:2">
      <c r="A2338" s="3">
        <f ca="1">IFERROR(__xludf.DUMMYFUNCTION("""COMPUTED_VALUE"""),43747.6666666666)</f>
        <v>43747.666666666599</v>
      </c>
      <c r="B2338" s="1">
        <f ca="1">IFERROR(__xludf.DUMMYFUNCTION("""COMPUTED_VALUE"""),16.3)</f>
        <v>16.3</v>
      </c>
    </row>
    <row r="2339" spans="1:2">
      <c r="A2339" s="3">
        <f ca="1">IFERROR(__xludf.DUMMYFUNCTION("""COMPUTED_VALUE"""),43748.6666666666)</f>
        <v>43748.666666666599</v>
      </c>
      <c r="B2339" s="1">
        <f ca="1">IFERROR(__xludf.DUMMYFUNCTION("""COMPUTED_VALUE"""),16.32)</f>
        <v>16.32</v>
      </c>
    </row>
    <row r="2340" spans="1:2">
      <c r="A2340" s="3">
        <f ca="1">IFERROR(__xludf.DUMMYFUNCTION("""COMPUTED_VALUE"""),43749.6666666666)</f>
        <v>43749.666666666599</v>
      </c>
      <c r="B2340" s="1">
        <f ca="1">IFERROR(__xludf.DUMMYFUNCTION("""COMPUTED_VALUE"""),16.53)</f>
        <v>16.53</v>
      </c>
    </row>
    <row r="2341" spans="1:2">
      <c r="A2341" s="3">
        <f ca="1">IFERROR(__xludf.DUMMYFUNCTION("""COMPUTED_VALUE"""),43752.6666666666)</f>
        <v>43752.666666666599</v>
      </c>
      <c r="B2341" s="1">
        <f ca="1">IFERROR(__xludf.DUMMYFUNCTION("""COMPUTED_VALUE"""),17.13)</f>
        <v>17.13</v>
      </c>
    </row>
    <row r="2342" spans="1:2">
      <c r="A2342" s="3">
        <f ca="1">IFERROR(__xludf.DUMMYFUNCTION("""COMPUTED_VALUE"""),43753.6666666666)</f>
        <v>43753.666666666599</v>
      </c>
      <c r="B2342" s="1">
        <f ca="1">IFERROR(__xludf.DUMMYFUNCTION("""COMPUTED_VALUE"""),17.19)</f>
        <v>17.190000000000001</v>
      </c>
    </row>
    <row r="2343" spans="1:2">
      <c r="A2343" s="3">
        <f ca="1">IFERROR(__xludf.DUMMYFUNCTION("""COMPUTED_VALUE"""),43754.6666666666)</f>
        <v>43754.666666666599</v>
      </c>
      <c r="B2343" s="1">
        <f ca="1">IFERROR(__xludf.DUMMYFUNCTION("""COMPUTED_VALUE"""),17.32)</f>
        <v>17.32</v>
      </c>
    </row>
    <row r="2344" spans="1:2">
      <c r="A2344" s="3">
        <f ca="1">IFERROR(__xludf.DUMMYFUNCTION("""COMPUTED_VALUE"""),43755.6666666666)</f>
        <v>43755.666666666599</v>
      </c>
      <c r="B2344" s="1">
        <f ca="1">IFERROR(__xludf.DUMMYFUNCTION("""COMPUTED_VALUE"""),17.46)</f>
        <v>17.46</v>
      </c>
    </row>
    <row r="2345" spans="1:2">
      <c r="A2345" s="3">
        <f ca="1">IFERROR(__xludf.DUMMYFUNCTION("""COMPUTED_VALUE"""),43756.6666666666)</f>
        <v>43756.666666666599</v>
      </c>
      <c r="B2345" s="1">
        <f ca="1">IFERROR(__xludf.DUMMYFUNCTION("""COMPUTED_VALUE"""),17.13)</f>
        <v>17.13</v>
      </c>
    </row>
    <row r="2346" spans="1:2">
      <c r="A2346" s="3">
        <f ca="1">IFERROR(__xludf.DUMMYFUNCTION("""COMPUTED_VALUE"""),43759.6666666666)</f>
        <v>43759.666666666599</v>
      </c>
      <c r="B2346" s="1">
        <f ca="1">IFERROR(__xludf.DUMMYFUNCTION("""COMPUTED_VALUE"""),16.9)</f>
        <v>16.899999999999999</v>
      </c>
    </row>
    <row r="2347" spans="1:2">
      <c r="A2347" s="3">
        <f ca="1">IFERROR(__xludf.DUMMYFUNCTION("""COMPUTED_VALUE"""),43760.6666666666)</f>
        <v>43760.666666666599</v>
      </c>
      <c r="B2347" s="1">
        <f ca="1">IFERROR(__xludf.DUMMYFUNCTION("""COMPUTED_VALUE"""),17.04)</f>
        <v>17.04</v>
      </c>
    </row>
    <row r="2348" spans="1:2">
      <c r="A2348" s="3">
        <f ca="1">IFERROR(__xludf.DUMMYFUNCTION("""COMPUTED_VALUE"""),43761.6666666666)</f>
        <v>43761.666666666599</v>
      </c>
      <c r="B2348" s="1">
        <f ca="1">IFERROR(__xludf.DUMMYFUNCTION("""COMPUTED_VALUE"""),16.98)</f>
        <v>16.98</v>
      </c>
    </row>
    <row r="2349" spans="1:2">
      <c r="A2349" s="3">
        <f ca="1">IFERROR(__xludf.DUMMYFUNCTION("""COMPUTED_VALUE"""),43762.6666666666)</f>
        <v>43762.666666666599</v>
      </c>
      <c r="B2349" s="1">
        <f ca="1">IFERROR(__xludf.DUMMYFUNCTION("""COMPUTED_VALUE"""),19.98)</f>
        <v>19.98</v>
      </c>
    </row>
    <row r="2350" spans="1:2">
      <c r="A2350" s="3">
        <f ca="1">IFERROR(__xludf.DUMMYFUNCTION("""COMPUTED_VALUE"""),43763.6666666666)</f>
        <v>43763.666666666599</v>
      </c>
      <c r="B2350" s="1">
        <f ca="1">IFERROR(__xludf.DUMMYFUNCTION("""COMPUTED_VALUE"""),21.88)</f>
        <v>21.88</v>
      </c>
    </row>
    <row r="2351" spans="1:2">
      <c r="A2351" s="3">
        <f ca="1">IFERROR(__xludf.DUMMYFUNCTION("""COMPUTED_VALUE"""),43766.6666666666)</f>
        <v>43766.666666666599</v>
      </c>
      <c r="B2351" s="1">
        <f ca="1">IFERROR(__xludf.DUMMYFUNCTION("""COMPUTED_VALUE"""),21.85)</f>
        <v>21.85</v>
      </c>
    </row>
    <row r="2352" spans="1:2">
      <c r="A2352" s="3">
        <f ca="1">IFERROR(__xludf.DUMMYFUNCTION("""COMPUTED_VALUE"""),43767.6666666666)</f>
        <v>43767.666666666599</v>
      </c>
      <c r="B2352" s="1">
        <f ca="1">IFERROR(__xludf.DUMMYFUNCTION("""COMPUTED_VALUE"""),21.08)</f>
        <v>21.08</v>
      </c>
    </row>
    <row r="2353" spans="1:2">
      <c r="A2353" s="3">
        <f ca="1">IFERROR(__xludf.DUMMYFUNCTION("""COMPUTED_VALUE"""),43768.6666666666)</f>
        <v>43768.666666666599</v>
      </c>
      <c r="B2353" s="1">
        <f ca="1">IFERROR(__xludf.DUMMYFUNCTION("""COMPUTED_VALUE"""),21)</f>
        <v>21</v>
      </c>
    </row>
    <row r="2354" spans="1:2">
      <c r="A2354" s="3">
        <f ca="1">IFERROR(__xludf.DUMMYFUNCTION("""COMPUTED_VALUE"""),43769.6666666666)</f>
        <v>43769.666666666599</v>
      </c>
      <c r="B2354" s="1">
        <f ca="1">IFERROR(__xludf.DUMMYFUNCTION("""COMPUTED_VALUE"""),20.99)</f>
        <v>20.99</v>
      </c>
    </row>
    <row r="2355" spans="1:2">
      <c r="A2355" s="3">
        <f ca="1">IFERROR(__xludf.DUMMYFUNCTION("""COMPUTED_VALUE"""),43770.6666666666)</f>
        <v>43770.666666666599</v>
      </c>
      <c r="B2355" s="1">
        <f ca="1">IFERROR(__xludf.DUMMYFUNCTION("""COMPUTED_VALUE"""),20.89)</f>
        <v>20.89</v>
      </c>
    </row>
    <row r="2356" spans="1:2">
      <c r="A2356" s="3">
        <f ca="1">IFERROR(__xludf.DUMMYFUNCTION("""COMPUTED_VALUE"""),43773.6666666666)</f>
        <v>43773.666666666599</v>
      </c>
      <c r="B2356" s="1">
        <f ca="1">IFERROR(__xludf.DUMMYFUNCTION("""COMPUTED_VALUE"""),21.16)</f>
        <v>21.16</v>
      </c>
    </row>
    <row r="2357" spans="1:2">
      <c r="A2357" s="3">
        <f ca="1">IFERROR(__xludf.DUMMYFUNCTION("""COMPUTED_VALUE"""),43774.6666666666)</f>
        <v>43774.666666666599</v>
      </c>
      <c r="B2357" s="1">
        <f ca="1">IFERROR(__xludf.DUMMYFUNCTION("""COMPUTED_VALUE"""),21.15)</f>
        <v>21.15</v>
      </c>
    </row>
    <row r="2358" spans="1:2">
      <c r="A2358" s="3">
        <f ca="1">IFERROR(__xludf.DUMMYFUNCTION("""COMPUTED_VALUE"""),43775.6666666666)</f>
        <v>43775.666666666599</v>
      </c>
      <c r="B2358" s="1">
        <f ca="1">IFERROR(__xludf.DUMMYFUNCTION("""COMPUTED_VALUE"""),21.77)</f>
        <v>21.77</v>
      </c>
    </row>
    <row r="2359" spans="1:2">
      <c r="A2359" s="3">
        <f ca="1">IFERROR(__xludf.DUMMYFUNCTION("""COMPUTED_VALUE"""),43776.6666666666)</f>
        <v>43776.666666666599</v>
      </c>
      <c r="B2359" s="1">
        <f ca="1">IFERROR(__xludf.DUMMYFUNCTION("""COMPUTED_VALUE"""),22.37)</f>
        <v>22.37</v>
      </c>
    </row>
    <row r="2360" spans="1:2">
      <c r="A2360" s="3">
        <f ca="1">IFERROR(__xludf.DUMMYFUNCTION("""COMPUTED_VALUE"""),43777.6666666666)</f>
        <v>43777.666666666599</v>
      </c>
      <c r="B2360" s="1">
        <f ca="1">IFERROR(__xludf.DUMMYFUNCTION("""COMPUTED_VALUE"""),22.48)</f>
        <v>22.48</v>
      </c>
    </row>
    <row r="2361" spans="1:2">
      <c r="A2361" s="3">
        <f ca="1">IFERROR(__xludf.DUMMYFUNCTION("""COMPUTED_VALUE"""),43780.6666666666)</f>
        <v>43780.666666666599</v>
      </c>
      <c r="B2361" s="1">
        <f ca="1">IFERROR(__xludf.DUMMYFUNCTION("""COMPUTED_VALUE"""),23.01)</f>
        <v>23.01</v>
      </c>
    </row>
    <row r="2362" spans="1:2">
      <c r="A2362" s="3">
        <f ca="1">IFERROR(__xludf.DUMMYFUNCTION("""COMPUTED_VALUE"""),43781.6666666666)</f>
        <v>43781.666666666599</v>
      </c>
      <c r="B2362" s="1">
        <f ca="1">IFERROR(__xludf.DUMMYFUNCTION("""COMPUTED_VALUE"""),23.33)</f>
        <v>23.33</v>
      </c>
    </row>
    <row r="2363" spans="1:2">
      <c r="A2363" s="3">
        <f ca="1">IFERROR(__xludf.DUMMYFUNCTION("""COMPUTED_VALUE"""),43782.6666666666)</f>
        <v>43782.666666666599</v>
      </c>
      <c r="B2363" s="1">
        <f ca="1">IFERROR(__xludf.DUMMYFUNCTION("""COMPUTED_VALUE"""),23.07)</f>
        <v>23.07</v>
      </c>
    </row>
    <row r="2364" spans="1:2">
      <c r="A2364" s="3">
        <f ca="1">IFERROR(__xludf.DUMMYFUNCTION("""COMPUTED_VALUE"""),43783.6666666666)</f>
        <v>43783.666666666599</v>
      </c>
      <c r="B2364" s="1">
        <f ca="1">IFERROR(__xludf.DUMMYFUNCTION("""COMPUTED_VALUE"""),23.29)</f>
        <v>23.29</v>
      </c>
    </row>
    <row r="2365" spans="1:2">
      <c r="A2365" s="3">
        <f ca="1">IFERROR(__xludf.DUMMYFUNCTION("""COMPUTED_VALUE"""),43784.6666666666)</f>
        <v>43784.666666666599</v>
      </c>
      <c r="B2365" s="1">
        <f ca="1">IFERROR(__xludf.DUMMYFUNCTION("""COMPUTED_VALUE"""),23.48)</f>
        <v>23.48</v>
      </c>
    </row>
    <row r="2366" spans="1:2">
      <c r="A2366" s="3">
        <f ca="1">IFERROR(__xludf.DUMMYFUNCTION("""COMPUTED_VALUE"""),43787.6666666666)</f>
        <v>43787.666666666599</v>
      </c>
      <c r="B2366" s="1">
        <f ca="1">IFERROR(__xludf.DUMMYFUNCTION("""COMPUTED_VALUE"""),23.33)</f>
        <v>23.33</v>
      </c>
    </row>
    <row r="2367" spans="1:2">
      <c r="A2367" s="3">
        <f ca="1">IFERROR(__xludf.DUMMYFUNCTION("""COMPUTED_VALUE"""),43788.6666666666)</f>
        <v>43788.666666666599</v>
      </c>
      <c r="B2367" s="1">
        <f ca="1">IFERROR(__xludf.DUMMYFUNCTION("""COMPUTED_VALUE"""),23.97)</f>
        <v>23.97</v>
      </c>
    </row>
    <row r="2368" spans="1:2">
      <c r="A2368" s="3">
        <f ca="1">IFERROR(__xludf.DUMMYFUNCTION("""COMPUTED_VALUE"""),43789.6666666666)</f>
        <v>43789.666666666599</v>
      </c>
      <c r="B2368" s="1">
        <f ca="1">IFERROR(__xludf.DUMMYFUNCTION("""COMPUTED_VALUE"""),23.48)</f>
        <v>23.48</v>
      </c>
    </row>
    <row r="2369" spans="1:2">
      <c r="A2369" s="3">
        <f ca="1">IFERROR(__xludf.DUMMYFUNCTION("""COMPUTED_VALUE"""),43790.6666666666)</f>
        <v>43790.666666666599</v>
      </c>
      <c r="B2369" s="1">
        <f ca="1">IFERROR(__xludf.DUMMYFUNCTION("""COMPUTED_VALUE"""),23.66)</f>
        <v>23.66</v>
      </c>
    </row>
    <row r="2370" spans="1:2">
      <c r="A2370" s="3">
        <f ca="1">IFERROR(__xludf.DUMMYFUNCTION("""COMPUTED_VALUE"""),43791.6666666666)</f>
        <v>43791.666666666599</v>
      </c>
      <c r="B2370" s="1">
        <f ca="1">IFERROR(__xludf.DUMMYFUNCTION("""COMPUTED_VALUE"""),22.2)</f>
        <v>22.2</v>
      </c>
    </row>
    <row r="2371" spans="1:2">
      <c r="A2371" s="3">
        <f ca="1">IFERROR(__xludf.DUMMYFUNCTION("""COMPUTED_VALUE"""),43794.6666666666)</f>
        <v>43794.666666666599</v>
      </c>
      <c r="B2371" s="1">
        <f ca="1">IFERROR(__xludf.DUMMYFUNCTION("""COMPUTED_VALUE"""),22.42)</f>
        <v>22.42</v>
      </c>
    </row>
    <row r="2372" spans="1:2">
      <c r="A2372" s="3">
        <f ca="1">IFERROR(__xludf.DUMMYFUNCTION("""COMPUTED_VALUE"""),43795.6666666666)</f>
        <v>43795.666666666599</v>
      </c>
      <c r="B2372" s="1">
        <f ca="1">IFERROR(__xludf.DUMMYFUNCTION("""COMPUTED_VALUE"""),21.93)</f>
        <v>21.93</v>
      </c>
    </row>
    <row r="2373" spans="1:2">
      <c r="A2373" s="3">
        <f ca="1">IFERROR(__xludf.DUMMYFUNCTION("""COMPUTED_VALUE"""),43796.6666666666)</f>
        <v>43796.666666666599</v>
      </c>
      <c r="B2373" s="1">
        <f ca="1">IFERROR(__xludf.DUMMYFUNCTION("""COMPUTED_VALUE"""),22.09)</f>
        <v>22.09</v>
      </c>
    </row>
    <row r="2374" spans="1:2">
      <c r="A2374" s="3">
        <f ca="1">IFERROR(__xludf.DUMMYFUNCTION("""COMPUTED_VALUE"""),43798.5416666666)</f>
        <v>43798.541666666599</v>
      </c>
      <c r="B2374" s="1">
        <f ca="1">IFERROR(__xludf.DUMMYFUNCTION("""COMPUTED_VALUE"""),22)</f>
        <v>22</v>
      </c>
    </row>
    <row r="2375" spans="1:2">
      <c r="A2375" s="3">
        <f ca="1">IFERROR(__xludf.DUMMYFUNCTION("""COMPUTED_VALUE"""),43801.6666666666)</f>
        <v>43801.666666666599</v>
      </c>
      <c r="B2375" s="1">
        <f ca="1">IFERROR(__xludf.DUMMYFUNCTION("""COMPUTED_VALUE"""),22.32)</f>
        <v>22.32</v>
      </c>
    </row>
    <row r="2376" spans="1:2">
      <c r="A2376" s="3">
        <f ca="1">IFERROR(__xludf.DUMMYFUNCTION("""COMPUTED_VALUE"""),43802.6666666666)</f>
        <v>43802.666666666599</v>
      </c>
      <c r="B2376" s="1">
        <f ca="1">IFERROR(__xludf.DUMMYFUNCTION("""COMPUTED_VALUE"""),22.41)</f>
        <v>22.41</v>
      </c>
    </row>
    <row r="2377" spans="1:2">
      <c r="A2377" s="3">
        <f ca="1">IFERROR(__xludf.DUMMYFUNCTION("""COMPUTED_VALUE"""),43803.6666666666)</f>
        <v>43803.666666666599</v>
      </c>
      <c r="B2377" s="1">
        <f ca="1">IFERROR(__xludf.DUMMYFUNCTION("""COMPUTED_VALUE"""),22.2)</f>
        <v>22.2</v>
      </c>
    </row>
    <row r="2378" spans="1:2">
      <c r="A2378" s="3">
        <f ca="1">IFERROR(__xludf.DUMMYFUNCTION("""COMPUTED_VALUE"""),43804.6666666666)</f>
        <v>43804.666666666599</v>
      </c>
      <c r="B2378" s="1">
        <f ca="1">IFERROR(__xludf.DUMMYFUNCTION("""COMPUTED_VALUE"""),22.02)</f>
        <v>22.02</v>
      </c>
    </row>
    <row r="2379" spans="1:2">
      <c r="A2379" s="3">
        <f ca="1">IFERROR(__xludf.DUMMYFUNCTION("""COMPUTED_VALUE"""),43805.6666666666)</f>
        <v>43805.666666666599</v>
      </c>
      <c r="B2379" s="1">
        <f ca="1">IFERROR(__xludf.DUMMYFUNCTION("""COMPUTED_VALUE"""),22.39)</f>
        <v>22.39</v>
      </c>
    </row>
    <row r="2380" spans="1:2">
      <c r="A2380" s="3">
        <f ca="1">IFERROR(__xludf.DUMMYFUNCTION("""COMPUTED_VALUE"""),43808.6666666666)</f>
        <v>43808.666666666599</v>
      </c>
      <c r="B2380" s="1">
        <f ca="1">IFERROR(__xludf.DUMMYFUNCTION("""COMPUTED_VALUE"""),22.64)</f>
        <v>22.64</v>
      </c>
    </row>
    <row r="2381" spans="1:2">
      <c r="A2381" s="3">
        <f ca="1">IFERROR(__xludf.DUMMYFUNCTION("""COMPUTED_VALUE"""),43809.6666666666)</f>
        <v>43809.666666666599</v>
      </c>
      <c r="B2381" s="1">
        <f ca="1">IFERROR(__xludf.DUMMYFUNCTION("""COMPUTED_VALUE"""),23.26)</f>
        <v>23.26</v>
      </c>
    </row>
    <row r="2382" spans="1:2">
      <c r="A2382" s="3">
        <f ca="1">IFERROR(__xludf.DUMMYFUNCTION("""COMPUTED_VALUE"""),43810.6666666666)</f>
        <v>43810.666666666599</v>
      </c>
      <c r="B2382" s="1">
        <f ca="1">IFERROR(__xludf.DUMMYFUNCTION("""COMPUTED_VALUE"""),23.51)</f>
        <v>23.51</v>
      </c>
    </row>
    <row r="2383" spans="1:2">
      <c r="A2383" s="3">
        <f ca="1">IFERROR(__xludf.DUMMYFUNCTION("""COMPUTED_VALUE"""),43811.6666666666)</f>
        <v>43811.666666666599</v>
      </c>
      <c r="B2383" s="1">
        <f ca="1">IFERROR(__xludf.DUMMYFUNCTION("""COMPUTED_VALUE"""),23.98)</f>
        <v>23.98</v>
      </c>
    </row>
    <row r="2384" spans="1:2">
      <c r="A2384" s="3">
        <f ca="1">IFERROR(__xludf.DUMMYFUNCTION("""COMPUTED_VALUE"""),43812.6666666666)</f>
        <v>43812.666666666599</v>
      </c>
      <c r="B2384" s="1">
        <f ca="1">IFERROR(__xludf.DUMMYFUNCTION("""COMPUTED_VALUE"""),23.89)</f>
        <v>23.89</v>
      </c>
    </row>
    <row r="2385" spans="1:2">
      <c r="A2385" s="3">
        <f ca="1">IFERROR(__xludf.DUMMYFUNCTION("""COMPUTED_VALUE"""),43815.6666666666)</f>
        <v>43815.666666666599</v>
      </c>
      <c r="B2385" s="1">
        <f ca="1">IFERROR(__xludf.DUMMYFUNCTION("""COMPUTED_VALUE"""),25.43)</f>
        <v>25.43</v>
      </c>
    </row>
    <row r="2386" spans="1:2">
      <c r="A2386" s="3">
        <f ca="1">IFERROR(__xludf.DUMMYFUNCTION("""COMPUTED_VALUE"""),43816.6666666666)</f>
        <v>43816.666666666599</v>
      </c>
      <c r="B2386" s="1">
        <f ca="1">IFERROR(__xludf.DUMMYFUNCTION("""COMPUTED_VALUE"""),25.27)</f>
        <v>25.27</v>
      </c>
    </row>
    <row r="2387" spans="1:2">
      <c r="A2387" s="3">
        <f ca="1">IFERROR(__xludf.DUMMYFUNCTION("""COMPUTED_VALUE"""),43817.6666666666)</f>
        <v>43817.666666666599</v>
      </c>
      <c r="B2387" s="1">
        <f ca="1">IFERROR(__xludf.DUMMYFUNCTION("""COMPUTED_VALUE"""),26.21)</f>
        <v>26.21</v>
      </c>
    </row>
    <row r="2388" spans="1:2">
      <c r="A2388" s="3">
        <f ca="1">IFERROR(__xludf.DUMMYFUNCTION("""COMPUTED_VALUE"""),43818.6666666666)</f>
        <v>43818.666666666599</v>
      </c>
      <c r="B2388" s="1">
        <f ca="1">IFERROR(__xludf.DUMMYFUNCTION("""COMPUTED_VALUE"""),26.94)</f>
        <v>26.94</v>
      </c>
    </row>
    <row r="2389" spans="1:2">
      <c r="A2389" s="3">
        <f ca="1">IFERROR(__xludf.DUMMYFUNCTION("""COMPUTED_VALUE"""),43819.6666666666)</f>
        <v>43819.666666666599</v>
      </c>
      <c r="B2389" s="1">
        <f ca="1">IFERROR(__xludf.DUMMYFUNCTION("""COMPUTED_VALUE"""),27.04)</f>
        <v>27.04</v>
      </c>
    </row>
    <row r="2390" spans="1:2">
      <c r="A2390" s="3">
        <f ca="1">IFERROR(__xludf.DUMMYFUNCTION("""COMPUTED_VALUE"""),43822.6666666666)</f>
        <v>43822.666666666599</v>
      </c>
      <c r="B2390" s="1">
        <f ca="1">IFERROR(__xludf.DUMMYFUNCTION("""COMPUTED_VALUE"""),27.95)</f>
        <v>27.95</v>
      </c>
    </row>
    <row r="2391" spans="1:2">
      <c r="A2391" s="3">
        <f ca="1">IFERROR(__xludf.DUMMYFUNCTION("""COMPUTED_VALUE"""),43823.5416666666)</f>
        <v>43823.541666666599</v>
      </c>
      <c r="B2391" s="1">
        <f ca="1">IFERROR(__xludf.DUMMYFUNCTION("""COMPUTED_VALUE"""),28.35)</f>
        <v>28.35</v>
      </c>
    </row>
    <row r="2392" spans="1:2">
      <c r="A2392" s="3">
        <f ca="1">IFERROR(__xludf.DUMMYFUNCTION("""COMPUTED_VALUE"""),43825.6666666666)</f>
        <v>43825.666666666599</v>
      </c>
      <c r="B2392" s="1">
        <f ca="1">IFERROR(__xludf.DUMMYFUNCTION("""COMPUTED_VALUE"""),28.73)</f>
        <v>28.73</v>
      </c>
    </row>
    <row r="2393" spans="1:2">
      <c r="A2393" s="3">
        <f ca="1">IFERROR(__xludf.DUMMYFUNCTION("""COMPUTED_VALUE"""),43826.6666666666)</f>
        <v>43826.666666666599</v>
      </c>
      <c r="B2393" s="1">
        <f ca="1">IFERROR(__xludf.DUMMYFUNCTION("""COMPUTED_VALUE"""),28.69)</f>
        <v>28.69</v>
      </c>
    </row>
    <row r="2394" spans="1:2">
      <c r="A2394" s="3">
        <f ca="1">IFERROR(__xludf.DUMMYFUNCTION("""COMPUTED_VALUE"""),43829.6666666666)</f>
        <v>43829.666666666599</v>
      </c>
      <c r="B2394" s="1">
        <f ca="1">IFERROR(__xludf.DUMMYFUNCTION("""COMPUTED_VALUE"""),27.65)</f>
        <v>27.65</v>
      </c>
    </row>
    <row r="2395" spans="1:2">
      <c r="A2395" s="3">
        <f ca="1">IFERROR(__xludf.DUMMYFUNCTION("""COMPUTED_VALUE"""),43830.6666666666)</f>
        <v>43830.666666666599</v>
      </c>
      <c r="B2395" s="1">
        <f ca="1">IFERROR(__xludf.DUMMYFUNCTION("""COMPUTED_VALUE"""),27.89)</f>
        <v>27.89</v>
      </c>
    </row>
    <row r="2396" spans="1:2">
      <c r="A2396" s="3">
        <f ca="1">IFERROR(__xludf.DUMMYFUNCTION("""COMPUTED_VALUE"""),43832.6666666666)</f>
        <v>43832.666666666599</v>
      </c>
      <c r="B2396" s="1">
        <f ca="1">IFERROR(__xludf.DUMMYFUNCTION("""COMPUTED_VALUE"""),28.68)</f>
        <v>28.68</v>
      </c>
    </row>
    <row r="2397" spans="1:2">
      <c r="A2397" s="3">
        <f ca="1">IFERROR(__xludf.DUMMYFUNCTION("""COMPUTED_VALUE"""),43833.6666666666)</f>
        <v>43833.666666666599</v>
      </c>
      <c r="B2397" s="1">
        <f ca="1">IFERROR(__xludf.DUMMYFUNCTION("""COMPUTED_VALUE"""),29.53)</f>
        <v>29.53</v>
      </c>
    </row>
    <row r="2398" spans="1:2">
      <c r="A2398" s="3">
        <f ca="1">IFERROR(__xludf.DUMMYFUNCTION("""COMPUTED_VALUE"""),43836.6666666666)</f>
        <v>43836.666666666599</v>
      </c>
      <c r="B2398" s="1">
        <f ca="1">IFERROR(__xludf.DUMMYFUNCTION("""COMPUTED_VALUE"""),30.1)</f>
        <v>30.1</v>
      </c>
    </row>
    <row r="2399" spans="1:2">
      <c r="A2399" s="3">
        <f ca="1">IFERROR(__xludf.DUMMYFUNCTION("""COMPUTED_VALUE"""),43837.6666666666)</f>
        <v>43837.666666666599</v>
      </c>
      <c r="B2399" s="1">
        <f ca="1">IFERROR(__xludf.DUMMYFUNCTION("""COMPUTED_VALUE"""),31.27)</f>
        <v>31.27</v>
      </c>
    </row>
    <row r="2400" spans="1:2">
      <c r="A2400" s="3">
        <f ca="1">IFERROR(__xludf.DUMMYFUNCTION("""COMPUTED_VALUE"""),43838.6666666666)</f>
        <v>43838.666666666599</v>
      </c>
      <c r="B2400" s="1">
        <f ca="1">IFERROR(__xludf.DUMMYFUNCTION("""COMPUTED_VALUE"""),32.81)</f>
        <v>32.81</v>
      </c>
    </row>
    <row r="2401" spans="1:2">
      <c r="A2401" s="3">
        <f ca="1">IFERROR(__xludf.DUMMYFUNCTION("""COMPUTED_VALUE"""),43839.6666666666)</f>
        <v>43839.666666666599</v>
      </c>
      <c r="B2401" s="1">
        <f ca="1">IFERROR(__xludf.DUMMYFUNCTION("""COMPUTED_VALUE"""),32.09)</f>
        <v>32.090000000000003</v>
      </c>
    </row>
    <row r="2402" spans="1:2">
      <c r="A2402" s="3">
        <f ca="1">IFERROR(__xludf.DUMMYFUNCTION("""COMPUTED_VALUE"""),43840.6666666666)</f>
        <v>43840.666666666599</v>
      </c>
      <c r="B2402" s="1">
        <f ca="1">IFERROR(__xludf.DUMMYFUNCTION("""COMPUTED_VALUE"""),31.88)</f>
        <v>31.88</v>
      </c>
    </row>
    <row r="2403" spans="1:2">
      <c r="A2403" s="3">
        <f ca="1">IFERROR(__xludf.DUMMYFUNCTION("""COMPUTED_VALUE"""),43843.6666666666)</f>
        <v>43843.666666666599</v>
      </c>
      <c r="B2403" s="1">
        <f ca="1">IFERROR(__xludf.DUMMYFUNCTION("""COMPUTED_VALUE"""),34.99)</f>
        <v>34.99</v>
      </c>
    </row>
    <row r="2404" spans="1:2">
      <c r="A2404" s="3">
        <f ca="1">IFERROR(__xludf.DUMMYFUNCTION("""COMPUTED_VALUE"""),43844.6666666666)</f>
        <v>43844.666666666599</v>
      </c>
      <c r="B2404" s="1">
        <f ca="1">IFERROR(__xludf.DUMMYFUNCTION("""COMPUTED_VALUE"""),35.86)</f>
        <v>35.86</v>
      </c>
    </row>
    <row r="2405" spans="1:2">
      <c r="A2405" s="3">
        <f ca="1">IFERROR(__xludf.DUMMYFUNCTION("""COMPUTED_VALUE"""),43845.6666666666)</f>
        <v>43845.666666666599</v>
      </c>
      <c r="B2405" s="1">
        <f ca="1">IFERROR(__xludf.DUMMYFUNCTION("""COMPUTED_VALUE"""),34.57)</f>
        <v>34.57</v>
      </c>
    </row>
    <row r="2406" spans="1:2">
      <c r="A2406" s="3">
        <f ca="1">IFERROR(__xludf.DUMMYFUNCTION("""COMPUTED_VALUE"""),43846.6666666666)</f>
        <v>43846.666666666599</v>
      </c>
      <c r="B2406" s="1">
        <f ca="1">IFERROR(__xludf.DUMMYFUNCTION("""COMPUTED_VALUE"""),34.23)</f>
        <v>34.229999999999997</v>
      </c>
    </row>
    <row r="2407" spans="1:2">
      <c r="A2407" s="3">
        <f ca="1">IFERROR(__xludf.DUMMYFUNCTION("""COMPUTED_VALUE"""),43847.6666666666)</f>
        <v>43847.666666666599</v>
      </c>
      <c r="B2407" s="1">
        <f ca="1">IFERROR(__xludf.DUMMYFUNCTION("""COMPUTED_VALUE"""),34.03)</f>
        <v>34.03</v>
      </c>
    </row>
    <row r="2408" spans="1:2">
      <c r="A2408" s="3">
        <f ca="1">IFERROR(__xludf.DUMMYFUNCTION("""COMPUTED_VALUE"""),43851.6666666666)</f>
        <v>43851.666666666599</v>
      </c>
      <c r="B2408" s="1">
        <f ca="1">IFERROR(__xludf.DUMMYFUNCTION("""COMPUTED_VALUE"""),36.48)</f>
        <v>36.479999999999997</v>
      </c>
    </row>
    <row r="2409" spans="1:2">
      <c r="A2409" s="3">
        <f ca="1">IFERROR(__xludf.DUMMYFUNCTION("""COMPUTED_VALUE"""),43852.6666666666)</f>
        <v>43852.666666666599</v>
      </c>
      <c r="B2409" s="1">
        <f ca="1">IFERROR(__xludf.DUMMYFUNCTION("""COMPUTED_VALUE"""),37.97)</f>
        <v>37.97</v>
      </c>
    </row>
    <row r="2410" spans="1:2">
      <c r="A2410" s="3">
        <f ca="1">IFERROR(__xludf.DUMMYFUNCTION("""COMPUTED_VALUE"""),43853.6666666666)</f>
        <v>43853.666666666599</v>
      </c>
      <c r="B2410" s="1">
        <f ca="1">IFERROR(__xludf.DUMMYFUNCTION("""COMPUTED_VALUE"""),38.15)</f>
        <v>38.15</v>
      </c>
    </row>
    <row r="2411" spans="1:2">
      <c r="A2411" s="3">
        <f ca="1">IFERROR(__xludf.DUMMYFUNCTION("""COMPUTED_VALUE"""),43854.6666666666)</f>
        <v>43854.666666666599</v>
      </c>
      <c r="B2411" s="1">
        <f ca="1">IFERROR(__xludf.DUMMYFUNCTION("""COMPUTED_VALUE"""),37.65)</f>
        <v>37.65</v>
      </c>
    </row>
    <row r="2412" spans="1:2">
      <c r="A2412" s="3">
        <f ca="1">IFERROR(__xludf.DUMMYFUNCTION("""COMPUTED_VALUE"""),43857.6666666666)</f>
        <v>43857.666666666599</v>
      </c>
      <c r="B2412" s="1">
        <f ca="1">IFERROR(__xludf.DUMMYFUNCTION("""COMPUTED_VALUE"""),37.2)</f>
        <v>37.200000000000003</v>
      </c>
    </row>
    <row r="2413" spans="1:2">
      <c r="A2413" s="3">
        <f ca="1">IFERROR(__xludf.DUMMYFUNCTION("""COMPUTED_VALUE"""),43858.6666666666)</f>
        <v>43858.666666666599</v>
      </c>
      <c r="B2413" s="1">
        <f ca="1">IFERROR(__xludf.DUMMYFUNCTION("""COMPUTED_VALUE"""),37.79)</f>
        <v>37.79</v>
      </c>
    </row>
    <row r="2414" spans="1:2">
      <c r="A2414" s="3">
        <f ca="1">IFERROR(__xludf.DUMMYFUNCTION("""COMPUTED_VALUE"""),43859.6666666666)</f>
        <v>43859.666666666599</v>
      </c>
      <c r="B2414" s="1">
        <f ca="1">IFERROR(__xludf.DUMMYFUNCTION("""COMPUTED_VALUE"""),38.73)</f>
        <v>38.729999999999997</v>
      </c>
    </row>
    <row r="2415" spans="1:2">
      <c r="A2415" s="3">
        <f ca="1">IFERROR(__xludf.DUMMYFUNCTION("""COMPUTED_VALUE"""),43860.6666666666)</f>
        <v>43860.666666666599</v>
      </c>
      <c r="B2415" s="1">
        <f ca="1">IFERROR(__xludf.DUMMYFUNCTION("""COMPUTED_VALUE"""),42.72)</f>
        <v>42.72</v>
      </c>
    </row>
    <row r="2416" spans="1:2">
      <c r="A2416" s="3">
        <f ca="1">IFERROR(__xludf.DUMMYFUNCTION("""COMPUTED_VALUE"""),43861.6666666666)</f>
        <v>43861.666666666599</v>
      </c>
      <c r="B2416" s="1">
        <f ca="1">IFERROR(__xludf.DUMMYFUNCTION("""COMPUTED_VALUE"""),43.37)</f>
        <v>43.37</v>
      </c>
    </row>
    <row r="2417" spans="1:2">
      <c r="A2417" s="3">
        <f ca="1">IFERROR(__xludf.DUMMYFUNCTION("""COMPUTED_VALUE"""),43864.6666666666)</f>
        <v>43864.666666666599</v>
      </c>
      <c r="B2417" s="1">
        <f ca="1">IFERROR(__xludf.DUMMYFUNCTION("""COMPUTED_VALUE"""),52)</f>
        <v>52</v>
      </c>
    </row>
    <row r="2418" spans="1:2">
      <c r="A2418" s="3">
        <f ca="1">IFERROR(__xludf.DUMMYFUNCTION("""COMPUTED_VALUE"""),43865.6666666666)</f>
        <v>43865.666666666599</v>
      </c>
      <c r="B2418" s="1">
        <f ca="1">IFERROR(__xludf.DUMMYFUNCTION("""COMPUTED_VALUE"""),59.14)</f>
        <v>59.14</v>
      </c>
    </row>
    <row r="2419" spans="1:2">
      <c r="A2419" s="3">
        <f ca="1">IFERROR(__xludf.DUMMYFUNCTION("""COMPUTED_VALUE"""),43866.6666666666)</f>
        <v>43866.666666666599</v>
      </c>
      <c r="B2419" s="1">
        <f ca="1">IFERROR(__xludf.DUMMYFUNCTION("""COMPUTED_VALUE"""),48.98)</f>
        <v>48.98</v>
      </c>
    </row>
    <row r="2420" spans="1:2">
      <c r="A2420" s="3">
        <f ca="1">IFERROR(__xludf.DUMMYFUNCTION("""COMPUTED_VALUE"""),43867.6666666666)</f>
        <v>43867.666666666599</v>
      </c>
      <c r="B2420" s="1">
        <f ca="1">IFERROR(__xludf.DUMMYFUNCTION("""COMPUTED_VALUE"""),49.93)</f>
        <v>49.93</v>
      </c>
    </row>
    <row r="2421" spans="1:2">
      <c r="A2421" s="3">
        <f ca="1">IFERROR(__xludf.DUMMYFUNCTION("""COMPUTED_VALUE"""),43868.6666666666)</f>
        <v>43868.666666666599</v>
      </c>
      <c r="B2421" s="1">
        <f ca="1">IFERROR(__xludf.DUMMYFUNCTION("""COMPUTED_VALUE"""),49.87)</f>
        <v>49.87</v>
      </c>
    </row>
    <row r="2422" spans="1:2">
      <c r="A2422" s="3">
        <f ca="1">IFERROR(__xludf.DUMMYFUNCTION("""COMPUTED_VALUE"""),43871.6666666666)</f>
        <v>43871.666666666599</v>
      </c>
      <c r="B2422" s="1">
        <f ca="1">IFERROR(__xludf.DUMMYFUNCTION("""COMPUTED_VALUE"""),51.42)</f>
        <v>51.42</v>
      </c>
    </row>
    <row r="2423" spans="1:2">
      <c r="A2423" s="3">
        <f ca="1">IFERROR(__xludf.DUMMYFUNCTION("""COMPUTED_VALUE"""),43872.6666666666)</f>
        <v>43872.666666666599</v>
      </c>
      <c r="B2423" s="1">
        <f ca="1">IFERROR(__xludf.DUMMYFUNCTION("""COMPUTED_VALUE"""),51.63)</f>
        <v>51.63</v>
      </c>
    </row>
    <row r="2424" spans="1:2">
      <c r="A2424" s="3">
        <f ca="1">IFERROR(__xludf.DUMMYFUNCTION("""COMPUTED_VALUE"""),43873.6666666666)</f>
        <v>43873.666666666599</v>
      </c>
      <c r="B2424" s="1">
        <f ca="1">IFERROR(__xludf.DUMMYFUNCTION("""COMPUTED_VALUE"""),51.15)</f>
        <v>51.15</v>
      </c>
    </row>
    <row r="2425" spans="1:2">
      <c r="A2425" s="3">
        <f ca="1">IFERROR(__xludf.DUMMYFUNCTION("""COMPUTED_VALUE"""),43874.6666666666)</f>
        <v>43874.666666666599</v>
      </c>
      <c r="B2425" s="1">
        <f ca="1">IFERROR(__xludf.DUMMYFUNCTION("""COMPUTED_VALUE"""),53.6)</f>
        <v>53.6</v>
      </c>
    </row>
    <row r="2426" spans="1:2">
      <c r="A2426" s="3">
        <f ca="1">IFERROR(__xludf.DUMMYFUNCTION("""COMPUTED_VALUE"""),43875.6666666666)</f>
        <v>43875.666666666599</v>
      </c>
      <c r="B2426" s="1">
        <f ca="1">IFERROR(__xludf.DUMMYFUNCTION("""COMPUTED_VALUE"""),53.34)</f>
        <v>53.34</v>
      </c>
    </row>
    <row r="2427" spans="1:2">
      <c r="A2427" s="3">
        <f ca="1">IFERROR(__xludf.DUMMYFUNCTION("""COMPUTED_VALUE"""),43879.6666666666)</f>
        <v>43879.666666666599</v>
      </c>
      <c r="B2427" s="1">
        <f ca="1">IFERROR(__xludf.DUMMYFUNCTION("""COMPUTED_VALUE"""),57.23)</f>
        <v>57.23</v>
      </c>
    </row>
    <row r="2428" spans="1:2">
      <c r="A2428" s="3">
        <f ca="1">IFERROR(__xludf.DUMMYFUNCTION("""COMPUTED_VALUE"""),43880.6666666666)</f>
        <v>43880.666666666599</v>
      </c>
      <c r="B2428" s="1">
        <f ca="1">IFERROR(__xludf.DUMMYFUNCTION("""COMPUTED_VALUE"""),61.16)</f>
        <v>61.16</v>
      </c>
    </row>
    <row r="2429" spans="1:2">
      <c r="A2429" s="3">
        <f ca="1">IFERROR(__xludf.DUMMYFUNCTION("""COMPUTED_VALUE"""),43881.6666666666)</f>
        <v>43881.666666666599</v>
      </c>
      <c r="B2429" s="1">
        <f ca="1">IFERROR(__xludf.DUMMYFUNCTION("""COMPUTED_VALUE"""),59.96)</f>
        <v>59.96</v>
      </c>
    </row>
    <row r="2430" spans="1:2">
      <c r="A2430" s="3">
        <f ca="1">IFERROR(__xludf.DUMMYFUNCTION("""COMPUTED_VALUE"""),43882.6666666666)</f>
        <v>43882.666666666599</v>
      </c>
      <c r="B2430" s="1">
        <f ca="1">IFERROR(__xludf.DUMMYFUNCTION("""COMPUTED_VALUE"""),60.07)</f>
        <v>60.07</v>
      </c>
    </row>
    <row r="2431" spans="1:2">
      <c r="A2431" s="3">
        <f ca="1">IFERROR(__xludf.DUMMYFUNCTION("""COMPUTED_VALUE"""),43885.6666666666)</f>
        <v>43885.666666666599</v>
      </c>
      <c r="B2431" s="1">
        <f ca="1">IFERROR(__xludf.DUMMYFUNCTION("""COMPUTED_VALUE"""),55.59)</f>
        <v>55.59</v>
      </c>
    </row>
    <row r="2432" spans="1:2">
      <c r="A2432" s="3">
        <f ca="1">IFERROR(__xludf.DUMMYFUNCTION("""COMPUTED_VALUE"""),43886.6666666666)</f>
        <v>43886.666666666599</v>
      </c>
      <c r="B2432" s="1">
        <f ca="1">IFERROR(__xludf.DUMMYFUNCTION("""COMPUTED_VALUE"""),53.33)</f>
        <v>53.33</v>
      </c>
    </row>
    <row r="2433" spans="1:2">
      <c r="A2433" s="3">
        <f ca="1">IFERROR(__xludf.DUMMYFUNCTION("""COMPUTED_VALUE"""),43887.6666666666)</f>
        <v>43887.666666666599</v>
      </c>
      <c r="B2433" s="1">
        <f ca="1">IFERROR(__xludf.DUMMYFUNCTION("""COMPUTED_VALUE"""),51.92)</f>
        <v>51.92</v>
      </c>
    </row>
    <row r="2434" spans="1:2">
      <c r="A2434" s="3">
        <f ca="1">IFERROR(__xludf.DUMMYFUNCTION("""COMPUTED_VALUE"""),43888.6666666666)</f>
        <v>43888.666666666599</v>
      </c>
      <c r="B2434" s="1">
        <f ca="1">IFERROR(__xludf.DUMMYFUNCTION("""COMPUTED_VALUE"""),45.27)</f>
        <v>45.27</v>
      </c>
    </row>
    <row r="2435" spans="1:2">
      <c r="A2435" s="3">
        <f ca="1">IFERROR(__xludf.DUMMYFUNCTION("""COMPUTED_VALUE"""),43889.6666666666)</f>
        <v>43889.666666666599</v>
      </c>
      <c r="B2435" s="1">
        <f ca="1">IFERROR(__xludf.DUMMYFUNCTION("""COMPUTED_VALUE"""),44.53)</f>
        <v>44.53</v>
      </c>
    </row>
    <row r="2436" spans="1:2">
      <c r="A2436" s="3">
        <f ca="1">IFERROR(__xludf.DUMMYFUNCTION("""COMPUTED_VALUE"""),43892.6666666666)</f>
        <v>43892.666666666599</v>
      </c>
      <c r="B2436" s="1">
        <f ca="1">IFERROR(__xludf.DUMMYFUNCTION("""COMPUTED_VALUE"""),49.57)</f>
        <v>49.57</v>
      </c>
    </row>
    <row r="2437" spans="1:2">
      <c r="A2437" s="3">
        <f ca="1">IFERROR(__xludf.DUMMYFUNCTION("""COMPUTED_VALUE"""),43893.6666666666)</f>
        <v>43893.666666666599</v>
      </c>
      <c r="B2437" s="1">
        <f ca="1">IFERROR(__xludf.DUMMYFUNCTION("""COMPUTED_VALUE"""),49.7)</f>
        <v>49.7</v>
      </c>
    </row>
    <row r="2438" spans="1:2">
      <c r="A2438" s="3">
        <f ca="1">IFERROR(__xludf.DUMMYFUNCTION("""COMPUTED_VALUE"""),43894.6666666666)</f>
        <v>43894.666666666599</v>
      </c>
      <c r="B2438" s="1">
        <f ca="1">IFERROR(__xludf.DUMMYFUNCTION("""COMPUTED_VALUE"""),49.97)</f>
        <v>49.97</v>
      </c>
    </row>
    <row r="2439" spans="1:2">
      <c r="A2439" s="3">
        <f ca="1">IFERROR(__xludf.DUMMYFUNCTION("""COMPUTED_VALUE"""),43895.6666666666)</f>
        <v>43895.666666666599</v>
      </c>
      <c r="B2439" s="1">
        <f ca="1">IFERROR(__xludf.DUMMYFUNCTION("""COMPUTED_VALUE"""),48.3)</f>
        <v>48.3</v>
      </c>
    </row>
    <row r="2440" spans="1:2">
      <c r="A2440" s="3">
        <f ca="1">IFERROR(__xludf.DUMMYFUNCTION("""COMPUTED_VALUE"""),43896.6666666666)</f>
        <v>43896.666666666599</v>
      </c>
      <c r="B2440" s="1">
        <f ca="1">IFERROR(__xludf.DUMMYFUNCTION("""COMPUTED_VALUE"""),46.9)</f>
        <v>46.9</v>
      </c>
    </row>
    <row r="2441" spans="1:2">
      <c r="A2441" s="3">
        <f ca="1">IFERROR(__xludf.DUMMYFUNCTION("""COMPUTED_VALUE"""),43899.6666666666)</f>
        <v>43899.666666666599</v>
      </c>
      <c r="B2441" s="1">
        <f ca="1">IFERROR(__xludf.DUMMYFUNCTION("""COMPUTED_VALUE"""),40.53)</f>
        <v>40.53</v>
      </c>
    </row>
    <row r="2442" spans="1:2">
      <c r="A2442" s="3">
        <f ca="1">IFERROR(__xludf.DUMMYFUNCTION("""COMPUTED_VALUE"""),43900.6666666666)</f>
        <v>43900.666666666599</v>
      </c>
      <c r="B2442" s="1">
        <f ca="1">IFERROR(__xludf.DUMMYFUNCTION("""COMPUTED_VALUE"""),43.02)</f>
        <v>43.02</v>
      </c>
    </row>
    <row r="2443" spans="1:2">
      <c r="A2443" s="3">
        <f ca="1">IFERROR(__xludf.DUMMYFUNCTION("""COMPUTED_VALUE"""),43901.6666666666)</f>
        <v>43901.666666666599</v>
      </c>
      <c r="B2443" s="1">
        <f ca="1">IFERROR(__xludf.DUMMYFUNCTION("""COMPUTED_VALUE"""),42.28)</f>
        <v>42.28</v>
      </c>
    </row>
    <row r="2444" spans="1:2">
      <c r="A2444" s="3">
        <f ca="1">IFERROR(__xludf.DUMMYFUNCTION("""COMPUTED_VALUE"""),43902.6666666666)</f>
        <v>43902.666666666599</v>
      </c>
      <c r="B2444" s="1">
        <f ca="1">IFERROR(__xludf.DUMMYFUNCTION("""COMPUTED_VALUE"""),37.37)</f>
        <v>37.369999999999997</v>
      </c>
    </row>
    <row r="2445" spans="1:2">
      <c r="A2445" s="3">
        <f ca="1">IFERROR(__xludf.DUMMYFUNCTION("""COMPUTED_VALUE"""),43903.6666666666)</f>
        <v>43903.666666666599</v>
      </c>
      <c r="B2445" s="1">
        <f ca="1">IFERROR(__xludf.DUMMYFUNCTION("""COMPUTED_VALUE"""),36.44)</f>
        <v>36.44</v>
      </c>
    </row>
    <row r="2446" spans="1:2">
      <c r="A2446" s="3">
        <f ca="1">IFERROR(__xludf.DUMMYFUNCTION("""COMPUTED_VALUE"""),43906.6666666666)</f>
        <v>43906.666666666599</v>
      </c>
      <c r="B2446" s="1">
        <f ca="1">IFERROR(__xludf.DUMMYFUNCTION("""COMPUTED_VALUE"""),29.67)</f>
        <v>29.67</v>
      </c>
    </row>
    <row r="2447" spans="1:2">
      <c r="A2447" s="3">
        <f ca="1">IFERROR(__xludf.DUMMYFUNCTION("""COMPUTED_VALUE"""),43907.6666666666)</f>
        <v>43907.666666666599</v>
      </c>
      <c r="B2447" s="1">
        <f ca="1">IFERROR(__xludf.DUMMYFUNCTION("""COMPUTED_VALUE"""),28.68)</f>
        <v>28.68</v>
      </c>
    </row>
    <row r="2448" spans="1:2">
      <c r="A2448" s="3">
        <f ca="1">IFERROR(__xludf.DUMMYFUNCTION("""COMPUTED_VALUE"""),43908.6666666666)</f>
        <v>43908.666666666599</v>
      </c>
      <c r="B2448" s="1">
        <f ca="1">IFERROR(__xludf.DUMMYFUNCTION("""COMPUTED_VALUE"""),24.08)</f>
        <v>24.08</v>
      </c>
    </row>
    <row r="2449" spans="1:2">
      <c r="A2449" s="3">
        <f ca="1">IFERROR(__xludf.DUMMYFUNCTION("""COMPUTED_VALUE"""),43909.6666666666)</f>
        <v>43909.666666666599</v>
      </c>
      <c r="B2449" s="1">
        <f ca="1">IFERROR(__xludf.DUMMYFUNCTION("""COMPUTED_VALUE"""),28.51)</f>
        <v>28.51</v>
      </c>
    </row>
    <row r="2450" spans="1:2">
      <c r="A2450" s="3">
        <f ca="1">IFERROR(__xludf.DUMMYFUNCTION("""COMPUTED_VALUE"""),43910.6666666666)</f>
        <v>43910.666666666599</v>
      </c>
      <c r="B2450" s="1">
        <f ca="1">IFERROR(__xludf.DUMMYFUNCTION("""COMPUTED_VALUE"""),28.5)</f>
        <v>28.5</v>
      </c>
    </row>
    <row r="2451" spans="1:2">
      <c r="A2451" s="3">
        <f ca="1">IFERROR(__xludf.DUMMYFUNCTION("""COMPUTED_VALUE"""),43913.6666666666)</f>
        <v>43913.666666666599</v>
      </c>
      <c r="B2451" s="1">
        <f ca="1">IFERROR(__xludf.DUMMYFUNCTION("""COMPUTED_VALUE"""),28.95)</f>
        <v>28.95</v>
      </c>
    </row>
    <row r="2452" spans="1:2">
      <c r="A2452" s="3">
        <f ca="1">IFERROR(__xludf.DUMMYFUNCTION("""COMPUTED_VALUE"""),43914.6666666666)</f>
        <v>43914.666666666599</v>
      </c>
      <c r="B2452" s="1">
        <f ca="1">IFERROR(__xludf.DUMMYFUNCTION("""COMPUTED_VALUE"""),33.67)</f>
        <v>33.67</v>
      </c>
    </row>
    <row r="2453" spans="1:2">
      <c r="A2453" s="3">
        <f ca="1">IFERROR(__xludf.DUMMYFUNCTION("""COMPUTED_VALUE"""),43915.6666666666)</f>
        <v>43915.666666666599</v>
      </c>
      <c r="B2453" s="1">
        <f ca="1">IFERROR(__xludf.DUMMYFUNCTION("""COMPUTED_VALUE"""),35.95)</f>
        <v>35.950000000000003</v>
      </c>
    </row>
    <row r="2454" spans="1:2">
      <c r="A2454" s="3">
        <f ca="1">IFERROR(__xludf.DUMMYFUNCTION("""COMPUTED_VALUE"""),43916.6666666666)</f>
        <v>43916.666666666599</v>
      </c>
      <c r="B2454" s="1">
        <f ca="1">IFERROR(__xludf.DUMMYFUNCTION("""COMPUTED_VALUE"""),35.21)</f>
        <v>35.21</v>
      </c>
    </row>
    <row r="2455" spans="1:2">
      <c r="A2455" s="3">
        <f ca="1">IFERROR(__xludf.DUMMYFUNCTION("""COMPUTED_VALUE"""),43917.6666666666)</f>
        <v>43917.666666666599</v>
      </c>
      <c r="B2455" s="1">
        <f ca="1">IFERROR(__xludf.DUMMYFUNCTION("""COMPUTED_VALUE"""),34.29)</f>
        <v>34.29</v>
      </c>
    </row>
    <row r="2456" spans="1:2">
      <c r="A2456" s="3">
        <f ca="1">IFERROR(__xludf.DUMMYFUNCTION("""COMPUTED_VALUE"""),43920.6666666666)</f>
        <v>43920.666666666599</v>
      </c>
      <c r="B2456" s="1">
        <f ca="1">IFERROR(__xludf.DUMMYFUNCTION("""COMPUTED_VALUE"""),33.48)</f>
        <v>33.479999999999997</v>
      </c>
    </row>
    <row r="2457" spans="1:2">
      <c r="A2457" s="3">
        <f ca="1">IFERROR(__xludf.DUMMYFUNCTION("""COMPUTED_VALUE"""),43921.6666666666)</f>
        <v>43921.666666666599</v>
      </c>
      <c r="B2457" s="1">
        <f ca="1">IFERROR(__xludf.DUMMYFUNCTION("""COMPUTED_VALUE"""),34.93)</f>
        <v>34.93</v>
      </c>
    </row>
    <row r="2458" spans="1:2">
      <c r="A2458" s="3">
        <f ca="1">IFERROR(__xludf.DUMMYFUNCTION("""COMPUTED_VALUE"""),43922.6666666666)</f>
        <v>43922.666666666599</v>
      </c>
      <c r="B2458" s="1">
        <f ca="1">IFERROR(__xludf.DUMMYFUNCTION("""COMPUTED_VALUE"""),32.1)</f>
        <v>32.1</v>
      </c>
    </row>
    <row r="2459" spans="1:2">
      <c r="A2459" s="3">
        <f ca="1">IFERROR(__xludf.DUMMYFUNCTION("""COMPUTED_VALUE"""),43923.6666666666)</f>
        <v>43923.666666666599</v>
      </c>
      <c r="B2459" s="1">
        <f ca="1">IFERROR(__xludf.DUMMYFUNCTION("""COMPUTED_VALUE"""),30.3)</f>
        <v>30.3</v>
      </c>
    </row>
    <row r="2460" spans="1:2">
      <c r="A2460" s="3">
        <f ca="1">IFERROR(__xludf.DUMMYFUNCTION("""COMPUTED_VALUE"""),43924.6666666666)</f>
        <v>43924.666666666599</v>
      </c>
      <c r="B2460" s="1">
        <f ca="1">IFERROR(__xludf.DUMMYFUNCTION("""COMPUTED_VALUE"""),32)</f>
        <v>32</v>
      </c>
    </row>
    <row r="2461" spans="1:2">
      <c r="A2461" s="3">
        <f ca="1">IFERROR(__xludf.DUMMYFUNCTION("""COMPUTED_VALUE"""),43927.6666666666)</f>
        <v>43927.666666666599</v>
      </c>
      <c r="B2461" s="1">
        <f ca="1">IFERROR(__xludf.DUMMYFUNCTION("""COMPUTED_VALUE"""),34.42)</f>
        <v>34.42</v>
      </c>
    </row>
    <row r="2462" spans="1:2">
      <c r="A2462" s="3">
        <f ca="1">IFERROR(__xludf.DUMMYFUNCTION("""COMPUTED_VALUE"""),43928.6666666666)</f>
        <v>43928.666666666599</v>
      </c>
      <c r="B2462" s="1">
        <f ca="1">IFERROR(__xludf.DUMMYFUNCTION("""COMPUTED_VALUE"""),36.36)</f>
        <v>36.36</v>
      </c>
    </row>
    <row r="2463" spans="1:2">
      <c r="A2463" s="3">
        <f ca="1">IFERROR(__xludf.DUMMYFUNCTION("""COMPUTED_VALUE"""),43929.6666666666)</f>
        <v>43929.666666666599</v>
      </c>
      <c r="B2463" s="1">
        <f ca="1">IFERROR(__xludf.DUMMYFUNCTION("""COMPUTED_VALUE"""),36.59)</f>
        <v>36.590000000000003</v>
      </c>
    </row>
    <row r="2464" spans="1:2">
      <c r="A2464" s="3">
        <f ca="1">IFERROR(__xludf.DUMMYFUNCTION("""COMPUTED_VALUE"""),43930.6666666666)</f>
        <v>43930.666666666599</v>
      </c>
      <c r="B2464" s="1">
        <f ca="1">IFERROR(__xludf.DUMMYFUNCTION("""COMPUTED_VALUE"""),38.2)</f>
        <v>38.200000000000003</v>
      </c>
    </row>
    <row r="2465" spans="1:2">
      <c r="A2465" s="3">
        <f ca="1">IFERROR(__xludf.DUMMYFUNCTION("""COMPUTED_VALUE"""),43934.6666666666)</f>
        <v>43934.666666666599</v>
      </c>
      <c r="B2465" s="1">
        <f ca="1">IFERROR(__xludf.DUMMYFUNCTION("""COMPUTED_VALUE"""),43.4)</f>
        <v>43.4</v>
      </c>
    </row>
    <row r="2466" spans="1:2">
      <c r="A2466" s="3">
        <f ca="1">IFERROR(__xludf.DUMMYFUNCTION("""COMPUTED_VALUE"""),43935.6666666666)</f>
        <v>43935.666666666599</v>
      </c>
      <c r="B2466" s="1">
        <f ca="1">IFERROR(__xludf.DUMMYFUNCTION("""COMPUTED_VALUE"""),47.33)</f>
        <v>47.33</v>
      </c>
    </row>
    <row r="2467" spans="1:2">
      <c r="A2467" s="3">
        <f ca="1">IFERROR(__xludf.DUMMYFUNCTION("""COMPUTED_VALUE"""),43936.6666666666)</f>
        <v>43936.666666666599</v>
      </c>
      <c r="B2467" s="1">
        <f ca="1">IFERROR(__xludf.DUMMYFUNCTION("""COMPUTED_VALUE"""),48.66)</f>
        <v>48.66</v>
      </c>
    </row>
    <row r="2468" spans="1:2">
      <c r="A2468" s="3">
        <f ca="1">IFERROR(__xludf.DUMMYFUNCTION("""COMPUTED_VALUE"""),43937.6666666666)</f>
        <v>43937.666666666599</v>
      </c>
      <c r="B2468" s="1">
        <f ca="1">IFERROR(__xludf.DUMMYFUNCTION("""COMPUTED_VALUE"""),49.68)</f>
        <v>49.68</v>
      </c>
    </row>
    <row r="2469" spans="1:2">
      <c r="A2469" s="3">
        <f ca="1">IFERROR(__xludf.DUMMYFUNCTION("""COMPUTED_VALUE"""),43938.6666666666)</f>
        <v>43938.666666666599</v>
      </c>
      <c r="B2469" s="1">
        <f ca="1">IFERROR(__xludf.DUMMYFUNCTION("""COMPUTED_VALUE"""),50.26)</f>
        <v>50.26</v>
      </c>
    </row>
    <row r="2470" spans="1:2">
      <c r="A2470" s="3">
        <f ca="1">IFERROR(__xludf.DUMMYFUNCTION("""COMPUTED_VALUE"""),43941.6666666666)</f>
        <v>43941.666666666599</v>
      </c>
      <c r="B2470" s="1">
        <f ca="1">IFERROR(__xludf.DUMMYFUNCTION("""COMPUTED_VALUE"""),49.76)</f>
        <v>49.76</v>
      </c>
    </row>
    <row r="2471" spans="1:2">
      <c r="A2471" s="3">
        <f ca="1">IFERROR(__xludf.DUMMYFUNCTION("""COMPUTED_VALUE"""),43942.6666666666)</f>
        <v>43942.666666666599</v>
      </c>
      <c r="B2471" s="1">
        <f ca="1">IFERROR(__xludf.DUMMYFUNCTION("""COMPUTED_VALUE"""),45.78)</f>
        <v>45.78</v>
      </c>
    </row>
    <row r="2472" spans="1:2">
      <c r="A2472" s="3">
        <f ca="1">IFERROR(__xludf.DUMMYFUNCTION("""COMPUTED_VALUE"""),43943.6666666666)</f>
        <v>43943.666666666599</v>
      </c>
      <c r="B2472" s="1">
        <f ca="1">IFERROR(__xludf.DUMMYFUNCTION("""COMPUTED_VALUE"""),48.81)</f>
        <v>48.81</v>
      </c>
    </row>
    <row r="2473" spans="1:2">
      <c r="A2473" s="3">
        <f ca="1">IFERROR(__xludf.DUMMYFUNCTION("""COMPUTED_VALUE"""),43944.6666666666)</f>
        <v>43944.666666666599</v>
      </c>
      <c r="B2473" s="1">
        <f ca="1">IFERROR(__xludf.DUMMYFUNCTION("""COMPUTED_VALUE"""),47.04)</f>
        <v>47.04</v>
      </c>
    </row>
    <row r="2474" spans="1:2">
      <c r="A2474" s="3">
        <f ca="1">IFERROR(__xludf.DUMMYFUNCTION("""COMPUTED_VALUE"""),43945.6666666666)</f>
        <v>43945.666666666599</v>
      </c>
      <c r="B2474" s="1">
        <f ca="1">IFERROR(__xludf.DUMMYFUNCTION("""COMPUTED_VALUE"""),48.34)</f>
        <v>48.34</v>
      </c>
    </row>
    <row r="2475" spans="1:2">
      <c r="A2475" s="3">
        <f ca="1">IFERROR(__xludf.DUMMYFUNCTION("""COMPUTED_VALUE"""),43948.6666666666)</f>
        <v>43948.666666666599</v>
      </c>
      <c r="B2475" s="1">
        <f ca="1">IFERROR(__xludf.DUMMYFUNCTION("""COMPUTED_VALUE"""),53.25)</f>
        <v>53.25</v>
      </c>
    </row>
    <row r="2476" spans="1:2">
      <c r="A2476" s="3">
        <f ca="1">IFERROR(__xludf.DUMMYFUNCTION("""COMPUTED_VALUE"""),43949.6666666666)</f>
        <v>43949.666666666599</v>
      </c>
      <c r="B2476" s="1">
        <f ca="1">IFERROR(__xludf.DUMMYFUNCTION("""COMPUTED_VALUE"""),51.27)</f>
        <v>51.27</v>
      </c>
    </row>
    <row r="2477" spans="1:2">
      <c r="A2477" s="3">
        <f ca="1">IFERROR(__xludf.DUMMYFUNCTION("""COMPUTED_VALUE"""),43950.6666666666)</f>
        <v>43950.666666666599</v>
      </c>
      <c r="B2477" s="1">
        <f ca="1">IFERROR(__xludf.DUMMYFUNCTION("""COMPUTED_VALUE"""),53.37)</f>
        <v>53.37</v>
      </c>
    </row>
    <row r="2478" spans="1:2">
      <c r="A2478" s="3">
        <f ca="1">IFERROR(__xludf.DUMMYFUNCTION("""COMPUTED_VALUE"""),43951.6666666666)</f>
        <v>43951.666666666599</v>
      </c>
      <c r="B2478" s="1">
        <f ca="1">IFERROR(__xludf.DUMMYFUNCTION("""COMPUTED_VALUE"""),52.13)</f>
        <v>52.13</v>
      </c>
    </row>
    <row r="2479" spans="1:2">
      <c r="A2479" s="3">
        <f ca="1">IFERROR(__xludf.DUMMYFUNCTION("""COMPUTED_VALUE"""),43952.6666666666)</f>
        <v>43952.666666666599</v>
      </c>
      <c r="B2479" s="1">
        <f ca="1">IFERROR(__xludf.DUMMYFUNCTION("""COMPUTED_VALUE"""),46.75)</f>
        <v>46.75</v>
      </c>
    </row>
    <row r="2480" spans="1:2">
      <c r="A2480" s="3">
        <f ca="1">IFERROR(__xludf.DUMMYFUNCTION("""COMPUTED_VALUE"""),43955.6666666666)</f>
        <v>43955.666666666599</v>
      </c>
      <c r="B2480" s="1">
        <f ca="1">IFERROR(__xludf.DUMMYFUNCTION("""COMPUTED_VALUE"""),50.75)</f>
        <v>50.75</v>
      </c>
    </row>
    <row r="2481" spans="1:2">
      <c r="A2481" s="3">
        <f ca="1">IFERROR(__xludf.DUMMYFUNCTION("""COMPUTED_VALUE"""),43956.6666666666)</f>
        <v>43956.666666666599</v>
      </c>
      <c r="B2481" s="1">
        <f ca="1">IFERROR(__xludf.DUMMYFUNCTION("""COMPUTED_VALUE"""),51.21)</f>
        <v>51.21</v>
      </c>
    </row>
    <row r="2482" spans="1:2">
      <c r="A2482" s="3">
        <f ca="1">IFERROR(__xludf.DUMMYFUNCTION("""COMPUTED_VALUE"""),43957.6666666666)</f>
        <v>43957.666666666599</v>
      </c>
      <c r="B2482" s="1">
        <f ca="1">IFERROR(__xludf.DUMMYFUNCTION("""COMPUTED_VALUE"""),52.17)</f>
        <v>52.17</v>
      </c>
    </row>
    <row r="2483" spans="1:2">
      <c r="A2483" s="3">
        <f ca="1">IFERROR(__xludf.DUMMYFUNCTION("""COMPUTED_VALUE"""),43958.6666666666)</f>
        <v>43958.666666666599</v>
      </c>
      <c r="B2483" s="1">
        <f ca="1">IFERROR(__xludf.DUMMYFUNCTION("""COMPUTED_VALUE"""),52)</f>
        <v>52</v>
      </c>
    </row>
    <row r="2484" spans="1:2">
      <c r="A2484" s="3">
        <f ca="1">IFERROR(__xludf.DUMMYFUNCTION("""COMPUTED_VALUE"""),43959.6666666666)</f>
        <v>43959.666666666599</v>
      </c>
      <c r="B2484" s="1">
        <f ca="1">IFERROR(__xludf.DUMMYFUNCTION("""COMPUTED_VALUE"""),54.63)</f>
        <v>54.63</v>
      </c>
    </row>
    <row r="2485" spans="1:2">
      <c r="A2485" s="3">
        <f ca="1">IFERROR(__xludf.DUMMYFUNCTION("""COMPUTED_VALUE"""),43962.6666666666)</f>
        <v>43962.666666666599</v>
      </c>
      <c r="B2485" s="1">
        <f ca="1">IFERROR(__xludf.DUMMYFUNCTION("""COMPUTED_VALUE"""),54.09)</f>
        <v>54.09</v>
      </c>
    </row>
    <row r="2486" spans="1:2">
      <c r="A2486" s="3">
        <f ca="1">IFERROR(__xludf.DUMMYFUNCTION("""COMPUTED_VALUE"""),43963.6666666666)</f>
        <v>43963.666666666599</v>
      </c>
      <c r="B2486" s="1">
        <f ca="1">IFERROR(__xludf.DUMMYFUNCTION("""COMPUTED_VALUE"""),53.96)</f>
        <v>53.96</v>
      </c>
    </row>
    <row r="2487" spans="1:2">
      <c r="A2487" s="3">
        <f ca="1">IFERROR(__xludf.DUMMYFUNCTION("""COMPUTED_VALUE"""),43964.6666666666)</f>
        <v>43964.666666666599</v>
      </c>
      <c r="B2487" s="1">
        <f ca="1">IFERROR(__xludf.DUMMYFUNCTION("""COMPUTED_VALUE"""),52.73)</f>
        <v>52.73</v>
      </c>
    </row>
    <row r="2488" spans="1:2">
      <c r="A2488" s="3">
        <f ca="1">IFERROR(__xludf.DUMMYFUNCTION("""COMPUTED_VALUE"""),43965.6666666666)</f>
        <v>43965.666666666599</v>
      </c>
      <c r="B2488" s="1">
        <f ca="1">IFERROR(__xludf.DUMMYFUNCTION("""COMPUTED_VALUE"""),53.56)</f>
        <v>53.56</v>
      </c>
    </row>
    <row r="2489" spans="1:2">
      <c r="A2489" s="3">
        <f ca="1">IFERROR(__xludf.DUMMYFUNCTION("""COMPUTED_VALUE"""),43966.6666666666)</f>
        <v>43966.666666666599</v>
      </c>
      <c r="B2489" s="1">
        <f ca="1">IFERROR(__xludf.DUMMYFUNCTION("""COMPUTED_VALUE"""),53.28)</f>
        <v>53.28</v>
      </c>
    </row>
    <row r="2490" spans="1:2">
      <c r="A2490" s="3">
        <f ca="1">IFERROR(__xludf.DUMMYFUNCTION("""COMPUTED_VALUE"""),43969.6666666666)</f>
        <v>43969.666666666599</v>
      </c>
      <c r="B2490" s="1">
        <f ca="1">IFERROR(__xludf.DUMMYFUNCTION("""COMPUTED_VALUE"""),54.24)</f>
        <v>54.24</v>
      </c>
    </row>
    <row r="2491" spans="1:2">
      <c r="A2491" s="3">
        <f ca="1">IFERROR(__xludf.DUMMYFUNCTION("""COMPUTED_VALUE"""),43970.6666666666)</f>
        <v>43970.666666666599</v>
      </c>
      <c r="B2491" s="1">
        <f ca="1">IFERROR(__xludf.DUMMYFUNCTION("""COMPUTED_VALUE"""),53.87)</f>
        <v>53.87</v>
      </c>
    </row>
    <row r="2492" spans="1:2">
      <c r="A2492" s="3">
        <f ca="1">IFERROR(__xludf.DUMMYFUNCTION("""COMPUTED_VALUE"""),43971.6666666666)</f>
        <v>43971.666666666599</v>
      </c>
      <c r="B2492" s="1">
        <f ca="1">IFERROR(__xludf.DUMMYFUNCTION("""COMPUTED_VALUE"""),54.37)</f>
        <v>54.37</v>
      </c>
    </row>
    <row r="2493" spans="1:2">
      <c r="A2493" s="3">
        <f ca="1">IFERROR(__xludf.DUMMYFUNCTION("""COMPUTED_VALUE"""),43972.6666666666)</f>
        <v>43972.666666666599</v>
      </c>
      <c r="B2493" s="1">
        <f ca="1">IFERROR(__xludf.DUMMYFUNCTION("""COMPUTED_VALUE"""),55.17)</f>
        <v>55.17</v>
      </c>
    </row>
    <row r="2494" spans="1:2">
      <c r="A2494" s="3">
        <f ca="1">IFERROR(__xludf.DUMMYFUNCTION("""COMPUTED_VALUE"""),43973.6666666666)</f>
        <v>43973.666666666599</v>
      </c>
      <c r="B2494" s="1">
        <f ca="1">IFERROR(__xludf.DUMMYFUNCTION("""COMPUTED_VALUE"""),54.46)</f>
        <v>54.46</v>
      </c>
    </row>
    <row r="2495" spans="1:2">
      <c r="A2495" s="3">
        <f ca="1">IFERROR(__xludf.DUMMYFUNCTION("""COMPUTED_VALUE"""),43977.6666666666)</f>
        <v>43977.666666666599</v>
      </c>
      <c r="B2495" s="1">
        <f ca="1">IFERROR(__xludf.DUMMYFUNCTION("""COMPUTED_VALUE"""),54.59)</f>
        <v>54.59</v>
      </c>
    </row>
    <row r="2496" spans="1:2">
      <c r="A2496" s="3">
        <f ca="1">IFERROR(__xludf.DUMMYFUNCTION("""COMPUTED_VALUE"""),43978.6666666666)</f>
        <v>43978.666666666599</v>
      </c>
      <c r="B2496" s="1">
        <f ca="1">IFERROR(__xludf.DUMMYFUNCTION("""COMPUTED_VALUE"""),54.68)</f>
        <v>54.68</v>
      </c>
    </row>
    <row r="2497" spans="1:2">
      <c r="A2497" s="3">
        <f ca="1">IFERROR(__xludf.DUMMYFUNCTION("""COMPUTED_VALUE"""),43979.6666666666)</f>
        <v>43979.666666666599</v>
      </c>
      <c r="B2497" s="1">
        <f ca="1">IFERROR(__xludf.DUMMYFUNCTION("""COMPUTED_VALUE"""),53.72)</f>
        <v>53.72</v>
      </c>
    </row>
    <row r="2498" spans="1:2">
      <c r="A2498" s="3">
        <f ca="1">IFERROR(__xludf.DUMMYFUNCTION("""COMPUTED_VALUE"""),43980.6666666666)</f>
        <v>43980.666666666599</v>
      </c>
      <c r="B2498" s="1">
        <f ca="1">IFERROR(__xludf.DUMMYFUNCTION("""COMPUTED_VALUE"""),55.67)</f>
        <v>55.67</v>
      </c>
    </row>
    <row r="2499" spans="1:2">
      <c r="A2499" s="3">
        <f ca="1">IFERROR(__xludf.DUMMYFUNCTION("""COMPUTED_VALUE"""),43983.6666666666)</f>
        <v>43983.666666666599</v>
      </c>
      <c r="B2499" s="1">
        <f ca="1">IFERROR(__xludf.DUMMYFUNCTION("""COMPUTED_VALUE"""),59.87)</f>
        <v>59.87</v>
      </c>
    </row>
    <row r="2500" spans="1:2">
      <c r="A2500" s="3">
        <f ca="1">IFERROR(__xludf.DUMMYFUNCTION("""COMPUTED_VALUE"""),43984.6666666666)</f>
        <v>43984.666666666599</v>
      </c>
      <c r="B2500" s="1">
        <f ca="1">IFERROR(__xludf.DUMMYFUNCTION("""COMPUTED_VALUE"""),58.77)</f>
        <v>58.77</v>
      </c>
    </row>
    <row r="2501" spans="1:2">
      <c r="A2501" s="3">
        <f ca="1">IFERROR(__xludf.DUMMYFUNCTION("""COMPUTED_VALUE"""),43985.6666666666)</f>
        <v>43985.666666666599</v>
      </c>
      <c r="B2501" s="1">
        <f ca="1">IFERROR(__xludf.DUMMYFUNCTION("""COMPUTED_VALUE"""),58.86)</f>
        <v>58.86</v>
      </c>
    </row>
    <row r="2502" spans="1:2">
      <c r="A2502" s="3">
        <f ca="1">IFERROR(__xludf.DUMMYFUNCTION("""COMPUTED_VALUE"""),43986.6666666666)</f>
        <v>43986.666666666599</v>
      </c>
      <c r="B2502" s="1">
        <f ca="1">IFERROR(__xludf.DUMMYFUNCTION("""COMPUTED_VALUE"""),57.63)</f>
        <v>57.63</v>
      </c>
    </row>
    <row r="2503" spans="1:2">
      <c r="A2503" s="3">
        <f ca="1">IFERROR(__xludf.DUMMYFUNCTION("""COMPUTED_VALUE"""),43987.6666666666)</f>
        <v>43987.666666666599</v>
      </c>
      <c r="B2503" s="1">
        <f ca="1">IFERROR(__xludf.DUMMYFUNCTION("""COMPUTED_VALUE"""),59.04)</f>
        <v>59.04</v>
      </c>
    </row>
    <row r="2504" spans="1:2">
      <c r="A2504" s="3">
        <f ca="1">IFERROR(__xludf.DUMMYFUNCTION("""COMPUTED_VALUE"""),43990.6666666666)</f>
        <v>43990.666666666599</v>
      </c>
      <c r="B2504" s="1">
        <f ca="1">IFERROR(__xludf.DUMMYFUNCTION("""COMPUTED_VALUE"""),63.33)</f>
        <v>63.33</v>
      </c>
    </row>
    <row r="2505" spans="1:2">
      <c r="A2505" s="3">
        <f ca="1">IFERROR(__xludf.DUMMYFUNCTION("""COMPUTED_VALUE"""),43991.6666666666)</f>
        <v>43991.666666666599</v>
      </c>
      <c r="B2505" s="1">
        <f ca="1">IFERROR(__xludf.DUMMYFUNCTION("""COMPUTED_VALUE"""),62.71)</f>
        <v>62.71</v>
      </c>
    </row>
    <row r="2506" spans="1:2">
      <c r="A2506" s="3">
        <f ca="1">IFERROR(__xludf.DUMMYFUNCTION("""COMPUTED_VALUE"""),43992.6666666666)</f>
        <v>43992.666666666599</v>
      </c>
      <c r="B2506" s="1">
        <f ca="1">IFERROR(__xludf.DUMMYFUNCTION("""COMPUTED_VALUE"""),68.34)</f>
        <v>68.34</v>
      </c>
    </row>
    <row r="2507" spans="1:2">
      <c r="A2507" s="3">
        <f ca="1">IFERROR(__xludf.DUMMYFUNCTION("""COMPUTED_VALUE"""),43993.6666666666)</f>
        <v>43993.666666666599</v>
      </c>
      <c r="B2507" s="1">
        <f ca="1">IFERROR(__xludf.DUMMYFUNCTION("""COMPUTED_VALUE"""),64.86)</f>
        <v>64.86</v>
      </c>
    </row>
    <row r="2508" spans="1:2">
      <c r="A2508" s="3">
        <f ca="1">IFERROR(__xludf.DUMMYFUNCTION("""COMPUTED_VALUE"""),43994.6666666666)</f>
        <v>43994.666666666599</v>
      </c>
      <c r="B2508" s="1">
        <f ca="1">IFERROR(__xludf.DUMMYFUNCTION("""COMPUTED_VALUE"""),62.35)</f>
        <v>62.35</v>
      </c>
    </row>
    <row r="2509" spans="1:2">
      <c r="A2509" s="3">
        <f ca="1">IFERROR(__xludf.DUMMYFUNCTION("""COMPUTED_VALUE"""),43997.6666666666)</f>
        <v>43997.666666666599</v>
      </c>
      <c r="B2509" s="1">
        <f ca="1">IFERROR(__xludf.DUMMYFUNCTION("""COMPUTED_VALUE"""),66.06)</f>
        <v>66.06</v>
      </c>
    </row>
    <row r="2510" spans="1:2">
      <c r="A2510" s="3">
        <f ca="1">IFERROR(__xludf.DUMMYFUNCTION("""COMPUTED_VALUE"""),43998.6666666666)</f>
        <v>43998.666666666599</v>
      </c>
      <c r="B2510" s="1">
        <f ca="1">IFERROR(__xludf.DUMMYFUNCTION("""COMPUTED_VALUE"""),65.48)</f>
        <v>65.48</v>
      </c>
    </row>
    <row r="2511" spans="1:2">
      <c r="A2511" s="3">
        <f ca="1">IFERROR(__xludf.DUMMYFUNCTION("""COMPUTED_VALUE"""),43999.6666666666)</f>
        <v>43999.666666666599</v>
      </c>
      <c r="B2511" s="1">
        <f ca="1">IFERROR(__xludf.DUMMYFUNCTION("""COMPUTED_VALUE"""),66.12)</f>
        <v>66.12</v>
      </c>
    </row>
    <row r="2512" spans="1:2">
      <c r="A2512" s="3">
        <f ca="1">IFERROR(__xludf.DUMMYFUNCTION("""COMPUTED_VALUE"""),44000.6666666666)</f>
        <v>44000.666666666599</v>
      </c>
      <c r="B2512" s="1">
        <f ca="1">IFERROR(__xludf.DUMMYFUNCTION("""COMPUTED_VALUE"""),66.93)</f>
        <v>66.930000000000007</v>
      </c>
    </row>
    <row r="2513" spans="1:2">
      <c r="A2513" s="3">
        <f ca="1">IFERROR(__xludf.DUMMYFUNCTION("""COMPUTED_VALUE"""),44001.6666666666)</f>
        <v>44001.666666666599</v>
      </c>
      <c r="B2513" s="1">
        <f ca="1">IFERROR(__xludf.DUMMYFUNCTION("""COMPUTED_VALUE"""),66.73)</f>
        <v>66.73</v>
      </c>
    </row>
    <row r="2514" spans="1:2">
      <c r="A2514" s="3">
        <f ca="1">IFERROR(__xludf.DUMMYFUNCTION("""COMPUTED_VALUE"""),44004.6666666666)</f>
        <v>44004.666666666599</v>
      </c>
      <c r="B2514" s="1">
        <f ca="1">IFERROR(__xludf.DUMMYFUNCTION("""COMPUTED_VALUE"""),66.29)</f>
        <v>66.290000000000006</v>
      </c>
    </row>
    <row r="2515" spans="1:2">
      <c r="A2515" s="3">
        <f ca="1">IFERROR(__xludf.DUMMYFUNCTION("""COMPUTED_VALUE"""),44005.6666666666)</f>
        <v>44005.666666666599</v>
      </c>
      <c r="B2515" s="1">
        <f ca="1">IFERROR(__xludf.DUMMYFUNCTION("""COMPUTED_VALUE"""),66.79)</f>
        <v>66.790000000000006</v>
      </c>
    </row>
    <row r="2516" spans="1:2">
      <c r="A2516" s="3">
        <f ca="1">IFERROR(__xludf.DUMMYFUNCTION("""COMPUTED_VALUE"""),44006.6666666666)</f>
        <v>44006.666666666599</v>
      </c>
      <c r="B2516" s="1">
        <f ca="1">IFERROR(__xludf.DUMMYFUNCTION("""COMPUTED_VALUE"""),64.06)</f>
        <v>64.06</v>
      </c>
    </row>
    <row r="2517" spans="1:2">
      <c r="A2517" s="3">
        <f ca="1">IFERROR(__xludf.DUMMYFUNCTION("""COMPUTED_VALUE"""),44007.6666666666)</f>
        <v>44007.666666666599</v>
      </c>
      <c r="B2517" s="1">
        <f ca="1">IFERROR(__xludf.DUMMYFUNCTION("""COMPUTED_VALUE"""),65.73)</f>
        <v>65.73</v>
      </c>
    </row>
    <row r="2518" spans="1:2">
      <c r="A2518" s="3">
        <f ca="1">IFERROR(__xludf.DUMMYFUNCTION("""COMPUTED_VALUE"""),44008.6666666666)</f>
        <v>44008.666666666599</v>
      </c>
      <c r="B2518" s="1">
        <f ca="1">IFERROR(__xludf.DUMMYFUNCTION("""COMPUTED_VALUE"""),63.98)</f>
        <v>63.98</v>
      </c>
    </row>
    <row r="2519" spans="1:2">
      <c r="A2519" s="3">
        <f ca="1">IFERROR(__xludf.DUMMYFUNCTION("""COMPUTED_VALUE"""),44011.6666666666)</f>
        <v>44011.666666666599</v>
      </c>
      <c r="B2519" s="1">
        <f ca="1">IFERROR(__xludf.DUMMYFUNCTION("""COMPUTED_VALUE"""),67.29)</f>
        <v>67.290000000000006</v>
      </c>
    </row>
    <row r="2520" spans="1:2">
      <c r="A2520" s="3">
        <f ca="1">IFERROR(__xludf.DUMMYFUNCTION("""COMPUTED_VALUE"""),44012.6666666666)</f>
        <v>44012.666666666599</v>
      </c>
      <c r="B2520" s="1">
        <f ca="1">IFERROR(__xludf.DUMMYFUNCTION("""COMPUTED_VALUE"""),71.99)</f>
        <v>71.989999999999995</v>
      </c>
    </row>
    <row r="2521" spans="1:2">
      <c r="A2521" s="3">
        <f ca="1">IFERROR(__xludf.DUMMYFUNCTION("""COMPUTED_VALUE"""),44013.6666666666)</f>
        <v>44013.666666666599</v>
      </c>
      <c r="B2521" s="1">
        <f ca="1">IFERROR(__xludf.DUMMYFUNCTION("""COMPUTED_VALUE"""),74.64)</f>
        <v>74.64</v>
      </c>
    </row>
    <row r="2522" spans="1:2">
      <c r="A2522" s="3">
        <f ca="1">IFERROR(__xludf.DUMMYFUNCTION("""COMPUTED_VALUE"""),44014.6666666666)</f>
        <v>44014.666666666599</v>
      </c>
      <c r="B2522" s="1">
        <f ca="1">IFERROR(__xludf.DUMMYFUNCTION("""COMPUTED_VALUE"""),80.58)</f>
        <v>80.58</v>
      </c>
    </row>
    <row r="2523" spans="1:2">
      <c r="A2523" s="3">
        <f ca="1">IFERROR(__xludf.DUMMYFUNCTION("""COMPUTED_VALUE"""),44018.6666666666)</f>
        <v>44018.666666666599</v>
      </c>
      <c r="B2523" s="1">
        <f ca="1">IFERROR(__xludf.DUMMYFUNCTION("""COMPUTED_VALUE"""),91.44)</f>
        <v>91.44</v>
      </c>
    </row>
    <row r="2524" spans="1:2">
      <c r="A2524" s="3">
        <f ca="1">IFERROR(__xludf.DUMMYFUNCTION("""COMPUTED_VALUE"""),44019.6666666666)</f>
        <v>44019.666666666599</v>
      </c>
      <c r="B2524" s="1">
        <f ca="1">IFERROR(__xludf.DUMMYFUNCTION("""COMPUTED_VALUE"""),92.66)</f>
        <v>92.66</v>
      </c>
    </row>
    <row r="2525" spans="1:2">
      <c r="A2525" s="3">
        <f ca="1">IFERROR(__xludf.DUMMYFUNCTION("""COMPUTED_VALUE"""),44020.6666666666)</f>
        <v>44020.666666666599</v>
      </c>
      <c r="B2525" s="1">
        <f ca="1">IFERROR(__xludf.DUMMYFUNCTION("""COMPUTED_VALUE"""),91.06)</f>
        <v>91.06</v>
      </c>
    </row>
    <row r="2526" spans="1:2">
      <c r="A2526" s="3">
        <f ca="1">IFERROR(__xludf.DUMMYFUNCTION("""COMPUTED_VALUE"""),44021.6666666666)</f>
        <v>44021.666666666599</v>
      </c>
      <c r="B2526" s="1">
        <f ca="1">IFERROR(__xludf.DUMMYFUNCTION("""COMPUTED_VALUE"""),92.95)</f>
        <v>92.95</v>
      </c>
    </row>
    <row r="2527" spans="1:2">
      <c r="A2527" s="3">
        <f ca="1">IFERROR(__xludf.DUMMYFUNCTION("""COMPUTED_VALUE"""),44022.6666666666)</f>
        <v>44022.666666666599</v>
      </c>
      <c r="B2527" s="1">
        <f ca="1">IFERROR(__xludf.DUMMYFUNCTION("""COMPUTED_VALUE"""),102.98)</f>
        <v>102.98</v>
      </c>
    </row>
    <row r="2528" spans="1:2">
      <c r="A2528" s="3">
        <f ca="1">IFERROR(__xludf.DUMMYFUNCTION("""COMPUTED_VALUE"""),44025.6666666666)</f>
        <v>44025.666666666599</v>
      </c>
      <c r="B2528" s="1">
        <f ca="1">IFERROR(__xludf.DUMMYFUNCTION("""COMPUTED_VALUE"""),99.8)</f>
        <v>99.8</v>
      </c>
    </row>
    <row r="2529" spans="1:2">
      <c r="A2529" s="3">
        <f ca="1">IFERROR(__xludf.DUMMYFUNCTION("""COMPUTED_VALUE"""),44026.6666666666)</f>
        <v>44026.666666666599</v>
      </c>
      <c r="B2529" s="1">
        <f ca="1">IFERROR(__xludf.DUMMYFUNCTION("""COMPUTED_VALUE"""),101.12)</f>
        <v>101.12</v>
      </c>
    </row>
    <row r="2530" spans="1:2">
      <c r="A2530" s="3">
        <f ca="1">IFERROR(__xludf.DUMMYFUNCTION("""COMPUTED_VALUE"""),44027.6666666666)</f>
        <v>44027.666666666599</v>
      </c>
      <c r="B2530" s="1">
        <f ca="1">IFERROR(__xludf.DUMMYFUNCTION("""COMPUTED_VALUE"""),103.07)</f>
        <v>103.07</v>
      </c>
    </row>
    <row r="2531" spans="1:2">
      <c r="A2531" s="3">
        <f ca="1">IFERROR(__xludf.DUMMYFUNCTION("""COMPUTED_VALUE"""),44028.6666666666)</f>
        <v>44028.666666666599</v>
      </c>
      <c r="B2531" s="1">
        <f ca="1">IFERROR(__xludf.DUMMYFUNCTION("""COMPUTED_VALUE"""),100.04)</f>
        <v>100.04</v>
      </c>
    </row>
    <row r="2532" spans="1:2">
      <c r="A2532" s="3">
        <f ca="1">IFERROR(__xludf.DUMMYFUNCTION("""COMPUTED_VALUE"""),44029.6666666666)</f>
        <v>44029.666666666599</v>
      </c>
      <c r="B2532" s="1">
        <f ca="1">IFERROR(__xludf.DUMMYFUNCTION("""COMPUTED_VALUE"""),100.06)</f>
        <v>100.06</v>
      </c>
    </row>
    <row r="2533" spans="1:2">
      <c r="A2533" s="3">
        <f ca="1">IFERROR(__xludf.DUMMYFUNCTION("""COMPUTED_VALUE"""),44032.6666666666)</f>
        <v>44032.666666666599</v>
      </c>
      <c r="B2533" s="1">
        <f ca="1">IFERROR(__xludf.DUMMYFUNCTION("""COMPUTED_VALUE"""),109.53)</f>
        <v>109.53</v>
      </c>
    </row>
    <row r="2534" spans="1:2">
      <c r="A2534" s="3">
        <f ca="1">IFERROR(__xludf.DUMMYFUNCTION("""COMPUTED_VALUE"""),44033.6666666666)</f>
        <v>44033.666666666599</v>
      </c>
      <c r="B2534" s="1">
        <f ca="1">IFERROR(__xludf.DUMMYFUNCTION("""COMPUTED_VALUE"""),104.56)</f>
        <v>104.56</v>
      </c>
    </row>
    <row r="2535" spans="1:2">
      <c r="A2535" s="3">
        <f ca="1">IFERROR(__xludf.DUMMYFUNCTION("""COMPUTED_VALUE"""),44034.6666666666)</f>
        <v>44034.666666666599</v>
      </c>
      <c r="B2535" s="1">
        <f ca="1">IFERROR(__xludf.DUMMYFUNCTION("""COMPUTED_VALUE"""),106.16)</f>
        <v>106.16</v>
      </c>
    </row>
    <row r="2536" spans="1:2">
      <c r="A2536" s="3">
        <f ca="1">IFERROR(__xludf.DUMMYFUNCTION("""COMPUTED_VALUE"""),44035.6666666666)</f>
        <v>44035.666666666599</v>
      </c>
      <c r="B2536" s="1">
        <f ca="1">IFERROR(__xludf.DUMMYFUNCTION("""COMPUTED_VALUE"""),100.87)</f>
        <v>100.87</v>
      </c>
    </row>
    <row r="2537" spans="1:2">
      <c r="A2537" s="3">
        <f ca="1">IFERROR(__xludf.DUMMYFUNCTION("""COMPUTED_VALUE"""),44036.6666666666)</f>
        <v>44036.666666666599</v>
      </c>
      <c r="B2537" s="1">
        <f ca="1">IFERROR(__xludf.DUMMYFUNCTION("""COMPUTED_VALUE"""),94.47)</f>
        <v>94.47</v>
      </c>
    </row>
    <row r="2538" spans="1:2">
      <c r="A2538" s="3">
        <f ca="1">IFERROR(__xludf.DUMMYFUNCTION("""COMPUTED_VALUE"""),44039.6666666666)</f>
        <v>44039.666666666599</v>
      </c>
      <c r="B2538" s="1">
        <f ca="1">IFERROR(__xludf.DUMMYFUNCTION("""COMPUTED_VALUE"""),102.64)</f>
        <v>102.64</v>
      </c>
    </row>
    <row r="2539" spans="1:2">
      <c r="A2539" s="3">
        <f ca="1">IFERROR(__xludf.DUMMYFUNCTION("""COMPUTED_VALUE"""),44040.6666666666)</f>
        <v>44040.666666666599</v>
      </c>
      <c r="B2539" s="1">
        <f ca="1">IFERROR(__xludf.DUMMYFUNCTION("""COMPUTED_VALUE"""),98.43)</f>
        <v>98.43</v>
      </c>
    </row>
    <row r="2540" spans="1:2">
      <c r="A2540" s="3">
        <f ca="1">IFERROR(__xludf.DUMMYFUNCTION("""COMPUTED_VALUE"""),44041.6666666666)</f>
        <v>44041.666666666599</v>
      </c>
      <c r="B2540" s="1">
        <f ca="1">IFERROR(__xludf.DUMMYFUNCTION("""COMPUTED_VALUE"""),99.94)</f>
        <v>99.94</v>
      </c>
    </row>
    <row r="2541" spans="1:2">
      <c r="A2541" s="3">
        <f ca="1">IFERROR(__xludf.DUMMYFUNCTION("""COMPUTED_VALUE"""),44042.6666666666)</f>
        <v>44042.666666666599</v>
      </c>
      <c r="B2541" s="1">
        <f ca="1">IFERROR(__xludf.DUMMYFUNCTION("""COMPUTED_VALUE"""),99.17)</f>
        <v>99.17</v>
      </c>
    </row>
    <row r="2542" spans="1:2">
      <c r="A2542" s="3">
        <f ca="1">IFERROR(__xludf.DUMMYFUNCTION("""COMPUTED_VALUE"""),44043.6666666666)</f>
        <v>44043.666666666599</v>
      </c>
      <c r="B2542" s="1">
        <f ca="1">IFERROR(__xludf.DUMMYFUNCTION("""COMPUTED_VALUE"""),95.38)</f>
        <v>95.38</v>
      </c>
    </row>
    <row r="2543" spans="1:2">
      <c r="A2543" s="3">
        <f ca="1">IFERROR(__xludf.DUMMYFUNCTION("""COMPUTED_VALUE"""),44046.6666666666)</f>
        <v>44046.666666666599</v>
      </c>
      <c r="B2543" s="1">
        <f ca="1">IFERROR(__xludf.DUMMYFUNCTION("""COMPUTED_VALUE"""),99)</f>
        <v>99</v>
      </c>
    </row>
    <row r="2544" spans="1:2">
      <c r="A2544" s="3">
        <f ca="1">IFERROR(__xludf.DUMMYFUNCTION("""COMPUTED_VALUE"""),44047.6666666666)</f>
        <v>44047.666666666599</v>
      </c>
      <c r="B2544" s="1">
        <f ca="1">IFERROR(__xludf.DUMMYFUNCTION("""COMPUTED_VALUE"""),99.13)</f>
        <v>99.13</v>
      </c>
    </row>
    <row r="2545" spans="1:2">
      <c r="A2545" s="3">
        <f ca="1">IFERROR(__xludf.DUMMYFUNCTION("""COMPUTED_VALUE"""),44048.6666666666)</f>
        <v>44048.666666666599</v>
      </c>
      <c r="B2545" s="1">
        <f ca="1">IFERROR(__xludf.DUMMYFUNCTION("""COMPUTED_VALUE"""),99)</f>
        <v>99</v>
      </c>
    </row>
    <row r="2546" spans="1:2">
      <c r="A2546" s="3">
        <f ca="1">IFERROR(__xludf.DUMMYFUNCTION("""COMPUTED_VALUE"""),44049.6666666666)</f>
        <v>44049.666666666599</v>
      </c>
      <c r="B2546" s="1">
        <f ca="1">IFERROR(__xludf.DUMMYFUNCTION("""COMPUTED_VALUE"""),99.31)</f>
        <v>99.31</v>
      </c>
    </row>
    <row r="2547" spans="1:2">
      <c r="A2547" s="3">
        <f ca="1">IFERROR(__xludf.DUMMYFUNCTION("""COMPUTED_VALUE"""),44050.6666666666)</f>
        <v>44050.666666666599</v>
      </c>
      <c r="B2547" s="1">
        <f ca="1">IFERROR(__xludf.DUMMYFUNCTION("""COMPUTED_VALUE"""),96.85)</f>
        <v>96.85</v>
      </c>
    </row>
    <row r="2548" spans="1:2">
      <c r="A2548" s="3">
        <f ca="1">IFERROR(__xludf.DUMMYFUNCTION("""COMPUTED_VALUE"""),44053.6666666666)</f>
        <v>44053.666666666599</v>
      </c>
      <c r="B2548" s="1">
        <f ca="1">IFERROR(__xludf.DUMMYFUNCTION("""COMPUTED_VALUE"""),94.57)</f>
        <v>94.57</v>
      </c>
    </row>
    <row r="2549" spans="1:2">
      <c r="A2549" s="3">
        <f ca="1">IFERROR(__xludf.DUMMYFUNCTION("""COMPUTED_VALUE"""),44054.6666666666)</f>
        <v>44054.666666666599</v>
      </c>
      <c r="B2549" s="1">
        <f ca="1">IFERROR(__xludf.DUMMYFUNCTION("""COMPUTED_VALUE"""),91.63)</f>
        <v>91.63</v>
      </c>
    </row>
    <row r="2550" spans="1:2">
      <c r="A2550" s="3">
        <f ca="1">IFERROR(__xludf.DUMMYFUNCTION("""COMPUTED_VALUE"""),44055.6666666666)</f>
        <v>44055.666666666599</v>
      </c>
      <c r="B2550" s="1">
        <f ca="1">IFERROR(__xludf.DUMMYFUNCTION("""COMPUTED_VALUE"""),103.65)</f>
        <v>103.65</v>
      </c>
    </row>
    <row r="2551" spans="1:2">
      <c r="A2551" s="3">
        <f ca="1">IFERROR(__xludf.DUMMYFUNCTION("""COMPUTED_VALUE"""),44056.6666666666)</f>
        <v>44056.666666666599</v>
      </c>
      <c r="B2551" s="1">
        <f ca="1">IFERROR(__xludf.DUMMYFUNCTION("""COMPUTED_VALUE"""),108.07)</f>
        <v>108.07</v>
      </c>
    </row>
    <row r="2552" spans="1:2">
      <c r="A2552" s="3">
        <f ca="1">IFERROR(__xludf.DUMMYFUNCTION("""COMPUTED_VALUE"""),44057.6666666666)</f>
        <v>44057.666666666599</v>
      </c>
      <c r="B2552" s="1">
        <f ca="1">IFERROR(__xludf.DUMMYFUNCTION("""COMPUTED_VALUE"""),110.05)</f>
        <v>110.05</v>
      </c>
    </row>
    <row r="2553" spans="1:2">
      <c r="A2553" s="3">
        <f ca="1">IFERROR(__xludf.DUMMYFUNCTION("""COMPUTED_VALUE"""),44060.6666666666)</f>
        <v>44060.666666666599</v>
      </c>
      <c r="B2553" s="1">
        <f ca="1">IFERROR(__xludf.DUMMYFUNCTION("""COMPUTED_VALUE"""),122.38)</f>
        <v>122.38</v>
      </c>
    </row>
    <row r="2554" spans="1:2">
      <c r="A2554" s="3">
        <f ca="1">IFERROR(__xludf.DUMMYFUNCTION("""COMPUTED_VALUE"""),44061.6666666666)</f>
        <v>44061.666666666599</v>
      </c>
      <c r="B2554" s="1">
        <f ca="1">IFERROR(__xludf.DUMMYFUNCTION("""COMPUTED_VALUE"""),125.81)</f>
        <v>125.81</v>
      </c>
    </row>
    <row r="2555" spans="1:2">
      <c r="A2555" s="3">
        <f ca="1">IFERROR(__xludf.DUMMYFUNCTION("""COMPUTED_VALUE"""),44062.6666666666)</f>
        <v>44062.666666666599</v>
      </c>
      <c r="B2555" s="1">
        <f ca="1">IFERROR(__xludf.DUMMYFUNCTION("""COMPUTED_VALUE"""),125.24)</f>
        <v>125.24</v>
      </c>
    </row>
    <row r="2556" spans="1:2">
      <c r="A2556" s="3">
        <f ca="1">IFERROR(__xludf.DUMMYFUNCTION("""COMPUTED_VALUE"""),44063.6666666666)</f>
        <v>44063.666666666599</v>
      </c>
      <c r="B2556" s="1">
        <f ca="1">IFERROR(__xludf.DUMMYFUNCTION("""COMPUTED_VALUE"""),133.46)</f>
        <v>133.46</v>
      </c>
    </row>
    <row r="2557" spans="1:2">
      <c r="A2557" s="3">
        <f ca="1">IFERROR(__xludf.DUMMYFUNCTION("""COMPUTED_VALUE"""),44064.6666666666)</f>
        <v>44064.666666666599</v>
      </c>
      <c r="B2557" s="1">
        <f ca="1">IFERROR(__xludf.DUMMYFUNCTION("""COMPUTED_VALUE"""),136.67)</f>
        <v>136.66999999999999</v>
      </c>
    </row>
    <row r="2558" spans="1:2">
      <c r="A2558" s="3">
        <f ca="1">IFERROR(__xludf.DUMMYFUNCTION("""COMPUTED_VALUE"""),44067.6666666666)</f>
        <v>44067.666666666599</v>
      </c>
      <c r="B2558" s="1">
        <f ca="1">IFERROR(__xludf.DUMMYFUNCTION("""COMPUTED_VALUE"""),134.28)</f>
        <v>134.28</v>
      </c>
    </row>
    <row r="2559" spans="1:2">
      <c r="A2559" s="3">
        <f ca="1">IFERROR(__xludf.DUMMYFUNCTION("""COMPUTED_VALUE"""),44068.6666666666)</f>
        <v>44068.666666666599</v>
      </c>
      <c r="B2559" s="1">
        <f ca="1">IFERROR(__xludf.DUMMYFUNCTION("""COMPUTED_VALUE"""),134.89)</f>
        <v>134.88999999999999</v>
      </c>
    </row>
    <row r="2560" spans="1:2">
      <c r="A2560" s="3">
        <f ca="1">IFERROR(__xludf.DUMMYFUNCTION("""COMPUTED_VALUE"""),44069.6666666666)</f>
        <v>44069.666666666599</v>
      </c>
      <c r="B2560" s="1">
        <f ca="1">IFERROR(__xludf.DUMMYFUNCTION("""COMPUTED_VALUE"""),143.54)</f>
        <v>143.54</v>
      </c>
    </row>
    <row r="2561" spans="1:2">
      <c r="A2561" s="3">
        <f ca="1">IFERROR(__xludf.DUMMYFUNCTION("""COMPUTED_VALUE"""),44070.6666666666)</f>
        <v>44070.666666666599</v>
      </c>
      <c r="B2561" s="1">
        <f ca="1">IFERROR(__xludf.DUMMYFUNCTION("""COMPUTED_VALUE"""),149.25)</f>
        <v>149.25</v>
      </c>
    </row>
    <row r="2562" spans="1:2">
      <c r="A2562" s="3">
        <f ca="1">IFERROR(__xludf.DUMMYFUNCTION("""COMPUTED_VALUE"""),44071.6666666666)</f>
        <v>44071.666666666599</v>
      </c>
      <c r="B2562" s="1">
        <f ca="1">IFERROR(__xludf.DUMMYFUNCTION("""COMPUTED_VALUE"""),147.56)</f>
        <v>147.56</v>
      </c>
    </row>
    <row r="2563" spans="1:2">
      <c r="A2563" s="3">
        <f ca="1">IFERROR(__xludf.DUMMYFUNCTION("""COMPUTED_VALUE"""),44074.6666666666)</f>
        <v>44074.666666666599</v>
      </c>
      <c r="B2563" s="1">
        <f ca="1">IFERROR(__xludf.DUMMYFUNCTION("""COMPUTED_VALUE"""),166.11)</f>
        <v>166.11</v>
      </c>
    </row>
    <row r="2564" spans="1:2">
      <c r="A2564" s="3">
        <f ca="1">IFERROR(__xludf.DUMMYFUNCTION("""COMPUTED_VALUE"""),44075.6666666666)</f>
        <v>44075.666666666599</v>
      </c>
      <c r="B2564" s="1">
        <f ca="1">IFERROR(__xludf.DUMMYFUNCTION("""COMPUTED_VALUE"""),158.35)</f>
        <v>158.35</v>
      </c>
    </row>
    <row r="2565" spans="1:2">
      <c r="A2565" s="3">
        <f ca="1">IFERROR(__xludf.DUMMYFUNCTION("""COMPUTED_VALUE"""),44076.6666666666)</f>
        <v>44076.666666666599</v>
      </c>
      <c r="B2565" s="1">
        <f ca="1">IFERROR(__xludf.DUMMYFUNCTION("""COMPUTED_VALUE"""),149.12)</f>
        <v>149.12</v>
      </c>
    </row>
    <row r="2566" spans="1:2">
      <c r="A2566" s="3">
        <f ca="1">IFERROR(__xludf.DUMMYFUNCTION("""COMPUTED_VALUE"""),44077.6666666666)</f>
        <v>44077.666666666599</v>
      </c>
      <c r="B2566" s="1">
        <f ca="1">IFERROR(__xludf.DUMMYFUNCTION("""COMPUTED_VALUE"""),135.67)</f>
        <v>135.66999999999999</v>
      </c>
    </row>
    <row r="2567" spans="1:2">
      <c r="A2567" s="3">
        <f ca="1">IFERROR(__xludf.DUMMYFUNCTION("""COMPUTED_VALUE"""),44078.6666666666)</f>
        <v>44078.666666666599</v>
      </c>
      <c r="B2567" s="1">
        <f ca="1">IFERROR(__xludf.DUMMYFUNCTION("""COMPUTED_VALUE"""),139.44)</f>
        <v>139.44</v>
      </c>
    </row>
    <row r="2568" spans="1:2">
      <c r="A2568" s="3">
        <f ca="1">IFERROR(__xludf.DUMMYFUNCTION("""COMPUTED_VALUE"""),44082.6666666666)</f>
        <v>44082.666666666599</v>
      </c>
      <c r="B2568" s="1">
        <f ca="1">IFERROR(__xludf.DUMMYFUNCTION("""COMPUTED_VALUE"""),110.07)</f>
        <v>110.07</v>
      </c>
    </row>
    <row r="2569" spans="1:2">
      <c r="A2569" s="3">
        <f ca="1">IFERROR(__xludf.DUMMYFUNCTION("""COMPUTED_VALUE"""),44083.6666666666)</f>
        <v>44083.666666666599</v>
      </c>
      <c r="B2569" s="1">
        <f ca="1">IFERROR(__xludf.DUMMYFUNCTION("""COMPUTED_VALUE"""),122.09)</f>
        <v>122.09</v>
      </c>
    </row>
    <row r="2570" spans="1:2">
      <c r="A2570" s="3">
        <f ca="1">IFERROR(__xludf.DUMMYFUNCTION("""COMPUTED_VALUE"""),44084.6666666666)</f>
        <v>44084.666666666599</v>
      </c>
      <c r="B2570" s="1">
        <f ca="1">IFERROR(__xludf.DUMMYFUNCTION("""COMPUTED_VALUE"""),123.78)</f>
        <v>123.78</v>
      </c>
    </row>
    <row r="2571" spans="1:2">
      <c r="A2571" s="3">
        <f ca="1">IFERROR(__xludf.DUMMYFUNCTION("""COMPUTED_VALUE"""),44085.6666666666)</f>
        <v>44085.666666666599</v>
      </c>
      <c r="B2571" s="1">
        <f ca="1">IFERROR(__xludf.DUMMYFUNCTION("""COMPUTED_VALUE"""),124.24)</f>
        <v>124.24</v>
      </c>
    </row>
    <row r="2572" spans="1:2">
      <c r="A2572" s="3">
        <f ca="1">IFERROR(__xludf.DUMMYFUNCTION("""COMPUTED_VALUE"""),44088.6666666666)</f>
        <v>44088.666666666599</v>
      </c>
      <c r="B2572" s="1">
        <f ca="1">IFERROR(__xludf.DUMMYFUNCTION("""COMPUTED_VALUE"""),139.87)</f>
        <v>139.87</v>
      </c>
    </row>
    <row r="2573" spans="1:2">
      <c r="A2573" s="3">
        <f ca="1">IFERROR(__xludf.DUMMYFUNCTION("""COMPUTED_VALUE"""),44089.6666666666)</f>
        <v>44089.666666666599</v>
      </c>
      <c r="B2573" s="1">
        <f ca="1">IFERROR(__xludf.DUMMYFUNCTION("""COMPUTED_VALUE"""),149.92)</f>
        <v>149.91999999999999</v>
      </c>
    </row>
    <row r="2574" spans="1:2">
      <c r="A2574" s="3">
        <f ca="1">IFERROR(__xludf.DUMMYFUNCTION("""COMPUTED_VALUE"""),44090.6666666666)</f>
        <v>44090.666666666599</v>
      </c>
      <c r="B2574" s="1">
        <f ca="1">IFERROR(__xludf.DUMMYFUNCTION("""COMPUTED_VALUE"""),147.25)</f>
        <v>147.25</v>
      </c>
    </row>
    <row r="2575" spans="1:2">
      <c r="A2575" s="3">
        <f ca="1">IFERROR(__xludf.DUMMYFUNCTION("""COMPUTED_VALUE"""),44091.6666666666)</f>
        <v>44091.666666666599</v>
      </c>
      <c r="B2575" s="1">
        <f ca="1">IFERROR(__xludf.DUMMYFUNCTION("""COMPUTED_VALUE"""),141.14)</f>
        <v>141.13999999999999</v>
      </c>
    </row>
    <row r="2576" spans="1:2">
      <c r="A2576" s="3">
        <f ca="1">IFERROR(__xludf.DUMMYFUNCTION("""COMPUTED_VALUE"""),44092.6666666666)</f>
        <v>44092.666666666599</v>
      </c>
      <c r="B2576" s="1">
        <f ca="1">IFERROR(__xludf.DUMMYFUNCTION("""COMPUTED_VALUE"""),147.38)</f>
        <v>147.38</v>
      </c>
    </row>
    <row r="2577" spans="1:2">
      <c r="A2577" s="3">
        <f ca="1">IFERROR(__xludf.DUMMYFUNCTION("""COMPUTED_VALUE"""),44095.6666666666)</f>
        <v>44095.666666666599</v>
      </c>
      <c r="B2577" s="1">
        <f ca="1">IFERROR(__xludf.DUMMYFUNCTION("""COMPUTED_VALUE"""),149.8)</f>
        <v>149.80000000000001</v>
      </c>
    </row>
    <row r="2578" spans="1:2">
      <c r="A2578" s="3">
        <f ca="1">IFERROR(__xludf.DUMMYFUNCTION("""COMPUTED_VALUE"""),44096.6666666666)</f>
        <v>44096.666666666599</v>
      </c>
      <c r="B2578" s="1">
        <f ca="1">IFERROR(__xludf.DUMMYFUNCTION("""COMPUTED_VALUE"""),141.41)</f>
        <v>141.41</v>
      </c>
    </row>
    <row r="2579" spans="1:2">
      <c r="A2579" s="3">
        <f ca="1">IFERROR(__xludf.DUMMYFUNCTION("""COMPUTED_VALUE"""),44097.6666666666)</f>
        <v>44097.666666666599</v>
      </c>
      <c r="B2579" s="1">
        <f ca="1">IFERROR(__xludf.DUMMYFUNCTION("""COMPUTED_VALUE"""),126.79)</f>
        <v>126.79</v>
      </c>
    </row>
    <row r="2580" spans="1:2">
      <c r="A2580" s="3">
        <f ca="1">IFERROR(__xludf.DUMMYFUNCTION("""COMPUTED_VALUE"""),44098.6666666666)</f>
        <v>44098.666666666599</v>
      </c>
      <c r="B2580" s="1">
        <f ca="1">IFERROR(__xludf.DUMMYFUNCTION("""COMPUTED_VALUE"""),129.26)</f>
        <v>129.26</v>
      </c>
    </row>
    <row r="2581" spans="1:2">
      <c r="A2581" s="3">
        <f ca="1">IFERROR(__xludf.DUMMYFUNCTION("""COMPUTED_VALUE"""),44099.6666666666)</f>
        <v>44099.666666666599</v>
      </c>
      <c r="B2581" s="1">
        <f ca="1">IFERROR(__xludf.DUMMYFUNCTION("""COMPUTED_VALUE"""),135.78)</f>
        <v>135.78</v>
      </c>
    </row>
    <row r="2582" spans="1:2">
      <c r="A2582" s="3">
        <f ca="1">IFERROR(__xludf.DUMMYFUNCTION("""COMPUTED_VALUE"""),44102.6666666666)</f>
        <v>44102.666666666599</v>
      </c>
      <c r="B2582" s="1">
        <f ca="1">IFERROR(__xludf.DUMMYFUNCTION("""COMPUTED_VALUE"""),140.4)</f>
        <v>140.4</v>
      </c>
    </row>
    <row r="2583" spans="1:2">
      <c r="A2583" s="3">
        <f ca="1">IFERROR(__xludf.DUMMYFUNCTION("""COMPUTED_VALUE"""),44103.6666666666)</f>
        <v>44103.666666666599</v>
      </c>
      <c r="B2583" s="1">
        <f ca="1">IFERROR(__xludf.DUMMYFUNCTION("""COMPUTED_VALUE"""),139.69)</f>
        <v>139.69</v>
      </c>
    </row>
    <row r="2584" spans="1:2">
      <c r="A2584" s="3">
        <f ca="1">IFERROR(__xludf.DUMMYFUNCTION("""COMPUTED_VALUE"""),44104.6666666666)</f>
        <v>44104.666666666599</v>
      </c>
      <c r="B2584" s="1">
        <f ca="1">IFERROR(__xludf.DUMMYFUNCTION("""COMPUTED_VALUE"""),143)</f>
        <v>143</v>
      </c>
    </row>
    <row r="2585" spans="1:2">
      <c r="A2585" s="3">
        <f ca="1">IFERROR(__xludf.DUMMYFUNCTION("""COMPUTED_VALUE"""),44105.6666666666)</f>
        <v>44105.666666666599</v>
      </c>
      <c r="B2585" s="1">
        <f ca="1">IFERROR(__xludf.DUMMYFUNCTION("""COMPUTED_VALUE"""),149.39)</f>
        <v>149.38999999999999</v>
      </c>
    </row>
    <row r="2586" spans="1:2">
      <c r="A2586" s="3">
        <f ca="1">IFERROR(__xludf.DUMMYFUNCTION("""COMPUTED_VALUE"""),44106.6666666666)</f>
        <v>44106.666666666599</v>
      </c>
      <c r="B2586" s="1">
        <f ca="1">IFERROR(__xludf.DUMMYFUNCTION("""COMPUTED_VALUE"""),138.36)</f>
        <v>138.36000000000001</v>
      </c>
    </row>
    <row r="2587" spans="1:2">
      <c r="A2587" s="3">
        <f ca="1">IFERROR(__xludf.DUMMYFUNCTION("""COMPUTED_VALUE"""),44109.6666666666)</f>
        <v>44109.666666666599</v>
      </c>
      <c r="B2587" s="1">
        <f ca="1">IFERROR(__xludf.DUMMYFUNCTION("""COMPUTED_VALUE"""),141.89)</f>
        <v>141.88999999999999</v>
      </c>
    </row>
    <row r="2588" spans="1:2">
      <c r="A2588" s="3">
        <f ca="1">IFERROR(__xludf.DUMMYFUNCTION("""COMPUTED_VALUE"""),44110.6666666666)</f>
        <v>44110.666666666599</v>
      </c>
      <c r="B2588" s="1">
        <f ca="1">IFERROR(__xludf.DUMMYFUNCTION("""COMPUTED_VALUE"""),137.99)</f>
        <v>137.99</v>
      </c>
    </row>
    <row r="2589" spans="1:2">
      <c r="A2589" s="3">
        <f ca="1">IFERROR(__xludf.DUMMYFUNCTION("""COMPUTED_VALUE"""),44111.6666666666)</f>
        <v>44111.666666666599</v>
      </c>
      <c r="B2589" s="1">
        <f ca="1">IFERROR(__xludf.DUMMYFUNCTION("""COMPUTED_VALUE"""),141.77)</f>
        <v>141.77000000000001</v>
      </c>
    </row>
    <row r="2590" spans="1:2">
      <c r="A2590" s="3">
        <f ca="1">IFERROR(__xludf.DUMMYFUNCTION("""COMPUTED_VALUE"""),44112.6666666666)</f>
        <v>44112.666666666599</v>
      </c>
      <c r="B2590" s="1">
        <f ca="1">IFERROR(__xludf.DUMMYFUNCTION("""COMPUTED_VALUE"""),141.97)</f>
        <v>141.97</v>
      </c>
    </row>
    <row r="2591" spans="1:2">
      <c r="A2591" s="3">
        <f ca="1">IFERROR(__xludf.DUMMYFUNCTION("""COMPUTED_VALUE"""),44113.6666666666)</f>
        <v>44113.666666666599</v>
      </c>
      <c r="B2591" s="1">
        <f ca="1">IFERROR(__xludf.DUMMYFUNCTION("""COMPUTED_VALUE"""),144.67)</f>
        <v>144.66999999999999</v>
      </c>
    </row>
    <row r="2592" spans="1:2">
      <c r="A2592" s="3">
        <f ca="1">IFERROR(__xludf.DUMMYFUNCTION("""COMPUTED_VALUE"""),44116.6666666666)</f>
        <v>44116.666666666599</v>
      </c>
      <c r="B2592" s="1">
        <f ca="1">IFERROR(__xludf.DUMMYFUNCTION("""COMPUTED_VALUE"""),147.43)</f>
        <v>147.43</v>
      </c>
    </row>
    <row r="2593" spans="1:2">
      <c r="A2593" s="3">
        <f ca="1">IFERROR(__xludf.DUMMYFUNCTION("""COMPUTED_VALUE"""),44117.6666666666)</f>
        <v>44117.666666666599</v>
      </c>
      <c r="B2593" s="1">
        <f ca="1">IFERROR(__xludf.DUMMYFUNCTION("""COMPUTED_VALUE"""),148.88)</f>
        <v>148.88</v>
      </c>
    </row>
    <row r="2594" spans="1:2">
      <c r="A2594" s="3">
        <f ca="1">IFERROR(__xludf.DUMMYFUNCTION("""COMPUTED_VALUE"""),44118.6666666666)</f>
        <v>44118.666666666599</v>
      </c>
      <c r="B2594" s="1">
        <f ca="1">IFERROR(__xludf.DUMMYFUNCTION("""COMPUTED_VALUE"""),153.77)</f>
        <v>153.77000000000001</v>
      </c>
    </row>
    <row r="2595" spans="1:2">
      <c r="A2595" s="3">
        <f ca="1">IFERROR(__xludf.DUMMYFUNCTION("""COMPUTED_VALUE"""),44119.6666666666)</f>
        <v>44119.666666666599</v>
      </c>
      <c r="B2595" s="1">
        <f ca="1">IFERROR(__xludf.DUMMYFUNCTION("""COMPUTED_VALUE"""),149.63)</f>
        <v>149.63</v>
      </c>
    </row>
    <row r="2596" spans="1:2">
      <c r="A2596" s="3">
        <f ca="1">IFERROR(__xludf.DUMMYFUNCTION("""COMPUTED_VALUE"""),44120.6666666666)</f>
        <v>44120.666666666599</v>
      </c>
      <c r="B2596" s="1">
        <f ca="1">IFERROR(__xludf.DUMMYFUNCTION("""COMPUTED_VALUE"""),146.56)</f>
        <v>146.56</v>
      </c>
    </row>
    <row r="2597" spans="1:2">
      <c r="A2597" s="3">
        <f ca="1">IFERROR(__xludf.DUMMYFUNCTION("""COMPUTED_VALUE"""),44123.6666666666)</f>
        <v>44123.666666666599</v>
      </c>
      <c r="B2597" s="1">
        <f ca="1">IFERROR(__xludf.DUMMYFUNCTION("""COMPUTED_VALUE"""),143.61)</f>
        <v>143.61000000000001</v>
      </c>
    </row>
    <row r="2598" spans="1:2">
      <c r="A2598" s="3">
        <f ca="1">IFERROR(__xludf.DUMMYFUNCTION("""COMPUTED_VALUE"""),44124.6666666666)</f>
        <v>44124.666666666599</v>
      </c>
      <c r="B2598" s="1">
        <f ca="1">IFERROR(__xludf.DUMMYFUNCTION("""COMPUTED_VALUE"""),140.65)</f>
        <v>140.65</v>
      </c>
    </row>
    <row r="2599" spans="1:2">
      <c r="A2599" s="3">
        <f ca="1">IFERROR(__xludf.DUMMYFUNCTION("""COMPUTED_VALUE"""),44125.6666666666)</f>
        <v>44125.666666666599</v>
      </c>
      <c r="B2599" s="1">
        <f ca="1">IFERROR(__xludf.DUMMYFUNCTION("""COMPUTED_VALUE"""),140.88)</f>
        <v>140.88</v>
      </c>
    </row>
    <row r="2600" spans="1:2">
      <c r="A2600" s="3">
        <f ca="1">IFERROR(__xludf.DUMMYFUNCTION("""COMPUTED_VALUE"""),44126.6666666666)</f>
        <v>44126.666666666599</v>
      </c>
      <c r="B2600" s="1">
        <f ca="1">IFERROR(__xludf.DUMMYFUNCTION("""COMPUTED_VALUE"""),141.93)</f>
        <v>141.93</v>
      </c>
    </row>
    <row r="2601" spans="1:2">
      <c r="A2601" s="3">
        <f ca="1">IFERROR(__xludf.DUMMYFUNCTION("""COMPUTED_VALUE"""),44127.6666666666)</f>
        <v>44127.666666666599</v>
      </c>
      <c r="B2601" s="1">
        <f ca="1">IFERROR(__xludf.DUMMYFUNCTION("""COMPUTED_VALUE"""),140.21)</f>
        <v>140.21</v>
      </c>
    </row>
    <row r="2602" spans="1:2">
      <c r="A2602" s="3">
        <f ca="1">IFERROR(__xludf.DUMMYFUNCTION("""COMPUTED_VALUE"""),44130.6666666666)</f>
        <v>44130.666666666599</v>
      </c>
      <c r="B2602" s="1">
        <f ca="1">IFERROR(__xludf.DUMMYFUNCTION("""COMPUTED_VALUE"""),140.09)</f>
        <v>140.09</v>
      </c>
    </row>
    <row r="2603" spans="1:2">
      <c r="A2603" s="3">
        <f ca="1">IFERROR(__xludf.DUMMYFUNCTION("""COMPUTED_VALUE"""),44131.6666666666)</f>
        <v>44131.666666666599</v>
      </c>
      <c r="B2603" s="1">
        <f ca="1">IFERROR(__xludf.DUMMYFUNCTION("""COMPUTED_VALUE"""),141.56)</f>
        <v>141.56</v>
      </c>
    </row>
    <row r="2604" spans="1:2">
      <c r="A2604" s="3">
        <f ca="1">IFERROR(__xludf.DUMMYFUNCTION("""COMPUTED_VALUE"""),44132.6666666666)</f>
        <v>44132.666666666599</v>
      </c>
      <c r="B2604" s="1">
        <f ca="1">IFERROR(__xludf.DUMMYFUNCTION("""COMPUTED_VALUE"""),135.34)</f>
        <v>135.34</v>
      </c>
    </row>
    <row r="2605" spans="1:2">
      <c r="A2605" s="3">
        <f ca="1">IFERROR(__xludf.DUMMYFUNCTION("""COMPUTED_VALUE"""),44133.6666666666)</f>
        <v>44133.666666666599</v>
      </c>
      <c r="B2605" s="1">
        <f ca="1">IFERROR(__xludf.DUMMYFUNCTION("""COMPUTED_VALUE"""),136.94)</f>
        <v>136.94</v>
      </c>
    </row>
    <row r="2606" spans="1:2">
      <c r="A2606" s="3">
        <f ca="1">IFERROR(__xludf.DUMMYFUNCTION("""COMPUTED_VALUE"""),44134.6666666666)</f>
        <v>44134.666666666599</v>
      </c>
      <c r="B2606" s="1">
        <f ca="1">IFERROR(__xludf.DUMMYFUNCTION("""COMPUTED_VALUE"""),129.35)</f>
        <v>129.35</v>
      </c>
    </row>
    <row r="2607" spans="1:2">
      <c r="A2607" s="3">
        <f ca="1">IFERROR(__xludf.DUMMYFUNCTION("""COMPUTED_VALUE"""),44137.6666666666)</f>
        <v>44137.666666666599</v>
      </c>
      <c r="B2607" s="1">
        <f ca="1">IFERROR(__xludf.DUMMYFUNCTION("""COMPUTED_VALUE"""),133.5)</f>
        <v>133.5</v>
      </c>
    </row>
    <row r="2608" spans="1:2">
      <c r="A2608" s="3">
        <f ca="1">IFERROR(__xludf.DUMMYFUNCTION("""COMPUTED_VALUE"""),44138.6666666666)</f>
        <v>44138.666666666599</v>
      </c>
      <c r="B2608" s="1">
        <f ca="1">IFERROR(__xludf.DUMMYFUNCTION("""COMPUTED_VALUE"""),141.3)</f>
        <v>141.30000000000001</v>
      </c>
    </row>
    <row r="2609" spans="1:2">
      <c r="A2609" s="3">
        <f ca="1">IFERROR(__xludf.DUMMYFUNCTION("""COMPUTED_VALUE"""),44139.6666666666)</f>
        <v>44139.666666666599</v>
      </c>
      <c r="B2609" s="1">
        <f ca="1">IFERROR(__xludf.DUMMYFUNCTION("""COMPUTED_VALUE"""),140.33)</f>
        <v>140.33000000000001</v>
      </c>
    </row>
    <row r="2610" spans="1:2">
      <c r="A2610" s="3">
        <f ca="1">IFERROR(__xludf.DUMMYFUNCTION("""COMPUTED_VALUE"""),44140.6666666666)</f>
        <v>44140.666666666599</v>
      </c>
      <c r="B2610" s="1">
        <f ca="1">IFERROR(__xludf.DUMMYFUNCTION("""COMPUTED_VALUE"""),146.03)</f>
        <v>146.03</v>
      </c>
    </row>
    <row r="2611" spans="1:2">
      <c r="A2611" s="3">
        <f ca="1">IFERROR(__xludf.DUMMYFUNCTION("""COMPUTED_VALUE"""),44141.6666666666)</f>
        <v>44141.666666666599</v>
      </c>
      <c r="B2611" s="1">
        <f ca="1">IFERROR(__xludf.DUMMYFUNCTION("""COMPUTED_VALUE"""),143.32)</f>
        <v>143.32</v>
      </c>
    </row>
    <row r="2612" spans="1:2">
      <c r="A2612" s="3">
        <f ca="1">IFERROR(__xludf.DUMMYFUNCTION("""COMPUTED_VALUE"""),44144.6666666666)</f>
        <v>44144.666666666599</v>
      </c>
      <c r="B2612" s="1">
        <f ca="1">IFERROR(__xludf.DUMMYFUNCTION("""COMPUTED_VALUE"""),140.42)</f>
        <v>140.41999999999999</v>
      </c>
    </row>
    <row r="2613" spans="1:2">
      <c r="A2613" s="3">
        <f ca="1">IFERROR(__xludf.DUMMYFUNCTION("""COMPUTED_VALUE"""),44145.6666666666)</f>
        <v>44145.666666666599</v>
      </c>
      <c r="B2613" s="1">
        <f ca="1">IFERROR(__xludf.DUMMYFUNCTION("""COMPUTED_VALUE"""),136.79)</f>
        <v>136.79</v>
      </c>
    </row>
    <row r="2614" spans="1:2">
      <c r="A2614" s="3">
        <f ca="1">IFERROR(__xludf.DUMMYFUNCTION("""COMPUTED_VALUE"""),44146.6666666666)</f>
        <v>44146.666666666599</v>
      </c>
      <c r="B2614" s="1">
        <f ca="1">IFERROR(__xludf.DUMMYFUNCTION("""COMPUTED_VALUE"""),139.04)</f>
        <v>139.04</v>
      </c>
    </row>
    <row r="2615" spans="1:2">
      <c r="A2615" s="3">
        <f ca="1">IFERROR(__xludf.DUMMYFUNCTION("""COMPUTED_VALUE"""),44147.6666666666)</f>
        <v>44147.666666666599</v>
      </c>
      <c r="B2615" s="1">
        <f ca="1">IFERROR(__xludf.DUMMYFUNCTION("""COMPUTED_VALUE"""),137.25)</f>
        <v>137.25</v>
      </c>
    </row>
    <row r="2616" spans="1:2">
      <c r="A2616" s="3">
        <f ca="1">IFERROR(__xludf.DUMMYFUNCTION("""COMPUTED_VALUE"""),44148.6666666666)</f>
        <v>44148.666666666599</v>
      </c>
      <c r="B2616" s="1">
        <f ca="1">IFERROR(__xludf.DUMMYFUNCTION("""COMPUTED_VALUE"""),136.17)</f>
        <v>136.16999999999999</v>
      </c>
    </row>
    <row r="2617" spans="1:2">
      <c r="A2617" s="3">
        <f ca="1">IFERROR(__xludf.DUMMYFUNCTION("""COMPUTED_VALUE"""),44151.6666666666)</f>
        <v>44151.666666666599</v>
      </c>
      <c r="B2617" s="1">
        <f ca="1">IFERROR(__xludf.DUMMYFUNCTION("""COMPUTED_VALUE"""),136.03)</f>
        <v>136.03</v>
      </c>
    </row>
    <row r="2618" spans="1:2">
      <c r="A2618" s="3">
        <f ca="1">IFERROR(__xludf.DUMMYFUNCTION("""COMPUTED_VALUE"""),44152.6666666666)</f>
        <v>44152.666666666599</v>
      </c>
      <c r="B2618" s="1">
        <f ca="1">IFERROR(__xludf.DUMMYFUNCTION("""COMPUTED_VALUE"""),147.2)</f>
        <v>147.19999999999999</v>
      </c>
    </row>
    <row r="2619" spans="1:2">
      <c r="A2619" s="3">
        <f ca="1">IFERROR(__xludf.DUMMYFUNCTION("""COMPUTED_VALUE"""),44153.6666666666)</f>
        <v>44153.666666666599</v>
      </c>
      <c r="B2619" s="1">
        <f ca="1">IFERROR(__xludf.DUMMYFUNCTION("""COMPUTED_VALUE"""),162.21)</f>
        <v>162.21</v>
      </c>
    </row>
    <row r="2620" spans="1:2">
      <c r="A2620" s="3">
        <f ca="1">IFERROR(__xludf.DUMMYFUNCTION("""COMPUTED_VALUE"""),44154.6666666666)</f>
        <v>44154.666666666599</v>
      </c>
      <c r="B2620" s="1">
        <f ca="1">IFERROR(__xludf.DUMMYFUNCTION("""COMPUTED_VALUE"""),166.42)</f>
        <v>166.42</v>
      </c>
    </row>
    <row r="2621" spans="1:2">
      <c r="A2621" s="3">
        <f ca="1">IFERROR(__xludf.DUMMYFUNCTION("""COMPUTED_VALUE"""),44155.6666666666)</f>
        <v>44155.666666666599</v>
      </c>
      <c r="B2621" s="1">
        <f ca="1">IFERROR(__xludf.DUMMYFUNCTION("""COMPUTED_VALUE"""),163.2)</f>
        <v>163.19999999999999</v>
      </c>
    </row>
    <row r="2622" spans="1:2">
      <c r="A2622" s="3">
        <f ca="1">IFERROR(__xludf.DUMMYFUNCTION("""COMPUTED_VALUE"""),44158.6666666666)</f>
        <v>44158.666666666599</v>
      </c>
      <c r="B2622" s="1">
        <f ca="1">IFERROR(__xludf.DUMMYFUNCTION("""COMPUTED_VALUE"""),173.95)</f>
        <v>173.95</v>
      </c>
    </row>
    <row r="2623" spans="1:2">
      <c r="A2623" s="3">
        <f ca="1">IFERROR(__xludf.DUMMYFUNCTION("""COMPUTED_VALUE"""),44159.6666666666)</f>
        <v>44159.666666666599</v>
      </c>
      <c r="B2623" s="1">
        <f ca="1">IFERROR(__xludf.DUMMYFUNCTION("""COMPUTED_VALUE"""),185.13)</f>
        <v>185.13</v>
      </c>
    </row>
    <row r="2624" spans="1:2">
      <c r="A2624" s="3">
        <f ca="1">IFERROR(__xludf.DUMMYFUNCTION("""COMPUTED_VALUE"""),44160.6666666666)</f>
        <v>44160.666666666599</v>
      </c>
      <c r="B2624" s="1">
        <f ca="1">IFERROR(__xludf.DUMMYFUNCTION("""COMPUTED_VALUE"""),191.33)</f>
        <v>191.33</v>
      </c>
    </row>
    <row r="2625" spans="1:2">
      <c r="A2625" s="3">
        <f ca="1">IFERROR(__xludf.DUMMYFUNCTION("""COMPUTED_VALUE"""),44162.5416666666)</f>
        <v>44162.541666666599</v>
      </c>
      <c r="B2625" s="1">
        <f ca="1">IFERROR(__xludf.DUMMYFUNCTION("""COMPUTED_VALUE"""),195.25)</f>
        <v>195.25</v>
      </c>
    </row>
    <row r="2626" spans="1:2">
      <c r="A2626" s="3">
        <f ca="1">IFERROR(__xludf.DUMMYFUNCTION("""COMPUTED_VALUE"""),44165.6666666666)</f>
        <v>44165.666666666599</v>
      </c>
      <c r="B2626" s="1">
        <f ca="1">IFERROR(__xludf.DUMMYFUNCTION("""COMPUTED_VALUE"""),189.2)</f>
        <v>189.2</v>
      </c>
    </row>
    <row r="2627" spans="1:2">
      <c r="A2627" s="3">
        <f ca="1">IFERROR(__xludf.DUMMYFUNCTION("""COMPUTED_VALUE"""),44166.6666666666)</f>
        <v>44166.666666666599</v>
      </c>
      <c r="B2627" s="1">
        <f ca="1">IFERROR(__xludf.DUMMYFUNCTION("""COMPUTED_VALUE"""),194.92)</f>
        <v>194.92</v>
      </c>
    </row>
    <row r="2628" spans="1:2">
      <c r="A2628" s="3">
        <f ca="1">IFERROR(__xludf.DUMMYFUNCTION("""COMPUTED_VALUE"""),44167.6666666666)</f>
        <v>44167.666666666599</v>
      </c>
      <c r="B2628" s="1">
        <f ca="1">IFERROR(__xludf.DUMMYFUNCTION("""COMPUTED_VALUE"""),189.61)</f>
        <v>189.61</v>
      </c>
    </row>
    <row r="2629" spans="1:2">
      <c r="A2629" s="3">
        <f ca="1">IFERROR(__xludf.DUMMYFUNCTION("""COMPUTED_VALUE"""),44168.6666666666)</f>
        <v>44168.666666666599</v>
      </c>
      <c r="B2629" s="1">
        <f ca="1">IFERROR(__xludf.DUMMYFUNCTION("""COMPUTED_VALUE"""),197.79)</f>
        <v>197.79</v>
      </c>
    </row>
    <row r="2630" spans="1:2">
      <c r="A2630" s="3">
        <f ca="1">IFERROR(__xludf.DUMMYFUNCTION("""COMPUTED_VALUE"""),44169.6666666666)</f>
        <v>44169.666666666599</v>
      </c>
      <c r="B2630" s="1">
        <f ca="1">IFERROR(__xludf.DUMMYFUNCTION("""COMPUTED_VALUE"""),199.68)</f>
        <v>199.68</v>
      </c>
    </row>
    <row r="2631" spans="1:2">
      <c r="A2631" s="3">
        <f ca="1">IFERROR(__xludf.DUMMYFUNCTION("""COMPUTED_VALUE"""),44172.6666666666)</f>
        <v>44172.666666666599</v>
      </c>
      <c r="B2631" s="1">
        <f ca="1">IFERROR(__xludf.DUMMYFUNCTION("""COMPUTED_VALUE"""),213.92)</f>
        <v>213.92</v>
      </c>
    </row>
    <row r="2632" spans="1:2">
      <c r="A2632" s="3">
        <f ca="1">IFERROR(__xludf.DUMMYFUNCTION("""COMPUTED_VALUE"""),44173.6666666666)</f>
        <v>44173.666666666599</v>
      </c>
      <c r="B2632" s="1">
        <f ca="1">IFERROR(__xludf.DUMMYFUNCTION("""COMPUTED_VALUE"""),216.63)</f>
        <v>216.63</v>
      </c>
    </row>
    <row r="2633" spans="1:2">
      <c r="A2633" s="3">
        <f ca="1">IFERROR(__xludf.DUMMYFUNCTION("""COMPUTED_VALUE"""),44174.6666666666)</f>
        <v>44174.666666666599</v>
      </c>
      <c r="B2633" s="1">
        <f ca="1">IFERROR(__xludf.DUMMYFUNCTION("""COMPUTED_VALUE"""),201.49)</f>
        <v>201.49</v>
      </c>
    </row>
    <row r="2634" spans="1:2">
      <c r="A2634" s="3">
        <f ca="1">IFERROR(__xludf.DUMMYFUNCTION("""COMPUTED_VALUE"""),44175.6666666666)</f>
        <v>44175.666666666599</v>
      </c>
      <c r="B2634" s="1">
        <f ca="1">IFERROR(__xludf.DUMMYFUNCTION("""COMPUTED_VALUE"""),209.02)</f>
        <v>209.02</v>
      </c>
    </row>
    <row r="2635" spans="1:2">
      <c r="A2635" s="3">
        <f ca="1">IFERROR(__xludf.DUMMYFUNCTION("""COMPUTED_VALUE"""),44176.6666666666)</f>
        <v>44176.666666666599</v>
      </c>
      <c r="B2635" s="1">
        <f ca="1">IFERROR(__xludf.DUMMYFUNCTION("""COMPUTED_VALUE"""),203.33)</f>
        <v>203.33</v>
      </c>
    </row>
    <row r="2636" spans="1:2">
      <c r="A2636" s="3">
        <f ca="1">IFERROR(__xludf.DUMMYFUNCTION("""COMPUTED_VALUE"""),44179.6666666666)</f>
        <v>44179.666666666599</v>
      </c>
      <c r="B2636" s="1">
        <f ca="1">IFERROR(__xludf.DUMMYFUNCTION("""COMPUTED_VALUE"""),213.28)</f>
        <v>213.28</v>
      </c>
    </row>
    <row r="2637" spans="1:2">
      <c r="A2637" s="3">
        <f ca="1">IFERROR(__xludf.DUMMYFUNCTION("""COMPUTED_VALUE"""),44180.6666666666)</f>
        <v>44180.666666666599</v>
      </c>
      <c r="B2637" s="1">
        <f ca="1">IFERROR(__xludf.DUMMYFUNCTION("""COMPUTED_VALUE"""),211.08)</f>
        <v>211.08</v>
      </c>
    </row>
    <row r="2638" spans="1:2">
      <c r="A2638" s="3">
        <f ca="1">IFERROR(__xludf.DUMMYFUNCTION("""COMPUTED_VALUE"""),44181.6666666666)</f>
        <v>44181.666666666599</v>
      </c>
      <c r="B2638" s="1">
        <f ca="1">IFERROR(__xludf.DUMMYFUNCTION("""COMPUTED_VALUE"""),207.59)</f>
        <v>207.59</v>
      </c>
    </row>
    <row r="2639" spans="1:2">
      <c r="A2639" s="3">
        <f ca="1">IFERROR(__xludf.DUMMYFUNCTION("""COMPUTED_VALUE"""),44182.6666666666)</f>
        <v>44182.666666666599</v>
      </c>
      <c r="B2639" s="1">
        <f ca="1">IFERROR(__xludf.DUMMYFUNCTION("""COMPUTED_VALUE"""),218.63)</f>
        <v>218.63</v>
      </c>
    </row>
    <row r="2640" spans="1:2">
      <c r="A2640" s="3">
        <f ca="1">IFERROR(__xludf.DUMMYFUNCTION("""COMPUTED_VALUE"""),44183.6666666666)</f>
        <v>44183.666666666599</v>
      </c>
      <c r="B2640" s="1">
        <f ca="1">IFERROR(__xludf.DUMMYFUNCTION("""COMPUTED_VALUE"""),231.67)</f>
        <v>231.67</v>
      </c>
    </row>
    <row r="2641" spans="1:2">
      <c r="A2641" s="3">
        <f ca="1">IFERROR(__xludf.DUMMYFUNCTION("""COMPUTED_VALUE"""),44186.6666666666)</f>
        <v>44186.666666666599</v>
      </c>
      <c r="B2641" s="1">
        <f ca="1">IFERROR(__xludf.DUMMYFUNCTION("""COMPUTED_VALUE"""),216.62)</f>
        <v>216.62</v>
      </c>
    </row>
    <row r="2642" spans="1:2">
      <c r="A2642" s="3">
        <f ca="1">IFERROR(__xludf.DUMMYFUNCTION("""COMPUTED_VALUE"""),44187.6666666666)</f>
        <v>44187.666666666599</v>
      </c>
      <c r="B2642" s="1">
        <f ca="1">IFERROR(__xludf.DUMMYFUNCTION("""COMPUTED_VALUE"""),213.45)</f>
        <v>213.45</v>
      </c>
    </row>
    <row r="2643" spans="1:2">
      <c r="A2643" s="3">
        <f ca="1">IFERROR(__xludf.DUMMYFUNCTION("""COMPUTED_VALUE"""),44188.6666666666)</f>
        <v>44188.666666666599</v>
      </c>
      <c r="B2643" s="1">
        <f ca="1">IFERROR(__xludf.DUMMYFUNCTION("""COMPUTED_VALUE"""),215.33)</f>
        <v>215.33</v>
      </c>
    </row>
    <row r="2644" spans="1:2">
      <c r="A2644" s="3">
        <f ca="1">IFERROR(__xludf.DUMMYFUNCTION("""COMPUTED_VALUE"""),44189.5416666666)</f>
        <v>44189.541666666599</v>
      </c>
      <c r="B2644" s="1">
        <f ca="1">IFERROR(__xludf.DUMMYFUNCTION("""COMPUTED_VALUE"""),220.59)</f>
        <v>220.59</v>
      </c>
    </row>
    <row r="2645" spans="1:2">
      <c r="A2645" s="3">
        <f ca="1">IFERROR(__xludf.DUMMYFUNCTION("""COMPUTED_VALUE"""),44193.6666666666)</f>
        <v>44193.666666666599</v>
      </c>
      <c r="B2645" s="1">
        <f ca="1">IFERROR(__xludf.DUMMYFUNCTION("""COMPUTED_VALUE"""),221.23)</f>
        <v>221.23</v>
      </c>
    </row>
    <row r="2646" spans="1:2">
      <c r="A2646" s="3">
        <f ca="1">IFERROR(__xludf.DUMMYFUNCTION("""COMPUTED_VALUE"""),44194.6666666666)</f>
        <v>44194.666666666599</v>
      </c>
      <c r="B2646" s="1">
        <f ca="1">IFERROR(__xludf.DUMMYFUNCTION("""COMPUTED_VALUE"""),222)</f>
        <v>222</v>
      </c>
    </row>
    <row r="2647" spans="1:2">
      <c r="A2647" s="3">
        <f ca="1">IFERROR(__xludf.DUMMYFUNCTION("""COMPUTED_VALUE"""),44195.6666666666)</f>
        <v>44195.666666666599</v>
      </c>
      <c r="B2647" s="1">
        <f ca="1">IFERROR(__xludf.DUMMYFUNCTION("""COMPUTED_VALUE"""),231.59)</f>
        <v>231.59</v>
      </c>
    </row>
    <row r="2648" spans="1:2">
      <c r="A2648" s="3">
        <f ca="1">IFERROR(__xludf.DUMMYFUNCTION("""COMPUTED_VALUE"""),44196.6666666666)</f>
        <v>44196.666666666599</v>
      </c>
      <c r="B2648" s="1">
        <f ca="1">IFERROR(__xludf.DUMMYFUNCTION("""COMPUTED_VALUE"""),235.22)</f>
        <v>235.22</v>
      </c>
    </row>
    <row r="2649" spans="1:2">
      <c r="A2649" s="3">
        <f ca="1">IFERROR(__xludf.DUMMYFUNCTION("""COMPUTED_VALUE"""),44200.6666666666)</f>
        <v>44200.666666666599</v>
      </c>
      <c r="B2649" s="1">
        <f ca="1">IFERROR(__xludf.DUMMYFUNCTION("""COMPUTED_VALUE"""),243.26)</f>
        <v>243.26</v>
      </c>
    </row>
    <row r="2650" spans="1:2">
      <c r="A2650" s="3">
        <f ca="1">IFERROR(__xludf.DUMMYFUNCTION("""COMPUTED_VALUE"""),44201.6666666666)</f>
        <v>44201.666666666599</v>
      </c>
      <c r="B2650" s="1">
        <f ca="1">IFERROR(__xludf.DUMMYFUNCTION("""COMPUTED_VALUE"""),245.04)</f>
        <v>245.04</v>
      </c>
    </row>
    <row r="2651" spans="1:2">
      <c r="A2651" s="3">
        <f ca="1">IFERROR(__xludf.DUMMYFUNCTION("""COMPUTED_VALUE"""),44202.6666666666)</f>
        <v>44202.666666666599</v>
      </c>
      <c r="B2651" s="1">
        <f ca="1">IFERROR(__xludf.DUMMYFUNCTION("""COMPUTED_VALUE"""),251.99)</f>
        <v>251.99</v>
      </c>
    </row>
    <row r="2652" spans="1:2">
      <c r="A2652" s="3">
        <f ca="1">IFERROR(__xludf.DUMMYFUNCTION("""COMPUTED_VALUE"""),44203.6666666666)</f>
        <v>44203.666666666599</v>
      </c>
      <c r="B2652" s="1">
        <f ca="1">IFERROR(__xludf.DUMMYFUNCTION("""COMPUTED_VALUE"""),272.01)</f>
        <v>272.01</v>
      </c>
    </row>
    <row r="2653" spans="1:2">
      <c r="A2653" s="3">
        <f ca="1">IFERROR(__xludf.DUMMYFUNCTION("""COMPUTED_VALUE"""),44204.6666666666)</f>
        <v>44204.666666666599</v>
      </c>
      <c r="B2653" s="1">
        <f ca="1">IFERROR(__xludf.DUMMYFUNCTION("""COMPUTED_VALUE"""),293.34)</f>
        <v>293.33999999999997</v>
      </c>
    </row>
    <row r="2654" spans="1:2">
      <c r="A2654" s="3">
        <f ca="1">IFERROR(__xludf.DUMMYFUNCTION("""COMPUTED_VALUE"""),44207.6666666666)</f>
        <v>44207.666666666599</v>
      </c>
      <c r="B2654" s="1">
        <f ca="1">IFERROR(__xludf.DUMMYFUNCTION("""COMPUTED_VALUE"""),270.4)</f>
        <v>270.39999999999998</v>
      </c>
    </row>
    <row r="2655" spans="1:2">
      <c r="A2655" s="3">
        <f ca="1">IFERROR(__xludf.DUMMYFUNCTION("""COMPUTED_VALUE"""),44208.6666666666)</f>
        <v>44208.666666666599</v>
      </c>
      <c r="B2655" s="1">
        <f ca="1">IFERROR(__xludf.DUMMYFUNCTION("""COMPUTED_VALUE"""),283.15)</f>
        <v>283.14999999999998</v>
      </c>
    </row>
    <row r="2656" spans="1:2">
      <c r="A2656" s="3">
        <f ca="1">IFERROR(__xludf.DUMMYFUNCTION("""COMPUTED_VALUE"""),44209.6666666666)</f>
        <v>44209.666666666599</v>
      </c>
      <c r="B2656" s="1">
        <f ca="1">IFERROR(__xludf.DUMMYFUNCTION("""COMPUTED_VALUE"""),284.8)</f>
        <v>284.8</v>
      </c>
    </row>
    <row r="2657" spans="1:2">
      <c r="A2657" s="3">
        <f ca="1">IFERROR(__xludf.DUMMYFUNCTION("""COMPUTED_VALUE"""),44210.6666666666)</f>
        <v>44210.666666666599</v>
      </c>
      <c r="B2657" s="1">
        <f ca="1">IFERROR(__xludf.DUMMYFUNCTION("""COMPUTED_VALUE"""),281.67)</f>
        <v>281.67</v>
      </c>
    </row>
    <row r="2658" spans="1:2">
      <c r="A2658" s="3">
        <f ca="1">IFERROR(__xludf.DUMMYFUNCTION("""COMPUTED_VALUE"""),44211.6666666666)</f>
        <v>44211.666666666599</v>
      </c>
      <c r="B2658" s="1">
        <f ca="1">IFERROR(__xludf.DUMMYFUNCTION("""COMPUTED_VALUE"""),275.39)</f>
        <v>275.39</v>
      </c>
    </row>
    <row r="2659" spans="1:2">
      <c r="A2659" s="3">
        <f ca="1">IFERROR(__xludf.DUMMYFUNCTION("""COMPUTED_VALUE"""),44215.6666666666)</f>
        <v>44215.666666666599</v>
      </c>
      <c r="B2659" s="1">
        <f ca="1">IFERROR(__xludf.DUMMYFUNCTION("""COMPUTED_VALUE"""),281.52)</f>
        <v>281.52</v>
      </c>
    </row>
    <row r="2660" spans="1:2">
      <c r="A2660" s="3">
        <f ca="1">IFERROR(__xludf.DUMMYFUNCTION("""COMPUTED_VALUE"""),44216.6666666666)</f>
        <v>44216.666666666599</v>
      </c>
      <c r="B2660" s="1">
        <f ca="1">IFERROR(__xludf.DUMMYFUNCTION("""COMPUTED_VALUE"""),283.48)</f>
        <v>283.48</v>
      </c>
    </row>
    <row r="2661" spans="1:2">
      <c r="A2661" s="3">
        <f ca="1">IFERROR(__xludf.DUMMYFUNCTION("""COMPUTED_VALUE"""),44217.6666666666)</f>
        <v>44217.666666666599</v>
      </c>
      <c r="B2661" s="1">
        <f ca="1">IFERROR(__xludf.DUMMYFUNCTION("""COMPUTED_VALUE"""),281.66)</f>
        <v>281.66000000000003</v>
      </c>
    </row>
    <row r="2662" spans="1:2">
      <c r="A2662" s="3">
        <f ca="1">IFERROR(__xludf.DUMMYFUNCTION("""COMPUTED_VALUE"""),44218.6666666666)</f>
        <v>44218.666666666599</v>
      </c>
      <c r="B2662" s="1">
        <f ca="1">IFERROR(__xludf.DUMMYFUNCTION("""COMPUTED_VALUE"""),282.21)</f>
        <v>282.20999999999998</v>
      </c>
    </row>
    <row r="2663" spans="1:2">
      <c r="A2663" s="3">
        <f ca="1">IFERROR(__xludf.DUMMYFUNCTION("""COMPUTED_VALUE"""),44221.6666666666)</f>
        <v>44221.666666666599</v>
      </c>
      <c r="B2663" s="1">
        <f ca="1">IFERROR(__xludf.DUMMYFUNCTION("""COMPUTED_VALUE"""),293.6)</f>
        <v>293.60000000000002</v>
      </c>
    </row>
    <row r="2664" spans="1:2">
      <c r="A2664" s="3">
        <f ca="1">IFERROR(__xludf.DUMMYFUNCTION("""COMPUTED_VALUE"""),44222.6666666666)</f>
        <v>44222.666666666599</v>
      </c>
      <c r="B2664" s="1">
        <f ca="1">IFERROR(__xludf.DUMMYFUNCTION("""COMPUTED_VALUE"""),294.36)</f>
        <v>294.36</v>
      </c>
    </row>
    <row r="2665" spans="1:2">
      <c r="A2665" s="3">
        <f ca="1">IFERROR(__xludf.DUMMYFUNCTION("""COMPUTED_VALUE"""),44223.6666666666)</f>
        <v>44223.666666666599</v>
      </c>
      <c r="B2665" s="1">
        <f ca="1">IFERROR(__xludf.DUMMYFUNCTION("""COMPUTED_VALUE"""),288.05)</f>
        <v>288.05</v>
      </c>
    </row>
    <row r="2666" spans="1:2">
      <c r="A2666" s="3">
        <f ca="1">IFERROR(__xludf.DUMMYFUNCTION("""COMPUTED_VALUE"""),44224.6666666666)</f>
        <v>44224.666666666599</v>
      </c>
      <c r="B2666" s="1">
        <f ca="1">IFERROR(__xludf.DUMMYFUNCTION("""COMPUTED_VALUE"""),278.48)</f>
        <v>278.48</v>
      </c>
    </row>
    <row r="2667" spans="1:2">
      <c r="A2667" s="3">
        <f ca="1">IFERROR(__xludf.DUMMYFUNCTION("""COMPUTED_VALUE"""),44225.6666666666)</f>
        <v>44225.666666666599</v>
      </c>
      <c r="B2667" s="1">
        <f ca="1">IFERROR(__xludf.DUMMYFUNCTION("""COMPUTED_VALUE"""),264.51)</f>
        <v>264.51</v>
      </c>
    </row>
    <row r="2668" spans="1:2">
      <c r="A2668" s="3">
        <f ca="1">IFERROR(__xludf.DUMMYFUNCTION("""COMPUTED_VALUE"""),44228.6666666666)</f>
        <v>44228.666666666599</v>
      </c>
      <c r="B2668" s="1">
        <f ca="1">IFERROR(__xludf.DUMMYFUNCTION("""COMPUTED_VALUE"""),279.94)</f>
        <v>279.94</v>
      </c>
    </row>
    <row r="2669" spans="1:2">
      <c r="A2669" s="3">
        <f ca="1">IFERROR(__xludf.DUMMYFUNCTION("""COMPUTED_VALUE"""),44229.6666666666)</f>
        <v>44229.666666666599</v>
      </c>
      <c r="B2669" s="1">
        <f ca="1">IFERROR(__xludf.DUMMYFUNCTION("""COMPUTED_VALUE"""),290.93)</f>
        <v>290.93</v>
      </c>
    </row>
    <row r="2670" spans="1:2">
      <c r="A2670" s="3">
        <f ca="1">IFERROR(__xludf.DUMMYFUNCTION("""COMPUTED_VALUE"""),44230.6666666666)</f>
        <v>44230.666666666599</v>
      </c>
      <c r="B2670" s="1">
        <f ca="1">IFERROR(__xludf.DUMMYFUNCTION("""COMPUTED_VALUE"""),284.9)</f>
        <v>284.89999999999998</v>
      </c>
    </row>
    <row r="2671" spans="1:2">
      <c r="A2671" s="3">
        <f ca="1">IFERROR(__xludf.DUMMYFUNCTION("""COMPUTED_VALUE"""),44231.6666666666)</f>
        <v>44231.666666666599</v>
      </c>
      <c r="B2671" s="1">
        <f ca="1">IFERROR(__xludf.DUMMYFUNCTION("""COMPUTED_VALUE"""),283.33)</f>
        <v>283.33</v>
      </c>
    </row>
    <row r="2672" spans="1:2">
      <c r="A2672" s="3">
        <f ca="1">IFERROR(__xludf.DUMMYFUNCTION("""COMPUTED_VALUE"""),44232.6666666666)</f>
        <v>44232.666666666599</v>
      </c>
      <c r="B2672" s="1">
        <f ca="1">IFERROR(__xludf.DUMMYFUNCTION("""COMPUTED_VALUE"""),284.08)</f>
        <v>284.08</v>
      </c>
    </row>
    <row r="2673" spans="1:2">
      <c r="A2673" s="3">
        <f ca="1">IFERROR(__xludf.DUMMYFUNCTION("""COMPUTED_VALUE"""),44235.6666666666)</f>
        <v>44235.666666666599</v>
      </c>
      <c r="B2673" s="1">
        <f ca="1">IFERROR(__xludf.DUMMYFUNCTION("""COMPUTED_VALUE"""),287.81)</f>
        <v>287.81</v>
      </c>
    </row>
    <row r="2674" spans="1:2">
      <c r="A2674" s="3">
        <f ca="1">IFERROR(__xludf.DUMMYFUNCTION("""COMPUTED_VALUE"""),44236.6666666666)</f>
        <v>44236.666666666599</v>
      </c>
      <c r="B2674" s="1">
        <f ca="1">IFERROR(__xludf.DUMMYFUNCTION("""COMPUTED_VALUE"""),283.15)</f>
        <v>283.14999999999998</v>
      </c>
    </row>
    <row r="2675" spans="1:2">
      <c r="A2675" s="3">
        <f ca="1">IFERROR(__xludf.DUMMYFUNCTION("""COMPUTED_VALUE"""),44237.6666666666)</f>
        <v>44237.666666666599</v>
      </c>
      <c r="B2675" s="1">
        <f ca="1">IFERROR(__xludf.DUMMYFUNCTION("""COMPUTED_VALUE"""),268.27)</f>
        <v>268.27</v>
      </c>
    </row>
    <row r="2676" spans="1:2">
      <c r="A2676" s="3">
        <f ca="1">IFERROR(__xludf.DUMMYFUNCTION("""COMPUTED_VALUE"""),44238.6666666666)</f>
        <v>44238.666666666599</v>
      </c>
      <c r="B2676" s="1">
        <f ca="1">IFERROR(__xludf.DUMMYFUNCTION("""COMPUTED_VALUE"""),270.55)</f>
        <v>270.55</v>
      </c>
    </row>
    <row r="2677" spans="1:2">
      <c r="A2677" s="3">
        <f ca="1">IFERROR(__xludf.DUMMYFUNCTION("""COMPUTED_VALUE"""),44239.6666666666)</f>
        <v>44239.666666666599</v>
      </c>
      <c r="B2677" s="1">
        <f ca="1">IFERROR(__xludf.DUMMYFUNCTION("""COMPUTED_VALUE"""),272.04)</f>
        <v>272.04000000000002</v>
      </c>
    </row>
    <row r="2678" spans="1:2">
      <c r="A2678" s="3">
        <f ca="1">IFERROR(__xludf.DUMMYFUNCTION("""COMPUTED_VALUE"""),44243.6666666666)</f>
        <v>44243.666666666599</v>
      </c>
      <c r="B2678" s="1">
        <f ca="1">IFERROR(__xludf.DUMMYFUNCTION("""COMPUTED_VALUE"""),265.41)</f>
        <v>265.41000000000003</v>
      </c>
    </row>
    <row r="2679" spans="1:2">
      <c r="A2679" s="3">
        <f ca="1">IFERROR(__xludf.DUMMYFUNCTION("""COMPUTED_VALUE"""),44244.6666666666)</f>
        <v>44244.666666666599</v>
      </c>
      <c r="B2679" s="1">
        <f ca="1">IFERROR(__xludf.DUMMYFUNCTION("""COMPUTED_VALUE"""),266.05)</f>
        <v>266.05</v>
      </c>
    </row>
    <row r="2680" spans="1:2">
      <c r="A2680" s="3">
        <f ca="1">IFERROR(__xludf.DUMMYFUNCTION("""COMPUTED_VALUE"""),44245.6666666666)</f>
        <v>44245.666666666599</v>
      </c>
      <c r="B2680" s="1">
        <f ca="1">IFERROR(__xludf.DUMMYFUNCTION("""COMPUTED_VALUE"""),262.46)</f>
        <v>262.45999999999998</v>
      </c>
    </row>
    <row r="2681" spans="1:2">
      <c r="A2681" s="3">
        <f ca="1">IFERROR(__xludf.DUMMYFUNCTION("""COMPUTED_VALUE"""),44246.6666666666)</f>
        <v>44246.666666666599</v>
      </c>
      <c r="B2681" s="1">
        <f ca="1">IFERROR(__xludf.DUMMYFUNCTION("""COMPUTED_VALUE"""),260.43)</f>
        <v>260.43</v>
      </c>
    </row>
    <row r="2682" spans="1:2">
      <c r="A2682" s="3">
        <f ca="1">IFERROR(__xludf.DUMMYFUNCTION("""COMPUTED_VALUE"""),44249.6666666666)</f>
        <v>44249.666666666599</v>
      </c>
      <c r="B2682" s="1">
        <f ca="1">IFERROR(__xludf.DUMMYFUNCTION("""COMPUTED_VALUE"""),238.17)</f>
        <v>238.17</v>
      </c>
    </row>
    <row r="2683" spans="1:2">
      <c r="A2683" s="3">
        <f ca="1">IFERROR(__xludf.DUMMYFUNCTION("""COMPUTED_VALUE"""),44250.6666666666)</f>
        <v>44250.666666666599</v>
      </c>
      <c r="B2683" s="1">
        <f ca="1">IFERROR(__xludf.DUMMYFUNCTION("""COMPUTED_VALUE"""),232.95)</f>
        <v>232.95</v>
      </c>
    </row>
    <row r="2684" spans="1:2">
      <c r="A2684" s="3">
        <f ca="1">IFERROR(__xludf.DUMMYFUNCTION("""COMPUTED_VALUE"""),44251.6666666666)</f>
        <v>44251.666666666599</v>
      </c>
      <c r="B2684" s="1">
        <f ca="1">IFERROR(__xludf.DUMMYFUNCTION("""COMPUTED_VALUE"""),247.34)</f>
        <v>247.34</v>
      </c>
    </row>
    <row r="2685" spans="1:2">
      <c r="A2685" s="3">
        <f ca="1">IFERROR(__xludf.DUMMYFUNCTION("""COMPUTED_VALUE"""),44252.6666666666)</f>
        <v>44252.666666666599</v>
      </c>
      <c r="B2685" s="1">
        <f ca="1">IFERROR(__xludf.DUMMYFUNCTION("""COMPUTED_VALUE"""),227.41)</f>
        <v>227.41</v>
      </c>
    </row>
    <row r="2686" spans="1:2">
      <c r="A2686" s="3">
        <f ca="1">IFERROR(__xludf.DUMMYFUNCTION("""COMPUTED_VALUE"""),44253.6666666666)</f>
        <v>44253.666666666599</v>
      </c>
      <c r="B2686" s="1">
        <f ca="1">IFERROR(__xludf.DUMMYFUNCTION("""COMPUTED_VALUE"""),225.17)</f>
        <v>225.17</v>
      </c>
    </row>
    <row r="2687" spans="1:2">
      <c r="A2687" s="3">
        <f ca="1">IFERROR(__xludf.DUMMYFUNCTION("""COMPUTED_VALUE"""),44256.6666666666)</f>
        <v>44256.666666666599</v>
      </c>
      <c r="B2687" s="1">
        <f ca="1">IFERROR(__xludf.DUMMYFUNCTION("""COMPUTED_VALUE"""),239.48)</f>
        <v>239.48</v>
      </c>
    </row>
    <row r="2688" spans="1:2">
      <c r="A2688" s="3">
        <f ca="1">IFERROR(__xludf.DUMMYFUNCTION("""COMPUTED_VALUE"""),44257.6666666666)</f>
        <v>44257.666666666599</v>
      </c>
      <c r="B2688" s="1">
        <f ca="1">IFERROR(__xludf.DUMMYFUNCTION("""COMPUTED_VALUE"""),228.81)</f>
        <v>228.81</v>
      </c>
    </row>
    <row r="2689" spans="1:2">
      <c r="A2689" s="3">
        <f ca="1">IFERROR(__xludf.DUMMYFUNCTION("""COMPUTED_VALUE"""),44258.6666666666)</f>
        <v>44258.666666666599</v>
      </c>
      <c r="B2689" s="1">
        <f ca="1">IFERROR(__xludf.DUMMYFUNCTION("""COMPUTED_VALUE"""),217.73)</f>
        <v>217.73</v>
      </c>
    </row>
    <row r="2690" spans="1:2">
      <c r="A2690" s="3">
        <f ca="1">IFERROR(__xludf.DUMMYFUNCTION("""COMPUTED_VALUE"""),44259.6666666666)</f>
        <v>44259.666666666599</v>
      </c>
      <c r="B2690" s="1">
        <f ca="1">IFERROR(__xludf.DUMMYFUNCTION("""COMPUTED_VALUE"""),207.15)</f>
        <v>207.15</v>
      </c>
    </row>
    <row r="2691" spans="1:2">
      <c r="A2691" s="3">
        <f ca="1">IFERROR(__xludf.DUMMYFUNCTION("""COMPUTED_VALUE"""),44260.6666666666)</f>
        <v>44260.666666666599</v>
      </c>
      <c r="B2691" s="1">
        <f ca="1">IFERROR(__xludf.DUMMYFUNCTION("""COMPUTED_VALUE"""),199.32)</f>
        <v>199.32</v>
      </c>
    </row>
    <row r="2692" spans="1:2">
      <c r="A2692" s="3">
        <f ca="1">IFERROR(__xludf.DUMMYFUNCTION("""COMPUTED_VALUE"""),44263.6666666666)</f>
        <v>44263.666666666599</v>
      </c>
      <c r="B2692" s="1">
        <f ca="1">IFERROR(__xludf.DUMMYFUNCTION("""COMPUTED_VALUE"""),187.67)</f>
        <v>187.67</v>
      </c>
    </row>
    <row r="2693" spans="1:2">
      <c r="A2693" s="3">
        <f ca="1">IFERROR(__xludf.DUMMYFUNCTION("""COMPUTED_VALUE"""),44264.6666666666)</f>
        <v>44264.666666666599</v>
      </c>
      <c r="B2693" s="1">
        <f ca="1">IFERROR(__xludf.DUMMYFUNCTION("""COMPUTED_VALUE"""),224.53)</f>
        <v>224.53</v>
      </c>
    </row>
    <row r="2694" spans="1:2">
      <c r="A2694" s="3">
        <f ca="1">IFERROR(__xludf.DUMMYFUNCTION("""COMPUTED_VALUE"""),44265.6666666666)</f>
        <v>44265.666666666599</v>
      </c>
      <c r="B2694" s="1">
        <f ca="1">IFERROR(__xludf.DUMMYFUNCTION("""COMPUTED_VALUE"""),222.69)</f>
        <v>222.69</v>
      </c>
    </row>
    <row r="2695" spans="1:2">
      <c r="A2695" s="3">
        <f ca="1">IFERROR(__xludf.DUMMYFUNCTION("""COMPUTED_VALUE"""),44266.6666666666)</f>
        <v>44266.666666666599</v>
      </c>
      <c r="B2695" s="1">
        <f ca="1">IFERROR(__xludf.DUMMYFUNCTION("""COMPUTED_VALUE"""),233.2)</f>
        <v>233.2</v>
      </c>
    </row>
    <row r="2696" spans="1:2">
      <c r="A2696" s="3">
        <f ca="1">IFERROR(__xludf.DUMMYFUNCTION("""COMPUTED_VALUE"""),44267.6666666666)</f>
        <v>44267.666666666599</v>
      </c>
      <c r="B2696" s="1">
        <f ca="1">IFERROR(__xludf.DUMMYFUNCTION("""COMPUTED_VALUE"""),231.24)</f>
        <v>231.24</v>
      </c>
    </row>
    <row r="2697" spans="1:2">
      <c r="A2697" s="3">
        <f ca="1">IFERROR(__xludf.DUMMYFUNCTION("""COMPUTED_VALUE"""),44270.6666666666)</f>
        <v>44270.666666666599</v>
      </c>
      <c r="B2697" s="1">
        <f ca="1">IFERROR(__xludf.DUMMYFUNCTION("""COMPUTED_VALUE"""),235.98)</f>
        <v>235.98</v>
      </c>
    </row>
    <row r="2698" spans="1:2">
      <c r="A2698" s="3">
        <f ca="1">IFERROR(__xludf.DUMMYFUNCTION("""COMPUTED_VALUE"""),44271.6666666666)</f>
        <v>44271.666666666599</v>
      </c>
      <c r="B2698" s="1">
        <f ca="1">IFERROR(__xludf.DUMMYFUNCTION("""COMPUTED_VALUE"""),225.63)</f>
        <v>225.63</v>
      </c>
    </row>
    <row r="2699" spans="1:2">
      <c r="A2699" s="3">
        <f ca="1">IFERROR(__xludf.DUMMYFUNCTION("""COMPUTED_VALUE"""),44272.6666666666)</f>
        <v>44272.666666666599</v>
      </c>
      <c r="B2699" s="1">
        <f ca="1">IFERROR(__xludf.DUMMYFUNCTION("""COMPUTED_VALUE"""),233.94)</f>
        <v>233.94</v>
      </c>
    </row>
    <row r="2700" spans="1:2">
      <c r="A2700" s="3">
        <f ca="1">IFERROR(__xludf.DUMMYFUNCTION("""COMPUTED_VALUE"""),44273.6666666666)</f>
        <v>44273.666666666599</v>
      </c>
      <c r="B2700" s="1">
        <f ca="1">IFERROR(__xludf.DUMMYFUNCTION("""COMPUTED_VALUE"""),217.72)</f>
        <v>217.72</v>
      </c>
    </row>
    <row r="2701" spans="1:2">
      <c r="A2701" s="3">
        <f ca="1">IFERROR(__xludf.DUMMYFUNCTION("""COMPUTED_VALUE"""),44274.6666666666)</f>
        <v>44274.666666666599</v>
      </c>
      <c r="B2701" s="1">
        <f ca="1">IFERROR(__xludf.DUMMYFUNCTION("""COMPUTED_VALUE"""),218.29)</f>
        <v>218.29</v>
      </c>
    </row>
    <row r="2702" spans="1:2">
      <c r="A2702" s="3">
        <f ca="1">IFERROR(__xludf.DUMMYFUNCTION("""COMPUTED_VALUE"""),44277.6666666666)</f>
        <v>44277.666666666599</v>
      </c>
      <c r="B2702" s="1">
        <f ca="1">IFERROR(__xludf.DUMMYFUNCTION("""COMPUTED_VALUE"""),223.33)</f>
        <v>223.33</v>
      </c>
    </row>
    <row r="2703" spans="1:2">
      <c r="A2703" s="3">
        <f ca="1">IFERROR(__xludf.DUMMYFUNCTION("""COMPUTED_VALUE"""),44278.6666666666)</f>
        <v>44278.666666666599</v>
      </c>
      <c r="B2703" s="1">
        <f ca="1">IFERROR(__xludf.DUMMYFUNCTION("""COMPUTED_VALUE"""),220.72)</f>
        <v>220.72</v>
      </c>
    </row>
    <row r="2704" spans="1:2">
      <c r="A2704" s="3">
        <f ca="1">IFERROR(__xludf.DUMMYFUNCTION("""COMPUTED_VALUE"""),44279.6666666666)</f>
        <v>44279.666666666599</v>
      </c>
      <c r="B2704" s="1">
        <f ca="1">IFERROR(__xludf.DUMMYFUNCTION("""COMPUTED_VALUE"""),210.09)</f>
        <v>210.09</v>
      </c>
    </row>
    <row r="2705" spans="1:2">
      <c r="A2705" s="3">
        <f ca="1">IFERROR(__xludf.DUMMYFUNCTION("""COMPUTED_VALUE"""),44280.6666666666)</f>
        <v>44280.666666666599</v>
      </c>
      <c r="B2705" s="1">
        <f ca="1">IFERROR(__xludf.DUMMYFUNCTION("""COMPUTED_VALUE"""),213.46)</f>
        <v>213.46</v>
      </c>
    </row>
    <row r="2706" spans="1:2">
      <c r="A2706" s="3">
        <f ca="1">IFERROR(__xludf.DUMMYFUNCTION("""COMPUTED_VALUE"""),44281.6666666666)</f>
        <v>44281.666666666599</v>
      </c>
      <c r="B2706" s="1">
        <f ca="1">IFERROR(__xludf.DUMMYFUNCTION("""COMPUTED_VALUE"""),206.24)</f>
        <v>206.24</v>
      </c>
    </row>
    <row r="2707" spans="1:2">
      <c r="A2707" s="3">
        <f ca="1">IFERROR(__xludf.DUMMYFUNCTION("""COMPUTED_VALUE"""),44284.6666666666)</f>
        <v>44284.666666666599</v>
      </c>
      <c r="B2707" s="1">
        <f ca="1">IFERROR(__xludf.DUMMYFUNCTION("""COMPUTED_VALUE"""),203.76)</f>
        <v>203.76</v>
      </c>
    </row>
    <row r="2708" spans="1:2">
      <c r="A2708" s="3">
        <f ca="1">IFERROR(__xludf.DUMMYFUNCTION("""COMPUTED_VALUE"""),44285.6666666666)</f>
        <v>44285.666666666599</v>
      </c>
      <c r="B2708" s="1">
        <f ca="1">IFERROR(__xludf.DUMMYFUNCTION("""COMPUTED_VALUE"""),211.87)</f>
        <v>211.87</v>
      </c>
    </row>
    <row r="2709" spans="1:2">
      <c r="A2709" s="3">
        <f ca="1">IFERROR(__xludf.DUMMYFUNCTION("""COMPUTED_VALUE"""),44286.6666666666)</f>
        <v>44286.666666666599</v>
      </c>
      <c r="B2709" s="1">
        <f ca="1">IFERROR(__xludf.DUMMYFUNCTION("""COMPUTED_VALUE"""),222.64)</f>
        <v>222.64</v>
      </c>
    </row>
    <row r="2710" spans="1:2">
      <c r="A2710" s="3">
        <f ca="1">IFERROR(__xludf.DUMMYFUNCTION("""COMPUTED_VALUE"""),44287.6666666666)</f>
        <v>44287.666666666599</v>
      </c>
      <c r="B2710" s="1">
        <f ca="1">IFERROR(__xludf.DUMMYFUNCTION("""COMPUTED_VALUE"""),220.58)</f>
        <v>220.58</v>
      </c>
    </row>
    <row r="2711" spans="1:2">
      <c r="A2711" s="3">
        <f ca="1">IFERROR(__xludf.DUMMYFUNCTION("""COMPUTED_VALUE"""),44291.6666666666)</f>
        <v>44291.666666666599</v>
      </c>
      <c r="B2711" s="1">
        <f ca="1">IFERROR(__xludf.DUMMYFUNCTION("""COMPUTED_VALUE"""),230.35)</f>
        <v>230.35</v>
      </c>
    </row>
    <row r="2712" spans="1:2">
      <c r="A2712" s="3">
        <f ca="1">IFERROR(__xludf.DUMMYFUNCTION("""COMPUTED_VALUE"""),44292.6666666666)</f>
        <v>44292.666666666599</v>
      </c>
      <c r="B2712" s="1">
        <f ca="1">IFERROR(__xludf.DUMMYFUNCTION("""COMPUTED_VALUE"""),230.54)</f>
        <v>230.54</v>
      </c>
    </row>
    <row r="2713" spans="1:2">
      <c r="A2713" s="3">
        <f ca="1">IFERROR(__xludf.DUMMYFUNCTION("""COMPUTED_VALUE"""),44293.6666666666)</f>
        <v>44293.666666666599</v>
      </c>
      <c r="B2713" s="1">
        <f ca="1">IFERROR(__xludf.DUMMYFUNCTION("""COMPUTED_VALUE"""),223.66)</f>
        <v>223.66</v>
      </c>
    </row>
    <row r="2714" spans="1:2">
      <c r="A2714" s="3">
        <f ca="1">IFERROR(__xludf.DUMMYFUNCTION("""COMPUTED_VALUE"""),44294.6666666666)</f>
        <v>44294.666666666599</v>
      </c>
      <c r="B2714" s="1">
        <f ca="1">IFERROR(__xludf.DUMMYFUNCTION("""COMPUTED_VALUE"""),227.93)</f>
        <v>227.93</v>
      </c>
    </row>
    <row r="2715" spans="1:2">
      <c r="A2715" s="3">
        <f ca="1">IFERROR(__xludf.DUMMYFUNCTION("""COMPUTED_VALUE"""),44295.6666666666)</f>
        <v>44295.666666666599</v>
      </c>
      <c r="B2715" s="1">
        <f ca="1">IFERROR(__xludf.DUMMYFUNCTION("""COMPUTED_VALUE"""),225.67)</f>
        <v>225.67</v>
      </c>
    </row>
    <row r="2716" spans="1:2">
      <c r="A2716" s="3">
        <f ca="1">IFERROR(__xludf.DUMMYFUNCTION("""COMPUTED_VALUE"""),44298.6666666666)</f>
        <v>44298.666666666599</v>
      </c>
      <c r="B2716" s="1">
        <f ca="1">IFERROR(__xludf.DUMMYFUNCTION("""COMPUTED_VALUE"""),233.99)</f>
        <v>233.99</v>
      </c>
    </row>
    <row r="2717" spans="1:2">
      <c r="A2717" s="3">
        <f ca="1">IFERROR(__xludf.DUMMYFUNCTION("""COMPUTED_VALUE"""),44299.6666666666)</f>
        <v>44299.666666666599</v>
      </c>
      <c r="B2717" s="1">
        <f ca="1">IFERROR(__xludf.DUMMYFUNCTION("""COMPUTED_VALUE"""),254.11)</f>
        <v>254.11</v>
      </c>
    </row>
    <row r="2718" spans="1:2">
      <c r="A2718" s="3">
        <f ca="1">IFERROR(__xludf.DUMMYFUNCTION("""COMPUTED_VALUE"""),44300.6666666666)</f>
        <v>44300.666666666599</v>
      </c>
      <c r="B2718" s="1">
        <f ca="1">IFERROR(__xludf.DUMMYFUNCTION("""COMPUTED_VALUE"""),244.08)</f>
        <v>244.08</v>
      </c>
    </row>
    <row r="2719" spans="1:2">
      <c r="A2719" s="3">
        <f ca="1">IFERROR(__xludf.DUMMYFUNCTION("""COMPUTED_VALUE"""),44301.6666666666)</f>
        <v>44301.666666666599</v>
      </c>
      <c r="B2719" s="1">
        <f ca="1">IFERROR(__xludf.DUMMYFUNCTION("""COMPUTED_VALUE"""),246.28)</f>
        <v>246.28</v>
      </c>
    </row>
    <row r="2720" spans="1:2">
      <c r="A2720" s="3">
        <f ca="1">IFERROR(__xludf.DUMMYFUNCTION("""COMPUTED_VALUE"""),44302.6666666666)</f>
        <v>44302.666666666599</v>
      </c>
      <c r="B2720" s="1">
        <f ca="1">IFERROR(__xludf.DUMMYFUNCTION("""COMPUTED_VALUE"""),246.59)</f>
        <v>246.59</v>
      </c>
    </row>
    <row r="2721" spans="1:2">
      <c r="A2721" s="3">
        <f ca="1">IFERROR(__xludf.DUMMYFUNCTION("""COMPUTED_VALUE"""),44305.6666666666)</f>
        <v>44305.666666666599</v>
      </c>
      <c r="B2721" s="1">
        <f ca="1">IFERROR(__xludf.DUMMYFUNCTION("""COMPUTED_VALUE"""),238.21)</f>
        <v>238.21</v>
      </c>
    </row>
    <row r="2722" spans="1:2">
      <c r="A2722" s="3">
        <f ca="1">IFERROR(__xludf.DUMMYFUNCTION("""COMPUTED_VALUE"""),44306.6666666666)</f>
        <v>44306.666666666599</v>
      </c>
      <c r="B2722" s="1">
        <f ca="1">IFERROR(__xludf.DUMMYFUNCTION("""COMPUTED_VALUE"""),239.66)</f>
        <v>239.66</v>
      </c>
    </row>
    <row r="2723" spans="1:2">
      <c r="A2723" s="3">
        <f ca="1">IFERROR(__xludf.DUMMYFUNCTION("""COMPUTED_VALUE"""),44307.6666666666)</f>
        <v>44307.666666666599</v>
      </c>
      <c r="B2723" s="1">
        <f ca="1">IFERROR(__xludf.DUMMYFUNCTION("""COMPUTED_VALUE"""),248.04)</f>
        <v>248.04</v>
      </c>
    </row>
    <row r="2724" spans="1:2">
      <c r="A2724" s="3">
        <f ca="1">IFERROR(__xludf.DUMMYFUNCTION("""COMPUTED_VALUE"""),44308.6666666666)</f>
        <v>44308.666666666599</v>
      </c>
      <c r="B2724" s="1">
        <f ca="1">IFERROR(__xludf.DUMMYFUNCTION("""COMPUTED_VALUE"""),239.9)</f>
        <v>239.9</v>
      </c>
    </row>
    <row r="2725" spans="1:2">
      <c r="A2725" s="3">
        <f ca="1">IFERROR(__xludf.DUMMYFUNCTION("""COMPUTED_VALUE"""),44309.6666666666)</f>
        <v>44309.666666666599</v>
      </c>
      <c r="B2725" s="1">
        <f ca="1">IFERROR(__xludf.DUMMYFUNCTION("""COMPUTED_VALUE"""),243.13)</f>
        <v>243.13</v>
      </c>
    </row>
    <row r="2726" spans="1:2">
      <c r="A2726" s="3">
        <f ca="1">IFERROR(__xludf.DUMMYFUNCTION("""COMPUTED_VALUE"""),44312.6666666666)</f>
        <v>44312.666666666599</v>
      </c>
      <c r="B2726" s="1">
        <f ca="1">IFERROR(__xludf.DUMMYFUNCTION("""COMPUTED_VALUE"""),246.07)</f>
        <v>246.07</v>
      </c>
    </row>
    <row r="2727" spans="1:2">
      <c r="A2727" s="3">
        <f ca="1">IFERROR(__xludf.DUMMYFUNCTION("""COMPUTED_VALUE"""),44313.6666666666)</f>
        <v>44313.666666666599</v>
      </c>
      <c r="B2727" s="1">
        <f ca="1">IFERROR(__xludf.DUMMYFUNCTION("""COMPUTED_VALUE"""),234.91)</f>
        <v>234.91</v>
      </c>
    </row>
    <row r="2728" spans="1:2">
      <c r="A2728" s="3">
        <f ca="1">IFERROR(__xludf.DUMMYFUNCTION("""COMPUTED_VALUE"""),44314.6666666666)</f>
        <v>44314.666666666599</v>
      </c>
      <c r="B2728" s="1">
        <f ca="1">IFERROR(__xludf.DUMMYFUNCTION("""COMPUTED_VALUE"""),231.47)</f>
        <v>231.47</v>
      </c>
    </row>
    <row r="2729" spans="1:2">
      <c r="A2729" s="3">
        <f ca="1">IFERROR(__xludf.DUMMYFUNCTION("""COMPUTED_VALUE"""),44315.6666666666)</f>
        <v>44315.666666666599</v>
      </c>
      <c r="B2729" s="1">
        <f ca="1">IFERROR(__xludf.DUMMYFUNCTION("""COMPUTED_VALUE"""),225.67)</f>
        <v>225.67</v>
      </c>
    </row>
    <row r="2730" spans="1:2">
      <c r="A2730" s="3">
        <f ca="1">IFERROR(__xludf.DUMMYFUNCTION("""COMPUTED_VALUE"""),44316.6666666666)</f>
        <v>44316.666666666599</v>
      </c>
      <c r="B2730" s="1">
        <f ca="1">IFERROR(__xludf.DUMMYFUNCTION("""COMPUTED_VALUE"""),236.48)</f>
        <v>236.48</v>
      </c>
    </row>
    <row r="2731" spans="1:2">
      <c r="A2731" s="3">
        <f ca="1">IFERROR(__xludf.DUMMYFUNCTION("""COMPUTED_VALUE"""),44319.6666666666)</f>
        <v>44319.666666666599</v>
      </c>
      <c r="B2731" s="1">
        <f ca="1">IFERROR(__xludf.DUMMYFUNCTION("""COMPUTED_VALUE"""),228.3)</f>
        <v>228.3</v>
      </c>
    </row>
    <row r="2732" spans="1:2">
      <c r="A2732" s="3">
        <f ca="1">IFERROR(__xludf.DUMMYFUNCTION("""COMPUTED_VALUE"""),44320.6666666666)</f>
        <v>44320.666666666599</v>
      </c>
      <c r="B2732" s="1">
        <f ca="1">IFERROR(__xludf.DUMMYFUNCTION("""COMPUTED_VALUE"""),224.53)</f>
        <v>224.53</v>
      </c>
    </row>
    <row r="2733" spans="1:2">
      <c r="A2733" s="3">
        <f ca="1">IFERROR(__xludf.DUMMYFUNCTION("""COMPUTED_VALUE"""),44321.6666666666)</f>
        <v>44321.666666666599</v>
      </c>
      <c r="B2733" s="1">
        <f ca="1">IFERROR(__xludf.DUMMYFUNCTION("""COMPUTED_VALUE"""),223.65)</f>
        <v>223.65</v>
      </c>
    </row>
    <row r="2734" spans="1:2">
      <c r="A2734" s="3">
        <f ca="1">IFERROR(__xludf.DUMMYFUNCTION("""COMPUTED_VALUE"""),44322.6666666666)</f>
        <v>44322.666666666599</v>
      </c>
      <c r="B2734" s="1">
        <f ca="1">IFERROR(__xludf.DUMMYFUNCTION("""COMPUTED_VALUE"""),221.18)</f>
        <v>221.18</v>
      </c>
    </row>
    <row r="2735" spans="1:2">
      <c r="A2735" s="3">
        <f ca="1">IFERROR(__xludf.DUMMYFUNCTION("""COMPUTED_VALUE"""),44323.6666666666)</f>
        <v>44323.666666666599</v>
      </c>
      <c r="B2735" s="1">
        <f ca="1">IFERROR(__xludf.DUMMYFUNCTION("""COMPUTED_VALUE"""),224.12)</f>
        <v>224.12</v>
      </c>
    </row>
    <row r="2736" spans="1:2">
      <c r="A2736" s="3">
        <f ca="1">IFERROR(__xludf.DUMMYFUNCTION("""COMPUTED_VALUE"""),44326.6666666666)</f>
        <v>44326.666666666599</v>
      </c>
      <c r="B2736" s="1">
        <f ca="1">IFERROR(__xludf.DUMMYFUNCTION("""COMPUTED_VALUE"""),209.68)</f>
        <v>209.68</v>
      </c>
    </row>
    <row r="2737" spans="1:2">
      <c r="A2737" s="3">
        <f ca="1">IFERROR(__xludf.DUMMYFUNCTION("""COMPUTED_VALUE"""),44327.6666666666)</f>
        <v>44327.666666666599</v>
      </c>
      <c r="B2737" s="1">
        <f ca="1">IFERROR(__xludf.DUMMYFUNCTION("""COMPUTED_VALUE"""),205.73)</f>
        <v>205.73</v>
      </c>
    </row>
    <row r="2738" spans="1:2">
      <c r="A2738" s="3">
        <f ca="1">IFERROR(__xludf.DUMMYFUNCTION("""COMPUTED_VALUE"""),44328.6666666666)</f>
        <v>44328.666666666599</v>
      </c>
      <c r="B2738" s="1">
        <f ca="1">IFERROR(__xludf.DUMMYFUNCTION("""COMPUTED_VALUE"""),196.63)</f>
        <v>196.63</v>
      </c>
    </row>
    <row r="2739" spans="1:2">
      <c r="A2739" s="3">
        <f ca="1">IFERROR(__xludf.DUMMYFUNCTION("""COMPUTED_VALUE"""),44329.6666666666)</f>
        <v>44329.666666666599</v>
      </c>
      <c r="B2739" s="1">
        <f ca="1">IFERROR(__xludf.DUMMYFUNCTION("""COMPUTED_VALUE"""),190.56)</f>
        <v>190.56</v>
      </c>
    </row>
    <row r="2740" spans="1:2">
      <c r="A2740" s="3">
        <f ca="1">IFERROR(__xludf.DUMMYFUNCTION("""COMPUTED_VALUE"""),44330.6666666666)</f>
        <v>44330.666666666599</v>
      </c>
      <c r="B2740" s="1">
        <f ca="1">IFERROR(__xludf.DUMMYFUNCTION("""COMPUTED_VALUE"""),196.58)</f>
        <v>196.58</v>
      </c>
    </row>
    <row r="2741" spans="1:2">
      <c r="A2741" s="3">
        <f ca="1">IFERROR(__xludf.DUMMYFUNCTION("""COMPUTED_VALUE"""),44333.6666666666)</f>
        <v>44333.666666666599</v>
      </c>
      <c r="B2741" s="1">
        <f ca="1">IFERROR(__xludf.DUMMYFUNCTION("""COMPUTED_VALUE"""),192.28)</f>
        <v>192.28</v>
      </c>
    </row>
    <row r="2742" spans="1:2">
      <c r="A2742" s="3">
        <f ca="1">IFERROR(__xludf.DUMMYFUNCTION("""COMPUTED_VALUE"""),44334.6666666666)</f>
        <v>44334.666666666599</v>
      </c>
      <c r="B2742" s="1">
        <f ca="1">IFERROR(__xludf.DUMMYFUNCTION("""COMPUTED_VALUE"""),192.62)</f>
        <v>192.62</v>
      </c>
    </row>
    <row r="2743" spans="1:2">
      <c r="A2743" s="3">
        <f ca="1">IFERROR(__xludf.DUMMYFUNCTION("""COMPUTED_VALUE"""),44335.6666666666)</f>
        <v>44335.666666666599</v>
      </c>
      <c r="B2743" s="1">
        <f ca="1">IFERROR(__xludf.DUMMYFUNCTION("""COMPUTED_VALUE"""),187.82)</f>
        <v>187.82</v>
      </c>
    </row>
    <row r="2744" spans="1:2">
      <c r="A2744" s="3">
        <f ca="1">IFERROR(__xludf.DUMMYFUNCTION("""COMPUTED_VALUE"""),44336.6666666666)</f>
        <v>44336.666666666599</v>
      </c>
      <c r="B2744" s="1">
        <f ca="1">IFERROR(__xludf.DUMMYFUNCTION("""COMPUTED_VALUE"""),195.59)</f>
        <v>195.59</v>
      </c>
    </row>
    <row r="2745" spans="1:2">
      <c r="A2745" s="3">
        <f ca="1">IFERROR(__xludf.DUMMYFUNCTION("""COMPUTED_VALUE"""),44337.6666666666)</f>
        <v>44337.666666666599</v>
      </c>
      <c r="B2745" s="1">
        <f ca="1">IFERROR(__xludf.DUMMYFUNCTION("""COMPUTED_VALUE"""),193.63)</f>
        <v>193.63</v>
      </c>
    </row>
    <row r="2746" spans="1:2">
      <c r="A2746" s="3">
        <f ca="1">IFERROR(__xludf.DUMMYFUNCTION("""COMPUTED_VALUE"""),44340.6666666666)</f>
        <v>44340.666666666599</v>
      </c>
      <c r="B2746" s="1">
        <f ca="1">IFERROR(__xludf.DUMMYFUNCTION("""COMPUTED_VALUE"""),202.15)</f>
        <v>202.15</v>
      </c>
    </row>
    <row r="2747" spans="1:2">
      <c r="A2747" s="3">
        <f ca="1">IFERROR(__xludf.DUMMYFUNCTION("""COMPUTED_VALUE"""),44341.6666666666)</f>
        <v>44341.666666666599</v>
      </c>
      <c r="B2747" s="1">
        <f ca="1">IFERROR(__xludf.DUMMYFUNCTION("""COMPUTED_VALUE"""),201.56)</f>
        <v>201.56</v>
      </c>
    </row>
    <row r="2748" spans="1:2">
      <c r="A2748" s="3">
        <f ca="1">IFERROR(__xludf.DUMMYFUNCTION("""COMPUTED_VALUE"""),44342.6666666666)</f>
        <v>44342.666666666599</v>
      </c>
      <c r="B2748" s="1">
        <f ca="1">IFERROR(__xludf.DUMMYFUNCTION("""COMPUTED_VALUE"""),206.38)</f>
        <v>206.38</v>
      </c>
    </row>
    <row r="2749" spans="1:2">
      <c r="A2749" s="3">
        <f ca="1">IFERROR(__xludf.DUMMYFUNCTION("""COMPUTED_VALUE"""),44343.6666666666)</f>
        <v>44343.666666666599</v>
      </c>
      <c r="B2749" s="1">
        <f ca="1">IFERROR(__xludf.DUMMYFUNCTION("""COMPUTED_VALUE"""),210.28)</f>
        <v>210.28</v>
      </c>
    </row>
    <row r="2750" spans="1:2">
      <c r="A2750" s="3">
        <f ca="1">IFERROR(__xludf.DUMMYFUNCTION("""COMPUTED_VALUE"""),44344.6666666666)</f>
        <v>44344.666666666599</v>
      </c>
      <c r="B2750" s="1">
        <f ca="1">IFERROR(__xludf.DUMMYFUNCTION("""COMPUTED_VALUE"""),208.41)</f>
        <v>208.41</v>
      </c>
    </row>
    <row r="2751" spans="1:2">
      <c r="A2751" s="3">
        <f ca="1">IFERROR(__xludf.DUMMYFUNCTION("""COMPUTED_VALUE"""),44348.6666666666)</f>
        <v>44348.666666666599</v>
      </c>
      <c r="B2751" s="1">
        <f ca="1">IFERROR(__xludf.DUMMYFUNCTION("""COMPUTED_VALUE"""),207.97)</f>
        <v>207.97</v>
      </c>
    </row>
    <row r="2752" spans="1:2">
      <c r="A2752" s="3">
        <f ca="1">IFERROR(__xludf.DUMMYFUNCTION("""COMPUTED_VALUE"""),44349.6666666666)</f>
        <v>44349.666666666599</v>
      </c>
      <c r="B2752" s="1">
        <f ca="1">IFERROR(__xludf.DUMMYFUNCTION("""COMPUTED_VALUE"""),201.71)</f>
        <v>201.71</v>
      </c>
    </row>
    <row r="2753" spans="1:2">
      <c r="A2753" s="3">
        <f ca="1">IFERROR(__xludf.DUMMYFUNCTION("""COMPUTED_VALUE"""),44350.6666666666)</f>
        <v>44350.666666666599</v>
      </c>
      <c r="B2753" s="1">
        <f ca="1">IFERROR(__xludf.DUMMYFUNCTION("""COMPUTED_VALUE"""),190.95)</f>
        <v>190.95</v>
      </c>
    </row>
    <row r="2754" spans="1:2">
      <c r="A2754" s="3">
        <f ca="1">IFERROR(__xludf.DUMMYFUNCTION("""COMPUTED_VALUE"""),44351.6666666666)</f>
        <v>44351.666666666599</v>
      </c>
      <c r="B2754" s="1">
        <f ca="1">IFERROR(__xludf.DUMMYFUNCTION("""COMPUTED_VALUE"""),199.68)</f>
        <v>199.68</v>
      </c>
    </row>
    <row r="2755" spans="1:2">
      <c r="A2755" s="3">
        <f ca="1">IFERROR(__xludf.DUMMYFUNCTION("""COMPUTED_VALUE"""),44354.6666666666)</f>
        <v>44354.666666666599</v>
      </c>
      <c r="B2755" s="1">
        <f ca="1">IFERROR(__xludf.DUMMYFUNCTION("""COMPUTED_VALUE"""),201.71)</f>
        <v>201.71</v>
      </c>
    </row>
    <row r="2756" spans="1:2">
      <c r="A2756" s="3">
        <f ca="1">IFERROR(__xludf.DUMMYFUNCTION("""COMPUTED_VALUE"""),44355.6666666666)</f>
        <v>44355.666666666599</v>
      </c>
      <c r="B2756" s="1">
        <f ca="1">IFERROR(__xludf.DUMMYFUNCTION("""COMPUTED_VALUE"""),201.2)</f>
        <v>201.2</v>
      </c>
    </row>
    <row r="2757" spans="1:2">
      <c r="A2757" s="3">
        <f ca="1">IFERROR(__xludf.DUMMYFUNCTION("""COMPUTED_VALUE"""),44356.6666666666)</f>
        <v>44356.666666666599</v>
      </c>
      <c r="B2757" s="1">
        <f ca="1">IFERROR(__xludf.DUMMYFUNCTION("""COMPUTED_VALUE"""),199.59)</f>
        <v>199.59</v>
      </c>
    </row>
    <row r="2758" spans="1:2">
      <c r="A2758" s="3">
        <f ca="1">IFERROR(__xludf.DUMMYFUNCTION("""COMPUTED_VALUE"""),44357.6666666666)</f>
        <v>44357.666666666599</v>
      </c>
      <c r="B2758" s="1">
        <f ca="1">IFERROR(__xludf.DUMMYFUNCTION("""COMPUTED_VALUE"""),203.37)</f>
        <v>203.37</v>
      </c>
    </row>
    <row r="2759" spans="1:2">
      <c r="A2759" s="3">
        <f ca="1">IFERROR(__xludf.DUMMYFUNCTION("""COMPUTED_VALUE"""),44358.6666666666)</f>
        <v>44358.666666666599</v>
      </c>
      <c r="B2759" s="1">
        <f ca="1">IFERROR(__xludf.DUMMYFUNCTION("""COMPUTED_VALUE"""),203.3)</f>
        <v>203.3</v>
      </c>
    </row>
    <row r="2760" spans="1:2">
      <c r="A2760" s="3">
        <f ca="1">IFERROR(__xludf.DUMMYFUNCTION("""COMPUTED_VALUE"""),44361.6666666666)</f>
        <v>44361.666666666599</v>
      </c>
      <c r="B2760" s="1">
        <f ca="1">IFERROR(__xludf.DUMMYFUNCTION("""COMPUTED_VALUE"""),205.9)</f>
        <v>205.9</v>
      </c>
    </row>
    <row r="2761" spans="1:2">
      <c r="A2761" s="3">
        <f ca="1">IFERROR(__xludf.DUMMYFUNCTION("""COMPUTED_VALUE"""),44362.6666666666)</f>
        <v>44362.666666666599</v>
      </c>
      <c r="B2761" s="1">
        <f ca="1">IFERROR(__xludf.DUMMYFUNCTION("""COMPUTED_VALUE"""),199.79)</f>
        <v>199.79</v>
      </c>
    </row>
    <row r="2762" spans="1:2">
      <c r="A2762" s="3">
        <f ca="1">IFERROR(__xludf.DUMMYFUNCTION("""COMPUTED_VALUE"""),44363.6666666666)</f>
        <v>44363.666666666599</v>
      </c>
      <c r="B2762" s="1">
        <f ca="1">IFERROR(__xludf.DUMMYFUNCTION("""COMPUTED_VALUE"""),201.62)</f>
        <v>201.62</v>
      </c>
    </row>
    <row r="2763" spans="1:2">
      <c r="A2763" s="3">
        <f ca="1">IFERROR(__xludf.DUMMYFUNCTION("""COMPUTED_VALUE"""),44364.6666666666)</f>
        <v>44364.666666666599</v>
      </c>
      <c r="B2763" s="1">
        <f ca="1">IFERROR(__xludf.DUMMYFUNCTION("""COMPUTED_VALUE"""),205.53)</f>
        <v>205.53</v>
      </c>
    </row>
    <row r="2764" spans="1:2">
      <c r="A2764" s="3">
        <f ca="1">IFERROR(__xludf.DUMMYFUNCTION("""COMPUTED_VALUE"""),44365.6666666666)</f>
        <v>44365.666666666599</v>
      </c>
      <c r="B2764" s="1">
        <f ca="1">IFERROR(__xludf.DUMMYFUNCTION("""COMPUTED_VALUE"""),207.77)</f>
        <v>207.77</v>
      </c>
    </row>
    <row r="2765" spans="1:2">
      <c r="A2765" s="3">
        <f ca="1">IFERROR(__xludf.DUMMYFUNCTION("""COMPUTED_VALUE"""),44368.6666666666)</f>
        <v>44368.666666666599</v>
      </c>
      <c r="B2765" s="1">
        <f ca="1">IFERROR(__xludf.DUMMYFUNCTION("""COMPUTED_VALUE"""),206.94)</f>
        <v>206.94</v>
      </c>
    </row>
    <row r="2766" spans="1:2">
      <c r="A2766" s="3">
        <f ca="1">IFERROR(__xludf.DUMMYFUNCTION("""COMPUTED_VALUE"""),44369.6666666666)</f>
        <v>44369.666666666599</v>
      </c>
      <c r="B2766" s="1">
        <f ca="1">IFERROR(__xludf.DUMMYFUNCTION("""COMPUTED_VALUE"""),207.9)</f>
        <v>207.9</v>
      </c>
    </row>
    <row r="2767" spans="1:2">
      <c r="A2767" s="3">
        <f ca="1">IFERROR(__xludf.DUMMYFUNCTION("""COMPUTED_VALUE"""),44370.6666666666)</f>
        <v>44370.666666666599</v>
      </c>
      <c r="B2767" s="1">
        <f ca="1">IFERROR(__xludf.DUMMYFUNCTION("""COMPUTED_VALUE"""),218.86)</f>
        <v>218.86</v>
      </c>
    </row>
    <row r="2768" spans="1:2">
      <c r="A2768" s="3">
        <f ca="1">IFERROR(__xludf.DUMMYFUNCTION("""COMPUTED_VALUE"""),44371.6666666666)</f>
        <v>44371.666666666599</v>
      </c>
      <c r="B2768" s="1">
        <f ca="1">IFERROR(__xludf.DUMMYFUNCTION("""COMPUTED_VALUE"""),226.61)</f>
        <v>226.61</v>
      </c>
    </row>
    <row r="2769" spans="1:2">
      <c r="A2769" s="3">
        <f ca="1">IFERROR(__xludf.DUMMYFUNCTION("""COMPUTED_VALUE"""),44372.6666666666)</f>
        <v>44372.666666666599</v>
      </c>
      <c r="B2769" s="1">
        <f ca="1">IFERROR(__xludf.DUMMYFUNCTION("""COMPUTED_VALUE"""),223.96)</f>
        <v>223.96</v>
      </c>
    </row>
    <row r="2770" spans="1:2">
      <c r="A2770" s="3">
        <f ca="1">IFERROR(__xludf.DUMMYFUNCTION("""COMPUTED_VALUE"""),44375.6666666666)</f>
        <v>44375.666666666599</v>
      </c>
      <c r="B2770" s="1">
        <f ca="1">IFERROR(__xludf.DUMMYFUNCTION("""COMPUTED_VALUE"""),229.57)</f>
        <v>229.57</v>
      </c>
    </row>
    <row r="2771" spans="1:2">
      <c r="A2771" s="3">
        <f ca="1">IFERROR(__xludf.DUMMYFUNCTION("""COMPUTED_VALUE"""),44376.6666666666)</f>
        <v>44376.666666666599</v>
      </c>
      <c r="B2771" s="1">
        <f ca="1">IFERROR(__xludf.DUMMYFUNCTION("""COMPUTED_VALUE"""),226.92)</f>
        <v>226.92</v>
      </c>
    </row>
    <row r="2772" spans="1:2">
      <c r="A2772" s="3">
        <f ca="1">IFERROR(__xludf.DUMMYFUNCTION("""COMPUTED_VALUE"""),44377.6666666666)</f>
        <v>44377.666666666599</v>
      </c>
      <c r="B2772" s="1">
        <f ca="1">IFERROR(__xludf.DUMMYFUNCTION("""COMPUTED_VALUE"""),226.57)</f>
        <v>226.57</v>
      </c>
    </row>
    <row r="2773" spans="1:2">
      <c r="A2773" s="3">
        <f ca="1">IFERROR(__xludf.DUMMYFUNCTION("""COMPUTED_VALUE"""),44378.6666666666)</f>
        <v>44378.666666666599</v>
      </c>
      <c r="B2773" s="1">
        <f ca="1">IFERROR(__xludf.DUMMYFUNCTION("""COMPUTED_VALUE"""),225.97)</f>
        <v>225.97</v>
      </c>
    </row>
    <row r="2774" spans="1:2">
      <c r="A2774" s="3">
        <f ca="1">IFERROR(__xludf.DUMMYFUNCTION("""COMPUTED_VALUE"""),44379.6666666666)</f>
        <v>44379.666666666599</v>
      </c>
      <c r="B2774" s="1">
        <f ca="1">IFERROR(__xludf.DUMMYFUNCTION("""COMPUTED_VALUE"""),226.3)</f>
        <v>226.3</v>
      </c>
    </row>
    <row r="2775" spans="1:2">
      <c r="A2775" s="3">
        <f ca="1">IFERROR(__xludf.DUMMYFUNCTION("""COMPUTED_VALUE"""),44383.6666666666)</f>
        <v>44383.666666666599</v>
      </c>
      <c r="B2775" s="1">
        <f ca="1">IFERROR(__xludf.DUMMYFUNCTION("""COMPUTED_VALUE"""),219.86)</f>
        <v>219.86</v>
      </c>
    </row>
    <row r="2776" spans="1:2">
      <c r="A2776" s="3">
        <f ca="1">IFERROR(__xludf.DUMMYFUNCTION("""COMPUTED_VALUE"""),44384.6666666666)</f>
        <v>44384.666666666599</v>
      </c>
      <c r="B2776" s="1">
        <f ca="1">IFERROR(__xludf.DUMMYFUNCTION("""COMPUTED_VALUE"""),214.88)</f>
        <v>214.88</v>
      </c>
    </row>
    <row r="2777" spans="1:2">
      <c r="A2777" s="3">
        <f ca="1">IFERROR(__xludf.DUMMYFUNCTION("""COMPUTED_VALUE"""),44385.6666666666)</f>
        <v>44385.666666666599</v>
      </c>
      <c r="B2777" s="1">
        <f ca="1">IFERROR(__xludf.DUMMYFUNCTION("""COMPUTED_VALUE"""),217.6)</f>
        <v>217.6</v>
      </c>
    </row>
    <row r="2778" spans="1:2">
      <c r="A2778" s="3">
        <f ca="1">IFERROR(__xludf.DUMMYFUNCTION("""COMPUTED_VALUE"""),44386.6666666666)</f>
        <v>44386.666666666599</v>
      </c>
      <c r="B2778" s="1">
        <f ca="1">IFERROR(__xludf.DUMMYFUNCTION("""COMPUTED_VALUE"""),218.98)</f>
        <v>218.98</v>
      </c>
    </row>
    <row r="2779" spans="1:2">
      <c r="A2779" s="3">
        <f ca="1">IFERROR(__xludf.DUMMYFUNCTION("""COMPUTED_VALUE"""),44389.6666666666)</f>
        <v>44389.666666666599</v>
      </c>
      <c r="B2779" s="1">
        <f ca="1">IFERROR(__xludf.DUMMYFUNCTION("""COMPUTED_VALUE"""),228.57)</f>
        <v>228.57</v>
      </c>
    </row>
    <row r="2780" spans="1:2">
      <c r="A2780" s="3">
        <f ca="1">IFERROR(__xludf.DUMMYFUNCTION("""COMPUTED_VALUE"""),44390.6666666666)</f>
        <v>44390.666666666599</v>
      </c>
      <c r="B2780" s="1">
        <f ca="1">IFERROR(__xludf.DUMMYFUNCTION("""COMPUTED_VALUE"""),222.85)</f>
        <v>222.85</v>
      </c>
    </row>
    <row r="2781" spans="1:2">
      <c r="A2781" s="3">
        <f ca="1">IFERROR(__xludf.DUMMYFUNCTION("""COMPUTED_VALUE"""),44391.6666666666)</f>
        <v>44391.666666666599</v>
      </c>
      <c r="B2781" s="1">
        <f ca="1">IFERROR(__xludf.DUMMYFUNCTION("""COMPUTED_VALUE"""),217.79)</f>
        <v>217.79</v>
      </c>
    </row>
    <row r="2782" spans="1:2">
      <c r="A2782" s="3">
        <f ca="1">IFERROR(__xludf.DUMMYFUNCTION("""COMPUTED_VALUE"""),44392.6666666666)</f>
        <v>44392.666666666599</v>
      </c>
      <c r="B2782" s="1">
        <f ca="1">IFERROR(__xludf.DUMMYFUNCTION("""COMPUTED_VALUE"""),216.87)</f>
        <v>216.87</v>
      </c>
    </row>
    <row r="2783" spans="1:2">
      <c r="A2783" s="3">
        <f ca="1">IFERROR(__xludf.DUMMYFUNCTION("""COMPUTED_VALUE"""),44393.6666666666)</f>
        <v>44393.666666666599</v>
      </c>
      <c r="B2783" s="1">
        <f ca="1">IFERROR(__xludf.DUMMYFUNCTION("""COMPUTED_VALUE"""),214.74)</f>
        <v>214.74</v>
      </c>
    </row>
    <row r="2784" spans="1:2">
      <c r="A2784" s="3">
        <f ca="1">IFERROR(__xludf.DUMMYFUNCTION("""COMPUTED_VALUE"""),44396.6666666666)</f>
        <v>44396.666666666599</v>
      </c>
      <c r="B2784" s="1">
        <f ca="1">IFERROR(__xludf.DUMMYFUNCTION("""COMPUTED_VALUE"""),215.41)</f>
        <v>215.41</v>
      </c>
    </row>
    <row r="2785" spans="1:2">
      <c r="A2785" s="3">
        <f ca="1">IFERROR(__xludf.DUMMYFUNCTION("""COMPUTED_VALUE"""),44397.6666666666)</f>
        <v>44397.666666666599</v>
      </c>
      <c r="B2785" s="1">
        <f ca="1">IFERROR(__xludf.DUMMYFUNCTION("""COMPUTED_VALUE"""),220.17)</f>
        <v>220.17</v>
      </c>
    </row>
    <row r="2786" spans="1:2">
      <c r="A2786" s="3">
        <f ca="1">IFERROR(__xludf.DUMMYFUNCTION("""COMPUTED_VALUE"""),44398.6666666666)</f>
        <v>44398.666666666599</v>
      </c>
      <c r="B2786" s="1">
        <f ca="1">IFERROR(__xludf.DUMMYFUNCTION("""COMPUTED_VALUE"""),218.43)</f>
        <v>218.43</v>
      </c>
    </row>
    <row r="2787" spans="1:2">
      <c r="A2787" s="3">
        <f ca="1">IFERROR(__xludf.DUMMYFUNCTION("""COMPUTED_VALUE"""),44399.6666666666)</f>
        <v>44399.666666666599</v>
      </c>
      <c r="B2787" s="1">
        <f ca="1">IFERROR(__xludf.DUMMYFUNCTION("""COMPUTED_VALUE"""),216.42)</f>
        <v>216.42</v>
      </c>
    </row>
    <row r="2788" spans="1:2">
      <c r="A2788" s="3">
        <f ca="1">IFERROR(__xludf.DUMMYFUNCTION("""COMPUTED_VALUE"""),44400.6666666666)</f>
        <v>44400.666666666599</v>
      </c>
      <c r="B2788" s="1">
        <f ca="1">IFERROR(__xludf.DUMMYFUNCTION("""COMPUTED_VALUE"""),214.46)</f>
        <v>214.46</v>
      </c>
    </row>
    <row r="2789" spans="1:2">
      <c r="A2789" s="3">
        <f ca="1">IFERROR(__xludf.DUMMYFUNCTION("""COMPUTED_VALUE"""),44403.6666666666)</f>
        <v>44403.666666666599</v>
      </c>
      <c r="B2789" s="1">
        <f ca="1">IFERROR(__xludf.DUMMYFUNCTION("""COMPUTED_VALUE"""),219.21)</f>
        <v>219.21</v>
      </c>
    </row>
    <row r="2790" spans="1:2">
      <c r="A2790" s="3">
        <f ca="1">IFERROR(__xludf.DUMMYFUNCTION("""COMPUTED_VALUE"""),44404.6666666666)</f>
        <v>44404.666666666599</v>
      </c>
      <c r="B2790" s="1">
        <f ca="1">IFERROR(__xludf.DUMMYFUNCTION("""COMPUTED_VALUE"""),214.93)</f>
        <v>214.93</v>
      </c>
    </row>
    <row r="2791" spans="1:2">
      <c r="A2791" s="3">
        <f ca="1">IFERROR(__xludf.DUMMYFUNCTION("""COMPUTED_VALUE"""),44405.6666666666)</f>
        <v>44405.666666666599</v>
      </c>
      <c r="B2791" s="1">
        <f ca="1">IFERROR(__xludf.DUMMYFUNCTION("""COMPUTED_VALUE"""),215.66)</f>
        <v>215.66</v>
      </c>
    </row>
    <row r="2792" spans="1:2">
      <c r="A2792" s="3">
        <f ca="1">IFERROR(__xludf.DUMMYFUNCTION("""COMPUTED_VALUE"""),44406.6666666666)</f>
        <v>44406.666666666599</v>
      </c>
      <c r="B2792" s="1">
        <f ca="1">IFERROR(__xludf.DUMMYFUNCTION("""COMPUTED_VALUE"""),225.78)</f>
        <v>225.78</v>
      </c>
    </row>
    <row r="2793" spans="1:2">
      <c r="A2793" s="3">
        <f ca="1">IFERROR(__xludf.DUMMYFUNCTION("""COMPUTED_VALUE"""),44407.6666666666)</f>
        <v>44407.666666666599</v>
      </c>
      <c r="B2793" s="1">
        <f ca="1">IFERROR(__xludf.DUMMYFUNCTION("""COMPUTED_VALUE"""),229.07)</f>
        <v>229.07</v>
      </c>
    </row>
    <row r="2794" spans="1:2">
      <c r="A2794" s="3">
        <f ca="1">IFERROR(__xludf.DUMMYFUNCTION("""COMPUTED_VALUE"""),44410.6666666666)</f>
        <v>44410.666666666599</v>
      </c>
      <c r="B2794" s="1">
        <f ca="1">IFERROR(__xludf.DUMMYFUNCTION("""COMPUTED_VALUE"""),236.56)</f>
        <v>236.56</v>
      </c>
    </row>
    <row r="2795" spans="1:2">
      <c r="A2795" s="3">
        <f ca="1">IFERROR(__xludf.DUMMYFUNCTION("""COMPUTED_VALUE"""),44411.6666666666)</f>
        <v>44411.666666666599</v>
      </c>
      <c r="B2795" s="1">
        <f ca="1">IFERROR(__xludf.DUMMYFUNCTION("""COMPUTED_VALUE"""),236.58)</f>
        <v>236.58</v>
      </c>
    </row>
    <row r="2796" spans="1:2">
      <c r="A2796" s="3">
        <f ca="1">IFERROR(__xludf.DUMMYFUNCTION("""COMPUTED_VALUE"""),44412.6666666666)</f>
        <v>44412.666666666599</v>
      </c>
      <c r="B2796" s="1">
        <f ca="1">IFERROR(__xludf.DUMMYFUNCTION("""COMPUTED_VALUE"""),236.97)</f>
        <v>236.97</v>
      </c>
    </row>
    <row r="2797" spans="1:2">
      <c r="A2797" s="3">
        <f ca="1">IFERROR(__xludf.DUMMYFUNCTION("""COMPUTED_VALUE"""),44413.6666666666)</f>
        <v>44413.666666666599</v>
      </c>
      <c r="B2797" s="1">
        <f ca="1">IFERROR(__xludf.DUMMYFUNCTION("""COMPUTED_VALUE"""),238.21)</f>
        <v>238.21</v>
      </c>
    </row>
    <row r="2798" spans="1:2">
      <c r="A2798" s="3">
        <f ca="1">IFERROR(__xludf.DUMMYFUNCTION("""COMPUTED_VALUE"""),44414.6666666666)</f>
        <v>44414.666666666599</v>
      </c>
      <c r="B2798" s="1">
        <f ca="1">IFERROR(__xludf.DUMMYFUNCTION("""COMPUTED_VALUE"""),233.03)</f>
        <v>233.03</v>
      </c>
    </row>
    <row r="2799" spans="1:2">
      <c r="A2799" s="3">
        <f ca="1">IFERROR(__xludf.DUMMYFUNCTION("""COMPUTED_VALUE"""),44417.6666666666)</f>
        <v>44417.666666666599</v>
      </c>
      <c r="B2799" s="1">
        <f ca="1">IFERROR(__xludf.DUMMYFUNCTION("""COMPUTED_VALUE"""),237.92)</f>
        <v>237.92</v>
      </c>
    </row>
    <row r="2800" spans="1:2">
      <c r="A2800" s="3">
        <f ca="1">IFERROR(__xludf.DUMMYFUNCTION("""COMPUTED_VALUE"""),44418.6666666666)</f>
        <v>44418.666666666599</v>
      </c>
      <c r="B2800" s="1">
        <f ca="1">IFERROR(__xludf.DUMMYFUNCTION("""COMPUTED_VALUE"""),236.66)</f>
        <v>236.66</v>
      </c>
    </row>
    <row r="2801" spans="1:2">
      <c r="A2801" s="3">
        <f ca="1">IFERROR(__xludf.DUMMYFUNCTION("""COMPUTED_VALUE"""),44419.6666666666)</f>
        <v>44419.666666666599</v>
      </c>
      <c r="B2801" s="1">
        <f ca="1">IFERROR(__xludf.DUMMYFUNCTION("""COMPUTED_VALUE"""),235.94)</f>
        <v>235.94</v>
      </c>
    </row>
    <row r="2802" spans="1:2">
      <c r="A2802" s="3">
        <f ca="1">IFERROR(__xludf.DUMMYFUNCTION("""COMPUTED_VALUE"""),44420.6666666666)</f>
        <v>44420.666666666599</v>
      </c>
      <c r="B2802" s="1">
        <f ca="1">IFERROR(__xludf.DUMMYFUNCTION("""COMPUTED_VALUE"""),240.75)</f>
        <v>240.75</v>
      </c>
    </row>
    <row r="2803" spans="1:2">
      <c r="A2803" s="3">
        <f ca="1">IFERROR(__xludf.DUMMYFUNCTION("""COMPUTED_VALUE"""),44421.6666666666)</f>
        <v>44421.666666666599</v>
      </c>
      <c r="B2803" s="1">
        <f ca="1">IFERROR(__xludf.DUMMYFUNCTION("""COMPUTED_VALUE"""),239.06)</f>
        <v>239.06</v>
      </c>
    </row>
    <row r="2804" spans="1:2">
      <c r="A2804" s="3">
        <f ca="1">IFERROR(__xludf.DUMMYFUNCTION("""COMPUTED_VALUE"""),44424.6666666666)</f>
        <v>44424.666666666599</v>
      </c>
      <c r="B2804" s="1">
        <f ca="1">IFERROR(__xludf.DUMMYFUNCTION("""COMPUTED_VALUE"""),228.72)</f>
        <v>228.72</v>
      </c>
    </row>
    <row r="2805" spans="1:2">
      <c r="A2805" s="3">
        <f ca="1">IFERROR(__xludf.DUMMYFUNCTION("""COMPUTED_VALUE"""),44425.6666666666)</f>
        <v>44425.666666666599</v>
      </c>
      <c r="B2805" s="1">
        <f ca="1">IFERROR(__xludf.DUMMYFUNCTION("""COMPUTED_VALUE"""),221.9)</f>
        <v>221.9</v>
      </c>
    </row>
    <row r="2806" spans="1:2">
      <c r="A2806" s="3">
        <f ca="1">IFERROR(__xludf.DUMMYFUNCTION("""COMPUTED_VALUE"""),44426.6666666666)</f>
        <v>44426.666666666599</v>
      </c>
      <c r="B2806" s="1">
        <f ca="1">IFERROR(__xludf.DUMMYFUNCTION("""COMPUTED_VALUE"""),229.66)</f>
        <v>229.66</v>
      </c>
    </row>
    <row r="2807" spans="1:2">
      <c r="A2807" s="3">
        <f ca="1">IFERROR(__xludf.DUMMYFUNCTION("""COMPUTED_VALUE"""),44427.6666666666)</f>
        <v>44427.666666666599</v>
      </c>
      <c r="B2807" s="1">
        <f ca="1">IFERROR(__xludf.DUMMYFUNCTION("""COMPUTED_VALUE"""),224.49)</f>
        <v>224.49</v>
      </c>
    </row>
    <row r="2808" spans="1:2">
      <c r="A2808" s="3">
        <f ca="1">IFERROR(__xludf.DUMMYFUNCTION("""COMPUTED_VALUE"""),44428.6666666666)</f>
        <v>44428.666666666599</v>
      </c>
      <c r="B2808" s="1">
        <f ca="1">IFERROR(__xludf.DUMMYFUNCTION("""COMPUTED_VALUE"""),226.75)</f>
        <v>226.75</v>
      </c>
    </row>
    <row r="2809" spans="1:2">
      <c r="A2809" s="3">
        <f ca="1">IFERROR(__xludf.DUMMYFUNCTION("""COMPUTED_VALUE"""),44431.6666666666)</f>
        <v>44431.666666666599</v>
      </c>
      <c r="B2809" s="1">
        <f ca="1">IFERROR(__xludf.DUMMYFUNCTION("""COMPUTED_VALUE"""),235.43)</f>
        <v>235.43</v>
      </c>
    </row>
    <row r="2810" spans="1:2">
      <c r="A2810" s="3">
        <f ca="1">IFERROR(__xludf.DUMMYFUNCTION("""COMPUTED_VALUE"""),44432.6666666666)</f>
        <v>44432.666666666599</v>
      </c>
      <c r="B2810" s="1">
        <f ca="1">IFERROR(__xludf.DUMMYFUNCTION("""COMPUTED_VALUE"""),236.16)</f>
        <v>236.16</v>
      </c>
    </row>
    <row r="2811" spans="1:2">
      <c r="A2811" s="3">
        <f ca="1">IFERROR(__xludf.DUMMYFUNCTION("""COMPUTED_VALUE"""),44433.6666666666)</f>
        <v>44433.666666666599</v>
      </c>
      <c r="B2811" s="1">
        <f ca="1">IFERROR(__xludf.DUMMYFUNCTION("""COMPUTED_VALUE"""),237.07)</f>
        <v>237.07</v>
      </c>
    </row>
    <row r="2812" spans="1:2">
      <c r="A2812" s="3">
        <f ca="1">IFERROR(__xludf.DUMMYFUNCTION("""COMPUTED_VALUE"""),44434.6666666666)</f>
        <v>44434.666666666599</v>
      </c>
      <c r="B2812" s="1">
        <f ca="1">IFERROR(__xludf.DUMMYFUNCTION("""COMPUTED_VALUE"""),233.72)</f>
        <v>233.72</v>
      </c>
    </row>
    <row r="2813" spans="1:2">
      <c r="A2813" s="3">
        <f ca="1">IFERROR(__xludf.DUMMYFUNCTION("""COMPUTED_VALUE"""),44435.6666666666)</f>
        <v>44435.666666666599</v>
      </c>
      <c r="B2813" s="1">
        <f ca="1">IFERROR(__xludf.DUMMYFUNCTION("""COMPUTED_VALUE"""),237.31)</f>
        <v>237.31</v>
      </c>
    </row>
    <row r="2814" spans="1:2">
      <c r="A2814" s="3">
        <f ca="1">IFERROR(__xludf.DUMMYFUNCTION("""COMPUTED_VALUE"""),44438.6666666666)</f>
        <v>44438.666666666599</v>
      </c>
      <c r="B2814" s="1">
        <f ca="1">IFERROR(__xludf.DUMMYFUNCTION("""COMPUTED_VALUE"""),243.64)</f>
        <v>243.64</v>
      </c>
    </row>
    <row r="2815" spans="1:2">
      <c r="A2815" s="3">
        <f ca="1">IFERROR(__xludf.DUMMYFUNCTION("""COMPUTED_VALUE"""),44439.6666666666)</f>
        <v>44439.666666666599</v>
      </c>
      <c r="B2815" s="1">
        <f ca="1">IFERROR(__xludf.DUMMYFUNCTION("""COMPUTED_VALUE"""),245.24)</f>
        <v>245.24</v>
      </c>
    </row>
    <row r="2816" spans="1:2">
      <c r="A2816" s="3">
        <f ca="1">IFERROR(__xludf.DUMMYFUNCTION("""COMPUTED_VALUE"""),44440.6666666666)</f>
        <v>44440.666666666599</v>
      </c>
      <c r="B2816" s="1">
        <f ca="1">IFERROR(__xludf.DUMMYFUNCTION("""COMPUTED_VALUE"""),244.7)</f>
        <v>244.7</v>
      </c>
    </row>
    <row r="2817" spans="1:2">
      <c r="A2817" s="3">
        <f ca="1">IFERROR(__xludf.DUMMYFUNCTION("""COMPUTED_VALUE"""),44441.6666666666)</f>
        <v>44441.666666666599</v>
      </c>
      <c r="B2817" s="1">
        <f ca="1">IFERROR(__xludf.DUMMYFUNCTION("""COMPUTED_VALUE"""),244.13)</f>
        <v>244.13</v>
      </c>
    </row>
    <row r="2818" spans="1:2">
      <c r="A2818" s="3">
        <f ca="1">IFERROR(__xludf.DUMMYFUNCTION("""COMPUTED_VALUE"""),44442.6666666666)</f>
        <v>44442.666666666599</v>
      </c>
      <c r="B2818" s="1">
        <f ca="1">IFERROR(__xludf.DUMMYFUNCTION("""COMPUTED_VALUE"""),244.52)</f>
        <v>244.52</v>
      </c>
    </row>
    <row r="2819" spans="1:2">
      <c r="A2819" s="3">
        <f ca="1">IFERROR(__xludf.DUMMYFUNCTION("""COMPUTED_VALUE"""),44446.6666666666)</f>
        <v>44446.666666666599</v>
      </c>
      <c r="B2819" s="1">
        <f ca="1">IFERROR(__xludf.DUMMYFUNCTION("""COMPUTED_VALUE"""),250.97)</f>
        <v>250.97</v>
      </c>
    </row>
    <row r="2820" spans="1:2">
      <c r="A2820" s="3">
        <f ca="1">IFERROR(__xludf.DUMMYFUNCTION("""COMPUTED_VALUE"""),44447.6666666666)</f>
        <v>44447.666666666599</v>
      </c>
      <c r="B2820" s="1">
        <f ca="1">IFERROR(__xludf.DUMMYFUNCTION("""COMPUTED_VALUE"""),251.29)</f>
        <v>251.29</v>
      </c>
    </row>
    <row r="2821" spans="1:2">
      <c r="A2821" s="3">
        <f ca="1">IFERROR(__xludf.DUMMYFUNCTION("""COMPUTED_VALUE"""),44448.6666666666)</f>
        <v>44448.666666666599</v>
      </c>
      <c r="B2821" s="1">
        <f ca="1">IFERROR(__xludf.DUMMYFUNCTION("""COMPUTED_VALUE"""),251.62)</f>
        <v>251.62</v>
      </c>
    </row>
    <row r="2822" spans="1:2">
      <c r="A2822" s="3">
        <f ca="1">IFERROR(__xludf.DUMMYFUNCTION("""COMPUTED_VALUE"""),44449.6666666666)</f>
        <v>44449.666666666599</v>
      </c>
      <c r="B2822" s="1">
        <f ca="1">IFERROR(__xludf.DUMMYFUNCTION("""COMPUTED_VALUE"""),245.42)</f>
        <v>245.42</v>
      </c>
    </row>
    <row r="2823" spans="1:2">
      <c r="A2823" s="3">
        <f ca="1">IFERROR(__xludf.DUMMYFUNCTION("""COMPUTED_VALUE"""),44452.6666666666)</f>
        <v>44452.666666666599</v>
      </c>
      <c r="B2823" s="1">
        <f ca="1">IFERROR(__xludf.DUMMYFUNCTION("""COMPUTED_VALUE"""),247.67)</f>
        <v>247.67</v>
      </c>
    </row>
    <row r="2824" spans="1:2">
      <c r="A2824" s="3">
        <f ca="1">IFERROR(__xludf.DUMMYFUNCTION("""COMPUTED_VALUE"""),44453.6666666666)</f>
        <v>44453.666666666599</v>
      </c>
      <c r="B2824" s="1">
        <f ca="1">IFERROR(__xludf.DUMMYFUNCTION("""COMPUTED_VALUE"""),248.16)</f>
        <v>248.16</v>
      </c>
    </row>
    <row r="2825" spans="1:2">
      <c r="A2825" s="3">
        <f ca="1">IFERROR(__xludf.DUMMYFUNCTION("""COMPUTED_VALUE"""),44454.6666666666)</f>
        <v>44454.666666666599</v>
      </c>
      <c r="B2825" s="1">
        <f ca="1">IFERROR(__xludf.DUMMYFUNCTION("""COMPUTED_VALUE"""),251.94)</f>
        <v>251.94</v>
      </c>
    </row>
    <row r="2826" spans="1:2">
      <c r="A2826" s="3">
        <f ca="1">IFERROR(__xludf.DUMMYFUNCTION("""COMPUTED_VALUE"""),44455.6666666666)</f>
        <v>44455.666666666599</v>
      </c>
      <c r="B2826" s="1">
        <f ca="1">IFERROR(__xludf.DUMMYFUNCTION("""COMPUTED_VALUE"""),252.33)</f>
        <v>252.33</v>
      </c>
    </row>
    <row r="2827" spans="1:2">
      <c r="A2827" s="3">
        <f ca="1">IFERROR(__xludf.DUMMYFUNCTION("""COMPUTED_VALUE"""),44456.6666666666)</f>
        <v>44456.666666666599</v>
      </c>
      <c r="B2827" s="1">
        <f ca="1">IFERROR(__xludf.DUMMYFUNCTION("""COMPUTED_VALUE"""),253.16)</f>
        <v>253.16</v>
      </c>
    </row>
    <row r="2828" spans="1:2">
      <c r="A2828" s="3">
        <f ca="1">IFERROR(__xludf.DUMMYFUNCTION("""COMPUTED_VALUE"""),44459.6666666666)</f>
        <v>44459.666666666599</v>
      </c>
      <c r="B2828" s="1">
        <f ca="1">IFERROR(__xludf.DUMMYFUNCTION("""COMPUTED_VALUE"""),243.39)</f>
        <v>243.39</v>
      </c>
    </row>
    <row r="2829" spans="1:2">
      <c r="A2829" s="3">
        <f ca="1">IFERROR(__xludf.DUMMYFUNCTION("""COMPUTED_VALUE"""),44460.6666666666)</f>
        <v>44460.666666666599</v>
      </c>
      <c r="B2829" s="1">
        <f ca="1">IFERROR(__xludf.DUMMYFUNCTION("""COMPUTED_VALUE"""),246.46)</f>
        <v>246.46</v>
      </c>
    </row>
    <row r="2830" spans="1:2">
      <c r="A2830" s="3">
        <f ca="1">IFERROR(__xludf.DUMMYFUNCTION("""COMPUTED_VALUE"""),44461.6666666666)</f>
        <v>44461.666666666599</v>
      </c>
      <c r="B2830" s="1">
        <f ca="1">IFERROR(__xludf.DUMMYFUNCTION("""COMPUTED_VALUE"""),250.65)</f>
        <v>250.65</v>
      </c>
    </row>
    <row r="2831" spans="1:2">
      <c r="A2831" s="3">
        <f ca="1">IFERROR(__xludf.DUMMYFUNCTION("""COMPUTED_VALUE"""),44462.6666666666)</f>
        <v>44462.666666666599</v>
      </c>
      <c r="B2831" s="1">
        <f ca="1">IFERROR(__xludf.DUMMYFUNCTION("""COMPUTED_VALUE"""),251.21)</f>
        <v>251.21</v>
      </c>
    </row>
    <row r="2832" spans="1:2">
      <c r="A2832" s="3">
        <f ca="1">IFERROR(__xludf.DUMMYFUNCTION("""COMPUTED_VALUE"""),44463.6666666666)</f>
        <v>44463.666666666599</v>
      </c>
      <c r="B2832" s="1">
        <f ca="1">IFERROR(__xludf.DUMMYFUNCTION("""COMPUTED_VALUE"""),258.13)</f>
        <v>258.13</v>
      </c>
    </row>
    <row r="2833" spans="1:2">
      <c r="A2833" s="3">
        <f ca="1">IFERROR(__xludf.DUMMYFUNCTION("""COMPUTED_VALUE"""),44466.6666666666)</f>
        <v>44466.666666666599</v>
      </c>
      <c r="B2833" s="1">
        <f ca="1">IFERROR(__xludf.DUMMYFUNCTION("""COMPUTED_VALUE"""),263.79)</f>
        <v>263.79000000000002</v>
      </c>
    </row>
    <row r="2834" spans="1:2">
      <c r="A2834" s="3">
        <f ca="1">IFERROR(__xludf.DUMMYFUNCTION("""COMPUTED_VALUE"""),44467.6666666666)</f>
        <v>44467.666666666599</v>
      </c>
      <c r="B2834" s="1">
        <f ca="1">IFERROR(__xludf.DUMMYFUNCTION("""COMPUTED_VALUE"""),259.19)</f>
        <v>259.19</v>
      </c>
    </row>
    <row r="2835" spans="1:2">
      <c r="A2835" s="3">
        <f ca="1">IFERROR(__xludf.DUMMYFUNCTION("""COMPUTED_VALUE"""),44468.6666666666)</f>
        <v>44468.666666666599</v>
      </c>
      <c r="B2835" s="1">
        <f ca="1">IFERROR(__xludf.DUMMYFUNCTION("""COMPUTED_VALUE"""),260.44)</f>
        <v>260.44</v>
      </c>
    </row>
    <row r="2836" spans="1:2">
      <c r="A2836" s="3">
        <f ca="1">IFERROR(__xludf.DUMMYFUNCTION("""COMPUTED_VALUE"""),44469.6666666666)</f>
        <v>44469.666666666599</v>
      </c>
      <c r="B2836" s="1">
        <f ca="1">IFERROR(__xludf.DUMMYFUNCTION("""COMPUTED_VALUE"""),258.49)</f>
        <v>258.49</v>
      </c>
    </row>
    <row r="2837" spans="1:2">
      <c r="A2837" s="3">
        <f ca="1">IFERROR(__xludf.DUMMYFUNCTION("""COMPUTED_VALUE"""),44470.6666666666)</f>
        <v>44470.666666666599</v>
      </c>
      <c r="B2837" s="1">
        <f ca="1">IFERROR(__xludf.DUMMYFUNCTION("""COMPUTED_VALUE"""),258.41)</f>
        <v>258.41000000000003</v>
      </c>
    </row>
    <row r="2838" spans="1:2">
      <c r="A2838" s="3">
        <f ca="1">IFERROR(__xludf.DUMMYFUNCTION("""COMPUTED_VALUE"""),44473.6666666666)</f>
        <v>44473.666666666599</v>
      </c>
      <c r="B2838" s="1">
        <f ca="1">IFERROR(__xludf.DUMMYFUNCTION("""COMPUTED_VALUE"""),260.51)</f>
        <v>260.51</v>
      </c>
    </row>
    <row r="2839" spans="1:2">
      <c r="A2839" s="3">
        <f ca="1">IFERROR(__xludf.DUMMYFUNCTION("""COMPUTED_VALUE"""),44474.6666666666)</f>
        <v>44474.666666666599</v>
      </c>
      <c r="B2839" s="1">
        <f ca="1">IFERROR(__xludf.DUMMYFUNCTION("""COMPUTED_VALUE"""),260.2)</f>
        <v>260.2</v>
      </c>
    </row>
    <row r="2840" spans="1:2">
      <c r="A2840" s="3">
        <f ca="1">IFERROR(__xludf.DUMMYFUNCTION("""COMPUTED_VALUE"""),44475.6666666666)</f>
        <v>44475.666666666599</v>
      </c>
      <c r="B2840" s="1">
        <f ca="1">IFERROR(__xludf.DUMMYFUNCTION("""COMPUTED_VALUE"""),260.92)</f>
        <v>260.92</v>
      </c>
    </row>
    <row r="2841" spans="1:2">
      <c r="A2841" s="3">
        <f ca="1">IFERROR(__xludf.DUMMYFUNCTION("""COMPUTED_VALUE"""),44476.6666666666)</f>
        <v>44476.666666666599</v>
      </c>
      <c r="B2841" s="1">
        <f ca="1">IFERROR(__xludf.DUMMYFUNCTION("""COMPUTED_VALUE"""),264.54)</f>
        <v>264.54000000000002</v>
      </c>
    </row>
    <row r="2842" spans="1:2">
      <c r="A2842" s="3">
        <f ca="1">IFERROR(__xludf.DUMMYFUNCTION("""COMPUTED_VALUE"""),44477.6666666666)</f>
        <v>44477.666666666599</v>
      </c>
      <c r="B2842" s="1">
        <f ca="1">IFERROR(__xludf.DUMMYFUNCTION("""COMPUTED_VALUE"""),261.83)</f>
        <v>261.83</v>
      </c>
    </row>
    <row r="2843" spans="1:2">
      <c r="A2843" s="3">
        <f ca="1">IFERROR(__xludf.DUMMYFUNCTION("""COMPUTED_VALUE"""),44480.6666666666)</f>
        <v>44480.666666666599</v>
      </c>
      <c r="B2843" s="1">
        <f ca="1">IFERROR(__xludf.DUMMYFUNCTION("""COMPUTED_VALUE"""),263.98)</f>
        <v>263.98</v>
      </c>
    </row>
    <row r="2844" spans="1:2">
      <c r="A2844" s="3">
        <f ca="1">IFERROR(__xludf.DUMMYFUNCTION("""COMPUTED_VALUE"""),44481.6666666666)</f>
        <v>44481.666666666599</v>
      </c>
      <c r="B2844" s="1">
        <f ca="1">IFERROR(__xludf.DUMMYFUNCTION("""COMPUTED_VALUE"""),268.57)</f>
        <v>268.57</v>
      </c>
    </row>
    <row r="2845" spans="1:2">
      <c r="A2845" s="3">
        <f ca="1">IFERROR(__xludf.DUMMYFUNCTION("""COMPUTED_VALUE"""),44482.6666666666)</f>
        <v>44482.666666666599</v>
      </c>
      <c r="B2845" s="1">
        <f ca="1">IFERROR(__xludf.DUMMYFUNCTION("""COMPUTED_VALUE"""),270.36)</f>
        <v>270.36</v>
      </c>
    </row>
    <row r="2846" spans="1:2">
      <c r="A2846" s="3">
        <f ca="1">IFERROR(__xludf.DUMMYFUNCTION("""COMPUTED_VALUE"""),44483.6666666666)</f>
        <v>44483.666666666599</v>
      </c>
      <c r="B2846" s="1">
        <f ca="1">IFERROR(__xludf.DUMMYFUNCTION("""COMPUTED_VALUE"""),272.77)</f>
        <v>272.77</v>
      </c>
    </row>
    <row r="2847" spans="1:2">
      <c r="A2847" s="3">
        <f ca="1">IFERROR(__xludf.DUMMYFUNCTION("""COMPUTED_VALUE"""),44484.6666666666)</f>
        <v>44484.666666666599</v>
      </c>
      <c r="B2847" s="1">
        <f ca="1">IFERROR(__xludf.DUMMYFUNCTION("""COMPUTED_VALUE"""),281.01)</f>
        <v>281.01</v>
      </c>
    </row>
    <row r="2848" spans="1:2">
      <c r="A2848" s="3">
        <f ca="1">IFERROR(__xludf.DUMMYFUNCTION("""COMPUTED_VALUE"""),44487.6666666666)</f>
        <v>44487.666666666599</v>
      </c>
      <c r="B2848" s="1">
        <f ca="1">IFERROR(__xludf.DUMMYFUNCTION("""COMPUTED_VALUE"""),290.04)</f>
        <v>290.04000000000002</v>
      </c>
    </row>
    <row r="2849" spans="1:2">
      <c r="A2849" s="3">
        <f ca="1">IFERROR(__xludf.DUMMYFUNCTION("""COMPUTED_VALUE"""),44488.6666666666)</f>
        <v>44488.666666666599</v>
      </c>
      <c r="B2849" s="1">
        <f ca="1">IFERROR(__xludf.DUMMYFUNCTION("""COMPUTED_VALUE"""),288.09)</f>
        <v>288.08999999999997</v>
      </c>
    </row>
    <row r="2850" spans="1:2">
      <c r="A2850" s="3">
        <f ca="1">IFERROR(__xludf.DUMMYFUNCTION("""COMPUTED_VALUE"""),44489.6666666666)</f>
        <v>44489.666666666599</v>
      </c>
      <c r="B2850" s="1">
        <f ca="1">IFERROR(__xludf.DUMMYFUNCTION("""COMPUTED_VALUE"""),288.6)</f>
        <v>288.60000000000002</v>
      </c>
    </row>
    <row r="2851" spans="1:2">
      <c r="A2851" s="3">
        <f ca="1">IFERROR(__xludf.DUMMYFUNCTION("""COMPUTED_VALUE"""),44490.6666666666)</f>
        <v>44490.666666666599</v>
      </c>
      <c r="B2851" s="1">
        <f ca="1">IFERROR(__xludf.DUMMYFUNCTION("""COMPUTED_VALUE"""),298)</f>
        <v>298</v>
      </c>
    </row>
    <row r="2852" spans="1:2">
      <c r="A2852" s="3">
        <f ca="1">IFERROR(__xludf.DUMMYFUNCTION("""COMPUTED_VALUE"""),44491.6666666666)</f>
        <v>44491.666666666599</v>
      </c>
      <c r="B2852" s="1">
        <f ca="1">IFERROR(__xludf.DUMMYFUNCTION("""COMPUTED_VALUE"""),303.23)</f>
        <v>303.23</v>
      </c>
    </row>
    <row r="2853" spans="1:2">
      <c r="A2853" s="3">
        <f ca="1">IFERROR(__xludf.DUMMYFUNCTION("""COMPUTED_VALUE"""),44494.6666666666)</f>
        <v>44494.666666666599</v>
      </c>
      <c r="B2853" s="1">
        <f ca="1">IFERROR(__xludf.DUMMYFUNCTION("""COMPUTED_VALUE"""),341.62)</f>
        <v>341.62</v>
      </c>
    </row>
    <row r="2854" spans="1:2">
      <c r="A2854" s="3">
        <f ca="1">IFERROR(__xludf.DUMMYFUNCTION("""COMPUTED_VALUE"""),44495.6666666666)</f>
        <v>44495.666666666599</v>
      </c>
      <c r="B2854" s="1">
        <f ca="1">IFERROR(__xludf.DUMMYFUNCTION("""COMPUTED_VALUE"""),339.48)</f>
        <v>339.48</v>
      </c>
    </row>
    <row r="2855" spans="1:2">
      <c r="A2855" s="3">
        <f ca="1">IFERROR(__xludf.DUMMYFUNCTION("""COMPUTED_VALUE"""),44496.6666666666)</f>
        <v>44496.666666666599</v>
      </c>
      <c r="B2855" s="1">
        <f ca="1">IFERROR(__xludf.DUMMYFUNCTION("""COMPUTED_VALUE"""),345.95)</f>
        <v>345.95</v>
      </c>
    </row>
    <row r="2856" spans="1:2">
      <c r="A2856" s="3">
        <f ca="1">IFERROR(__xludf.DUMMYFUNCTION("""COMPUTED_VALUE"""),44497.6666666666)</f>
        <v>44497.666666666599</v>
      </c>
      <c r="B2856" s="1">
        <f ca="1">IFERROR(__xludf.DUMMYFUNCTION("""COMPUTED_VALUE"""),359.01)</f>
        <v>359.01</v>
      </c>
    </row>
    <row r="2857" spans="1:2">
      <c r="A2857" s="3">
        <f ca="1">IFERROR(__xludf.DUMMYFUNCTION("""COMPUTED_VALUE"""),44498.6666666666)</f>
        <v>44498.666666666599</v>
      </c>
      <c r="B2857" s="1">
        <f ca="1">IFERROR(__xludf.DUMMYFUNCTION("""COMPUTED_VALUE"""),371.33)</f>
        <v>371.33</v>
      </c>
    </row>
    <row r="2858" spans="1:2">
      <c r="A2858" s="3">
        <f ca="1">IFERROR(__xludf.DUMMYFUNCTION("""COMPUTED_VALUE"""),44501.6666666666)</f>
        <v>44501.666666666599</v>
      </c>
      <c r="B2858" s="1">
        <f ca="1">IFERROR(__xludf.DUMMYFUNCTION("""COMPUTED_VALUE"""),402.86)</f>
        <v>402.86</v>
      </c>
    </row>
    <row r="2859" spans="1:2">
      <c r="A2859" s="3">
        <f ca="1">IFERROR(__xludf.DUMMYFUNCTION("""COMPUTED_VALUE"""),44502.6666666666)</f>
        <v>44502.666666666599</v>
      </c>
      <c r="B2859" s="1">
        <f ca="1">IFERROR(__xludf.DUMMYFUNCTION("""COMPUTED_VALUE"""),390.67)</f>
        <v>390.67</v>
      </c>
    </row>
    <row r="2860" spans="1:2">
      <c r="A2860" s="3">
        <f ca="1">IFERROR(__xludf.DUMMYFUNCTION("""COMPUTED_VALUE"""),44503.6666666666)</f>
        <v>44503.666666666599</v>
      </c>
      <c r="B2860" s="1">
        <f ca="1">IFERROR(__xludf.DUMMYFUNCTION("""COMPUTED_VALUE"""),404.62)</f>
        <v>404.62</v>
      </c>
    </row>
    <row r="2861" spans="1:2">
      <c r="A2861" s="3">
        <f ca="1">IFERROR(__xludf.DUMMYFUNCTION("""COMPUTED_VALUE"""),44504.6666666666)</f>
        <v>44504.666666666599</v>
      </c>
      <c r="B2861" s="1">
        <f ca="1">IFERROR(__xludf.DUMMYFUNCTION("""COMPUTED_VALUE"""),409.97)</f>
        <v>409.97</v>
      </c>
    </row>
    <row r="2862" spans="1:2">
      <c r="A2862" s="3">
        <f ca="1">IFERROR(__xludf.DUMMYFUNCTION("""COMPUTED_VALUE"""),44505.6666666666)</f>
        <v>44505.666666666599</v>
      </c>
      <c r="B2862" s="1">
        <f ca="1">IFERROR(__xludf.DUMMYFUNCTION("""COMPUTED_VALUE"""),407.36)</f>
        <v>407.36</v>
      </c>
    </row>
    <row r="2863" spans="1:2">
      <c r="A2863" s="3">
        <f ca="1">IFERROR(__xludf.DUMMYFUNCTION("""COMPUTED_VALUE"""),44508.6666666666)</f>
        <v>44508.666666666599</v>
      </c>
      <c r="B2863" s="1">
        <f ca="1">IFERROR(__xludf.DUMMYFUNCTION("""COMPUTED_VALUE"""),387.65)</f>
        <v>387.65</v>
      </c>
    </row>
    <row r="2864" spans="1:2">
      <c r="A2864" s="3">
        <f ca="1">IFERROR(__xludf.DUMMYFUNCTION("""COMPUTED_VALUE"""),44509.6666666666)</f>
        <v>44509.666666666599</v>
      </c>
      <c r="B2864" s="1">
        <f ca="1">IFERROR(__xludf.DUMMYFUNCTION("""COMPUTED_VALUE"""),341.17)</f>
        <v>341.17</v>
      </c>
    </row>
    <row r="2865" spans="1:2">
      <c r="A2865" s="3">
        <f ca="1">IFERROR(__xludf.DUMMYFUNCTION("""COMPUTED_VALUE"""),44510.6666666666)</f>
        <v>44510.666666666599</v>
      </c>
      <c r="B2865" s="1">
        <f ca="1">IFERROR(__xludf.DUMMYFUNCTION("""COMPUTED_VALUE"""),355.98)</f>
        <v>355.98</v>
      </c>
    </row>
    <row r="2866" spans="1:2">
      <c r="A2866" s="3">
        <f ca="1">IFERROR(__xludf.DUMMYFUNCTION("""COMPUTED_VALUE"""),44511.6666666666)</f>
        <v>44511.666666666599</v>
      </c>
      <c r="B2866" s="1">
        <f ca="1">IFERROR(__xludf.DUMMYFUNCTION("""COMPUTED_VALUE"""),354.5)</f>
        <v>354.5</v>
      </c>
    </row>
    <row r="2867" spans="1:2">
      <c r="A2867" s="3">
        <f ca="1">IFERROR(__xludf.DUMMYFUNCTION("""COMPUTED_VALUE"""),44512.6666666666)</f>
        <v>44512.666666666599</v>
      </c>
      <c r="B2867" s="1">
        <f ca="1">IFERROR(__xludf.DUMMYFUNCTION("""COMPUTED_VALUE"""),344.47)</f>
        <v>344.47</v>
      </c>
    </row>
    <row r="2868" spans="1:2">
      <c r="A2868" s="3">
        <f ca="1">IFERROR(__xludf.DUMMYFUNCTION("""COMPUTED_VALUE"""),44515.6666666666)</f>
        <v>44515.666666666599</v>
      </c>
      <c r="B2868" s="1">
        <f ca="1">IFERROR(__xludf.DUMMYFUNCTION("""COMPUTED_VALUE"""),337.8)</f>
        <v>337.8</v>
      </c>
    </row>
    <row r="2869" spans="1:2">
      <c r="A2869" s="3">
        <f ca="1">IFERROR(__xludf.DUMMYFUNCTION("""COMPUTED_VALUE"""),44516.6666666666)</f>
        <v>44516.666666666599</v>
      </c>
      <c r="B2869" s="1">
        <f ca="1">IFERROR(__xludf.DUMMYFUNCTION("""COMPUTED_VALUE"""),351.58)</f>
        <v>351.58</v>
      </c>
    </row>
    <row r="2870" spans="1:2">
      <c r="A2870" s="3">
        <f ca="1">IFERROR(__xludf.DUMMYFUNCTION("""COMPUTED_VALUE"""),44517.6666666666)</f>
        <v>44517.666666666599</v>
      </c>
      <c r="B2870" s="1">
        <f ca="1">IFERROR(__xludf.DUMMYFUNCTION("""COMPUTED_VALUE"""),363)</f>
        <v>363</v>
      </c>
    </row>
    <row r="2871" spans="1:2">
      <c r="A2871" s="3">
        <f ca="1">IFERROR(__xludf.DUMMYFUNCTION("""COMPUTED_VALUE"""),44518.6666666666)</f>
        <v>44518.666666666599</v>
      </c>
      <c r="B2871" s="1">
        <f ca="1">IFERROR(__xludf.DUMMYFUNCTION("""COMPUTED_VALUE"""),365.46)</f>
        <v>365.46</v>
      </c>
    </row>
    <row r="2872" spans="1:2">
      <c r="A2872" s="3">
        <f ca="1">IFERROR(__xludf.DUMMYFUNCTION("""COMPUTED_VALUE"""),44519.6666666666)</f>
        <v>44519.666666666599</v>
      </c>
      <c r="B2872" s="1">
        <f ca="1">IFERROR(__xludf.DUMMYFUNCTION("""COMPUTED_VALUE"""),379.02)</f>
        <v>379.02</v>
      </c>
    </row>
    <row r="2873" spans="1:2">
      <c r="A2873" s="3">
        <f ca="1">IFERROR(__xludf.DUMMYFUNCTION("""COMPUTED_VALUE"""),44522.6666666666)</f>
        <v>44522.666666666599</v>
      </c>
      <c r="B2873" s="1">
        <f ca="1">IFERROR(__xludf.DUMMYFUNCTION("""COMPUTED_VALUE"""),385.62)</f>
        <v>385.62</v>
      </c>
    </row>
    <row r="2874" spans="1:2">
      <c r="A2874" s="3">
        <f ca="1">IFERROR(__xludf.DUMMYFUNCTION("""COMPUTED_VALUE"""),44523.6666666666)</f>
        <v>44523.666666666599</v>
      </c>
      <c r="B2874" s="1">
        <f ca="1">IFERROR(__xludf.DUMMYFUNCTION("""COMPUTED_VALUE"""),369.68)</f>
        <v>369.68</v>
      </c>
    </row>
    <row r="2875" spans="1:2">
      <c r="A2875" s="3">
        <f ca="1">IFERROR(__xludf.DUMMYFUNCTION("""COMPUTED_VALUE"""),44524.6666666666)</f>
        <v>44524.666666666599</v>
      </c>
      <c r="B2875" s="1">
        <f ca="1">IFERROR(__xludf.DUMMYFUNCTION("""COMPUTED_VALUE"""),372)</f>
        <v>372</v>
      </c>
    </row>
    <row r="2876" spans="1:2">
      <c r="A2876" s="3">
        <f ca="1">IFERROR(__xludf.DUMMYFUNCTION("""COMPUTED_VALUE"""),44526.5416666666)</f>
        <v>44526.541666666599</v>
      </c>
      <c r="B2876" s="1">
        <f ca="1">IFERROR(__xludf.DUMMYFUNCTION("""COMPUTED_VALUE"""),360.64)</f>
        <v>360.64</v>
      </c>
    </row>
    <row r="2877" spans="1:2">
      <c r="A2877" s="3">
        <f ca="1">IFERROR(__xludf.DUMMYFUNCTION("""COMPUTED_VALUE"""),44529.6666666666)</f>
        <v>44529.666666666599</v>
      </c>
      <c r="B2877" s="1">
        <f ca="1">IFERROR(__xludf.DUMMYFUNCTION("""COMPUTED_VALUE"""),379)</f>
        <v>379</v>
      </c>
    </row>
    <row r="2878" spans="1:2">
      <c r="A2878" s="3">
        <f ca="1">IFERROR(__xludf.DUMMYFUNCTION("""COMPUTED_VALUE"""),44530.6666666666)</f>
        <v>44530.666666666599</v>
      </c>
      <c r="B2878" s="1">
        <f ca="1">IFERROR(__xludf.DUMMYFUNCTION("""COMPUTED_VALUE"""),381.59)</f>
        <v>381.59</v>
      </c>
    </row>
    <row r="2879" spans="1:2">
      <c r="A2879" s="3">
        <f ca="1">IFERROR(__xludf.DUMMYFUNCTION("""COMPUTED_VALUE"""),44531.6666666666)</f>
        <v>44531.666666666599</v>
      </c>
      <c r="B2879" s="1">
        <f ca="1">IFERROR(__xludf.DUMMYFUNCTION("""COMPUTED_VALUE"""),365)</f>
        <v>365</v>
      </c>
    </row>
    <row r="2880" spans="1:2">
      <c r="A2880" s="3">
        <f ca="1">IFERROR(__xludf.DUMMYFUNCTION("""COMPUTED_VALUE"""),44532.6666666666)</f>
        <v>44532.666666666599</v>
      </c>
      <c r="B2880" s="1">
        <f ca="1">IFERROR(__xludf.DUMMYFUNCTION("""COMPUTED_VALUE"""),361.53)</f>
        <v>361.53</v>
      </c>
    </row>
    <row r="2881" spans="1:2">
      <c r="A2881" s="3">
        <f ca="1">IFERROR(__xludf.DUMMYFUNCTION("""COMPUTED_VALUE"""),44533.6666666666)</f>
        <v>44533.666666666599</v>
      </c>
      <c r="B2881" s="1">
        <f ca="1">IFERROR(__xludf.DUMMYFUNCTION("""COMPUTED_VALUE"""),338.32)</f>
        <v>338.32</v>
      </c>
    </row>
    <row r="2882" spans="1:2">
      <c r="A2882" s="3">
        <f ca="1">IFERROR(__xludf.DUMMYFUNCTION("""COMPUTED_VALUE"""),44536.6666666666)</f>
        <v>44536.666666666599</v>
      </c>
      <c r="B2882" s="1">
        <f ca="1">IFERROR(__xludf.DUMMYFUNCTION("""COMPUTED_VALUE"""),336.34)</f>
        <v>336.34</v>
      </c>
    </row>
    <row r="2883" spans="1:2">
      <c r="A2883" s="3">
        <f ca="1">IFERROR(__xludf.DUMMYFUNCTION("""COMPUTED_VALUE"""),44537.6666666666)</f>
        <v>44537.666666666599</v>
      </c>
      <c r="B2883" s="1">
        <f ca="1">IFERROR(__xludf.DUMMYFUNCTION("""COMPUTED_VALUE"""),350.58)</f>
        <v>350.58</v>
      </c>
    </row>
    <row r="2884" spans="1:2">
      <c r="A2884" s="3">
        <f ca="1">IFERROR(__xludf.DUMMYFUNCTION("""COMPUTED_VALUE"""),44538.6666666666)</f>
        <v>44538.666666666599</v>
      </c>
      <c r="B2884" s="1">
        <f ca="1">IFERROR(__xludf.DUMMYFUNCTION("""COMPUTED_VALUE"""),356.32)</f>
        <v>356.32</v>
      </c>
    </row>
    <row r="2885" spans="1:2">
      <c r="A2885" s="3">
        <f ca="1">IFERROR(__xludf.DUMMYFUNCTION("""COMPUTED_VALUE"""),44539.6666666666)</f>
        <v>44539.666666666599</v>
      </c>
      <c r="B2885" s="1">
        <f ca="1">IFERROR(__xludf.DUMMYFUNCTION("""COMPUTED_VALUE"""),334.6)</f>
        <v>334.6</v>
      </c>
    </row>
    <row r="2886" spans="1:2">
      <c r="A2886" s="3">
        <f ca="1">IFERROR(__xludf.DUMMYFUNCTION("""COMPUTED_VALUE"""),44540.6666666666)</f>
        <v>44540.666666666599</v>
      </c>
      <c r="B2886" s="1">
        <f ca="1">IFERROR(__xludf.DUMMYFUNCTION("""COMPUTED_VALUE"""),339.01)</f>
        <v>339.01</v>
      </c>
    </row>
    <row r="2887" spans="1:2">
      <c r="A2887" s="3">
        <f ca="1">IFERROR(__xludf.DUMMYFUNCTION("""COMPUTED_VALUE"""),44543.6666666666)</f>
        <v>44543.666666666599</v>
      </c>
      <c r="B2887" s="1">
        <f ca="1">IFERROR(__xludf.DUMMYFUNCTION("""COMPUTED_VALUE"""),322.14)</f>
        <v>322.14</v>
      </c>
    </row>
    <row r="2888" spans="1:2">
      <c r="A2888" s="3">
        <f ca="1">IFERROR(__xludf.DUMMYFUNCTION("""COMPUTED_VALUE"""),44544.6666666666)</f>
        <v>44544.666666666599</v>
      </c>
      <c r="B2888" s="1">
        <f ca="1">IFERROR(__xludf.DUMMYFUNCTION("""COMPUTED_VALUE"""),319.5)</f>
        <v>319.5</v>
      </c>
    </row>
    <row r="2889" spans="1:2">
      <c r="A2889" s="3">
        <f ca="1">IFERROR(__xludf.DUMMYFUNCTION("""COMPUTED_VALUE"""),44545.6666666666)</f>
        <v>44545.666666666599</v>
      </c>
      <c r="B2889" s="1">
        <f ca="1">IFERROR(__xludf.DUMMYFUNCTION("""COMPUTED_VALUE"""),325.33)</f>
        <v>325.33</v>
      </c>
    </row>
    <row r="2890" spans="1:2">
      <c r="A2890" s="3">
        <f ca="1">IFERROR(__xludf.DUMMYFUNCTION("""COMPUTED_VALUE"""),44546.6666666666)</f>
        <v>44546.666666666599</v>
      </c>
      <c r="B2890" s="1">
        <f ca="1">IFERROR(__xludf.DUMMYFUNCTION("""COMPUTED_VALUE"""),308.97)</f>
        <v>308.97000000000003</v>
      </c>
    </row>
    <row r="2891" spans="1:2">
      <c r="A2891" s="3">
        <f ca="1">IFERROR(__xludf.DUMMYFUNCTION("""COMPUTED_VALUE"""),44547.6666666666)</f>
        <v>44547.666666666599</v>
      </c>
      <c r="B2891" s="1">
        <f ca="1">IFERROR(__xludf.DUMMYFUNCTION("""COMPUTED_VALUE"""),310.86)</f>
        <v>310.86</v>
      </c>
    </row>
    <row r="2892" spans="1:2">
      <c r="A2892" s="3">
        <f ca="1">IFERROR(__xludf.DUMMYFUNCTION("""COMPUTED_VALUE"""),44550.6666666666)</f>
        <v>44550.666666666599</v>
      </c>
      <c r="B2892" s="1">
        <f ca="1">IFERROR(__xludf.DUMMYFUNCTION("""COMPUTED_VALUE"""),299.98)</f>
        <v>299.98</v>
      </c>
    </row>
    <row r="2893" spans="1:2">
      <c r="A2893" s="3">
        <f ca="1">IFERROR(__xludf.DUMMYFUNCTION("""COMPUTED_VALUE"""),44551.6666666666)</f>
        <v>44551.666666666599</v>
      </c>
      <c r="B2893" s="1">
        <f ca="1">IFERROR(__xludf.DUMMYFUNCTION("""COMPUTED_VALUE"""),312.84)</f>
        <v>312.83999999999997</v>
      </c>
    </row>
    <row r="2894" spans="1:2">
      <c r="A2894" s="3">
        <f ca="1">IFERROR(__xludf.DUMMYFUNCTION("""COMPUTED_VALUE"""),44552.6666666666)</f>
        <v>44552.666666666599</v>
      </c>
      <c r="B2894" s="1">
        <f ca="1">IFERROR(__xludf.DUMMYFUNCTION("""COMPUTED_VALUE"""),336.29)</f>
        <v>336.29</v>
      </c>
    </row>
    <row r="2895" spans="1:2">
      <c r="A2895" s="3">
        <f ca="1">IFERROR(__xludf.DUMMYFUNCTION("""COMPUTED_VALUE"""),44553.6666666666)</f>
        <v>44553.666666666599</v>
      </c>
      <c r="B2895" s="1">
        <f ca="1">IFERROR(__xludf.DUMMYFUNCTION("""COMPUTED_VALUE"""),355.67)</f>
        <v>355.67</v>
      </c>
    </row>
    <row r="2896" spans="1:2">
      <c r="A2896" s="3">
        <f ca="1">IFERROR(__xludf.DUMMYFUNCTION("""COMPUTED_VALUE"""),44557.6666666666)</f>
        <v>44557.666666666599</v>
      </c>
      <c r="B2896" s="1">
        <f ca="1">IFERROR(__xludf.DUMMYFUNCTION("""COMPUTED_VALUE"""),364.65)</f>
        <v>364.65</v>
      </c>
    </row>
    <row r="2897" spans="1:2">
      <c r="A2897" s="3">
        <f ca="1">IFERROR(__xludf.DUMMYFUNCTION("""COMPUTED_VALUE"""),44558.6666666666)</f>
        <v>44558.666666666599</v>
      </c>
      <c r="B2897" s="1">
        <f ca="1">IFERROR(__xludf.DUMMYFUNCTION("""COMPUTED_VALUE"""),362.82)</f>
        <v>362.82</v>
      </c>
    </row>
    <row r="2898" spans="1:2">
      <c r="A2898" s="3">
        <f ca="1">IFERROR(__xludf.DUMMYFUNCTION("""COMPUTED_VALUE"""),44559.6666666666)</f>
        <v>44559.666666666599</v>
      </c>
      <c r="B2898" s="1">
        <f ca="1">IFERROR(__xludf.DUMMYFUNCTION("""COMPUTED_VALUE"""),362.06)</f>
        <v>362.06</v>
      </c>
    </row>
    <row r="2899" spans="1:2">
      <c r="A2899" s="3">
        <f ca="1">IFERROR(__xludf.DUMMYFUNCTION("""COMPUTED_VALUE"""),44560.6666666666)</f>
        <v>44560.666666666599</v>
      </c>
      <c r="B2899" s="1">
        <f ca="1">IFERROR(__xludf.DUMMYFUNCTION("""COMPUTED_VALUE"""),356.78)</f>
        <v>356.78</v>
      </c>
    </row>
    <row r="2900" spans="1:2">
      <c r="A2900" s="3">
        <f ca="1">IFERROR(__xludf.DUMMYFUNCTION("""COMPUTED_VALUE"""),44561.6666666666)</f>
        <v>44561.666666666599</v>
      </c>
      <c r="B2900" s="1">
        <f ca="1">IFERROR(__xludf.DUMMYFUNCTION("""COMPUTED_VALUE"""),352.26)</f>
        <v>352.26</v>
      </c>
    </row>
    <row r="2901" spans="1:2">
      <c r="A2901" s="3">
        <f ca="1">IFERROR(__xludf.DUMMYFUNCTION("""COMPUTED_VALUE"""),44564.6666666666)</f>
        <v>44564.666666666599</v>
      </c>
      <c r="B2901" s="1">
        <f ca="1">IFERROR(__xludf.DUMMYFUNCTION("""COMPUTED_VALUE"""),399.93)</f>
        <v>399.93</v>
      </c>
    </row>
    <row r="2902" spans="1:2">
      <c r="A2902" s="3">
        <f ca="1">IFERROR(__xludf.DUMMYFUNCTION("""COMPUTED_VALUE"""),44565.6666666666)</f>
        <v>44565.666666666599</v>
      </c>
      <c r="B2902" s="1">
        <f ca="1">IFERROR(__xludf.DUMMYFUNCTION("""COMPUTED_VALUE"""),383.2)</f>
        <v>383.2</v>
      </c>
    </row>
    <row r="2903" spans="1:2">
      <c r="A2903" s="3">
        <f ca="1">IFERROR(__xludf.DUMMYFUNCTION("""COMPUTED_VALUE"""),44566.6666666666)</f>
        <v>44566.666666666599</v>
      </c>
      <c r="B2903" s="1">
        <f ca="1">IFERROR(__xludf.DUMMYFUNCTION("""COMPUTED_VALUE"""),362.71)</f>
        <v>362.71</v>
      </c>
    </row>
    <row r="2904" spans="1:2">
      <c r="A2904" s="3">
        <f ca="1">IFERROR(__xludf.DUMMYFUNCTION("""COMPUTED_VALUE"""),44567.6666666666)</f>
        <v>44567.666666666599</v>
      </c>
      <c r="B2904" s="1">
        <f ca="1">IFERROR(__xludf.DUMMYFUNCTION("""COMPUTED_VALUE"""),354.9)</f>
        <v>354.9</v>
      </c>
    </row>
    <row r="2905" spans="1:2">
      <c r="A2905" s="3">
        <f ca="1">IFERROR(__xludf.DUMMYFUNCTION("""COMPUTED_VALUE"""),44568.6666666666)</f>
        <v>44568.666666666599</v>
      </c>
      <c r="B2905" s="1">
        <f ca="1">IFERROR(__xludf.DUMMYFUNCTION("""COMPUTED_VALUE"""),342.32)</f>
        <v>342.32</v>
      </c>
    </row>
    <row r="2906" spans="1:2">
      <c r="A2906" s="3">
        <f ca="1">IFERROR(__xludf.DUMMYFUNCTION("""COMPUTED_VALUE"""),44571.6666666666)</f>
        <v>44571.666666666599</v>
      </c>
      <c r="B2906" s="1">
        <f ca="1">IFERROR(__xludf.DUMMYFUNCTION("""COMPUTED_VALUE"""),352.71)</f>
        <v>352.71</v>
      </c>
    </row>
    <row r="2907" spans="1:2">
      <c r="A2907" s="3">
        <f ca="1">IFERROR(__xludf.DUMMYFUNCTION("""COMPUTED_VALUE"""),44572.6666666666)</f>
        <v>44572.666666666599</v>
      </c>
      <c r="B2907" s="1">
        <f ca="1">IFERROR(__xludf.DUMMYFUNCTION("""COMPUTED_VALUE"""),354.8)</f>
        <v>354.8</v>
      </c>
    </row>
    <row r="2908" spans="1:2">
      <c r="A2908" s="3">
        <f ca="1">IFERROR(__xludf.DUMMYFUNCTION("""COMPUTED_VALUE"""),44573.6666666666)</f>
        <v>44573.666666666599</v>
      </c>
      <c r="B2908" s="1">
        <f ca="1">IFERROR(__xludf.DUMMYFUNCTION("""COMPUTED_VALUE"""),368.74)</f>
        <v>368.74</v>
      </c>
    </row>
    <row r="2909" spans="1:2">
      <c r="A2909" s="3">
        <f ca="1">IFERROR(__xludf.DUMMYFUNCTION("""COMPUTED_VALUE"""),44574.6666666666)</f>
        <v>44574.666666666599</v>
      </c>
      <c r="B2909" s="1">
        <f ca="1">IFERROR(__xludf.DUMMYFUNCTION("""COMPUTED_VALUE"""),343.85)</f>
        <v>343.85</v>
      </c>
    </row>
    <row r="2910" spans="1:2">
      <c r="A2910" s="3">
        <f ca="1">IFERROR(__xludf.DUMMYFUNCTION("""COMPUTED_VALUE"""),44575.6666666666)</f>
        <v>44575.666666666599</v>
      </c>
      <c r="B2910" s="1">
        <f ca="1">IFERROR(__xludf.DUMMYFUNCTION("""COMPUTED_VALUE"""),349.87)</f>
        <v>349.87</v>
      </c>
    </row>
    <row r="2911" spans="1:2">
      <c r="A2911" s="3">
        <f ca="1">IFERROR(__xludf.DUMMYFUNCTION("""COMPUTED_VALUE"""),44579.6666666666)</f>
        <v>44579.666666666599</v>
      </c>
      <c r="B2911" s="1">
        <f ca="1">IFERROR(__xludf.DUMMYFUNCTION("""COMPUTED_VALUE"""),343.5)</f>
        <v>343.5</v>
      </c>
    </row>
    <row r="2912" spans="1:2">
      <c r="A2912" s="3">
        <f ca="1">IFERROR(__xludf.DUMMYFUNCTION("""COMPUTED_VALUE"""),44580.6666666666)</f>
        <v>44580.666666666599</v>
      </c>
      <c r="B2912" s="1">
        <f ca="1">IFERROR(__xludf.DUMMYFUNCTION("""COMPUTED_VALUE"""),331.88)</f>
        <v>331.88</v>
      </c>
    </row>
    <row r="2913" spans="1:2">
      <c r="A2913" s="3">
        <f ca="1">IFERROR(__xludf.DUMMYFUNCTION("""COMPUTED_VALUE"""),44581.6666666666)</f>
        <v>44581.666666666599</v>
      </c>
      <c r="B2913" s="1">
        <f ca="1">IFERROR(__xludf.DUMMYFUNCTION("""COMPUTED_VALUE"""),332.09)</f>
        <v>332.09</v>
      </c>
    </row>
    <row r="2914" spans="1:2">
      <c r="A2914" s="3">
        <f ca="1">IFERROR(__xludf.DUMMYFUNCTION("""COMPUTED_VALUE"""),44582.6666666666)</f>
        <v>44582.666666666599</v>
      </c>
      <c r="B2914" s="1">
        <f ca="1">IFERROR(__xludf.DUMMYFUNCTION("""COMPUTED_VALUE"""),314.63)</f>
        <v>314.63</v>
      </c>
    </row>
    <row r="2915" spans="1:2">
      <c r="A2915" s="3">
        <f ca="1">IFERROR(__xludf.DUMMYFUNCTION("""COMPUTED_VALUE"""),44585.6666666666)</f>
        <v>44585.666666666599</v>
      </c>
      <c r="B2915" s="1">
        <f ca="1">IFERROR(__xludf.DUMMYFUNCTION("""COMPUTED_VALUE"""),310)</f>
        <v>310</v>
      </c>
    </row>
    <row r="2916" spans="1:2">
      <c r="A2916" s="3">
        <f ca="1">IFERROR(__xludf.DUMMYFUNCTION("""COMPUTED_VALUE"""),44586.6666666666)</f>
        <v>44586.666666666599</v>
      </c>
      <c r="B2916" s="1">
        <f ca="1">IFERROR(__xludf.DUMMYFUNCTION("""COMPUTED_VALUE"""),306.13)</f>
        <v>306.13</v>
      </c>
    </row>
    <row r="2917" spans="1:2">
      <c r="A2917" s="3">
        <f ca="1">IFERROR(__xludf.DUMMYFUNCTION("""COMPUTED_VALUE"""),44587.6666666666)</f>
        <v>44587.666666666599</v>
      </c>
      <c r="B2917" s="1">
        <f ca="1">IFERROR(__xludf.DUMMYFUNCTION("""COMPUTED_VALUE"""),312.47)</f>
        <v>312.47000000000003</v>
      </c>
    </row>
    <row r="2918" spans="1:2">
      <c r="A2918" s="3">
        <f ca="1">IFERROR(__xludf.DUMMYFUNCTION("""COMPUTED_VALUE"""),44588.6666666666)</f>
        <v>44588.666666666599</v>
      </c>
      <c r="B2918" s="1">
        <f ca="1">IFERROR(__xludf.DUMMYFUNCTION("""COMPUTED_VALUE"""),276.37)</f>
        <v>276.37</v>
      </c>
    </row>
    <row r="2919" spans="1:2">
      <c r="A2919" s="3">
        <f ca="1">IFERROR(__xludf.DUMMYFUNCTION("""COMPUTED_VALUE"""),44589.6666666666)</f>
        <v>44589.666666666599</v>
      </c>
      <c r="B2919" s="1">
        <f ca="1">IFERROR(__xludf.DUMMYFUNCTION("""COMPUTED_VALUE"""),282.12)</f>
        <v>282.12</v>
      </c>
    </row>
    <row r="2920" spans="1:2">
      <c r="A2920" s="3">
        <f ca="1">IFERROR(__xludf.DUMMYFUNCTION("""COMPUTED_VALUE"""),44592.6666666666)</f>
        <v>44592.666666666599</v>
      </c>
      <c r="B2920" s="1">
        <f ca="1">IFERROR(__xludf.DUMMYFUNCTION("""COMPUTED_VALUE"""),312.24)</f>
        <v>312.24</v>
      </c>
    </row>
    <row r="2921" spans="1:2">
      <c r="A2921" s="3">
        <f ca="1">IFERROR(__xludf.DUMMYFUNCTION("""COMPUTED_VALUE"""),44593.6666666666)</f>
        <v>44593.666666666599</v>
      </c>
      <c r="B2921" s="1">
        <f ca="1">IFERROR(__xludf.DUMMYFUNCTION("""COMPUTED_VALUE"""),310.42)</f>
        <v>310.42</v>
      </c>
    </row>
    <row r="2922" spans="1:2">
      <c r="A2922" s="3">
        <f ca="1">IFERROR(__xludf.DUMMYFUNCTION("""COMPUTED_VALUE"""),44594.6666666666)</f>
        <v>44594.666666666599</v>
      </c>
      <c r="B2922" s="1">
        <f ca="1">IFERROR(__xludf.DUMMYFUNCTION("""COMPUTED_VALUE"""),301.89)</f>
        <v>301.89</v>
      </c>
    </row>
    <row r="2923" spans="1:2">
      <c r="A2923" s="3">
        <f ca="1">IFERROR(__xludf.DUMMYFUNCTION("""COMPUTED_VALUE"""),44595.6666666666)</f>
        <v>44595.666666666599</v>
      </c>
      <c r="B2923" s="1">
        <f ca="1">IFERROR(__xludf.DUMMYFUNCTION("""COMPUTED_VALUE"""),297.05)</f>
        <v>297.05</v>
      </c>
    </row>
    <row r="2924" spans="1:2">
      <c r="A2924" s="3">
        <f ca="1">IFERROR(__xludf.DUMMYFUNCTION("""COMPUTED_VALUE"""),44596.6666666666)</f>
        <v>44596.666666666599</v>
      </c>
      <c r="B2924" s="1">
        <f ca="1">IFERROR(__xludf.DUMMYFUNCTION("""COMPUTED_VALUE"""),307.77)</f>
        <v>307.77</v>
      </c>
    </row>
    <row r="2925" spans="1:2">
      <c r="A2925" s="3">
        <f ca="1">IFERROR(__xludf.DUMMYFUNCTION("""COMPUTED_VALUE"""),44599.6666666666)</f>
        <v>44599.666666666599</v>
      </c>
      <c r="B2925" s="1">
        <f ca="1">IFERROR(__xludf.DUMMYFUNCTION("""COMPUTED_VALUE"""),302.45)</f>
        <v>302.45</v>
      </c>
    </row>
    <row r="2926" spans="1:2">
      <c r="A2926" s="3">
        <f ca="1">IFERROR(__xludf.DUMMYFUNCTION("""COMPUTED_VALUE"""),44600.6666666666)</f>
        <v>44600.666666666599</v>
      </c>
      <c r="B2926" s="1">
        <f ca="1">IFERROR(__xludf.DUMMYFUNCTION("""COMPUTED_VALUE"""),307.33)</f>
        <v>307.33</v>
      </c>
    </row>
    <row r="2927" spans="1:2">
      <c r="A2927" s="3">
        <f ca="1">IFERROR(__xludf.DUMMYFUNCTION("""COMPUTED_VALUE"""),44601.6666666666)</f>
        <v>44601.666666666599</v>
      </c>
      <c r="B2927" s="1">
        <f ca="1">IFERROR(__xludf.DUMMYFUNCTION("""COMPUTED_VALUE"""),310.67)</f>
        <v>310.67</v>
      </c>
    </row>
    <row r="2928" spans="1:2">
      <c r="A2928" s="3">
        <f ca="1">IFERROR(__xludf.DUMMYFUNCTION("""COMPUTED_VALUE"""),44602.6666666666)</f>
        <v>44602.666666666599</v>
      </c>
      <c r="B2928" s="1">
        <f ca="1">IFERROR(__xludf.DUMMYFUNCTION("""COMPUTED_VALUE"""),301.52)</f>
        <v>301.52</v>
      </c>
    </row>
    <row r="2929" spans="1:2">
      <c r="A2929" s="3">
        <f ca="1">IFERROR(__xludf.DUMMYFUNCTION("""COMPUTED_VALUE"""),44603.6666666666)</f>
        <v>44603.666666666599</v>
      </c>
      <c r="B2929" s="1">
        <f ca="1">IFERROR(__xludf.DUMMYFUNCTION("""COMPUTED_VALUE"""),286.67)</f>
        <v>286.67</v>
      </c>
    </row>
    <row r="2930" spans="1:2">
      <c r="A2930" s="3">
        <f ca="1">IFERROR(__xludf.DUMMYFUNCTION("""COMPUTED_VALUE"""),44606.6666666666)</f>
        <v>44606.666666666599</v>
      </c>
      <c r="B2930" s="1">
        <f ca="1">IFERROR(__xludf.DUMMYFUNCTION("""COMPUTED_VALUE"""),291.92)</f>
        <v>291.92</v>
      </c>
    </row>
    <row r="2931" spans="1:2">
      <c r="A2931" s="3">
        <f ca="1">IFERROR(__xludf.DUMMYFUNCTION("""COMPUTED_VALUE"""),44607.6666666666)</f>
        <v>44607.666666666599</v>
      </c>
      <c r="B2931" s="1">
        <f ca="1">IFERROR(__xludf.DUMMYFUNCTION("""COMPUTED_VALUE"""),307.48)</f>
        <v>307.48</v>
      </c>
    </row>
    <row r="2932" spans="1:2">
      <c r="A2932" s="3">
        <f ca="1">IFERROR(__xludf.DUMMYFUNCTION("""COMPUTED_VALUE"""),44608.6666666666)</f>
        <v>44608.666666666599</v>
      </c>
      <c r="B2932" s="1">
        <f ca="1">IFERROR(__xludf.DUMMYFUNCTION("""COMPUTED_VALUE"""),307.8)</f>
        <v>307.8</v>
      </c>
    </row>
    <row r="2933" spans="1:2">
      <c r="A2933" s="3">
        <f ca="1">IFERROR(__xludf.DUMMYFUNCTION("""COMPUTED_VALUE"""),44609.6666666666)</f>
        <v>44609.666666666599</v>
      </c>
      <c r="B2933" s="1">
        <f ca="1">IFERROR(__xludf.DUMMYFUNCTION("""COMPUTED_VALUE"""),292.12)</f>
        <v>292.12</v>
      </c>
    </row>
    <row r="2934" spans="1:2">
      <c r="A2934" s="3">
        <f ca="1">IFERROR(__xludf.DUMMYFUNCTION("""COMPUTED_VALUE"""),44610.6666666666)</f>
        <v>44610.666666666599</v>
      </c>
      <c r="B2934" s="1">
        <f ca="1">IFERROR(__xludf.DUMMYFUNCTION("""COMPUTED_VALUE"""),285.66)</f>
        <v>285.66000000000003</v>
      </c>
    </row>
    <row r="2935" spans="1:2">
      <c r="A2935" s="3">
        <f ca="1">IFERROR(__xludf.DUMMYFUNCTION("""COMPUTED_VALUE"""),44614.6666666666)</f>
        <v>44614.666666666599</v>
      </c>
      <c r="B2935" s="1">
        <f ca="1">IFERROR(__xludf.DUMMYFUNCTION("""COMPUTED_VALUE"""),273.84)</f>
        <v>273.83999999999997</v>
      </c>
    </row>
    <row r="2936" spans="1:2">
      <c r="A2936" s="3">
        <f ca="1">IFERROR(__xludf.DUMMYFUNCTION("""COMPUTED_VALUE"""),44615.6666666666)</f>
        <v>44615.666666666599</v>
      </c>
      <c r="B2936" s="1">
        <f ca="1">IFERROR(__xludf.DUMMYFUNCTION("""COMPUTED_VALUE"""),254.68)</f>
        <v>254.68</v>
      </c>
    </row>
    <row r="2937" spans="1:2">
      <c r="A2937" s="3">
        <f ca="1">IFERROR(__xludf.DUMMYFUNCTION("""COMPUTED_VALUE"""),44616.6666666666)</f>
        <v>44616.666666666599</v>
      </c>
      <c r="B2937" s="1">
        <f ca="1">IFERROR(__xludf.DUMMYFUNCTION("""COMPUTED_VALUE"""),266.92)</f>
        <v>266.92</v>
      </c>
    </row>
    <row r="2938" spans="1:2">
      <c r="A2938" s="3">
        <f ca="1">IFERROR(__xludf.DUMMYFUNCTION("""COMPUTED_VALUE"""),44617.6666666666)</f>
        <v>44617.666666666599</v>
      </c>
      <c r="B2938" s="1">
        <f ca="1">IFERROR(__xludf.DUMMYFUNCTION("""COMPUTED_VALUE"""),269.96)</f>
        <v>269.95999999999998</v>
      </c>
    </row>
    <row r="2939" spans="1:2">
      <c r="A2939" s="3">
        <f ca="1">IFERROR(__xludf.DUMMYFUNCTION("""COMPUTED_VALUE"""),44620.6666666666)</f>
        <v>44620.666666666599</v>
      </c>
      <c r="B2939" s="1">
        <f ca="1">IFERROR(__xludf.DUMMYFUNCTION("""COMPUTED_VALUE"""),290.14)</f>
        <v>290.14</v>
      </c>
    </row>
    <row r="2940" spans="1:2">
      <c r="A2940" s="3">
        <f ca="1">IFERROR(__xludf.DUMMYFUNCTION("""COMPUTED_VALUE"""),44621.6666666666)</f>
        <v>44621.666666666599</v>
      </c>
      <c r="B2940" s="1">
        <f ca="1">IFERROR(__xludf.DUMMYFUNCTION("""COMPUTED_VALUE"""),288.12)</f>
        <v>288.12</v>
      </c>
    </row>
    <row r="2941" spans="1:2">
      <c r="A2941" s="3">
        <f ca="1">IFERROR(__xludf.DUMMYFUNCTION("""COMPUTED_VALUE"""),44622.6666666666)</f>
        <v>44622.666666666599</v>
      </c>
      <c r="B2941" s="1">
        <f ca="1">IFERROR(__xludf.DUMMYFUNCTION("""COMPUTED_VALUE"""),293.3)</f>
        <v>293.3</v>
      </c>
    </row>
    <row r="2942" spans="1:2">
      <c r="A2942" s="3">
        <f ca="1">IFERROR(__xludf.DUMMYFUNCTION("""COMPUTED_VALUE"""),44623.6666666666)</f>
        <v>44623.666666666599</v>
      </c>
      <c r="B2942" s="1">
        <f ca="1">IFERROR(__xludf.DUMMYFUNCTION("""COMPUTED_VALUE"""),279.76)</f>
        <v>279.76</v>
      </c>
    </row>
    <row r="2943" spans="1:2">
      <c r="A2943" s="3">
        <f ca="1">IFERROR(__xludf.DUMMYFUNCTION("""COMPUTED_VALUE"""),44624.6666666666)</f>
        <v>44624.666666666599</v>
      </c>
      <c r="B2943" s="1">
        <f ca="1">IFERROR(__xludf.DUMMYFUNCTION("""COMPUTED_VALUE"""),279.43)</f>
        <v>279.43</v>
      </c>
    </row>
    <row r="2944" spans="1:2">
      <c r="A2944" s="3">
        <f ca="1">IFERROR(__xludf.DUMMYFUNCTION("""COMPUTED_VALUE"""),44627.6666666666)</f>
        <v>44627.666666666599</v>
      </c>
      <c r="B2944" s="1">
        <f ca="1">IFERROR(__xludf.DUMMYFUNCTION("""COMPUTED_VALUE"""),268.19)</f>
        <v>268.19</v>
      </c>
    </row>
    <row r="2945" spans="1:2">
      <c r="A2945" s="3">
        <f ca="1">IFERROR(__xludf.DUMMYFUNCTION("""COMPUTED_VALUE"""),44628.6666666666)</f>
        <v>44628.666666666599</v>
      </c>
      <c r="B2945" s="1">
        <f ca="1">IFERROR(__xludf.DUMMYFUNCTION("""COMPUTED_VALUE"""),274.8)</f>
        <v>274.8</v>
      </c>
    </row>
    <row r="2946" spans="1:2">
      <c r="A2946" s="3">
        <f ca="1">IFERROR(__xludf.DUMMYFUNCTION("""COMPUTED_VALUE"""),44629.6666666666)</f>
        <v>44629.666666666599</v>
      </c>
      <c r="B2946" s="1">
        <f ca="1">IFERROR(__xludf.DUMMYFUNCTION("""COMPUTED_VALUE"""),286.32)</f>
        <v>286.32</v>
      </c>
    </row>
    <row r="2947" spans="1:2">
      <c r="A2947" s="3">
        <f ca="1">IFERROR(__xludf.DUMMYFUNCTION("""COMPUTED_VALUE"""),44630.6666666666)</f>
        <v>44630.666666666599</v>
      </c>
      <c r="B2947" s="1">
        <f ca="1">IFERROR(__xludf.DUMMYFUNCTION("""COMPUTED_VALUE"""),279.43)</f>
        <v>279.43</v>
      </c>
    </row>
    <row r="2948" spans="1:2">
      <c r="A2948" s="3">
        <f ca="1">IFERROR(__xludf.DUMMYFUNCTION("""COMPUTED_VALUE"""),44631.6666666666)</f>
        <v>44631.666666666599</v>
      </c>
      <c r="B2948" s="1">
        <f ca="1">IFERROR(__xludf.DUMMYFUNCTION("""COMPUTED_VALUE"""),265.12)</f>
        <v>265.12</v>
      </c>
    </row>
    <row r="2949" spans="1:2">
      <c r="A2949" s="3">
        <f ca="1">IFERROR(__xludf.DUMMYFUNCTION("""COMPUTED_VALUE"""),44634.6666666666)</f>
        <v>44634.666666666599</v>
      </c>
      <c r="B2949" s="1">
        <f ca="1">IFERROR(__xludf.DUMMYFUNCTION("""COMPUTED_VALUE"""),255.46)</f>
        <v>255.46</v>
      </c>
    </row>
    <row r="2950" spans="1:2">
      <c r="A2950" s="3">
        <f ca="1">IFERROR(__xludf.DUMMYFUNCTION("""COMPUTED_VALUE"""),44635.6666666666)</f>
        <v>44635.666666666599</v>
      </c>
      <c r="B2950" s="1">
        <f ca="1">IFERROR(__xludf.DUMMYFUNCTION("""COMPUTED_VALUE"""),267.3)</f>
        <v>267.3</v>
      </c>
    </row>
    <row r="2951" spans="1:2">
      <c r="A2951" s="3">
        <f ca="1">IFERROR(__xludf.DUMMYFUNCTION("""COMPUTED_VALUE"""),44636.6666666666)</f>
        <v>44636.666666666599</v>
      </c>
      <c r="B2951" s="1">
        <f ca="1">IFERROR(__xludf.DUMMYFUNCTION("""COMPUTED_VALUE"""),280.08)</f>
        <v>280.08</v>
      </c>
    </row>
    <row r="2952" spans="1:2">
      <c r="A2952" s="3">
        <f ca="1">IFERROR(__xludf.DUMMYFUNCTION("""COMPUTED_VALUE"""),44637.6666666666)</f>
        <v>44637.666666666599</v>
      </c>
      <c r="B2952" s="1">
        <f ca="1">IFERROR(__xludf.DUMMYFUNCTION("""COMPUTED_VALUE"""),290.53)</f>
        <v>290.52999999999997</v>
      </c>
    </row>
    <row r="2953" spans="1:2">
      <c r="A2953" s="3">
        <f ca="1">IFERROR(__xludf.DUMMYFUNCTION("""COMPUTED_VALUE"""),44638.6666666666)</f>
        <v>44638.666666666599</v>
      </c>
      <c r="B2953" s="1">
        <f ca="1">IFERROR(__xludf.DUMMYFUNCTION("""COMPUTED_VALUE"""),301.8)</f>
        <v>301.8</v>
      </c>
    </row>
    <row r="2954" spans="1:2">
      <c r="A2954" s="3">
        <f ca="1">IFERROR(__xludf.DUMMYFUNCTION("""COMPUTED_VALUE"""),44641.6666666666)</f>
        <v>44641.666666666599</v>
      </c>
      <c r="B2954" s="1">
        <f ca="1">IFERROR(__xludf.DUMMYFUNCTION("""COMPUTED_VALUE"""),307.05)</f>
        <v>307.05</v>
      </c>
    </row>
    <row r="2955" spans="1:2">
      <c r="A2955" s="3">
        <f ca="1">IFERROR(__xludf.DUMMYFUNCTION("""COMPUTED_VALUE"""),44642.6666666666)</f>
        <v>44642.666666666599</v>
      </c>
      <c r="B2955" s="1">
        <f ca="1">IFERROR(__xludf.DUMMYFUNCTION("""COMPUTED_VALUE"""),331.33)</f>
        <v>331.33</v>
      </c>
    </row>
    <row r="2956" spans="1:2">
      <c r="A2956" s="3">
        <f ca="1">IFERROR(__xludf.DUMMYFUNCTION("""COMPUTED_VALUE"""),44643.6666666666)</f>
        <v>44643.666666666599</v>
      </c>
      <c r="B2956" s="1">
        <f ca="1">IFERROR(__xludf.DUMMYFUNCTION("""COMPUTED_VALUE"""),333.04)</f>
        <v>333.04</v>
      </c>
    </row>
    <row r="2957" spans="1:2">
      <c r="A2957" s="3">
        <f ca="1">IFERROR(__xludf.DUMMYFUNCTION("""COMPUTED_VALUE"""),44644.6666666666)</f>
        <v>44644.666666666599</v>
      </c>
      <c r="B2957" s="1">
        <f ca="1">IFERROR(__xludf.DUMMYFUNCTION("""COMPUTED_VALUE"""),337.97)</f>
        <v>337.97</v>
      </c>
    </row>
    <row r="2958" spans="1:2">
      <c r="A2958" s="3">
        <f ca="1">IFERROR(__xludf.DUMMYFUNCTION("""COMPUTED_VALUE"""),44645.6666666666)</f>
        <v>44645.666666666599</v>
      </c>
      <c r="B2958" s="1">
        <f ca="1">IFERROR(__xludf.DUMMYFUNCTION("""COMPUTED_VALUE"""),336.88)</f>
        <v>336.88</v>
      </c>
    </row>
    <row r="2959" spans="1:2">
      <c r="A2959" s="3">
        <f ca="1">IFERROR(__xludf.DUMMYFUNCTION("""COMPUTED_VALUE"""),44648.6666666666)</f>
        <v>44648.666666666599</v>
      </c>
      <c r="B2959" s="1">
        <f ca="1">IFERROR(__xludf.DUMMYFUNCTION("""COMPUTED_VALUE"""),363.95)</f>
        <v>363.95</v>
      </c>
    </row>
    <row r="2960" spans="1:2">
      <c r="A2960" s="3">
        <f ca="1">IFERROR(__xludf.DUMMYFUNCTION("""COMPUTED_VALUE"""),44649.6666666666)</f>
        <v>44649.666666666599</v>
      </c>
      <c r="B2960" s="1">
        <f ca="1">IFERROR(__xludf.DUMMYFUNCTION("""COMPUTED_VALUE"""),366.52)</f>
        <v>366.52</v>
      </c>
    </row>
    <row r="2961" spans="1:2">
      <c r="A2961" s="3">
        <f ca="1">IFERROR(__xludf.DUMMYFUNCTION("""COMPUTED_VALUE"""),44650.6666666666)</f>
        <v>44650.666666666599</v>
      </c>
      <c r="B2961" s="1">
        <f ca="1">IFERROR(__xludf.DUMMYFUNCTION("""COMPUTED_VALUE"""),364.66)</f>
        <v>364.66</v>
      </c>
    </row>
    <row r="2962" spans="1:2">
      <c r="A2962" s="3">
        <f ca="1">IFERROR(__xludf.DUMMYFUNCTION("""COMPUTED_VALUE"""),44651.6666666666)</f>
        <v>44651.666666666599</v>
      </c>
      <c r="B2962" s="1">
        <f ca="1">IFERROR(__xludf.DUMMYFUNCTION("""COMPUTED_VALUE"""),359.2)</f>
        <v>359.2</v>
      </c>
    </row>
    <row r="2963" spans="1:2">
      <c r="A2963" s="3">
        <f ca="1">IFERROR(__xludf.DUMMYFUNCTION("""COMPUTED_VALUE"""),44652.6666666666)</f>
        <v>44652.666666666599</v>
      </c>
      <c r="B2963" s="1">
        <f ca="1">IFERROR(__xludf.DUMMYFUNCTION("""COMPUTED_VALUE"""),361.53)</f>
        <v>361.53</v>
      </c>
    </row>
    <row r="2964" spans="1:2">
      <c r="A2964" s="3">
        <f ca="1">IFERROR(__xludf.DUMMYFUNCTION("""COMPUTED_VALUE"""),44655.6666666666)</f>
        <v>44655.666666666599</v>
      </c>
      <c r="B2964" s="1">
        <f ca="1">IFERROR(__xludf.DUMMYFUNCTION("""COMPUTED_VALUE"""),381.82)</f>
        <v>381.82</v>
      </c>
    </row>
    <row r="2965" spans="1:2">
      <c r="A2965" s="3">
        <f ca="1">IFERROR(__xludf.DUMMYFUNCTION("""COMPUTED_VALUE"""),44656.6666666666)</f>
        <v>44656.666666666599</v>
      </c>
      <c r="B2965" s="1">
        <f ca="1">IFERROR(__xludf.DUMMYFUNCTION("""COMPUTED_VALUE"""),363.75)</f>
        <v>363.75</v>
      </c>
    </row>
    <row r="2966" spans="1:2">
      <c r="A2966" s="3">
        <f ca="1">IFERROR(__xludf.DUMMYFUNCTION("""COMPUTED_VALUE"""),44657.6666666666)</f>
        <v>44657.666666666599</v>
      </c>
      <c r="B2966" s="1">
        <f ca="1">IFERROR(__xludf.DUMMYFUNCTION("""COMPUTED_VALUE"""),348.59)</f>
        <v>348.59</v>
      </c>
    </row>
    <row r="2967" spans="1:2">
      <c r="A2967" s="3">
        <f ca="1">IFERROR(__xludf.DUMMYFUNCTION("""COMPUTED_VALUE"""),44658.6666666666)</f>
        <v>44658.666666666599</v>
      </c>
      <c r="B2967" s="1">
        <f ca="1">IFERROR(__xludf.DUMMYFUNCTION("""COMPUTED_VALUE"""),352.42)</f>
        <v>352.42</v>
      </c>
    </row>
    <row r="2968" spans="1:2">
      <c r="A2968" s="3">
        <f ca="1">IFERROR(__xludf.DUMMYFUNCTION("""COMPUTED_VALUE"""),44659.6666666666)</f>
        <v>44659.666666666599</v>
      </c>
      <c r="B2968" s="1">
        <f ca="1">IFERROR(__xludf.DUMMYFUNCTION("""COMPUTED_VALUE"""),341.83)</f>
        <v>341.83</v>
      </c>
    </row>
    <row r="2969" spans="1:2">
      <c r="A2969" s="3">
        <f ca="1">IFERROR(__xludf.DUMMYFUNCTION("""COMPUTED_VALUE"""),44662.6666666666)</f>
        <v>44662.666666666599</v>
      </c>
      <c r="B2969" s="1">
        <f ca="1">IFERROR(__xludf.DUMMYFUNCTION("""COMPUTED_VALUE"""),325.31)</f>
        <v>325.31</v>
      </c>
    </row>
    <row r="2970" spans="1:2">
      <c r="A2970" s="3">
        <f ca="1">IFERROR(__xludf.DUMMYFUNCTION("""COMPUTED_VALUE"""),44663.6666666666)</f>
        <v>44663.666666666599</v>
      </c>
      <c r="B2970" s="1">
        <f ca="1">IFERROR(__xludf.DUMMYFUNCTION("""COMPUTED_VALUE"""),328.98)</f>
        <v>328.98</v>
      </c>
    </row>
    <row r="2971" spans="1:2">
      <c r="A2971" s="3">
        <f ca="1">IFERROR(__xludf.DUMMYFUNCTION("""COMPUTED_VALUE"""),44664.6666666666)</f>
        <v>44664.666666666599</v>
      </c>
      <c r="B2971" s="1">
        <f ca="1">IFERROR(__xludf.DUMMYFUNCTION("""COMPUTED_VALUE"""),340.79)</f>
        <v>340.79</v>
      </c>
    </row>
    <row r="2972" spans="1:2">
      <c r="A2972" s="3">
        <f ca="1">IFERROR(__xludf.DUMMYFUNCTION("""COMPUTED_VALUE"""),44665.6666666666)</f>
        <v>44665.666666666599</v>
      </c>
      <c r="B2972" s="1">
        <f ca="1">IFERROR(__xludf.DUMMYFUNCTION("""COMPUTED_VALUE"""),328.33)</f>
        <v>328.33</v>
      </c>
    </row>
    <row r="2973" spans="1:2">
      <c r="A2973" s="3">
        <f ca="1">IFERROR(__xludf.DUMMYFUNCTION("""COMPUTED_VALUE"""),44669.6666666666)</f>
        <v>44669.666666666599</v>
      </c>
      <c r="B2973" s="1">
        <f ca="1">IFERROR(__xludf.DUMMYFUNCTION("""COMPUTED_VALUE"""),334.76)</f>
        <v>334.76</v>
      </c>
    </row>
    <row r="2974" spans="1:2">
      <c r="A2974" s="3">
        <f ca="1">IFERROR(__xludf.DUMMYFUNCTION("""COMPUTED_VALUE"""),44670.6666666666)</f>
        <v>44670.666666666599</v>
      </c>
      <c r="B2974" s="1">
        <f ca="1">IFERROR(__xludf.DUMMYFUNCTION("""COMPUTED_VALUE"""),342.72)</f>
        <v>342.72</v>
      </c>
    </row>
    <row r="2975" spans="1:2">
      <c r="A2975" s="3">
        <f ca="1">IFERROR(__xludf.DUMMYFUNCTION("""COMPUTED_VALUE"""),44671.6666666666)</f>
        <v>44671.666666666599</v>
      </c>
      <c r="B2975" s="1">
        <f ca="1">IFERROR(__xludf.DUMMYFUNCTION("""COMPUTED_VALUE"""),325.73)</f>
        <v>325.73</v>
      </c>
    </row>
    <row r="2976" spans="1:2">
      <c r="A2976" s="3">
        <f ca="1">IFERROR(__xludf.DUMMYFUNCTION("""COMPUTED_VALUE"""),44672.6666666666)</f>
        <v>44672.666666666599</v>
      </c>
      <c r="B2976" s="1">
        <f ca="1">IFERROR(__xludf.DUMMYFUNCTION("""COMPUTED_VALUE"""),336.26)</f>
        <v>336.26</v>
      </c>
    </row>
    <row r="2977" spans="1:2">
      <c r="A2977" s="3">
        <f ca="1">IFERROR(__xludf.DUMMYFUNCTION("""COMPUTED_VALUE"""),44673.6666666666)</f>
        <v>44673.666666666599</v>
      </c>
      <c r="B2977" s="1">
        <f ca="1">IFERROR(__xludf.DUMMYFUNCTION("""COMPUTED_VALUE"""),335.02)</f>
        <v>335.02</v>
      </c>
    </row>
    <row r="2978" spans="1:2">
      <c r="A2978" s="3">
        <f ca="1">IFERROR(__xludf.DUMMYFUNCTION("""COMPUTED_VALUE"""),44676.6666666666)</f>
        <v>44676.666666666599</v>
      </c>
      <c r="B2978" s="1">
        <f ca="1">IFERROR(__xludf.DUMMYFUNCTION("""COMPUTED_VALUE"""),332.67)</f>
        <v>332.67</v>
      </c>
    </row>
    <row r="2979" spans="1:2">
      <c r="A2979" s="3">
        <f ca="1">IFERROR(__xludf.DUMMYFUNCTION("""COMPUTED_VALUE"""),44677.6666666666)</f>
        <v>44677.666666666599</v>
      </c>
      <c r="B2979" s="1">
        <f ca="1">IFERROR(__xludf.DUMMYFUNCTION("""COMPUTED_VALUE"""),292.14)</f>
        <v>292.14</v>
      </c>
    </row>
    <row r="2980" spans="1:2">
      <c r="A2980" s="3">
        <f ca="1">IFERROR(__xludf.DUMMYFUNCTION("""COMPUTED_VALUE"""),44678.6666666666)</f>
        <v>44678.666666666599</v>
      </c>
      <c r="B2980" s="1">
        <f ca="1">IFERROR(__xludf.DUMMYFUNCTION("""COMPUTED_VALUE"""),293.84)</f>
        <v>293.83999999999997</v>
      </c>
    </row>
    <row r="2981" spans="1:2">
      <c r="A2981" s="3">
        <f ca="1">IFERROR(__xludf.DUMMYFUNCTION("""COMPUTED_VALUE"""),44679.6666666666)</f>
        <v>44679.666666666599</v>
      </c>
      <c r="B2981" s="1">
        <f ca="1">IFERROR(__xludf.DUMMYFUNCTION("""COMPUTED_VALUE"""),292.5)</f>
        <v>292.5</v>
      </c>
    </row>
    <row r="2982" spans="1:2">
      <c r="A2982" s="3">
        <f ca="1">IFERROR(__xludf.DUMMYFUNCTION("""COMPUTED_VALUE"""),44680.6666666666)</f>
        <v>44680.666666666599</v>
      </c>
      <c r="B2982" s="1">
        <f ca="1">IFERROR(__xludf.DUMMYFUNCTION("""COMPUTED_VALUE"""),290.25)</f>
        <v>290.25</v>
      </c>
    </row>
    <row r="2983" spans="1:2">
      <c r="A2983" s="3">
        <f ca="1">IFERROR(__xludf.DUMMYFUNCTION("""COMPUTED_VALUE"""),44683.6666666666)</f>
        <v>44683.666666666599</v>
      </c>
      <c r="B2983" s="1">
        <f ca="1">IFERROR(__xludf.DUMMYFUNCTION("""COMPUTED_VALUE"""),300.98)</f>
        <v>300.98</v>
      </c>
    </row>
    <row r="2984" spans="1:2">
      <c r="A2984" s="3">
        <f ca="1">IFERROR(__xludf.DUMMYFUNCTION("""COMPUTED_VALUE"""),44684.6666666666)</f>
        <v>44684.666666666599</v>
      </c>
      <c r="B2984" s="1">
        <f ca="1">IFERROR(__xludf.DUMMYFUNCTION("""COMPUTED_VALUE"""),303.08)</f>
        <v>303.08</v>
      </c>
    </row>
    <row r="2985" spans="1:2">
      <c r="A2985" s="3">
        <f ca="1">IFERROR(__xludf.DUMMYFUNCTION("""COMPUTED_VALUE"""),44685.6666666666)</f>
        <v>44685.666666666599</v>
      </c>
      <c r="B2985" s="1">
        <f ca="1">IFERROR(__xludf.DUMMYFUNCTION("""COMPUTED_VALUE"""),317.54)</f>
        <v>317.54000000000002</v>
      </c>
    </row>
    <row r="2986" spans="1:2">
      <c r="A2986" s="3">
        <f ca="1">IFERROR(__xludf.DUMMYFUNCTION("""COMPUTED_VALUE"""),44686.6666666666)</f>
        <v>44686.666666666599</v>
      </c>
      <c r="B2986" s="1">
        <f ca="1">IFERROR(__xludf.DUMMYFUNCTION("""COMPUTED_VALUE"""),291.09)</f>
        <v>291.08999999999997</v>
      </c>
    </row>
    <row r="2987" spans="1:2">
      <c r="A2987" s="3">
        <f ca="1">IFERROR(__xludf.DUMMYFUNCTION("""COMPUTED_VALUE"""),44687.6666666666)</f>
        <v>44687.666666666599</v>
      </c>
      <c r="B2987" s="1">
        <f ca="1">IFERROR(__xludf.DUMMYFUNCTION("""COMPUTED_VALUE"""),288.55)</f>
        <v>288.55</v>
      </c>
    </row>
    <row r="2988" spans="1:2">
      <c r="A2988" s="3">
        <f ca="1">IFERROR(__xludf.DUMMYFUNCTION("""COMPUTED_VALUE"""),44690.6666666666)</f>
        <v>44690.666666666599</v>
      </c>
      <c r="B2988" s="1">
        <f ca="1">IFERROR(__xludf.DUMMYFUNCTION("""COMPUTED_VALUE"""),262.37)</f>
        <v>262.37</v>
      </c>
    </row>
    <row r="2989" spans="1:2">
      <c r="A2989" s="3">
        <f ca="1">IFERROR(__xludf.DUMMYFUNCTION("""COMPUTED_VALUE"""),44691.6666666666)</f>
        <v>44691.666666666599</v>
      </c>
      <c r="B2989" s="1">
        <f ca="1">IFERROR(__xludf.DUMMYFUNCTION("""COMPUTED_VALUE"""),266.68)</f>
        <v>266.68</v>
      </c>
    </row>
    <row r="2990" spans="1:2">
      <c r="A2990" s="3">
        <f ca="1">IFERROR(__xludf.DUMMYFUNCTION("""COMPUTED_VALUE"""),44692.6666666666)</f>
        <v>44692.666666666599</v>
      </c>
      <c r="B2990" s="1">
        <f ca="1">IFERROR(__xludf.DUMMYFUNCTION("""COMPUTED_VALUE"""),244.67)</f>
        <v>244.67</v>
      </c>
    </row>
    <row r="2991" spans="1:2">
      <c r="A2991" s="3">
        <f ca="1">IFERROR(__xludf.DUMMYFUNCTION("""COMPUTED_VALUE"""),44693.6666666666)</f>
        <v>44693.666666666599</v>
      </c>
      <c r="B2991" s="1">
        <f ca="1">IFERROR(__xludf.DUMMYFUNCTION("""COMPUTED_VALUE"""),242.67)</f>
        <v>242.67</v>
      </c>
    </row>
    <row r="2992" spans="1:2">
      <c r="A2992" s="3">
        <f ca="1">IFERROR(__xludf.DUMMYFUNCTION("""COMPUTED_VALUE"""),44694.6666666666)</f>
        <v>44694.666666666599</v>
      </c>
      <c r="B2992" s="1">
        <f ca="1">IFERROR(__xludf.DUMMYFUNCTION("""COMPUTED_VALUE"""),256.53)</f>
        <v>256.52999999999997</v>
      </c>
    </row>
    <row r="2993" spans="1:2">
      <c r="A2993" s="3">
        <f ca="1">IFERROR(__xludf.DUMMYFUNCTION("""COMPUTED_VALUE"""),44697.6666666666)</f>
        <v>44697.666666666599</v>
      </c>
      <c r="B2993" s="1">
        <f ca="1">IFERROR(__xludf.DUMMYFUNCTION("""COMPUTED_VALUE"""),241.46)</f>
        <v>241.46</v>
      </c>
    </row>
    <row r="2994" spans="1:2">
      <c r="A2994" s="3">
        <f ca="1">IFERROR(__xludf.DUMMYFUNCTION("""COMPUTED_VALUE"""),44698.6666666666)</f>
        <v>44698.666666666599</v>
      </c>
      <c r="B2994" s="1">
        <f ca="1">IFERROR(__xludf.DUMMYFUNCTION("""COMPUTED_VALUE"""),253.87)</f>
        <v>253.87</v>
      </c>
    </row>
    <row r="2995" spans="1:2">
      <c r="A2995" s="3">
        <f ca="1">IFERROR(__xludf.DUMMYFUNCTION("""COMPUTED_VALUE"""),44699.6666666666)</f>
        <v>44699.666666666599</v>
      </c>
      <c r="B2995" s="1">
        <f ca="1">IFERROR(__xludf.DUMMYFUNCTION("""COMPUTED_VALUE"""),236.6)</f>
        <v>236.6</v>
      </c>
    </row>
    <row r="2996" spans="1:2">
      <c r="A2996" s="3">
        <f ca="1">IFERROR(__xludf.DUMMYFUNCTION("""COMPUTED_VALUE"""),44700.6666666666)</f>
        <v>44700.666666666599</v>
      </c>
      <c r="B2996" s="1">
        <f ca="1">IFERROR(__xludf.DUMMYFUNCTION("""COMPUTED_VALUE"""),236.47)</f>
        <v>236.47</v>
      </c>
    </row>
    <row r="2997" spans="1:2">
      <c r="A2997" s="3">
        <f ca="1">IFERROR(__xludf.DUMMYFUNCTION("""COMPUTED_VALUE"""),44701.6666666666)</f>
        <v>44701.666666666599</v>
      </c>
      <c r="B2997" s="1">
        <f ca="1">IFERROR(__xludf.DUMMYFUNCTION("""COMPUTED_VALUE"""),221.3)</f>
        <v>221.3</v>
      </c>
    </row>
    <row r="2998" spans="1:2">
      <c r="A2998" s="3">
        <f ca="1">IFERROR(__xludf.DUMMYFUNCTION("""COMPUTED_VALUE"""),44704.6666666666)</f>
        <v>44704.666666666599</v>
      </c>
      <c r="B2998" s="1">
        <f ca="1">IFERROR(__xludf.DUMMYFUNCTION("""COMPUTED_VALUE"""),224.97)</f>
        <v>224.97</v>
      </c>
    </row>
    <row r="2999" spans="1:2">
      <c r="A2999" s="3">
        <f ca="1">IFERROR(__xludf.DUMMYFUNCTION("""COMPUTED_VALUE"""),44705.6666666666)</f>
        <v>44705.666666666599</v>
      </c>
      <c r="B2999" s="1">
        <f ca="1">IFERROR(__xludf.DUMMYFUNCTION("""COMPUTED_VALUE"""),209.39)</f>
        <v>209.39</v>
      </c>
    </row>
    <row r="3000" spans="1:2">
      <c r="A3000" s="3">
        <f ca="1">IFERROR(__xludf.DUMMYFUNCTION("""COMPUTED_VALUE"""),44706.6666666666)</f>
        <v>44706.666666666599</v>
      </c>
      <c r="B3000" s="1">
        <f ca="1">IFERROR(__xludf.DUMMYFUNCTION("""COMPUTED_VALUE"""),219.6)</f>
        <v>219.6</v>
      </c>
    </row>
    <row r="3001" spans="1:2">
      <c r="A3001" s="3">
        <f ca="1">IFERROR(__xludf.DUMMYFUNCTION("""COMPUTED_VALUE"""),44707.6666666666)</f>
        <v>44707.666666666599</v>
      </c>
      <c r="B3001" s="1">
        <f ca="1">IFERROR(__xludf.DUMMYFUNCTION("""COMPUTED_VALUE"""),235.91)</f>
        <v>235.91</v>
      </c>
    </row>
    <row r="3002" spans="1:2">
      <c r="A3002" s="3">
        <f ca="1">IFERROR(__xludf.DUMMYFUNCTION("""COMPUTED_VALUE"""),44708.6666666666)</f>
        <v>44708.666666666599</v>
      </c>
      <c r="B3002" s="1">
        <f ca="1">IFERROR(__xludf.DUMMYFUNCTION("""COMPUTED_VALUE"""),253.21)</f>
        <v>253.21</v>
      </c>
    </row>
    <row r="3003" spans="1:2">
      <c r="A3003" s="3">
        <f ca="1">IFERROR(__xludf.DUMMYFUNCTION("""COMPUTED_VALUE"""),44712.6666666666)</f>
        <v>44712.666666666599</v>
      </c>
      <c r="B3003" s="1">
        <f ca="1">IFERROR(__xludf.DUMMYFUNCTION("""COMPUTED_VALUE"""),252.75)</f>
        <v>252.75</v>
      </c>
    </row>
    <row r="3004" spans="1:2">
      <c r="A3004" s="3">
        <f ca="1">IFERROR(__xludf.DUMMYFUNCTION("""COMPUTED_VALUE"""),44713.6666666666)</f>
        <v>44713.666666666599</v>
      </c>
      <c r="B3004" s="1">
        <f ca="1">IFERROR(__xludf.DUMMYFUNCTION("""COMPUTED_VALUE"""),246.79)</f>
        <v>246.79</v>
      </c>
    </row>
    <row r="3005" spans="1:2">
      <c r="A3005" s="3">
        <f ca="1">IFERROR(__xludf.DUMMYFUNCTION("""COMPUTED_VALUE"""),44714.6666666666)</f>
        <v>44714.666666666599</v>
      </c>
      <c r="B3005" s="1">
        <f ca="1">IFERROR(__xludf.DUMMYFUNCTION("""COMPUTED_VALUE"""),258.33)</f>
        <v>258.33</v>
      </c>
    </row>
    <row r="3006" spans="1:2">
      <c r="A3006" s="3">
        <f ca="1">IFERROR(__xludf.DUMMYFUNCTION("""COMPUTED_VALUE"""),44715.6666666666)</f>
        <v>44715.666666666599</v>
      </c>
      <c r="B3006" s="1">
        <f ca="1">IFERROR(__xludf.DUMMYFUNCTION("""COMPUTED_VALUE"""),234.52)</f>
        <v>234.52</v>
      </c>
    </row>
    <row r="3007" spans="1:2">
      <c r="A3007" s="3">
        <f ca="1">IFERROR(__xludf.DUMMYFUNCTION("""COMPUTED_VALUE"""),44718.6666666666)</f>
        <v>44718.666666666599</v>
      </c>
      <c r="B3007" s="1">
        <f ca="1">IFERROR(__xludf.DUMMYFUNCTION("""COMPUTED_VALUE"""),238.28)</f>
        <v>238.28</v>
      </c>
    </row>
    <row r="3008" spans="1:2">
      <c r="A3008" s="3">
        <f ca="1">IFERROR(__xludf.DUMMYFUNCTION("""COMPUTED_VALUE"""),44719.6666666666)</f>
        <v>44719.666666666599</v>
      </c>
      <c r="B3008" s="1">
        <f ca="1">IFERROR(__xludf.DUMMYFUNCTION("""COMPUTED_VALUE"""),238.89)</f>
        <v>238.89</v>
      </c>
    </row>
    <row r="3009" spans="1:2">
      <c r="A3009" s="3">
        <f ca="1">IFERROR(__xludf.DUMMYFUNCTION("""COMPUTED_VALUE"""),44720.6666666666)</f>
        <v>44720.666666666599</v>
      </c>
      <c r="B3009" s="1">
        <f ca="1">IFERROR(__xludf.DUMMYFUNCTION("""COMPUTED_VALUE"""),241.87)</f>
        <v>241.87</v>
      </c>
    </row>
    <row r="3010" spans="1:2">
      <c r="A3010" s="3">
        <f ca="1">IFERROR(__xludf.DUMMYFUNCTION("""COMPUTED_VALUE"""),44721.6666666666)</f>
        <v>44721.666666666599</v>
      </c>
      <c r="B3010" s="1">
        <f ca="1">IFERROR(__xludf.DUMMYFUNCTION("""COMPUTED_VALUE"""),239.71)</f>
        <v>239.71</v>
      </c>
    </row>
    <row r="3011" spans="1:2">
      <c r="A3011" s="3">
        <f ca="1">IFERROR(__xludf.DUMMYFUNCTION("""COMPUTED_VALUE"""),44722.6666666666)</f>
        <v>44722.666666666599</v>
      </c>
      <c r="B3011" s="1">
        <f ca="1">IFERROR(__xludf.DUMMYFUNCTION("""COMPUTED_VALUE"""),232.23)</f>
        <v>232.23</v>
      </c>
    </row>
    <row r="3012" spans="1:2">
      <c r="A3012" s="3">
        <f ca="1">IFERROR(__xludf.DUMMYFUNCTION("""COMPUTED_VALUE"""),44725.6666666666)</f>
        <v>44725.666666666599</v>
      </c>
      <c r="B3012" s="1">
        <f ca="1">IFERROR(__xludf.DUMMYFUNCTION("""COMPUTED_VALUE"""),215.74)</f>
        <v>215.74</v>
      </c>
    </row>
    <row r="3013" spans="1:2">
      <c r="A3013" s="3">
        <f ca="1">IFERROR(__xludf.DUMMYFUNCTION("""COMPUTED_VALUE"""),44726.6666666666)</f>
        <v>44726.666666666599</v>
      </c>
      <c r="B3013" s="1">
        <f ca="1">IFERROR(__xludf.DUMMYFUNCTION("""COMPUTED_VALUE"""),220.89)</f>
        <v>220.89</v>
      </c>
    </row>
    <row r="3014" spans="1:2">
      <c r="A3014" s="3">
        <f ca="1">IFERROR(__xludf.DUMMYFUNCTION("""COMPUTED_VALUE"""),44727.6666666666)</f>
        <v>44727.666666666599</v>
      </c>
      <c r="B3014" s="1">
        <f ca="1">IFERROR(__xludf.DUMMYFUNCTION("""COMPUTED_VALUE"""),233)</f>
        <v>233</v>
      </c>
    </row>
    <row r="3015" spans="1:2">
      <c r="A3015" s="3">
        <f ca="1">IFERROR(__xludf.DUMMYFUNCTION("""COMPUTED_VALUE"""),44728.6666666666)</f>
        <v>44728.666666666599</v>
      </c>
      <c r="B3015" s="1">
        <f ca="1">IFERROR(__xludf.DUMMYFUNCTION("""COMPUTED_VALUE"""),213.1)</f>
        <v>213.1</v>
      </c>
    </row>
    <row r="3016" spans="1:2">
      <c r="A3016" s="3">
        <f ca="1">IFERROR(__xludf.DUMMYFUNCTION("""COMPUTED_VALUE"""),44729.6666666666)</f>
        <v>44729.666666666599</v>
      </c>
      <c r="B3016" s="1">
        <f ca="1">IFERROR(__xludf.DUMMYFUNCTION("""COMPUTED_VALUE"""),216.76)</f>
        <v>216.76</v>
      </c>
    </row>
    <row r="3017" spans="1:2">
      <c r="A3017" s="3">
        <f ca="1">IFERROR(__xludf.DUMMYFUNCTION("""COMPUTED_VALUE"""),44733.6666666666)</f>
        <v>44733.666666666599</v>
      </c>
      <c r="B3017" s="1">
        <f ca="1">IFERROR(__xludf.DUMMYFUNCTION("""COMPUTED_VALUE"""),237.04)</f>
        <v>237.04</v>
      </c>
    </row>
    <row r="3018" spans="1:2">
      <c r="A3018" s="3">
        <f ca="1">IFERROR(__xludf.DUMMYFUNCTION("""COMPUTED_VALUE"""),44734.6666666666)</f>
        <v>44734.666666666599</v>
      </c>
      <c r="B3018" s="1">
        <f ca="1">IFERROR(__xludf.DUMMYFUNCTION("""COMPUTED_VALUE"""),236.09)</f>
        <v>236.09</v>
      </c>
    </row>
    <row r="3019" spans="1:2">
      <c r="A3019" s="3">
        <f ca="1">IFERROR(__xludf.DUMMYFUNCTION("""COMPUTED_VALUE"""),44735.6666666666)</f>
        <v>44735.666666666599</v>
      </c>
      <c r="B3019" s="1">
        <f ca="1">IFERROR(__xludf.DUMMYFUNCTION("""COMPUTED_VALUE"""),235.07)</f>
        <v>235.07</v>
      </c>
    </row>
    <row r="3020" spans="1:2">
      <c r="A3020" s="3">
        <f ca="1">IFERROR(__xludf.DUMMYFUNCTION("""COMPUTED_VALUE"""),44736.6666666666)</f>
        <v>44736.666666666599</v>
      </c>
      <c r="B3020" s="1">
        <f ca="1">IFERROR(__xludf.DUMMYFUNCTION("""COMPUTED_VALUE"""),245.71)</f>
        <v>245.71</v>
      </c>
    </row>
    <row r="3021" spans="1:2">
      <c r="A3021" s="3">
        <f ca="1">IFERROR(__xludf.DUMMYFUNCTION("""COMPUTED_VALUE"""),44739.6666666666)</f>
        <v>44739.666666666599</v>
      </c>
      <c r="B3021" s="1">
        <f ca="1">IFERROR(__xludf.DUMMYFUNCTION("""COMPUTED_VALUE"""),244.92)</f>
        <v>244.92</v>
      </c>
    </row>
    <row r="3022" spans="1:2">
      <c r="A3022" s="3">
        <f ca="1">IFERROR(__xludf.DUMMYFUNCTION("""COMPUTED_VALUE"""),44740.6666666666)</f>
        <v>44740.666666666599</v>
      </c>
      <c r="B3022" s="1">
        <f ca="1">IFERROR(__xludf.DUMMYFUNCTION("""COMPUTED_VALUE"""),232.66)</f>
        <v>232.66</v>
      </c>
    </row>
    <row r="3023" spans="1:2">
      <c r="A3023" s="3">
        <f ca="1">IFERROR(__xludf.DUMMYFUNCTION("""COMPUTED_VALUE"""),44741.6666666666)</f>
        <v>44741.666666666599</v>
      </c>
      <c r="B3023" s="1">
        <f ca="1">IFERROR(__xludf.DUMMYFUNCTION("""COMPUTED_VALUE"""),228.49)</f>
        <v>228.49</v>
      </c>
    </row>
    <row r="3024" spans="1:2">
      <c r="A3024" s="3">
        <f ca="1">IFERROR(__xludf.DUMMYFUNCTION("""COMPUTED_VALUE"""),44742.6666666666)</f>
        <v>44742.666666666599</v>
      </c>
      <c r="B3024" s="1">
        <f ca="1">IFERROR(__xludf.DUMMYFUNCTION("""COMPUTED_VALUE"""),224.47)</f>
        <v>224.47</v>
      </c>
    </row>
    <row r="3025" spans="1:2">
      <c r="A3025" s="3">
        <f ca="1">IFERROR(__xludf.DUMMYFUNCTION("""COMPUTED_VALUE"""),44743.6666666666)</f>
        <v>44743.666666666599</v>
      </c>
      <c r="B3025" s="1">
        <f ca="1">IFERROR(__xludf.DUMMYFUNCTION("""COMPUTED_VALUE"""),227.26)</f>
        <v>227.26</v>
      </c>
    </row>
    <row r="3026" spans="1:2">
      <c r="A3026" s="3">
        <f ca="1">IFERROR(__xludf.DUMMYFUNCTION("""COMPUTED_VALUE"""),44747.6666666666)</f>
        <v>44747.666666666599</v>
      </c>
      <c r="B3026" s="1">
        <f ca="1">IFERROR(__xludf.DUMMYFUNCTION("""COMPUTED_VALUE"""),233.07)</f>
        <v>233.07</v>
      </c>
    </row>
    <row r="3027" spans="1:2">
      <c r="A3027" s="3">
        <f ca="1">IFERROR(__xludf.DUMMYFUNCTION("""COMPUTED_VALUE"""),44748.6666666666)</f>
        <v>44748.666666666599</v>
      </c>
      <c r="B3027" s="1">
        <f ca="1">IFERROR(__xludf.DUMMYFUNCTION("""COMPUTED_VALUE"""),231.73)</f>
        <v>231.73</v>
      </c>
    </row>
    <row r="3028" spans="1:2">
      <c r="A3028" s="3">
        <f ca="1">IFERROR(__xludf.DUMMYFUNCTION("""COMPUTED_VALUE"""),44749.6666666666)</f>
        <v>44749.666666666599</v>
      </c>
      <c r="B3028" s="1">
        <f ca="1">IFERROR(__xludf.DUMMYFUNCTION("""COMPUTED_VALUE"""),244.54)</f>
        <v>244.54</v>
      </c>
    </row>
    <row r="3029" spans="1:2">
      <c r="A3029" s="3">
        <f ca="1">IFERROR(__xludf.DUMMYFUNCTION("""COMPUTED_VALUE"""),44750.6666666666)</f>
        <v>44750.666666666599</v>
      </c>
      <c r="B3029" s="1">
        <f ca="1">IFERROR(__xludf.DUMMYFUNCTION("""COMPUTED_VALUE"""),250.76)</f>
        <v>250.76</v>
      </c>
    </row>
    <row r="3030" spans="1:2">
      <c r="A3030" s="3">
        <f ca="1">IFERROR(__xludf.DUMMYFUNCTION("""COMPUTED_VALUE"""),44753.6666666666)</f>
        <v>44753.666666666599</v>
      </c>
      <c r="B3030" s="1">
        <f ca="1">IFERROR(__xludf.DUMMYFUNCTION("""COMPUTED_VALUE"""),234.34)</f>
        <v>234.34</v>
      </c>
    </row>
    <row r="3031" spans="1:2">
      <c r="A3031" s="3">
        <f ca="1">IFERROR(__xludf.DUMMYFUNCTION("""COMPUTED_VALUE"""),44754.6666666666)</f>
        <v>44754.666666666599</v>
      </c>
      <c r="B3031" s="1">
        <f ca="1">IFERROR(__xludf.DUMMYFUNCTION("""COMPUTED_VALUE"""),233.07)</f>
        <v>233.07</v>
      </c>
    </row>
    <row r="3032" spans="1:2">
      <c r="A3032" s="3">
        <f ca="1">IFERROR(__xludf.DUMMYFUNCTION("""COMPUTED_VALUE"""),44755.6666666666)</f>
        <v>44755.666666666599</v>
      </c>
      <c r="B3032" s="1">
        <f ca="1">IFERROR(__xludf.DUMMYFUNCTION("""COMPUTED_VALUE"""),237.04)</f>
        <v>237.04</v>
      </c>
    </row>
    <row r="3033" spans="1:2">
      <c r="A3033" s="3">
        <f ca="1">IFERROR(__xludf.DUMMYFUNCTION("""COMPUTED_VALUE"""),44756.6666666666)</f>
        <v>44756.666666666599</v>
      </c>
      <c r="B3033" s="1">
        <f ca="1">IFERROR(__xludf.DUMMYFUNCTION("""COMPUTED_VALUE"""),238.31)</f>
        <v>238.31</v>
      </c>
    </row>
    <row r="3034" spans="1:2">
      <c r="A3034" s="3">
        <f ca="1">IFERROR(__xludf.DUMMYFUNCTION("""COMPUTED_VALUE"""),44757.6666666666)</f>
        <v>44757.666666666599</v>
      </c>
      <c r="B3034" s="1">
        <f ca="1">IFERROR(__xludf.DUMMYFUNCTION("""COMPUTED_VALUE"""),240.07)</f>
        <v>240.07</v>
      </c>
    </row>
    <row r="3035" spans="1:2">
      <c r="A3035" s="3">
        <f ca="1">IFERROR(__xludf.DUMMYFUNCTION("""COMPUTED_VALUE"""),44760.6666666666)</f>
        <v>44760.666666666599</v>
      </c>
      <c r="B3035" s="1">
        <f ca="1">IFERROR(__xludf.DUMMYFUNCTION("""COMPUTED_VALUE"""),240.55)</f>
        <v>240.55</v>
      </c>
    </row>
    <row r="3036" spans="1:2">
      <c r="A3036" s="3">
        <f ca="1">IFERROR(__xludf.DUMMYFUNCTION("""COMPUTED_VALUE"""),44761.6666666666)</f>
        <v>44761.666666666599</v>
      </c>
      <c r="B3036" s="1">
        <f ca="1">IFERROR(__xludf.DUMMYFUNCTION("""COMPUTED_VALUE"""),245.53)</f>
        <v>245.53</v>
      </c>
    </row>
    <row r="3037" spans="1:2">
      <c r="A3037" s="3">
        <f ca="1">IFERROR(__xludf.DUMMYFUNCTION("""COMPUTED_VALUE"""),44762.6666666666)</f>
        <v>44762.666666666599</v>
      </c>
      <c r="B3037" s="1">
        <f ca="1">IFERROR(__xludf.DUMMYFUNCTION("""COMPUTED_VALUE"""),247.5)</f>
        <v>247.5</v>
      </c>
    </row>
    <row r="3038" spans="1:2">
      <c r="A3038" s="3">
        <f ca="1">IFERROR(__xludf.DUMMYFUNCTION("""COMPUTED_VALUE"""),44763.6666666666)</f>
        <v>44763.666666666599</v>
      </c>
      <c r="B3038" s="1">
        <f ca="1">IFERROR(__xludf.DUMMYFUNCTION("""COMPUTED_VALUE"""),271.71)</f>
        <v>271.70999999999998</v>
      </c>
    </row>
    <row r="3039" spans="1:2">
      <c r="A3039" s="3">
        <f ca="1">IFERROR(__xludf.DUMMYFUNCTION("""COMPUTED_VALUE"""),44764.6666666666)</f>
        <v>44764.666666666599</v>
      </c>
      <c r="B3039" s="1">
        <f ca="1">IFERROR(__xludf.DUMMYFUNCTION("""COMPUTED_VALUE"""),272.24)</f>
        <v>272.24</v>
      </c>
    </row>
    <row r="3040" spans="1:2">
      <c r="A3040" s="3">
        <f ca="1">IFERROR(__xludf.DUMMYFUNCTION("""COMPUTED_VALUE"""),44767.6666666666)</f>
        <v>44767.666666666599</v>
      </c>
      <c r="B3040" s="1">
        <f ca="1">IFERROR(__xludf.DUMMYFUNCTION("""COMPUTED_VALUE"""),268.43)</f>
        <v>268.43</v>
      </c>
    </row>
    <row r="3041" spans="1:2">
      <c r="A3041" s="3">
        <f ca="1">IFERROR(__xludf.DUMMYFUNCTION("""COMPUTED_VALUE"""),44768.6666666666)</f>
        <v>44768.666666666599</v>
      </c>
      <c r="B3041" s="1">
        <f ca="1">IFERROR(__xludf.DUMMYFUNCTION("""COMPUTED_VALUE"""),258.86)</f>
        <v>258.86</v>
      </c>
    </row>
    <row r="3042" spans="1:2">
      <c r="A3042" s="3">
        <f ca="1">IFERROR(__xludf.DUMMYFUNCTION("""COMPUTED_VALUE"""),44769.6666666666)</f>
        <v>44769.666666666599</v>
      </c>
      <c r="B3042" s="1">
        <f ca="1">IFERROR(__xludf.DUMMYFUNCTION("""COMPUTED_VALUE"""),274.82)</f>
        <v>274.82</v>
      </c>
    </row>
    <row r="3043" spans="1:2">
      <c r="A3043" s="3">
        <f ca="1">IFERROR(__xludf.DUMMYFUNCTION("""COMPUTED_VALUE"""),44770.6666666666)</f>
        <v>44770.666666666599</v>
      </c>
      <c r="B3043" s="1">
        <f ca="1">IFERROR(__xludf.DUMMYFUNCTION("""COMPUTED_VALUE"""),280.9)</f>
        <v>280.89999999999998</v>
      </c>
    </row>
    <row r="3044" spans="1:2">
      <c r="A3044" s="3">
        <f ca="1">IFERROR(__xludf.DUMMYFUNCTION("""COMPUTED_VALUE"""),44771.6666666666)</f>
        <v>44771.666666666599</v>
      </c>
      <c r="B3044" s="1">
        <f ca="1">IFERROR(__xludf.DUMMYFUNCTION("""COMPUTED_VALUE"""),297.15)</f>
        <v>297.14999999999998</v>
      </c>
    </row>
    <row r="3045" spans="1:2">
      <c r="A3045" s="3">
        <f ca="1">IFERROR(__xludf.DUMMYFUNCTION("""COMPUTED_VALUE"""),44774.6666666666)</f>
        <v>44774.666666666599</v>
      </c>
      <c r="B3045" s="1">
        <f ca="1">IFERROR(__xludf.DUMMYFUNCTION("""COMPUTED_VALUE"""),297.28)</f>
        <v>297.27999999999997</v>
      </c>
    </row>
    <row r="3046" spans="1:2">
      <c r="A3046" s="3">
        <f ca="1">IFERROR(__xludf.DUMMYFUNCTION("""COMPUTED_VALUE"""),44775.6666666666)</f>
        <v>44775.666666666599</v>
      </c>
      <c r="B3046" s="1">
        <f ca="1">IFERROR(__xludf.DUMMYFUNCTION("""COMPUTED_VALUE"""),300.59)</f>
        <v>300.58999999999997</v>
      </c>
    </row>
    <row r="3047" spans="1:2">
      <c r="A3047" s="3">
        <f ca="1">IFERROR(__xludf.DUMMYFUNCTION("""COMPUTED_VALUE"""),44776.6666666666)</f>
        <v>44776.666666666599</v>
      </c>
      <c r="B3047" s="1">
        <f ca="1">IFERROR(__xludf.DUMMYFUNCTION("""COMPUTED_VALUE"""),307.4)</f>
        <v>307.39999999999998</v>
      </c>
    </row>
    <row r="3048" spans="1:2">
      <c r="A3048" s="3">
        <f ca="1">IFERROR(__xludf.DUMMYFUNCTION("""COMPUTED_VALUE"""),44777.6666666666)</f>
        <v>44777.666666666599</v>
      </c>
      <c r="B3048" s="1">
        <f ca="1">IFERROR(__xludf.DUMMYFUNCTION("""COMPUTED_VALUE"""),308.63)</f>
        <v>308.63</v>
      </c>
    </row>
    <row r="3049" spans="1:2">
      <c r="A3049" s="3">
        <f ca="1">IFERROR(__xludf.DUMMYFUNCTION("""COMPUTED_VALUE"""),44778.6666666666)</f>
        <v>44778.666666666599</v>
      </c>
      <c r="B3049" s="1">
        <f ca="1">IFERROR(__xludf.DUMMYFUNCTION("""COMPUTED_VALUE"""),288.17)</f>
        <v>288.17</v>
      </c>
    </row>
    <row r="3050" spans="1:2">
      <c r="A3050" s="3">
        <f ca="1">IFERROR(__xludf.DUMMYFUNCTION("""COMPUTED_VALUE"""),44781.6666666666)</f>
        <v>44781.666666666599</v>
      </c>
      <c r="B3050" s="1">
        <f ca="1">IFERROR(__xludf.DUMMYFUNCTION("""COMPUTED_VALUE"""),290.42)</f>
        <v>290.42</v>
      </c>
    </row>
    <row r="3051" spans="1:2">
      <c r="A3051" s="3">
        <f ca="1">IFERROR(__xludf.DUMMYFUNCTION("""COMPUTED_VALUE"""),44782.6666666666)</f>
        <v>44782.666666666599</v>
      </c>
      <c r="B3051" s="1">
        <f ca="1">IFERROR(__xludf.DUMMYFUNCTION("""COMPUTED_VALUE"""),283.33)</f>
        <v>283.33</v>
      </c>
    </row>
    <row r="3052" spans="1:2">
      <c r="A3052" s="3">
        <f ca="1">IFERROR(__xludf.DUMMYFUNCTION("""COMPUTED_VALUE"""),44783.6666666666)</f>
        <v>44783.666666666599</v>
      </c>
      <c r="B3052" s="1">
        <f ca="1">IFERROR(__xludf.DUMMYFUNCTION("""COMPUTED_VALUE"""),294.36)</f>
        <v>294.36</v>
      </c>
    </row>
    <row r="3053" spans="1:2">
      <c r="A3053" s="3">
        <f ca="1">IFERROR(__xludf.DUMMYFUNCTION("""COMPUTED_VALUE"""),44784.6666666666)</f>
        <v>44784.666666666599</v>
      </c>
      <c r="B3053" s="1">
        <f ca="1">IFERROR(__xludf.DUMMYFUNCTION("""COMPUTED_VALUE"""),286.63)</f>
        <v>286.63</v>
      </c>
    </row>
    <row r="3054" spans="1:2">
      <c r="A3054" s="3">
        <f ca="1">IFERROR(__xludf.DUMMYFUNCTION("""COMPUTED_VALUE"""),44785.6666666666)</f>
        <v>44785.666666666599</v>
      </c>
      <c r="B3054" s="1">
        <f ca="1">IFERROR(__xludf.DUMMYFUNCTION("""COMPUTED_VALUE"""),300.03)</f>
        <v>300.02999999999997</v>
      </c>
    </row>
    <row r="3055" spans="1:2">
      <c r="A3055" s="3">
        <f ca="1">IFERROR(__xludf.DUMMYFUNCTION("""COMPUTED_VALUE"""),44788.6666666666)</f>
        <v>44788.666666666599</v>
      </c>
      <c r="B3055" s="1">
        <f ca="1">IFERROR(__xludf.DUMMYFUNCTION("""COMPUTED_VALUE"""),309.32)</f>
        <v>309.32</v>
      </c>
    </row>
    <row r="3056" spans="1:2">
      <c r="A3056" s="3">
        <f ca="1">IFERROR(__xludf.DUMMYFUNCTION("""COMPUTED_VALUE"""),44789.6666666666)</f>
        <v>44789.666666666599</v>
      </c>
      <c r="B3056" s="1">
        <f ca="1">IFERROR(__xludf.DUMMYFUNCTION("""COMPUTED_VALUE"""),306.56)</f>
        <v>306.56</v>
      </c>
    </row>
    <row r="3057" spans="1:2">
      <c r="A3057" s="3">
        <f ca="1">IFERROR(__xludf.DUMMYFUNCTION("""COMPUTED_VALUE"""),44790.6666666666)</f>
        <v>44790.666666666599</v>
      </c>
      <c r="B3057" s="1">
        <f ca="1">IFERROR(__xludf.DUMMYFUNCTION("""COMPUTED_VALUE"""),304)</f>
        <v>304</v>
      </c>
    </row>
    <row r="3058" spans="1:2">
      <c r="A3058" s="3">
        <f ca="1">IFERROR(__xludf.DUMMYFUNCTION("""COMPUTED_VALUE"""),44791.6666666666)</f>
        <v>44791.666666666599</v>
      </c>
      <c r="B3058" s="1">
        <f ca="1">IFERROR(__xludf.DUMMYFUNCTION("""COMPUTED_VALUE"""),302.87)</f>
        <v>302.87</v>
      </c>
    </row>
    <row r="3059" spans="1:2">
      <c r="A3059" s="3">
        <f ca="1">IFERROR(__xludf.DUMMYFUNCTION("""COMPUTED_VALUE"""),44792.6666666666)</f>
        <v>44792.666666666599</v>
      </c>
      <c r="B3059" s="1">
        <f ca="1">IFERROR(__xludf.DUMMYFUNCTION("""COMPUTED_VALUE"""),296.67)</f>
        <v>296.67</v>
      </c>
    </row>
    <row r="3060" spans="1:2">
      <c r="A3060" s="3">
        <f ca="1">IFERROR(__xludf.DUMMYFUNCTION("""COMPUTED_VALUE"""),44795.6666666666)</f>
        <v>44795.666666666599</v>
      </c>
      <c r="B3060" s="1">
        <f ca="1">IFERROR(__xludf.DUMMYFUNCTION("""COMPUTED_VALUE"""),289.91)</f>
        <v>289.91000000000003</v>
      </c>
    </row>
    <row r="3061" spans="1:2">
      <c r="A3061" s="3">
        <f ca="1">IFERROR(__xludf.DUMMYFUNCTION("""COMPUTED_VALUE"""),44796.6666666666)</f>
        <v>44796.666666666599</v>
      </c>
      <c r="B3061" s="1">
        <f ca="1">IFERROR(__xludf.DUMMYFUNCTION("""COMPUTED_VALUE"""),296.45)</f>
        <v>296.45</v>
      </c>
    </row>
    <row r="3062" spans="1:2">
      <c r="A3062" s="3">
        <f ca="1">IFERROR(__xludf.DUMMYFUNCTION("""COMPUTED_VALUE"""),44797.6666666666)</f>
        <v>44797.666666666599</v>
      </c>
      <c r="B3062" s="1">
        <f ca="1">IFERROR(__xludf.DUMMYFUNCTION("""COMPUTED_VALUE"""),297.1)</f>
        <v>297.10000000000002</v>
      </c>
    </row>
    <row r="3063" spans="1:2">
      <c r="A3063" s="3">
        <f ca="1">IFERROR(__xludf.DUMMYFUNCTION("""COMPUTED_VALUE"""),44798.6666666666)</f>
        <v>44798.666666666599</v>
      </c>
      <c r="B3063" s="1">
        <f ca="1">IFERROR(__xludf.DUMMYFUNCTION("""COMPUTED_VALUE"""),296.07)</f>
        <v>296.07</v>
      </c>
    </row>
    <row r="3064" spans="1:2">
      <c r="A3064" s="3">
        <f ca="1">IFERROR(__xludf.DUMMYFUNCTION("""COMPUTED_VALUE"""),44799.6666666666)</f>
        <v>44799.666666666599</v>
      </c>
      <c r="B3064" s="1">
        <f ca="1">IFERROR(__xludf.DUMMYFUNCTION("""COMPUTED_VALUE"""),288.09)</f>
        <v>288.08999999999997</v>
      </c>
    </row>
    <row r="3065" spans="1:2">
      <c r="A3065" s="3">
        <f ca="1">IFERROR(__xludf.DUMMYFUNCTION("""COMPUTED_VALUE"""),44802.6666666666)</f>
        <v>44802.666666666599</v>
      </c>
      <c r="B3065" s="1">
        <f ca="1">IFERROR(__xludf.DUMMYFUNCTION("""COMPUTED_VALUE"""),284.82)</f>
        <v>284.82</v>
      </c>
    </row>
    <row r="3066" spans="1:2">
      <c r="A3066" s="3">
        <f ca="1">IFERROR(__xludf.DUMMYFUNCTION("""COMPUTED_VALUE"""),44803.6666666666)</f>
        <v>44803.666666666599</v>
      </c>
      <c r="B3066" s="1">
        <f ca="1">IFERROR(__xludf.DUMMYFUNCTION("""COMPUTED_VALUE"""),277.7)</f>
        <v>277.7</v>
      </c>
    </row>
    <row r="3067" spans="1:2">
      <c r="A3067" s="3">
        <f ca="1">IFERROR(__xludf.DUMMYFUNCTION("""COMPUTED_VALUE"""),44804.6666666666)</f>
        <v>44804.666666666599</v>
      </c>
      <c r="B3067" s="1">
        <f ca="1">IFERROR(__xludf.DUMMYFUNCTION("""COMPUTED_VALUE"""),275.61)</f>
        <v>275.61</v>
      </c>
    </row>
    <row r="3068" spans="1:2">
      <c r="A3068" s="3">
        <f ca="1">IFERROR(__xludf.DUMMYFUNCTION("""COMPUTED_VALUE"""),44805.6666666666)</f>
        <v>44805.666666666599</v>
      </c>
      <c r="B3068" s="1">
        <f ca="1">IFERROR(__xludf.DUMMYFUNCTION("""COMPUTED_VALUE"""),277.16)</f>
        <v>277.16000000000003</v>
      </c>
    </row>
    <row r="3069" spans="1:2">
      <c r="A3069" s="3">
        <f ca="1">IFERROR(__xludf.DUMMYFUNCTION("""COMPUTED_VALUE"""),44806.6666666666)</f>
        <v>44806.666666666599</v>
      </c>
      <c r="B3069" s="1">
        <f ca="1">IFERROR(__xludf.DUMMYFUNCTION("""COMPUTED_VALUE"""),270.21)</f>
        <v>270.20999999999998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50"/>
  <sheetViews>
    <sheetView workbookViewId="0"/>
  </sheetViews>
  <sheetFormatPr defaultRowHeight="13.2"/>
  <cols>
    <col min="1" max="1" width="18" bestFit="1" customWidth="1"/>
  </cols>
  <sheetData>
    <row r="1" spans="1:2">
      <c r="A1" s="1" t="str">
        <f ca="1">IFERROR(__xludf.DUMMYFUNCTION("GOOGLEFINANCE(""AMZN"", ""price"",DATE(2005,1,1), DATE(2022,9,6), ""DAILY"")"),"Date")</f>
        <v>Date</v>
      </c>
      <c r="B1" s="1" t="str">
        <f ca="1">IFERROR(__xludf.DUMMYFUNCTION("""COMPUTED_VALUE"""),"Close")</f>
        <v>Close</v>
      </c>
    </row>
    <row r="2" spans="1:2">
      <c r="A2" s="3">
        <f ca="1">IFERROR(__xludf.DUMMYFUNCTION("""COMPUTED_VALUE"""),38355.6666666666)</f>
        <v>38355.666666666599</v>
      </c>
      <c r="B2" s="1">
        <f ca="1">IFERROR(__xludf.DUMMYFUNCTION("""COMPUTED_VALUE"""),2.23)</f>
        <v>2.23</v>
      </c>
    </row>
    <row r="3" spans="1:2">
      <c r="A3" s="3">
        <f ca="1">IFERROR(__xludf.DUMMYFUNCTION("""COMPUTED_VALUE"""),38356.6666666666)</f>
        <v>38356.666666666599</v>
      </c>
      <c r="B3" s="1">
        <f ca="1">IFERROR(__xludf.DUMMYFUNCTION("""COMPUTED_VALUE"""),2.11)</f>
        <v>2.11</v>
      </c>
    </row>
    <row r="4" spans="1:2">
      <c r="A4" s="3">
        <f ca="1">IFERROR(__xludf.DUMMYFUNCTION("""COMPUTED_VALUE"""),38357.6666666666)</f>
        <v>38357.666666666599</v>
      </c>
      <c r="B4" s="1">
        <f ca="1">IFERROR(__xludf.DUMMYFUNCTION("""COMPUTED_VALUE"""),2.09)</f>
        <v>2.09</v>
      </c>
    </row>
    <row r="5" spans="1:2">
      <c r="A5" s="3">
        <f ca="1">IFERROR(__xludf.DUMMYFUNCTION("""COMPUTED_VALUE"""),38358.6666666666)</f>
        <v>38358.666666666599</v>
      </c>
      <c r="B5" s="1">
        <f ca="1">IFERROR(__xludf.DUMMYFUNCTION("""COMPUTED_VALUE"""),2.05)</f>
        <v>2.0499999999999998</v>
      </c>
    </row>
    <row r="6" spans="1:2">
      <c r="A6" s="3">
        <f ca="1">IFERROR(__xludf.DUMMYFUNCTION("""COMPUTED_VALUE"""),38359.6666666666)</f>
        <v>38359.666666666599</v>
      </c>
      <c r="B6" s="1">
        <f ca="1">IFERROR(__xludf.DUMMYFUNCTION("""COMPUTED_VALUE"""),2.12)</f>
        <v>2.12</v>
      </c>
    </row>
    <row r="7" spans="1:2">
      <c r="A7" s="3">
        <f ca="1">IFERROR(__xludf.DUMMYFUNCTION("""COMPUTED_VALUE"""),38362.6666666666)</f>
        <v>38362.666666666599</v>
      </c>
      <c r="B7" s="1">
        <f ca="1">IFERROR(__xludf.DUMMYFUNCTION("""COMPUTED_VALUE"""),2.09)</f>
        <v>2.09</v>
      </c>
    </row>
    <row r="8" spans="1:2">
      <c r="A8" s="3">
        <f ca="1">IFERROR(__xludf.DUMMYFUNCTION("""COMPUTED_VALUE"""),38363.6666666666)</f>
        <v>38363.666666666599</v>
      </c>
      <c r="B8" s="1">
        <f ca="1">IFERROR(__xludf.DUMMYFUNCTION("""COMPUTED_VALUE"""),2.08)</f>
        <v>2.08</v>
      </c>
    </row>
    <row r="9" spans="1:2">
      <c r="A9" s="3">
        <f ca="1">IFERROR(__xludf.DUMMYFUNCTION("""COMPUTED_VALUE"""),38364.6666666666)</f>
        <v>38364.666666666599</v>
      </c>
      <c r="B9" s="1">
        <f ca="1">IFERROR(__xludf.DUMMYFUNCTION("""COMPUTED_VALUE"""),2.12)</f>
        <v>2.12</v>
      </c>
    </row>
    <row r="10" spans="1:2">
      <c r="A10" s="3">
        <f ca="1">IFERROR(__xludf.DUMMYFUNCTION("""COMPUTED_VALUE"""),38365.6666666666)</f>
        <v>38365.666666666599</v>
      </c>
      <c r="B10" s="1">
        <f ca="1">IFERROR(__xludf.DUMMYFUNCTION("""COMPUTED_VALUE"""),2.13)</f>
        <v>2.13</v>
      </c>
    </row>
    <row r="11" spans="1:2">
      <c r="A11" s="3">
        <f ca="1">IFERROR(__xludf.DUMMYFUNCTION("""COMPUTED_VALUE"""),38366.6666666666)</f>
        <v>38366.666666666599</v>
      </c>
      <c r="B11" s="1">
        <f ca="1">IFERROR(__xludf.DUMMYFUNCTION("""COMPUTED_VALUE"""),2.23)</f>
        <v>2.23</v>
      </c>
    </row>
    <row r="12" spans="1:2">
      <c r="A12" s="3">
        <f ca="1">IFERROR(__xludf.DUMMYFUNCTION("""COMPUTED_VALUE"""),38370.6666666666)</f>
        <v>38370.666666666599</v>
      </c>
      <c r="B12" s="1">
        <f ca="1">IFERROR(__xludf.DUMMYFUNCTION("""COMPUTED_VALUE"""),2.23)</f>
        <v>2.23</v>
      </c>
    </row>
    <row r="13" spans="1:2">
      <c r="A13" s="3">
        <f ca="1">IFERROR(__xludf.DUMMYFUNCTION("""COMPUTED_VALUE"""),38371.6666666666)</f>
        <v>38371.666666666599</v>
      </c>
      <c r="B13" s="1">
        <f ca="1">IFERROR(__xludf.DUMMYFUNCTION("""COMPUTED_VALUE"""),2.2)</f>
        <v>2.2000000000000002</v>
      </c>
    </row>
    <row r="14" spans="1:2">
      <c r="A14" s="3">
        <f ca="1">IFERROR(__xludf.DUMMYFUNCTION("""COMPUTED_VALUE"""),38372.6666666666)</f>
        <v>38372.666666666599</v>
      </c>
      <c r="B14" s="1">
        <f ca="1">IFERROR(__xludf.DUMMYFUNCTION("""COMPUTED_VALUE"""),2.12)</f>
        <v>2.12</v>
      </c>
    </row>
    <row r="15" spans="1:2">
      <c r="A15" s="3">
        <f ca="1">IFERROR(__xludf.DUMMYFUNCTION("""COMPUTED_VALUE"""),38373.6666666666)</f>
        <v>38373.666666666599</v>
      </c>
      <c r="B15" s="1">
        <f ca="1">IFERROR(__xludf.DUMMYFUNCTION("""COMPUTED_VALUE"""),2.06)</f>
        <v>2.06</v>
      </c>
    </row>
    <row r="16" spans="1:2">
      <c r="A16" s="3">
        <f ca="1">IFERROR(__xludf.DUMMYFUNCTION("""COMPUTED_VALUE"""),38376.6666666666)</f>
        <v>38376.666666666599</v>
      </c>
      <c r="B16" s="1">
        <f ca="1">IFERROR(__xludf.DUMMYFUNCTION("""COMPUTED_VALUE"""),2.02)</f>
        <v>2.02</v>
      </c>
    </row>
    <row r="17" spans="1:2">
      <c r="A17" s="3">
        <f ca="1">IFERROR(__xludf.DUMMYFUNCTION("""COMPUTED_VALUE"""),38377.6666666666)</f>
        <v>38377.666666666599</v>
      </c>
      <c r="B17" s="1">
        <f ca="1">IFERROR(__xludf.DUMMYFUNCTION("""COMPUTED_VALUE"""),2.05)</f>
        <v>2.0499999999999998</v>
      </c>
    </row>
    <row r="18" spans="1:2">
      <c r="A18" s="3">
        <f ca="1">IFERROR(__xludf.DUMMYFUNCTION("""COMPUTED_VALUE"""),38378.6666666666)</f>
        <v>38378.666666666599</v>
      </c>
      <c r="B18" s="1">
        <f ca="1">IFERROR(__xludf.DUMMYFUNCTION("""COMPUTED_VALUE"""),2.07)</f>
        <v>2.0699999999999998</v>
      </c>
    </row>
    <row r="19" spans="1:2">
      <c r="A19" s="3">
        <f ca="1">IFERROR(__xludf.DUMMYFUNCTION("""COMPUTED_VALUE"""),38379.6666666666)</f>
        <v>38379.666666666599</v>
      </c>
      <c r="B19" s="1">
        <f ca="1">IFERROR(__xludf.DUMMYFUNCTION("""COMPUTED_VALUE"""),2.12)</f>
        <v>2.12</v>
      </c>
    </row>
    <row r="20" spans="1:2">
      <c r="A20" s="3">
        <f ca="1">IFERROR(__xludf.DUMMYFUNCTION("""COMPUTED_VALUE"""),38380.6666666666)</f>
        <v>38380.666666666599</v>
      </c>
      <c r="B20" s="1">
        <f ca="1">IFERROR(__xludf.DUMMYFUNCTION("""COMPUTED_VALUE"""),2.11)</f>
        <v>2.11</v>
      </c>
    </row>
    <row r="21" spans="1:2">
      <c r="A21" s="3">
        <f ca="1">IFERROR(__xludf.DUMMYFUNCTION("""COMPUTED_VALUE"""),38383.6666666666)</f>
        <v>38383.666666666599</v>
      </c>
      <c r="B21" s="1">
        <f ca="1">IFERROR(__xludf.DUMMYFUNCTION("""COMPUTED_VALUE"""),2.16)</f>
        <v>2.16</v>
      </c>
    </row>
    <row r="22" spans="1:2">
      <c r="A22" s="3">
        <f ca="1">IFERROR(__xludf.DUMMYFUNCTION("""COMPUTED_VALUE"""),38384.6666666666)</f>
        <v>38384.666666666599</v>
      </c>
      <c r="B22" s="1">
        <f ca="1">IFERROR(__xludf.DUMMYFUNCTION("""COMPUTED_VALUE"""),2.12)</f>
        <v>2.12</v>
      </c>
    </row>
    <row r="23" spans="1:2">
      <c r="A23" s="3">
        <f ca="1">IFERROR(__xludf.DUMMYFUNCTION("""COMPUTED_VALUE"""),38385.6666666666)</f>
        <v>38385.666666666599</v>
      </c>
      <c r="B23" s="1">
        <f ca="1">IFERROR(__xludf.DUMMYFUNCTION("""COMPUTED_VALUE"""),2.09)</f>
        <v>2.09</v>
      </c>
    </row>
    <row r="24" spans="1:2">
      <c r="A24" s="3">
        <f ca="1">IFERROR(__xludf.DUMMYFUNCTION("""COMPUTED_VALUE"""),38386.6666666666)</f>
        <v>38386.666666666599</v>
      </c>
      <c r="B24" s="1">
        <f ca="1">IFERROR(__xludf.DUMMYFUNCTION("""COMPUTED_VALUE"""),1.79)</f>
        <v>1.79</v>
      </c>
    </row>
    <row r="25" spans="1:2">
      <c r="A25" s="3">
        <f ca="1">IFERROR(__xludf.DUMMYFUNCTION("""COMPUTED_VALUE"""),38387.6666666666)</f>
        <v>38387.666666666599</v>
      </c>
      <c r="B25" s="1">
        <f ca="1">IFERROR(__xludf.DUMMYFUNCTION("""COMPUTED_VALUE"""),1.79)</f>
        <v>1.79</v>
      </c>
    </row>
    <row r="26" spans="1:2">
      <c r="A26" s="3">
        <f ca="1">IFERROR(__xludf.DUMMYFUNCTION("""COMPUTED_VALUE"""),38390.6666666666)</f>
        <v>38390.666666666599</v>
      </c>
      <c r="B26" s="1">
        <f ca="1">IFERROR(__xludf.DUMMYFUNCTION("""COMPUTED_VALUE"""),1.78)</f>
        <v>1.78</v>
      </c>
    </row>
    <row r="27" spans="1:2">
      <c r="A27" s="3">
        <f ca="1">IFERROR(__xludf.DUMMYFUNCTION("""COMPUTED_VALUE"""),38391.6666666666)</f>
        <v>38391.666666666599</v>
      </c>
      <c r="B27" s="1">
        <f ca="1">IFERROR(__xludf.DUMMYFUNCTION("""COMPUTED_VALUE"""),1.82)</f>
        <v>1.82</v>
      </c>
    </row>
    <row r="28" spans="1:2">
      <c r="A28" s="3">
        <f ca="1">IFERROR(__xludf.DUMMYFUNCTION("""COMPUTED_VALUE"""),38392.6666666666)</f>
        <v>38392.666666666599</v>
      </c>
      <c r="B28" s="1">
        <f ca="1">IFERROR(__xludf.DUMMYFUNCTION("""COMPUTED_VALUE"""),1.79)</f>
        <v>1.79</v>
      </c>
    </row>
    <row r="29" spans="1:2">
      <c r="A29" s="3">
        <f ca="1">IFERROR(__xludf.DUMMYFUNCTION("""COMPUTED_VALUE"""),38393.6666666666)</f>
        <v>38393.666666666599</v>
      </c>
      <c r="B29" s="1">
        <f ca="1">IFERROR(__xludf.DUMMYFUNCTION("""COMPUTED_VALUE"""),1.79)</f>
        <v>1.79</v>
      </c>
    </row>
    <row r="30" spans="1:2">
      <c r="A30" s="3">
        <f ca="1">IFERROR(__xludf.DUMMYFUNCTION("""COMPUTED_VALUE"""),38394.6666666666)</f>
        <v>38394.666666666599</v>
      </c>
      <c r="B30" s="1">
        <f ca="1">IFERROR(__xludf.DUMMYFUNCTION("""COMPUTED_VALUE"""),1.79)</f>
        <v>1.79</v>
      </c>
    </row>
    <row r="31" spans="1:2">
      <c r="A31" s="3">
        <f ca="1">IFERROR(__xludf.DUMMYFUNCTION("""COMPUTED_VALUE"""),38397.6666666666)</f>
        <v>38397.666666666599</v>
      </c>
      <c r="B31" s="1">
        <f ca="1">IFERROR(__xludf.DUMMYFUNCTION("""COMPUTED_VALUE"""),1.8)</f>
        <v>1.8</v>
      </c>
    </row>
    <row r="32" spans="1:2">
      <c r="A32" s="3">
        <f ca="1">IFERROR(__xludf.DUMMYFUNCTION("""COMPUTED_VALUE"""),38398.6666666666)</f>
        <v>38398.666666666599</v>
      </c>
      <c r="B32" s="1">
        <f ca="1">IFERROR(__xludf.DUMMYFUNCTION("""COMPUTED_VALUE"""),1.81)</f>
        <v>1.81</v>
      </c>
    </row>
    <row r="33" spans="1:2">
      <c r="A33" s="3">
        <f ca="1">IFERROR(__xludf.DUMMYFUNCTION("""COMPUTED_VALUE"""),38399.6666666666)</f>
        <v>38399.666666666599</v>
      </c>
      <c r="B33" s="1">
        <f ca="1">IFERROR(__xludf.DUMMYFUNCTION("""COMPUTED_VALUE"""),1.78)</f>
        <v>1.78</v>
      </c>
    </row>
    <row r="34" spans="1:2">
      <c r="A34" s="3">
        <f ca="1">IFERROR(__xludf.DUMMYFUNCTION("""COMPUTED_VALUE"""),38400.6666666666)</f>
        <v>38400.666666666599</v>
      </c>
      <c r="B34" s="1">
        <f ca="1">IFERROR(__xludf.DUMMYFUNCTION("""COMPUTED_VALUE"""),1.78)</f>
        <v>1.78</v>
      </c>
    </row>
    <row r="35" spans="1:2">
      <c r="A35" s="3">
        <f ca="1">IFERROR(__xludf.DUMMYFUNCTION("""COMPUTED_VALUE"""),38401.6666666666)</f>
        <v>38401.666666666599</v>
      </c>
      <c r="B35" s="1">
        <f ca="1">IFERROR(__xludf.DUMMYFUNCTION("""COMPUTED_VALUE"""),1.77)</f>
        <v>1.77</v>
      </c>
    </row>
    <row r="36" spans="1:2">
      <c r="A36" s="3">
        <f ca="1">IFERROR(__xludf.DUMMYFUNCTION("""COMPUTED_VALUE"""),38405.6666666666)</f>
        <v>38405.666666666599</v>
      </c>
      <c r="B36" s="1">
        <f ca="1">IFERROR(__xludf.DUMMYFUNCTION("""COMPUTED_VALUE"""),1.74)</f>
        <v>1.74</v>
      </c>
    </row>
    <row r="37" spans="1:2">
      <c r="A37" s="3">
        <f ca="1">IFERROR(__xludf.DUMMYFUNCTION("""COMPUTED_VALUE"""),38406.6666666666)</f>
        <v>38406.666666666599</v>
      </c>
      <c r="B37" s="1">
        <f ca="1">IFERROR(__xludf.DUMMYFUNCTION("""COMPUTED_VALUE"""),1.71)</f>
        <v>1.71</v>
      </c>
    </row>
    <row r="38" spans="1:2">
      <c r="A38" s="3">
        <f ca="1">IFERROR(__xludf.DUMMYFUNCTION("""COMPUTED_VALUE"""),38407.6666666666)</f>
        <v>38407.666666666599</v>
      </c>
      <c r="B38" s="1">
        <f ca="1">IFERROR(__xludf.DUMMYFUNCTION("""COMPUTED_VALUE"""),1.73)</f>
        <v>1.73</v>
      </c>
    </row>
    <row r="39" spans="1:2">
      <c r="A39" s="3">
        <f ca="1">IFERROR(__xludf.DUMMYFUNCTION("""COMPUTED_VALUE"""),38408.6666666666)</f>
        <v>38408.666666666599</v>
      </c>
      <c r="B39" s="1">
        <f ca="1">IFERROR(__xludf.DUMMYFUNCTION("""COMPUTED_VALUE"""),1.75)</f>
        <v>1.75</v>
      </c>
    </row>
    <row r="40" spans="1:2">
      <c r="A40" s="3">
        <f ca="1">IFERROR(__xludf.DUMMYFUNCTION("""COMPUTED_VALUE"""),38411.6666666666)</f>
        <v>38411.666666666599</v>
      </c>
      <c r="B40" s="1">
        <f ca="1">IFERROR(__xludf.DUMMYFUNCTION("""COMPUTED_VALUE"""),1.76)</f>
        <v>1.76</v>
      </c>
    </row>
    <row r="41" spans="1:2">
      <c r="A41" s="3">
        <f ca="1">IFERROR(__xludf.DUMMYFUNCTION("""COMPUTED_VALUE"""),38412.6666666666)</f>
        <v>38412.666666666599</v>
      </c>
      <c r="B41" s="1">
        <f ca="1">IFERROR(__xludf.DUMMYFUNCTION("""COMPUTED_VALUE"""),1.77)</f>
        <v>1.77</v>
      </c>
    </row>
    <row r="42" spans="1:2">
      <c r="A42" s="3">
        <f ca="1">IFERROR(__xludf.DUMMYFUNCTION("""COMPUTED_VALUE"""),38413.6666666666)</f>
        <v>38413.666666666599</v>
      </c>
      <c r="B42" s="1">
        <f ca="1">IFERROR(__xludf.DUMMYFUNCTION("""COMPUTED_VALUE"""),1.78)</f>
        <v>1.78</v>
      </c>
    </row>
    <row r="43" spans="1:2">
      <c r="A43" s="3">
        <f ca="1">IFERROR(__xludf.DUMMYFUNCTION("""COMPUTED_VALUE"""),38414.6666666666)</f>
        <v>38414.666666666599</v>
      </c>
      <c r="B43" s="1">
        <f ca="1">IFERROR(__xludf.DUMMYFUNCTION("""COMPUTED_VALUE"""),1.78)</f>
        <v>1.78</v>
      </c>
    </row>
    <row r="44" spans="1:2">
      <c r="A44" s="3">
        <f ca="1">IFERROR(__xludf.DUMMYFUNCTION("""COMPUTED_VALUE"""),38415.6666666666)</f>
        <v>38415.666666666599</v>
      </c>
      <c r="B44" s="1">
        <f ca="1">IFERROR(__xludf.DUMMYFUNCTION("""COMPUTED_VALUE"""),1.79)</f>
        <v>1.79</v>
      </c>
    </row>
    <row r="45" spans="1:2">
      <c r="A45" s="3">
        <f ca="1">IFERROR(__xludf.DUMMYFUNCTION("""COMPUTED_VALUE"""),38418.6666666666)</f>
        <v>38418.666666666599</v>
      </c>
      <c r="B45" s="1">
        <f ca="1">IFERROR(__xludf.DUMMYFUNCTION("""COMPUTED_VALUE"""),1.82)</f>
        <v>1.82</v>
      </c>
    </row>
    <row r="46" spans="1:2">
      <c r="A46" s="3">
        <f ca="1">IFERROR(__xludf.DUMMYFUNCTION("""COMPUTED_VALUE"""),38419.6666666666)</f>
        <v>38419.666666666599</v>
      </c>
      <c r="B46" s="1">
        <f ca="1">IFERROR(__xludf.DUMMYFUNCTION("""COMPUTED_VALUE"""),1.79)</f>
        <v>1.79</v>
      </c>
    </row>
    <row r="47" spans="1:2">
      <c r="A47" s="3">
        <f ca="1">IFERROR(__xludf.DUMMYFUNCTION("""COMPUTED_VALUE"""),38420.6666666666)</f>
        <v>38420.666666666599</v>
      </c>
      <c r="B47" s="1">
        <f ca="1">IFERROR(__xludf.DUMMYFUNCTION("""COMPUTED_VALUE"""),1.77)</f>
        <v>1.77</v>
      </c>
    </row>
    <row r="48" spans="1:2">
      <c r="A48" s="3">
        <f ca="1">IFERROR(__xludf.DUMMYFUNCTION("""COMPUTED_VALUE"""),38421.6666666666)</f>
        <v>38421.666666666599</v>
      </c>
      <c r="B48" s="1">
        <f ca="1">IFERROR(__xludf.DUMMYFUNCTION("""COMPUTED_VALUE"""),1.75)</f>
        <v>1.75</v>
      </c>
    </row>
    <row r="49" spans="1:2">
      <c r="A49" s="3">
        <f ca="1">IFERROR(__xludf.DUMMYFUNCTION("""COMPUTED_VALUE"""),38422.6666666666)</f>
        <v>38422.666666666599</v>
      </c>
      <c r="B49" s="1">
        <f ca="1">IFERROR(__xludf.DUMMYFUNCTION("""COMPUTED_VALUE"""),1.74)</f>
        <v>1.74</v>
      </c>
    </row>
    <row r="50" spans="1:2">
      <c r="A50" s="3">
        <f ca="1">IFERROR(__xludf.DUMMYFUNCTION("""COMPUTED_VALUE"""),38425.6666666666)</f>
        <v>38425.666666666599</v>
      </c>
      <c r="B50" s="1">
        <f ca="1">IFERROR(__xludf.DUMMYFUNCTION("""COMPUTED_VALUE"""),1.73)</f>
        <v>1.73</v>
      </c>
    </row>
    <row r="51" spans="1:2">
      <c r="A51" s="3">
        <f ca="1">IFERROR(__xludf.DUMMYFUNCTION("""COMPUTED_VALUE"""),38426.6666666666)</f>
        <v>38426.666666666599</v>
      </c>
      <c r="B51" s="1">
        <f ca="1">IFERROR(__xludf.DUMMYFUNCTION("""COMPUTED_VALUE"""),1.71)</f>
        <v>1.71</v>
      </c>
    </row>
    <row r="52" spans="1:2">
      <c r="A52" s="3">
        <f ca="1">IFERROR(__xludf.DUMMYFUNCTION("""COMPUTED_VALUE"""),38427.6666666666)</f>
        <v>38427.666666666599</v>
      </c>
      <c r="B52" s="1">
        <f ca="1">IFERROR(__xludf.DUMMYFUNCTION("""COMPUTED_VALUE"""),1.69)</f>
        <v>1.69</v>
      </c>
    </row>
    <row r="53" spans="1:2">
      <c r="A53" s="3">
        <f ca="1">IFERROR(__xludf.DUMMYFUNCTION("""COMPUTED_VALUE"""),38428.6666666666)</f>
        <v>38428.666666666599</v>
      </c>
      <c r="B53" s="1">
        <f ca="1">IFERROR(__xludf.DUMMYFUNCTION("""COMPUTED_VALUE"""),1.7)</f>
        <v>1.7</v>
      </c>
    </row>
    <row r="54" spans="1:2">
      <c r="A54" s="3">
        <f ca="1">IFERROR(__xludf.DUMMYFUNCTION("""COMPUTED_VALUE"""),38429.6666666666)</f>
        <v>38429.666666666599</v>
      </c>
      <c r="B54" s="1">
        <f ca="1">IFERROR(__xludf.DUMMYFUNCTION("""COMPUTED_VALUE"""),1.71)</f>
        <v>1.71</v>
      </c>
    </row>
    <row r="55" spans="1:2">
      <c r="A55" s="3">
        <f ca="1">IFERROR(__xludf.DUMMYFUNCTION("""COMPUTED_VALUE"""),38432.6666666666)</f>
        <v>38432.666666666599</v>
      </c>
      <c r="B55" s="1">
        <f ca="1">IFERROR(__xludf.DUMMYFUNCTION("""COMPUTED_VALUE"""),1.68)</f>
        <v>1.68</v>
      </c>
    </row>
    <row r="56" spans="1:2">
      <c r="A56" s="3">
        <f ca="1">IFERROR(__xludf.DUMMYFUNCTION("""COMPUTED_VALUE"""),38433.6666666666)</f>
        <v>38433.666666666599</v>
      </c>
      <c r="B56" s="1">
        <f ca="1">IFERROR(__xludf.DUMMYFUNCTION("""COMPUTED_VALUE"""),1.66)</f>
        <v>1.66</v>
      </c>
    </row>
    <row r="57" spans="1:2">
      <c r="A57" s="3">
        <f ca="1">IFERROR(__xludf.DUMMYFUNCTION("""COMPUTED_VALUE"""),38434.6666666666)</f>
        <v>38434.666666666599</v>
      </c>
      <c r="B57" s="1">
        <f ca="1">IFERROR(__xludf.DUMMYFUNCTION("""COMPUTED_VALUE"""),1.66)</f>
        <v>1.66</v>
      </c>
    </row>
    <row r="58" spans="1:2">
      <c r="A58" s="3">
        <f ca="1">IFERROR(__xludf.DUMMYFUNCTION("""COMPUTED_VALUE"""),38435.6666666666)</f>
        <v>38435.666666666599</v>
      </c>
      <c r="B58" s="1">
        <f ca="1">IFERROR(__xludf.DUMMYFUNCTION("""COMPUTED_VALUE"""),1.64)</f>
        <v>1.64</v>
      </c>
    </row>
    <row r="59" spans="1:2">
      <c r="A59" s="3">
        <f ca="1">IFERROR(__xludf.DUMMYFUNCTION("""COMPUTED_VALUE"""),38439.6666666666)</f>
        <v>38439.666666666599</v>
      </c>
      <c r="B59" s="1">
        <f ca="1">IFERROR(__xludf.DUMMYFUNCTION("""COMPUTED_VALUE"""),1.67)</f>
        <v>1.67</v>
      </c>
    </row>
    <row r="60" spans="1:2">
      <c r="A60" s="3">
        <f ca="1">IFERROR(__xludf.DUMMYFUNCTION("""COMPUTED_VALUE"""),38440.6666666666)</f>
        <v>38440.666666666599</v>
      </c>
      <c r="B60" s="1">
        <f ca="1">IFERROR(__xludf.DUMMYFUNCTION("""COMPUTED_VALUE"""),1.67)</f>
        <v>1.67</v>
      </c>
    </row>
    <row r="61" spans="1:2">
      <c r="A61" s="3">
        <f ca="1">IFERROR(__xludf.DUMMYFUNCTION("""COMPUTED_VALUE"""),38441.6666666666)</f>
        <v>38441.666666666599</v>
      </c>
      <c r="B61" s="1">
        <f ca="1">IFERROR(__xludf.DUMMYFUNCTION("""COMPUTED_VALUE"""),1.72)</f>
        <v>1.72</v>
      </c>
    </row>
    <row r="62" spans="1:2">
      <c r="A62" s="3">
        <f ca="1">IFERROR(__xludf.DUMMYFUNCTION("""COMPUTED_VALUE"""),38442.6666666666)</f>
        <v>38442.666666666599</v>
      </c>
      <c r="B62" s="1">
        <f ca="1">IFERROR(__xludf.DUMMYFUNCTION("""COMPUTED_VALUE"""),1.71)</f>
        <v>1.71</v>
      </c>
    </row>
    <row r="63" spans="1:2">
      <c r="A63" s="3">
        <f ca="1">IFERROR(__xludf.DUMMYFUNCTION("""COMPUTED_VALUE"""),38443.6666666666)</f>
        <v>38443.666666666599</v>
      </c>
      <c r="B63" s="1">
        <f ca="1">IFERROR(__xludf.DUMMYFUNCTION("""COMPUTED_VALUE"""),1.7)</f>
        <v>1.7</v>
      </c>
    </row>
    <row r="64" spans="1:2">
      <c r="A64" s="3">
        <f ca="1">IFERROR(__xludf.DUMMYFUNCTION("""COMPUTED_VALUE"""),38446.6666666666)</f>
        <v>38446.666666666599</v>
      </c>
      <c r="B64" s="1">
        <f ca="1">IFERROR(__xludf.DUMMYFUNCTION("""COMPUTED_VALUE"""),1.75)</f>
        <v>1.75</v>
      </c>
    </row>
    <row r="65" spans="1:2">
      <c r="A65" s="3">
        <f ca="1">IFERROR(__xludf.DUMMYFUNCTION("""COMPUTED_VALUE"""),38447.6666666666)</f>
        <v>38447.666666666599</v>
      </c>
      <c r="B65" s="1">
        <f ca="1">IFERROR(__xludf.DUMMYFUNCTION("""COMPUTED_VALUE"""),1.76)</f>
        <v>1.76</v>
      </c>
    </row>
    <row r="66" spans="1:2">
      <c r="A66" s="3">
        <f ca="1">IFERROR(__xludf.DUMMYFUNCTION("""COMPUTED_VALUE"""),38448.6666666666)</f>
        <v>38448.666666666599</v>
      </c>
      <c r="B66" s="1">
        <f ca="1">IFERROR(__xludf.DUMMYFUNCTION("""COMPUTED_VALUE"""),1.74)</f>
        <v>1.74</v>
      </c>
    </row>
    <row r="67" spans="1:2">
      <c r="A67" s="3">
        <f ca="1">IFERROR(__xludf.DUMMYFUNCTION("""COMPUTED_VALUE"""),38449.6666666666)</f>
        <v>38449.666666666599</v>
      </c>
      <c r="B67" s="1">
        <f ca="1">IFERROR(__xludf.DUMMYFUNCTION("""COMPUTED_VALUE"""),1.75)</f>
        <v>1.75</v>
      </c>
    </row>
    <row r="68" spans="1:2">
      <c r="A68" s="3">
        <f ca="1">IFERROR(__xludf.DUMMYFUNCTION("""COMPUTED_VALUE"""),38450.6666666666)</f>
        <v>38450.666666666599</v>
      </c>
      <c r="B68" s="1">
        <f ca="1">IFERROR(__xludf.DUMMYFUNCTION("""COMPUTED_VALUE"""),1.73)</f>
        <v>1.73</v>
      </c>
    </row>
    <row r="69" spans="1:2">
      <c r="A69" s="3">
        <f ca="1">IFERROR(__xludf.DUMMYFUNCTION("""COMPUTED_VALUE"""),38453.6666666666)</f>
        <v>38453.666666666599</v>
      </c>
      <c r="B69" s="1">
        <f ca="1">IFERROR(__xludf.DUMMYFUNCTION("""COMPUTED_VALUE"""),1.73)</f>
        <v>1.73</v>
      </c>
    </row>
    <row r="70" spans="1:2">
      <c r="A70" s="3">
        <f ca="1">IFERROR(__xludf.DUMMYFUNCTION("""COMPUTED_VALUE"""),38454.6666666666)</f>
        <v>38454.666666666599</v>
      </c>
      <c r="B70" s="1">
        <f ca="1">IFERROR(__xludf.DUMMYFUNCTION("""COMPUTED_VALUE"""),1.73)</f>
        <v>1.73</v>
      </c>
    </row>
    <row r="71" spans="1:2">
      <c r="A71" s="3">
        <f ca="1">IFERROR(__xludf.DUMMYFUNCTION("""COMPUTED_VALUE"""),38455.6666666666)</f>
        <v>38455.666666666599</v>
      </c>
      <c r="B71" s="1">
        <f ca="1">IFERROR(__xludf.DUMMYFUNCTION("""COMPUTED_VALUE"""),1.72)</f>
        <v>1.72</v>
      </c>
    </row>
    <row r="72" spans="1:2">
      <c r="A72" s="3">
        <f ca="1">IFERROR(__xludf.DUMMYFUNCTION("""COMPUTED_VALUE"""),38456.6666666666)</f>
        <v>38456.666666666599</v>
      </c>
      <c r="B72" s="1">
        <f ca="1">IFERROR(__xludf.DUMMYFUNCTION("""COMPUTED_VALUE"""),1.7)</f>
        <v>1.7</v>
      </c>
    </row>
    <row r="73" spans="1:2">
      <c r="A73" s="3">
        <f ca="1">IFERROR(__xludf.DUMMYFUNCTION("""COMPUTED_VALUE"""),38457.6666666666)</f>
        <v>38457.666666666599</v>
      </c>
      <c r="B73" s="1">
        <f ca="1">IFERROR(__xludf.DUMMYFUNCTION("""COMPUTED_VALUE"""),1.65)</f>
        <v>1.65</v>
      </c>
    </row>
    <row r="74" spans="1:2">
      <c r="A74" s="3">
        <f ca="1">IFERROR(__xludf.DUMMYFUNCTION("""COMPUTED_VALUE"""),38460.6666666666)</f>
        <v>38460.666666666599</v>
      </c>
      <c r="B74" s="1">
        <f ca="1">IFERROR(__xludf.DUMMYFUNCTION("""COMPUTED_VALUE"""),1.65)</f>
        <v>1.65</v>
      </c>
    </row>
    <row r="75" spans="1:2">
      <c r="A75" s="3">
        <f ca="1">IFERROR(__xludf.DUMMYFUNCTION("""COMPUTED_VALUE"""),38461.6666666666)</f>
        <v>38461.666666666599</v>
      </c>
      <c r="B75" s="1">
        <f ca="1">IFERROR(__xludf.DUMMYFUNCTION("""COMPUTED_VALUE"""),1.64)</f>
        <v>1.64</v>
      </c>
    </row>
    <row r="76" spans="1:2">
      <c r="A76" s="3">
        <f ca="1">IFERROR(__xludf.DUMMYFUNCTION("""COMPUTED_VALUE"""),38462.6666666666)</f>
        <v>38462.666666666599</v>
      </c>
      <c r="B76" s="1">
        <f ca="1">IFERROR(__xludf.DUMMYFUNCTION("""COMPUTED_VALUE"""),1.66)</f>
        <v>1.66</v>
      </c>
    </row>
    <row r="77" spans="1:2">
      <c r="A77" s="3">
        <f ca="1">IFERROR(__xludf.DUMMYFUNCTION("""COMPUTED_VALUE"""),38463.6666666666)</f>
        <v>38463.666666666599</v>
      </c>
      <c r="B77" s="1">
        <f ca="1">IFERROR(__xludf.DUMMYFUNCTION("""COMPUTED_VALUE"""),1.69)</f>
        <v>1.69</v>
      </c>
    </row>
    <row r="78" spans="1:2">
      <c r="A78" s="3">
        <f ca="1">IFERROR(__xludf.DUMMYFUNCTION("""COMPUTED_VALUE"""),38464.6666666666)</f>
        <v>38464.666666666599</v>
      </c>
      <c r="B78" s="1">
        <f ca="1">IFERROR(__xludf.DUMMYFUNCTION("""COMPUTED_VALUE"""),1.65)</f>
        <v>1.65</v>
      </c>
    </row>
    <row r="79" spans="1:2">
      <c r="A79" s="3">
        <f ca="1">IFERROR(__xludf.DUMMYFUNCTION("""COMPUTED_VALUE"""),38467.6666666666)</f>
        <v>38467.666666666599</v>
      </c>
      <c r="B79" s="1">
        <f ca="1">IFERROR(__xludf.DUMMYFUNCTION("""COMPUTED_VALUE"""),1.68)</f>
        <v>1.68</v>
      </c>
    </row>
    <row r="80" spans="1:2">
      <c r="A80" s="3">
        <f ca="1">IFERROR(__xludf.DUMMYFUNCTION("""COMPUTED_VALUE"""),38468.6666666666)</f>
        <v>38468.666666666599</v>
      </c>
      <c r="B80" s="1">
        <f ca="1">IFERROR(__xludf.DUMMYFUNCTION("""COMPUTED_VALUE"""),1.64)</f>
        <v>1.64</v>
      </c>
    </row>
    <row r="81" spans="1:2">
      <c r="A81" s="3">
        <f ca="1">IFERROR(__xludf.DUMMYFUNCTION("""COMPUTED_VALUE"""),38469.6666666666)</f>
        <v>38469.666666666599</v>
      </c>
      <c r="B81" s="1">
        <f ca="1">IFERROR(__xludf.DUMMYFUNCTION("""COMPUTED_VALUE"""),1.59)</f>
        <v>1.59</v>
      </c>
    </row>
    <row r="82" spans="1:2">
      <c r="A82" s="3">
        <f ca="1">IFERROR(__xludf.DUMMYFUNCTION("""COMPUTED_VALUE"""),38470.6666666666)</f>
        <v>38470.666666666599</v>
      </c>
      <c r="B82" s="1">
        <f ca="1">IFERROR(__xludf.DUMMYFUNCTION("""COMPUTED_VALUE"""),1.63)</f>
        <v>1.63</v>
      </c>
    </row>
    <row r="83" spans="1:2">
      <c r="A83" s="3">
        <f ca="1">IFERROR(__xludf.DUMMYFUNCTION("""COMPUTED_VALUE"""),38471.6666666666)</f>
        <v>38471.666666666599</v>
      </c>
      <c r="B83" s="1">
        <f ca="1">IFERROR(__xludf.DUMMYFUNCTION("""COMPUTED_VALUE"""),1.62)</f>
        <v>1.62</v>
      </c>
    </row>
    <row r="84" spans="1:2">
      <c r="A84" s="3">
        <f ca="1">IFERROR(__xludf.DUMMYFUNCTION("""COMPUTED_VALUE"""),38474.6666666666)</f>
        <v>38474.666666666599</v>
      </c>
      <c r="B84" s="1">
        <f ca="1">IFERROR(__xludf.DUMMYFUNCTION("""COMPUTED_VALUE"""),1.66)</f>
        <v>1.66</v>
      </c>
    </row>
    <row r="85" spans="1:2">
      <c r="A85" s="3">
        <f ca="1">IFERROR(__xludf.DUMMYFUNCTION("""COMPUTED_VALUE"""),38475.6666666666)</f>
        <v>38475.666666666599</v>
      </c>
      <c r="B85" s="1">
        <f ca="1">IFERROR(__xludf.DUMMYFUNCTION("""COMPUTED_VALUE"""),1.66)</f>
        <v>1.66</v>
      </c>
    </row>
    <row r="86" spans="1:2">
      <c r="A86" s="3">
        <f ca="1">IFERROR(__xludf.DUMMYFUNCTION("""COMPUTED_VALUE"""),38476.6666666666)</f>
        <v>38476.666666666599</v>
      </c>
      <c r="B86" s="1">
        <f ca="1">IFERROR(__xludf.DUMMYFUNCTION("""COMPUTED_VALUE"""),1.7)</f>
        <v>1.7</v>
      </c>
    </row>
    <row r="87" spans="1:2">
      <c r="A87" s="3">
        <f ca="1">IFERROR(__xludf.DUMMYFUNCTION("""COMPUTED_VALUE"""),38477.6666666666)</f>
        <v>38477.666666666599</v>
      </c>
      <c r="B87" s="1">
        <f ca="1">IFERROR(__xludf.DUMMYFUNCTION("""COMPUTED_VALUE"""),1.7)</f>
        <v>1.7</v>
      </c>
    </row>
    <row r="88" spans="1:2">
      <c r="A88" s="3">
        <f ca="1">IFERROR(__xludf.DUMMYFUNCTION("""COMPUTED_VALUE"""),38478.6666666666)</f>
        <v>38478.666666666599</v>
      </c>
      <c r="B88" s="1">
        <f ca="1">IFERROR(__xludf.DUMMYFUNCTION("""COMPUTED_VALUE"""),1.73)</f>
        <v>1.73</v>
      </c>
    </row>
    <row r="89" spans="1:2">
      <c r="A89" s="3">
        <f ca="1">IFERROR(__xludf.DUMMYFUNCTION("""COMPUTED_VALUE"""),38481.6666666666)</f>
        <v>38481.666666666599</v>
      </c>
      <c r="B89" s="1">
        <f ca="1">IFERROR(__xludf.DUMMYFUNCTION("""COMPUTED_VALUE"""),1.73)</f>
        <v>1.73</v>
      </c>
    </row>
    <row r="90" spans="1:2">
      <c r="A90" s="3">
        <f ca="1">IFERROR(__xludf.DUMMYFUNCTION("""COMPUTED_VALUE"""),38482.6666666666)</f>
        <v>38482.666666666599</v>
      </c>
      <c r="B90" s="1">
        <f ca="1">IFERROR(__xludf.DUMMYFUNCTION("""COMPUTED_VALUE"""),1.71)</f>
        <v>1.71</v>
      </c>
    </row>
    <row r="91" spans="1:2">
      <c r="A91" s="3">
        <f ca="1">IFERROR(__xludf.DUMMYFUNCTION("""COMPUTED_VALUE"""),38483.6666666666)</f>
        <v>38483.666666666599</v>
      </c>
      <c r="B91" s="1">
        <f ca="1">IFERROR(__xludf.DUMMYFUNCTION("""COMPUTED_VALUE"""),1.69)</f>
        <v>1.69</v>
      </c>
    </row>
    <row r="92" spans="1:2">
      <c r="A92" s="3">
        <f ca="1">IFERROR(__xludf.DUMMYFUNCTION("""COMPUTED_VALUE"""),38484.6666666666)</f>
        <v>38484.666666666599</v>
      </c>
      <c r="B92" s="1">
        <f ca="1">IFERROR(__xludf.DUMMYFUNCTION("""COMPUTED_VALUE"""),1.69)</f>
        <v>1.69</v>
      </c>
    </row>
    <row r="93" spans="1:2">
      <c r="A93" s="3">
        <f ca="1">IFERROR(__xludf.DUMMYFUNCTION("""COMPUTED_VALUE"""),38485.6666666666)</f>
        <v>38485.666666666599</v>
      </c>
      <c r="B93" s="1">
        <f ca="1">IFERROR(__xludf.DUMMYFUNCTION("""COMPUTED_VALUE"""),1.7)</f>
        <v>1.7</v>
      </c>
    </row>
    <row r="94" spans="1:2">
      <c r="A94" s="3">
        <f ca="1">IFERROR(__xludf.DUMMYFUNCTION("""COMPUTED_VALUE"""),38488.6666666666)</f>
        <v>38488.666666666599</v>
      </c>
      <c r="B94" s="1">
        <f ca="1">IFERROR(__xludf.DUMMYFUNCTION("""COMPUTED_VALUE"""),1.73)</f>
        <v>1.73</v>
      </c>
    </row>
    <row r="95" spans="1:2">
      <c r="A95" s="3">
        <f ca="1">IFERROR(__xludf.DUMMYFUNCTION("""COMPUTED_VALUE"""),38489.6666666666)</f>
        <v>38489.666666666599</v>
      </c>
      <c r="B95" s="1">
        <f ca="1">IFERROR(__xludf.DUMMYFUNCTION("""COMPUTED_VALUE"""),1.74)</f>
        <v>1.74</v>
      </c>
    </row>
    <row r="96" spans="1:2">
      <c r="A96" s="3">
        <f ca="1">IFERROR(__xludf.DUMMYFUNCTION("""COMPUTED_VALUE"""),38490.6666666666)</f>
        <v>38490.666666666599</v>
      </c>
      <c r="B96" s="1">
        <f ca="1">IFERROR(__xludf.DUMMYFUNCTION("""COMPUTED_VALUE"""),1.77)</f>
        <v>1.77</v>
      </c>
    </row>
    <row r="97" spans="1:2">
      <c r="A97" s="3">
        <f ca="1">IFERROR(__xludf.DUMMYFUNCTION("""COMPUTED_VALUE"""),38491.6666666666)</f>
        <v>38491.666666666599</v>
      </c>
      <c r="B97" s="1">
        <f ca="1">IFERROR(__xludf.DUMMYFUNCTION("""COMPUTED_VALUE"""),1.78)</f>
        <v>1.78</v>
      </c>
    </row>
    <row r="98" spans="1:2">
      <c r="A98" s="3">
        <f ca="1">IFERROR(__xludf.DUMMYFUNCTION("""COMPUTED_VALUE"""),38492.6666666666)</f>
        <v>38492.666666666599</v>
      </c>
      <c r="B98" s="1">
        <f ca="1">IFERROR(__xludf.DUMMYFUNCTION("""COMPUTED_VALUE"""),1.78)</f>
        <v>1.78</v>
      </c>
    </row>
    <row r="99" spans="1:2">
      <c r="A99" s="3">
        <f ca="1">IFERROR(__xludf.DUMMYFUNCTION("""COMPUTED_VALUE"""),38495.6666666666)</f>
        <v>38495.666666666599</v>
      </c>
      <c r="B99" s="1">
        <f ca="1">IFERROR(__xludf.DUMMYFUNCTION("""COMPUTED_VALUE"""),1.78)</f>
        <v>1.78</v>
      </c>
    </row>
    <row r="100" spans="1:2">
      <c r="A100" s="3">
        <f ca="1">IFERROR(__xludf.DUMMYFUNCTION("""COMPUTED_VALUE"""),38496.6666666666)</f>
        <v>38496.666666666599</v>
      </c>
      <c r="B100" s="1">
        <f ca="1">IFERROR(__xludf.DUMMYFUNCTION("""COMPUTED_VALUE"""),1.78)</f>
        <v>1.78</v>
      </c>
    </row>
    <row r="101" spans="1:2">
      <c r="A101" s="3">
        <f ca="1">IFERROR(__xludf.DUMMYFUNCTION("""COMPUTED_VALUE"""),38497.6666666666)</f>
        <v>38497.666666666599</v>
      </c>
      <c r="B101" s="1">
        <f ca="1">IFERROR(__xludf.DUMMYFUNCTION("""COMPUTED_VALUE"""),1.76)</f>
        <v>1.76</v>
      </c>
    </row>
    <row r="102" spans="1:2">
      <c r="A102" s="3">
        <f ca="1">IFERROR(__xludf.DUMMYFUNCTION("""COMPUTED_VALUE"""),38498.6666666666)</f>
        <v>38498.666666666599</v>
      </c>
      <c r="B102" s="1">
        <f ca="1">IFERROR(__xludf.DUMMYFUNCTION("""COMPUTED_VALUE"""),1.77)</f>
        <v>1.77</v>
      </c>
    </row>
    <row r="103" spans="1:2">
      <c r="A103" s="3">
        <f ca="1">IFERROR(__xludf.DUMMYFUNCTION("""COMPUTED_VALUE"""),38499.6666666666)</f>
        <v>38499.666666666599</v>
      </c>
      <c r="B103" s="1">
        <f ca="1">IFERROR(__xludf.DUMMYFUNCTION("""COMPUTED_VALUE"""),1.78)</f>
        <v>1.78</v>
      </c>
    </row>
    <row r="104" spans="1:2">
      <c r="A104" s="3">
        <f ca="1">IFERROR(__xludf.DUMMYFUNCTION("""COMPUTED_VALUE"""),38503.6666666666)</f>
        <v>38503.666666666599</v>
      </c>
      <c r="B104" s="1">
        <f ca="1">IFERROR(__xludf.DUMMYFUNCTION("""COMPUTED_VALUE"""),1.78)</f>
        <v>1.78</v>
      </c>
    </row>
    <row r="105" spans="1:2">
      <c r="A105" s="3">
        <f ca="1">IFERROR(__xludf.DUMMYFUNCTION("""COMPUTED_VALUE"""),38504.6666666666)</f>
        <v>38504.666666666599</v>
      </c>
      <c r="B105" s="1">
        <f ca="1">IFERROR(__xludf.DUMMYFUNCTION("""COMPUTED_VALUE"""),1.83)</f>
        <v>1.83</v>
      </c>
    </row>
    <row r="106" spans="1:2">
      <c r="A106" s="3">
        <f ca="1">IFERROR(__xludf.DUMMYFUNCTION("""COMPUTED_VALUE"""),38505.6666666666)</f>
        <v>38505.666666666599</v>
      </c>
      <c r="B106" s="1">
        <f ca="1">IFERROR(__xludf.DUMMYFUNCTION("""COMPUTED_VALUE"""),1.82)</f>
        <v>1.82</v>
      </c>
    </row>
    <row r="107" spans="1:2">
      <c r="A107" s="3">
        <f ca="1">IFERROR(__xludf.DUMMYFUNCTION("""COMPUTED_VALUE"""),38506.6666666666)</f>
        <v>38506.666666666599</v>
      </c>
      <c r="B107" s="1">
        <f ca="1">IFERROR(__xludf.DUMMYFUNCTION("""COMPUTED_VALUE"""),1.78)</f>
        <v>1.78</v>
      </c>
    </row>
    <row r="108" spans="1:2">
      <c r="A108" s="3">
        <f ca="1">IFERROR(__xludf.DUMMYFUNCTION("""COMPUTED_VALUE"""),38509.6666666666)</f>
        <v>38509.666666666599</v>
      </c>
      <c r="B108" s="1">
        <f ca="1">IFERROR(__xludf.DUMMYFUNCTION("""COMPUTED_VALUE"""),1.79)</f>
        <v>1.79</v>
      </c>
    </row>
    <row r="109" spans="1:2">
      <c r="A109" s="3">
        <f ca="1">IFERROR(__xludf.DUMMYFUNCTION("""COMPUTED_VALUE"""),38510.6666666666)</f>
        <v>38510.666666666599</v>
      </c>
      <c r="B109" s="1">
        <f ca="1">IFERROR(__xludf.DUMMYFUNCTION("""COMPUTED_VALUE"""),1.77)</f>
        <v>1.77</v>
      </c>
    </row>
    <row r="110" spans="1:2">
      <c r="A110" s="3">
        <f ca="1">IFERROR(__xludf.DUMMYFUNCTION("""COMPUTED_VALUE"""),38511.6666666666)</f>
        <v>38511.666666666599</v>
      </c>
      <c r="B110" s="1">
        <f ca="1">IFERROR(__xludf.DUMMYFUNCTION("""COMPUTED_VALUE"""),1.74)</f>
        <v>1.74</v>
      </c>
    </row>
    <row r="111" spans="1:2">
      <c r="A111" s="3">
        <f ca="1">IFERROR(__xludf.DUMMYFUNCTION("""COMPUTED_VALUE"""),38512.6666666666)</f>
        <v>38512.666666666599</v>
      </c>
      <c r="B111" s="1">
        <f ca="1">IFERROR(__xludf.DUMMYFUNCTION("""COMPUTED_VALUE"""),1.76)</f>
        <v>1.76</v>
      </c>
    </row>
    <row r="112" spans="1:2">
      <c r="A112" s="3">
        <f ca="1">IFERROR(__xludf.DUMMYFUNCTION("""COMPUTED_VALUE"""),38513.6666666666)</f>
        <v>38513.666666666599</v>
      </c>
      <c r="B112" s="1">
        <f ca="1">IFERROR(__xludf.DUMMYFUNCTION("""COMPUTED_VALUE"""),1.75)</f>
        <v>1.75</v>
      </c>
    </row>
    <row r="113" spans="1:2">
      <c r="A113" s="3">
        <f ca="1">IFERROR(__xludf.DUMMYFUNCTION("""COMPUTED_VALUE"""),38516.6666666666)</f>
        <v>38516.666666666599</v>
      </c>
      <c r="B113" s="1">
        <f ca="1">IFERROR(__xludf.DUMMYFUNCTION("""COMPUTED_VALUE"""),1.74)</f>
        <v>1.74</v>
      </c>
    </row>
    <row r="114" spans="1:2">
      <c r="A114" s="3">
        <f ca="1">IFERROR(__xludf.DUMMYFUNCTION("""COMPUTED_VALUE"""),38517.6666666666)</f>
        <v>38517.666666666599</v>
      </c>
      <c r="B114" s="1">
        <f ca="1">IFERROR(__xludf.DUMMYFUNCTION("""COMPUTED_VALUE"""),1.75)</f>
        <v>1.75</v>
      </c>
    </row>
    <row r="115" spans="1:2">
      <c r="A115" s="3">
        <f ca="1">IFERROR(__xludf.DUMMYFUNCTION("""COMPUTED_VALUE"""),38518.6666666666)</f>
        <v>38518.666666666599</v>
      </c>
      <c r="B115" s="1">
        <f ca="1">IFERROR(__xludf.DUMMYFUNCTION("""COMPUTED_VALUE"""),1.76)</f>
        <v>1.76</v>
      </c>
    </row>
    <row r="116" spans="1:2">
      <c r="A116" s="3">
        <f ca="1">IFERROR(__xludf.DUMMYFUNCTION("""COMPUTED_VALUE"""),38519.6666666666)</f>
        <v>38519.666666666599</v>
      </c>
      <c r="B116" s="1">
        <f ca="1">IFERROR(__xludf.DUMMYFUNCTION("""COMPUTED_VALUE"""),1.78)</f>
        <v>1.78</v>
      </c>
    </row>
    <row r="117" spans="1:2">
      <c r="A117" s="3">
        <f ca="1">IFERROR(__xludf.DUMMYFUNCTION("""COMPUTED_VALUE"""),38520.6666666666)</f>
        <v>38520.666666666599</v>
      </c>
      <c r="B117" s="1">
        <f ca="1">IFERROR(__xludf.DUMMYFUNCTION("""COMPUTED_VALUE"""),1.77)</f>
        <v>1.77</v>
      </c>
    </row>
    <row r="118" spans="1:2">
      <c r="A118" s="3">
        <f ca="1">IFERROR(__xludf.DUMMYFUNCTION("""COMPUTED_VALUE"""),38523.6666666666)</f>
        <v>38523.666666666599</v>
      </c>
      <c r="B118" s="1">
        <f ca="1">IFERROR(__xludf.DUMMYFUNCTION("""COMPUTED_VALUE"""),1.78)</f>
        <v>1.78</v>
      </c>
    </row>
    <row r="119" spans="1:2">
      <c r="A119" s="3">
        <f ca="1">IFERROR(__xludf.DUMMYFUNCTION("""COMPUTED_VALUE"""),38524.6666666666)</f>
        <v>38524.666666666599</v>
      </c>
      <c r="B119" s="1">
        <f ca="1">IFERROR(__xludf.DUMMYFUNCTION("""COMPUTED_VALUE"""),1.77)</f>
        <v>1.77</v>
      </c>
    </row>
    <row r="120" spans="1:2">
      <c r="A120" s="3">
        <f ca="1">IFERROR(__xludf.DUMMYFUNCTION("""COMPUTED_VALUE"""),38525.6666666666)</f>
        <v>38525.666666666599</v>
      </c>
      <c r="B120" s="1">
        <f ca="1">IFERROR(__xludf.DUMMYFUNCTION("""COMPUTED_VALUE"""),1.76)</f>
        <v>1.76</v>
      </c>
    </row>
    <row r="121" spans="1:2">
      <c r="A121" s="3">
        <f ca="1">IFERROR(__xludf.DUMMYFUNCTION("""COMPUTED_VALUE"""),38526.6666666666)</f>
        <v>38526.666666666599</v>
      </c>
      <c r="B121" s="1">
        <f ca="1">IFERROR(__xludf.DUMMYFUNCTION("""COMPUTED_VALUE"""),1.77)</f>
        <v>1.77</v>
      </c>
    </row>
    <row r="122" spans="1:2">
      <c r="A122" s="3">
        <f ca="1">IFERROR(__xludf.DUMMYFUNCTION("""COMPUTED_VALUE"""),38527.6666666666)</f>
        <v>38527.666666666599</v>
      </c>
      <c r="B122" s="1">
        <f ca="1">IFERROR(__xludf.DUMMYFUNCTION("""COMPUTED_VALUE"""),1.75)</f>
        <v>1.75</v>
      </c>
    </row>
    <row r="123" spans="1:2">
      <c r="A123" s="3">
        <f ca="1">IFERROR(__xludf.DUMMYFUNCTION("""COMPUTED_VALUE"""),38530.6666666666)</f>
        <v>38530.666666666599</v>
      </c>
      <c r="B123" s="1">
        <f ca="1">IFERROR(__xludf.DUMMYFUNCTION("""COMPUTED_VALUE"""),1.73)</f>
        <v>1.73</v>
      </c>
    </row>
    <row r="124" spans="1:2">
      <c r="A124" s="3">
        <f ca="1">IFERROR(__xludf.DUMMYFUNCTION("""COMPUTED_VALUE"""),38531.6666666666)</f>
        <v>38531.666666666599</v>
      </c>
      <c r="B124" s="1">
        <f ca="1">IFERROR(__xludf.DUMMYFUNCTION("""COMPUTED_VALUE"""),1.69)</f>
        <v>1.69</v>
      </c>
    </row>
    <row r="125" spans="1:2">
      <c r="A125" s="3">
        <f ca="1">IFERROR(__xludf.DUMMYFUNCTION("""COMPUTED_VALUE"""),38532.6666666666)</f>
        <v>38532.666666666599</v>
      </c>
      <c r="B125" s="1">
        <f ca="1">IFERROR(__xludf.DUMMYFUNCTION("""COMPUTED_VALUE"""),1.67)</f>
        <v>1.67</v>
      </c>
    </row>
    <row r="126" spans="1:2">
      <c r="A126" s="3">
        <f ca="1">IFERROR(__xludf.DUMMYFUNCTION("""COMPUTED_VALUE"""),38533.6666666666)</f>
        <v>38533.666666666599</v>
      </c>
      <c r="B126" s="1">
        <f ca="1">IFERROR(__xludf.DUMMYFUNCTION("""COMPUTED_VALUE"""),1.65)</f>
        <v>1.65</v>
      </c>
    </row>
    <row r="127" spans="1:2">
      <c r="A127" s="3">
        <f ca="1">IFERROR(__xludf.DUMMYFUNCTION("""COMPUTED_VALUE"""),38534.6666666666)</f>
        <v>38534.666666666599</v>
      </c>
      <c r="B127" s="1">
        <f ca="1">IFERROR(__xludf.DUMMYFUNCTION("""COMPUTED_VALUE"""),1.65)</f>
        <v>1.65</v>
      </c>
    </row>
    <row r="128" spans="1:2">
      <c r="A128" s="3">
        <f ca="1">IFERROR(__xludf.DUMMYFUNCTION("""COMPUTED_VALUE"""),38538.6666666666)</f>
        <v>38538.666666666599</v>
      </c>
      <c r="B128" s="1">
        <f ca="1">IFERROR(__xludf.DUMMYFUNCTION("""COMPUTED_VALUE"""),1.7)</f>
        <v>1.7</v>
      </c>
    </row>
    <row r="129" spans="1:2">
      <c r="A129" s="3">
        <f ca="1">IFERROR(__xludf.DUMMYFUNCTION("""COMPUTED_VALUE"""),38539.6666666666)</f>
        <v>38539.666666666599</v>
      </c>
      <c r="B129" s="1">
        <f ca="1">IFERROR(__xludf.DUMMYFUNCTION("""COMPUTED_VALUE"""),1.7)</f>
        <v>1.7</v>
      </c>
    </row>
    <row r="130" spans="1:2">
      <c r="A130" s="3">
        <f ca="1">IFERROR(__xludf.DUMMYFUNCTION("""COMPUTED_VALUE"""),38540.6666666666)</f>
        <v>38540.666666666599</v>
      </c>
      <c r="B130" s="1">
        <f ca="1">IFERROR(__xludf.DUMMYFUNCTION("""COMPUTED_VALUE"""),1.7)</f>
        <v>1.7</v>
      </c>
    </row>
    <row r="131" spans="1:2">
      <c r="A131" s="3">
        <f ca="1">IFERROR(__xludf.DUMMYFUNCTION("""COMPUTED_VALUE"""),38541.6666666666)</f>
        <v>38541.666666666599</v>
      </c>
      <c r="B131" s="1">
        <f ca="1">IFERROR(__xludf.DUMMYFUNCTION("""COMPUTED_VALUE"""),1.74)</f>
        <v>1.74</v>
      </c>
    </row>
    <row r="132" spans="1:2">
      <c r="A132" s="3">
        <f ca="1">IFERROR(__xludf.DUMMYFUNCTION("""COMPUTED_VALUE"""),38544.6666666666)</f>
        <v>38544.666666666599</v>
      </c>
      <c r="B132" s="1">
        <f ca="1">IFERROR(__xludf.DUMMYFUNCTION("""COMPUTED_VALUE"""),1.78)</f>
        <v>1.78</v>
      </c>
    </row>
    <row r="133" spans="1:2">
      <c r="A133" s="3">
        <f ca="1">IFERROR(__xludf.DUMMYFUNCTION("""COMPUTED_VALUE"""),38545.6666666666)</f>
        <v>38545.666666666599</v>
      </c>
      <c r="B133" s="1">
        <f ca="1">IFERROR(__xludf.DUMMYFUNCTION("""COMPUTED_VALUE"""),1.82)</f>
        <v>1.82</v>
      </c>
    </row>
    <row r="134" spans="1:2">
      <c r="A134" s="3">
        <f ca="1">IFERROR(__xludf.DUMMYFUNCTION("""COMPUTED_VALUE"""),38546.6666666666)</f>
        <v>38546.666666666599</v>
      </c>
      <c r="B134" s="1">
        <f ca="1">IFERROR(__xludf.DUMMYFUNCTION("""COMPUTED_VALUE"""),1.83)</f>
        <v>1.83</v>
      </c>
    </row>
    <row r="135" spans="1:2">
      <c r="A135" s="3">
        <f ca="1">IFERROR(__xludf.DUMMYFUNCTION("""COMPUTED_VALUE"""),38547.6666666666)</f>
        <v>38547.666666666599</v>
      </c>
      <c r="B135" s="1">
        <f ca="1">IFERROR(__xludf.DUMMYFUNCTION("""COMPUTED_VALUE"""),1.86)</f>
        <v>1.86</v>
      </c>
    </row>
    <row r="136" spans="1:2">
      <c r="A136" s="3">
        <f ca="1">IFERROR(__xludf.DUMMYFUNCTION("""COMPUTED_VALUE"""),38548.6666666666)</f>
        <v>38548.666666666599</v>
      </c>
      <c r="B136" s="1">
        <f ca="1">IFERROR(__xludf.DUMMYFUNCTION("""COMPUTED_VALUE"""),1.86)</f>
        <v>1.86</v>
      </c>
    </row>
    <row r="137" spans="1:2">
      <c r="A137" s="3">
        <f ca="1">IFERROR(__xludf.DUMMYFUNCTION("""COMPUTED_VALUE"""),38551.6666666666)</f>
        <v>38551.666666666599</v>
      </c>
      <c r="B137" s="1">
        <f ca="1">IFERROR(__xludf.DUMMYFUNCTION("""COMPUTED_VALUE"""),1.86)</f>
        <v>1.86</v>
      </c>
    </row>
    <row r="138" spans="1:2">
      <c r="A138" s="3">
        <f ca="1">IFERROR(__xludf.DUMMYFUNCTION("""COMPUTED_VALUE"""),38552.6666666666)</f>
        <v>38552.666666666599</v>
      </c>
      <c r="B138" s="1">
        <f ca="1">IFERROR(__xludf.DUMMYFUNCTION("""COMPUTED_VALUE"""),1.91)</f>
        <v>1.91</v>
      </c>
    </row>
    <row r="139" spans="1:2">
      <c r="A139" s="3">
        <f ca="1">IFERROR(__xludf.DUMMYFUNCTION("""COMPUTED_VALUE"""),38553.6666666666)</f>
        <v>38553.666666666599</v>
      </c>
      <c r="B139" s="1">
        <f ca="1">IFERROR(__xludf.DUMMYFUNCTION("""COMPUTED_VALUE"""),1.91)</f>
        <v>1.91</v>
      </c>
    </row>
    <row r="140" spans="1:2">
      <c r="A140" s="3">
        <f ca="1">IFERROR(__xludf.DUMMYFUNCTION("""COMPUTED_VALUE"""),38554.6666666666)</f>
        <v>38554.666666666599</v>
      </c>
      <c r="B140" s="1">
        <f ca="1">IFERROR(__xludf.DUMMYFUNCTION("""COMPUTED_VALUE"""),1.9)</f>
        <v>1.9</v>
      </c>
    </row>
    <row r="141" spans="1:2">
      <c r="A141" s="3">
        <f ca="1">IFERROR(__xludf.DUMMYFUNCTION("""COMPUTED_VALUE"""),38555.6666666666)</f>
        <v>38555.666666666599</v>
      </c>
      <c r="B141" s="1">
        <f ca="1">IFERROR(__xludf.DUMMYFUNCTION("""COMPUTED_VALUE"""),1.9)</f>
        <v>1.9</v>
      </c>
    </row>
    <row r="142" spans="1:2">
      <c r="A142" s="3">
        <f ca="1">IFERROR(__xludf.DUMMYFUNCTION("""COMPUTED_VALUE"""),38558.6666666666)</f>
        <v>38558.666666666599</v>
      </c>
      <c r="B142" s="1">
        <f ca="1">IFERROR(__xludf.DUMMYFUNCTION("""COMPUTED_VALUE"""),1.9)</f>
        <v>1.9</v>
      </c>
    </row>
    <row r="143" spans="1:2">
      <c r="A143" s="3">
        <f ca="1">IFERROR(__xludf.DUMMYFUNCTION("""COMPUTED_VALUE"""),38559.6666666666)</f>
        <v>38559.666666666599</v>
      </c>
      <c r="B143" s="1">
        <f ca="1">IFERROR(__xludf.DUMMYFUNCTION("""COMPUTED_VALUE"""),1.89)</f>
        <v>1.89</v>
      </c>
    </row>
    <row r="144" spans="1:2">
      <c r="A144" s="3">
        <f ca="1">IFERROR(__xludf.DUMMYFUNCTION("""COMPUTED_VALUE"""),38560.6666666666)</f>
        <v>38560.666666666599</v>
      </c>
      <c r="B144" s="1">
        <f ca="1">IFERROR(__xludf.DUMMYFUNCTION("""COMPUTED_VALUE"""),2.18)</f>
        <v>2.1800000000000002</v>
      </c>
    </row>
    <row r="145" spans="1:2">
      <c r="A145" s="3">
        <f ca="1">IFERROR(__xludf.DUMMYFUNCTION("""COMPUTED_VALUE"""),38561.6666666666)</f>
        <v>38561.666666666599</v>
      </c>
      <c r="B145" s="1">
        <f ca="1">IFERROR(__xludf.DUMMYFUNCTION("""COMPUTED_VALUE"""),2.28)</f>
        <v>2.2799999999999998</v>
      </c>
    </row>
    <row r="146" spans="1:2">
      <c r="A146" s="3">
        <f ca="1">IFERROR(__xludf.DUMMYFUNCTION("""COMPUTED_VALUE"""),38562.6666666666)</f>
        <v>38562.666666666599</v>
      </c>
      <c r="B146" s="1">
        <f ca="1">IFERROR(__xludf.DUMMYFUNCTION("""COMPUTED_VALUE"""),2.26)</f>
        <v>2.2599999999999998</v>
      </c>
    </row>
    <row r="147" spans="1:2">
      <c r="A147" s="3">
        <f ca="1">IFERROR(__xludf.DUMMYFUNCTION("""COMPUTED_VALUE"""),38565.6666666666)</f>
        <v>38565.666666666599</v>
      </c>
      <c r="B147" s="1">
        <f ca="1">IFERROR(__xludf.DUMMYFUNCTION("""COMPUTED_VALUE"""),2.25)</f>
        <v>2.25</v>
      </c>
    </row>
    <row r="148" spans="1:2">
      <c r="A148" s="3">
        <f ca="1">IFERROR(__xludf.DUMMYFUNCTION("""COMPUTED_VALUE"""),38566.6666666666)</f>
        <v>38566.666666666599</v>
      </c>
      <c r="B148" s="1">
        <f ca="1">IFERROR(__xludf.DUMMYFUNCTION("""COMPUTED_VALUE"""),2.33)</f>
        <v>2.33</v>
      </c>
    </row>
    <row r="149" spans="1:2">
      <c r="A149" s="3">
        <f ca="1">IFERROR(__xludf.DUMMYFUNCTION("""COMPUTED_VALUE"""),38567.6666666666)</f>
        <v>38567.666666666599</v>
      </c>
      <c r="B149" s="1">
        <f ca="1">IFERROR(__xludf.DUMMYFUNCTION("""COMPUTED_VALUE"""),2.31)</f>
        <v>2.31</v>
      </c>
    </row>
    <row r="150" spans="1:2">
      <c r="A150" s="3">
        <f ca="1">IFERROR(__xludf.DUMMYFUNCTION("""COMPUTED_VALUE"""),38568.6666666666)</f>
        <v>38568.666666666599</v>
      </c>
      <c r="B150" s="1">
        <f ca="1">IFERROR(__xludf.DUMMYFUNCTION("""COMPUTED_VALUE"""),2.27)</f>
        <v>2.27</v>
      </c>
    </row>
    <row r="151" spans="1:2">
      <c r="A151" s="3">
        <f ca="1">IFERROR(__xludf.DUMMYFUNCTION("""COMPUTED_VALUE"""),38569.6666666666)</f>
        <v>38569.666666666599</v>
      </c>
      <c r="B151" s="1">
        <f ca="1">IFERROR(__xludf.DUMMYFUNCTION("""COMPUTED_VALUE"""),2.26)</f>
        <v>2.2599999999999998</v>
      </c>
    </row>
    <row r="152" spans="1:2">
      <c r="A152" s="3">
        <f ca="1">IFERROR(__xludf.DUMMYFUNCTION("""COMPUTED_VALUE"""),38572.6666666666)</f>
        <v>38572.666666666599</v>
      </c>
      <c r="B152" s="1">
        <f ca="1">IFERROR(__xludf.DUMMYFUNCTION("""COMPUTED_VALUE"""),2.28)</f>
        <v>2.2799999999999998</v>
      </c>
    </row>
    <row r="153" spans="1:2">
      <c r="A153" s="3">
        <f ca="1">IFERROR(__xludf.DUMMYFUNCTION("""COMPUTED_VALUE"""),38573.6666666666)</f>
        <v>38573.666666666599</v>
      </c>
      <c r="B153" s="1">
        <f ca="1">IFERROR(__xludf.DUMMYFUNCTION("""COMPUTED_VALUE"""),2.3)</f>
        <v>2.2999999999999998</v>
      </c>
    </row>
    <row r="154" spans="1:2">
      <c r="A154" s="3">
        <f ca="1">IFERROR(__xludf.DUMMYFUNCTION("""COMPUTED_VALUE"""),38574.6666666666)</f>
        <v>38574.666666666599</v>
      </c>
      <c r="B154" s="1">
        <f ca="1">IFERROR(__xludf.DUMMYFUNCTION("""COMPUTED_VALUE"""),2.24)</f>
        <v>2.2400000000000002</v>
      </c>
    </row>
    <row r="155" spans="1:2">
      <c r="A155" s="3">
        <f ca="1">IFERROR(__xludf.DUMMYFUNCTION("""COMPUTED_VALUE"""),38575.6666666666)</f>
        <v>38575.666666666599</v>
      </c>
      <c r="B155" s="1">
        <f ca="1">IFERROR(__xludf.DUMMYFUNCTION("""COMPUTED_VALUE"""),2.26)</f>
        <v>2.2599999999999998</v>
      </c>
    </row>
    <row r="156" spans="1:2">
      <c r="A156" s="3">
        <f ca="1">IFERROR(__xludf.DUMMYFUNCTION("""COMPUTED_VALUE"""),38576.6666666666)</f>
        <v>38576.666666666599</v>
      </c>
      <c r="B156" s="1">
        <f ca="1">IFERROR(__xludf.DUMMYFUNCTION("""COMPUTED_VALUE"""),2.21)</f>
        <v>2.21</v>
      </c>
    </row>
    <row r="157" spans="1:2">
      <c r="A157" s="3">
        <f ca="1">IFERROR(__xludf.DUMMYFUNCTION("""COMPUTED_VALUE"""),38579.6666666666)</f>
        <v>38579.666666666599</v>
      </c>
      <c r="B157" s="1">
        <f ca="1">IFERROR(__xludf.DUMMYFUNCTION("""COMPUTED_VALUE"""),2.25)</f>
        <v>2.25</v>
      </c>
    </row>
    <row r="158" spans="1:2">
      <c r="A158" s="3">
        <f ca="1">IFERROR(__xludf.DUMMYFUNCTION("""COMPUTED_VALUE"""),38580.6666666666)</f>
        <v>38580.666666666599</v>
      </c>
      <c r="B158" s="1">
        <f ca="1">IFERROR(__xludf.DUMMYFUNCTION("""COMPUTED_VALUE"""),2.21)</f>
        <v>2.21</v>
      </c>
    </row>
    <row r="159" spans="1:2">
      <c r="A159" s="3">
        <f ca="1">IFERROR(__xludf.DUMMYFUNCTION("""COMPUTED_VALUE"""),38581.6666666666)</f>
        <v>38581.666666666599</v>
      </c>
      <c r="B159" s="1">
        <f ca="1">IFERROR(__xludf.DUMMYFUNCTION("""COMPUTED_VALUE"""),2.21)</f>
        <v>2.21</v>
      </c>
    </row>
    <row r="160" spans="1:2">
      <c r="A160" s="3">
        <f ca="1">IFERROR(__xludf.DUMMYFUNCTION("""COMPUTED_VALUE"""),38582.6666666666)</f>
        <v>38582.666666666599</v>
      </c>
      <c r="B160" s="1">
        <f ca="1">IFERROR(__xludf.DUMMYFUNCTION("""COMPUTED_VALUE"""),2.19)</f>
        <v>2.19</v>
      </c>
    </row>
    <row r="161" spans="1:2">
      <c r="A161" s="3">
        <f ca="1">IFERROR(__xludf.DUMMYFUNCTION("""COMPUTED_VALUE"""),38583.6666666666)</f>
        <v>38583.666666666599</v>
      </c>
      <c r="B161" s="1">
        <f ca="1">IFERROR(__xludf.DUMMYFUNCTION("""COMPUTED_VALUE"""),2.19)</f>
        <v>2.19</v>
      </c>
    </row>
    <row r="162" spans="1:2">
      <c r="A162" s="3">
        <f ca="1">IFERROR(__xludf.DUMMYFUNCTION("""COMPUTED_VALUE"""),38586.6666666666)</f>
        <v>38586.666666666599</v>
      </c>
      <c r="B162" s="1">
        <f ca="1">IFERROR(__xludf.DUMMYFUNCTION("""COMPUTED_VALUE"""),2.19)</f>
        <v>2.19</v>
      </c>
    </row>
    <row r="163" spans="1:2">
      <c r="A163" s="3">
        <f ca="1">IFERROR(__xludf.DUMMYFUNCTION("""COMPUTED_VALUE"""),38587.6666666666)</f>
        <v>38587.666666666599</v>
      </c>
      <c r="B163" s="1">
        <f ca="1">IFERROR(__xludf.DUMMYFUNCTION("""COMPUTED_VALUE"""),2.17)</f>
        <v>2.17</v>
      </c>
    </row>
    <row r="164" spans="1:2">
      <c r="A164" s="3">
        <f ca="1">IFERROR(__xludf.DUMMYFUNCTION("""COMPUTED_VALUE"""),38588.6666666666)</f>
        <v>38588.666666666599</v>
      </c>
      <c r="B164" s="1">
        <f ca="1">IFERROR(__xludf.DUMMYFUNCTION("""COMPUTED_VALUE"""),2.12)</f>
        <v>2.12</v>
      </c>
    </row>
    <row r="165" spans="1:2">
      <c r="A165" s="3">
        <f ca="1">IFERROR(__xludf.DUMMYFUNCTION("""COMPUTED_VALUE"""),38589.6666666666)</f>
        <v>38589.666666666599</v>
      </c>
      <c r="B165" s="1">
        <f ca="1">IFERROR(__xludf.DUMMYFUNCTION("""COMPUTED_VALUE"""),2.12)</f>
        <v>2.12</v>
      </c>
    </row>
    <row r="166" spans="1:2">
      <c r="A166" s="3">
        <f ca="1">IFERROR(__xludf.DUMMYFUNCTION("""COMPUTED_VALUE"""),38590.6666666666)</f>
        <v>38590.666666666599</v>
      </c>
      <c r="B166" s="1">
        <f ca="1">IFERROR(__xludf.DUMMYFUNCTION("""COMPUTED_VALUE"""),2.12)</f>
        <v>2.12</v>
      </c>
    </row>
    <row r="167" spans="1:2">
      <c r="A167" s="3">
        <f ca="1">IFERROR(__xludf.DUMMYFUNCTION("""COMPUTED_VALUE"""),38593.6666666666)</f>
        <v>38593.666666666599</v>
      </c>
      <c r="B167" s="1">
        <f ca="1">IFERROR(__xludf.DUMMYFUNCTION("""COMPUTED_VALUE"""),2.14)</f>
        <v>2.14</v>
      </c>
    </row>
    <row r="168" spans="1:2">
      <c r="A168" s="3">
        <f ca="1">IFERROR(__xludf.DUMMYFUNCTION("""COMPUTED_VALUE"""),38594.6666666666)</f>
        <v>38594.666666666599</v>
      </c>
      <c r="B168" s="1">
        <f ca="1">IFERROR(__xludf.DUMMYFUNCTION("""COMPUTED_VALUE"""),2.12)</f>
        <v>2.12</v>
      </c>
    </row>
    <row r="169" spans="1:2">
      <c r="A169" s="3">
        <f ca="1">IFERROR(__xludf.DUMMYFUNCTION("""COMPUTED_VALUE"""),38595.6666666666)</f>
        <v>38595.666666666599</v>
      </c>
      <c r="B169" s="1">
        <f ca="1">IFERROR(__xludf.DUMMYFUNCTION("""COMPUTED_VALUE"""),2.13)</f>
        <v>2.13</v>
      </c>
    </row>
    <row r="170" spans="1:2">
      <c r="A170" s="3">
        <f ca="1">IFERROR(__xludf.DUMMYFUNCTION("""COMPUTED_VALUE"""),38596.6666666666)</f>
        <v>38596.666666666599</v>
      </c>
      <c r="B170" s="1">
        <f ca="1">IFERROR(__xludf.DUMMYFUNCTION("""COMPUTED_VALUE"""),2.09)</f>
        <v>2.09</v>
      </c>
    </row>
    <row r="171" spans="1:2">
      <c r="A171" s="3">
        <f ca="1">IFERROR(__xludf.DUMMYFUNCTION("""COMPUTED_VALUE"""),38597.6666666666)</f>
        <v>38597.666666666599</v>
      </c>
      <c r="B171" s="1">
        <f ca="1">IFERROR(__xludf.DUMMYFUNCTION("""COMPUTED_VALUE"""),2.08)</f>
        <v>2.08</v>
      </c>
    </row>
    <row r="172" spans="1:2">
      <c r="A172" s="3">
        <f ca="1">IFERROR(__xludf.DUMMYFUNCTION("""COMPUTED_VALUE"""),38601.6666666666)</f>
        <v>38601.666666666599</v>
      </c>
      <c r="B172" s="1">
        <f ca="1">IFERROR(__xludf.DUMMYFUNCTION("""COMPUTED_VALUE"""),2.18)</f>
        <v>2.1800000000000002</v>
      </c>
    </row>
    <row r="173" spans="1:2">
      <c r="A173" s="3">
        <f ca="1">IFERROR(__xludf.DUMMYFUNCTION("""COMPUTED_VALUE"""),38602.6666666666)</f>
        <v>38602.666666666599</v>
      </c>
      <c r="B173" s="1">
        <f ca="1">IFERROR(__xludf.DUMMYFUNCTION("""COMPUTED_VALUE"""),2.19)</f>
        <v>2.19</v>
      </c>
    </row>
    <row r="174" spans="1:2">
      <c r="A174" s="3">
        <f ca="1">IFERROR(__xludf.DUMMYFUNCTION("""COMPUTED_VALUE"""),38603.6666666666)</f>
        <v>38603.666666666599</v>
      </c>
      <c r="B174" s="1">
        <f ca="1">IFERROR(__xludf.DUMMYFUNCTION("""COMPUTED_VALUE"""),2.15)</f>
        <v>2.15</v>
      </c>
    </row>
    <row r="175" spans="1:2">
      <c r="A175" s="3">
        <f ca="1">IFERROR(__xludf.DUMMYFUNCTION("""COMPUTED_VALUE"""),38604.6666666666)</f>
        <v>38604.666666666599</v>
      </c>
      <c r="B175" s="1">
        <f ca="1">IFERROR(__xludf.DUMMYFUNCTION("""COMPUTED_VALUE"""),2.15)</f>
        <v>2.15</v>
      </c>
    </row>
    <row r="176" spans="1:2">
      <c r="A176" s="3">
        <f ca="1">IFERROR(__xludf.DUMMYFUNCTION("""COMPUTED_VALUE"""),38607.6666666666)</f>
        <v>38607.666666666599</v>
      </c>
      <c r="B176" s="1">
        <f ca="1">IFERROR(__xludf.DUMMYFUNCTION("""COMPUTED_VALUE"""),2.23)</f>
        <v>2.23</v>
      </c>
    </row>
    <row r="177" spans="1:2">
      <c r="A177" s="3">
        <f ca="1">IFERROR(__xludf.DUMMYFUNCTION("""COMPUTED_VALUE"""),38608.6666666666)</f>
        <v>38608.666666666599</v>
      </c>
      <c r="B177" s="1">
        <f ca="1">IFERROR(__xludf.DUMMYFUNCTION("""COMPUTED_VALUE"""),2.2)</f>
        <v>2.2000000000000002</v>
      </c>
    </row>
    <row r="178" spans="1:2">
      <c r="A178" s="3">
        <f ca="1">IFERROR(__xludf.DUMMYFUNCTION("""COMPUTED_VALUE"""),38609.6666666666)</f>
        <v>38609.666666666599</v>
      </c>
      <c r="B178" s="1">
        <f ca="1">IFERROR(__xludf.DUMMYFUNCTION("""COMPUTED_VALUE"""),2.15)</f>
        <v>2.15</v>
      </c>
    </row>
    <row r="179" spans="1:2">
      <c r="A179" s="3">
        <f ca="1">IFERROR(__xludf.DUMMYFUNCTION("""COMPUTED_VALUE"""),38610.6666666666)</f>
        <v>38610.666666666599</v>
      </c>
      <c r="B179" s="1">
        <f ca="1">IFERROR(__xludf.DUMMYFUNCTION("""COMPUTED_VALUE"""),2.14)</f>
        <v>2.14</v>
      </c>
    </row>
    <row r="180" spans="1:2">
      <c r="A180" s="3">
        <f ca="1">IFERROR(__xludf.DUMMYFUNCTION("""COMPUTED_VALUE"""),38611.6666666666)</f>
        <v>38611.666666666599</v>
      </c>
      <c r="B180" s="1">
        <f ca="1">IFERROR(__xludf.DUMMYFUNCTION("""COMPUTED_VALUE"""),2.14)</f>
        <v>2.14</v>
      </c>
    </row>
    <row r="181" spans="1:2">
      <c r="A181" s="3">
        <f ca="1">IFERROR(__xludf.DUMMYFUNCTION("""COMPUTED_VALUE"""),38614.6666666666)</f>
        <v>38614.666666666599</v>
      </c>
      <c r="B181" s="1">
        <f ca="1">IFERROR(__xludf.DUMMYFUNCTION("""COMPUTED_VALUE"""),2.14)</f>
        <v>2.14</v>
      </c>
    </row>
    <row r="182" spans="1:2">
      <c r="A182" s="3">
        <f ca="1">IFERROR(__xludf.DUMMYFUNCTION("""COMPUTED_VALUE"""),38615.6666666666)</f>
        <v>38615.666666666599</v>
      </c>
      <c r="B182" s="1">
        <f ca="1">IFERROR(__xludf.DUMMYFUNCTION("""COMPUTED_VALUE"""),2.09)</f>
        <v>2.09</v>
      </c>
    </row>
    <row r="183" spans="1:2">
      <c r="A183" s="3">
        <f ca="1">IFERROR(__xludf.DUMMYFUNCTION("""COMPUTED_VALUE"""),38616.6666666666)</f>
        <v>38616.666666666599</v>
      </c>
      <c r="B183" s="1">
        <f ca="1">IFERROR(__xludf.DUMMYFUNCTION("""COMPUTED_VALUE"""),2.06)</f>
        <v>2.06</v>
      </c>
    </row>
    <row r="184" spans="1:2">
      <c r="A184" s="3">
        <f ca="1">IFERROR(__xludf.DUMMYFUNCTION("""COMPUTED_VALUE"""),38617.6666666666)</f>
        <v>38617.666666666599</v>
      </c>
      <c r="B184" s="1">
        <f ca="1">IFERROR(__xludf.DUMMYFUNCTION("""COMPUTED_VALUE"""),2.1)</f>
        <v>2.1</v>
      </c>
    </row>
    <row r="185" spans="1:2">
      <c r="A185" s="3">
        <f ca="1">IFERROR(__xludf.DUMMYFUNCTION("""COMPUTED_VALUE"""),38618.6666666666)</f>
        <v>38618.666666666599</v>
      </c>
      <c r="B185" s="1">
        <f ca="1">IFERROR(__xludf.DUMMYFUNCTION("""COMPUTED_VALUE"""),2.11)</f>
        <v>2.11</v>
      </c>
    </row>
    <row r="186" spans="1:2">
      <c r="A186" s="3">
        <f ca="1">IFERROR(__xludf.DUMMYFUNCTION("""COMPUTED_VALUE"""),38621.6666666666)</f>
        <v>38621.666666666599</v>
      </c>
      <c r="B186" s="1">
        <f ca="1">IFERROR(__xludf.DUMMYFUNCTION("""COMPUTED_VALUE"""),2.17)</f>
        <v>2.17</v>
      </c>
    </row>
    <row r="187" spans="1:2">
      <c r="A187" s="3">
        <f ca="1">IFERROR(__xludf.DUMMYFUNCTION("""COMPUTED_VALUE"""),38622.6666666666)</f>
        <v>38622.666666666599</v>
      </c>
      <c r="B187" s="1">
        <f ca="1">IFERROR(__xludf.DUMMYFUNCTION("""COMPUTED_VALUE"""),2.16)</f>
        <v>2.16</v>
      </c>
    </row>
    <row r="188" spans="1:2">
      <c r="A188" s="3">
        <f ca="1">IFERROR(__xludf.DUMMYFUNCTION("""COMPUTED_VALUE"""),38623.6666666666)</f>
        <v>38623.666666666599</v>
      </c>
      <c r="B188" s="1">
        <f ca="1">IFERROR(__xludf.DUMMYFUNCTION("""COMPUTED_VALUE"""),2.17)</f>
        <v>2.17</v>
      </c>
    </row>
    <row r="189" spans="1:2">
      <c r="A189" s="3">
        <f ca="1">IFERROR(__xludf.DUMMYFUNCTION("""COMPUTED_VALUE"""),38624.6666666666)</f>
        <v>38624.666666666599</v>
      </c>
      <c r="B189" s="1">
        <f ca="1">IFERROR(__xludf.DUMMYFUNCTION("""COMPUTED_VALUE"""),2.24)</f>
        <v>2.2400000000000002</v>
      </c>
    </row>
    <row r="190" spans="1:2">
      <c r="A190" s="3">
        <f ca="1">IFERROR(__xludf.DUMMYFUNCTION("""COMPUTED_VALUE"""),38625.6666666666)</f>
        <v>38625.666666666599</v>
      </c>
      <c r="B190" s="1">
        <f ca="1">IFERROR(__xludf.DUMMYFUNCTION("""COMPUTED_VALUE"""),2.27)</f>
        <v>2.27</v>
      </c>
    </row>
    <row r="191" spans="1:2">
      <c r="A191" s="3">
        <f ca="1">IFERROR(__xludf.DUMMYFUNCTION("""COMPUTED_VALUE"""),38628.6666666666)</f>
        <v>38628.666666666599</v>
      </c>
      <c r="B191" s="1">
        <f ca="1">IFERROR(__xludf.DUMMYFUNCTION("""COMPUTED_VALUE"""),2.3)</f>
        <v>2.2999999999999998</v>
      </c>
    </row>
    <row r="192" spans="1:2">
      <c r="A192" s="3">
        <f ca="1">IFERROR(__xludf.DUMMYFUNCTION("""COMPUTED_VALUE"""),38629.6666666666)</f>
        <v>38629.666666666599</v>
      </c>
      <c r="B192" s="1">
        <f ca="1">IFERROR(__xludf.DUMMYFUNCTION("""COMPUTED_VALUE"""),2.25)</f>
        <v>2.25</v>
      </c>
    </row>
    <row r="193" spans="1:2">
      <c r="A193" s="3">
        <f ca="1">IFERROR(__xludf.DUMMYFUNCTION("""COMPUTED_VALUE"""),38630.6666666666)</f>
        <v>38630.666666666599</v>
      </c>
      <c r="B193" s="1">
        <f ca="1">IFERROR(__xludf.DUMMYFUNCTION("""COMPUTED_VALUE"""),2.22)</f>
        <v>2.2200000000000002</v>
      </c>
    </row>
    <row r="194" spans="1:2">
      <c r="A194" s="3">
        <f ca="1">IFERROR(__xludf.DUMMYFUNCTION("""COMPUTED_VALUE"""),38631.6666666666)</f>
        <v>38631.666666666599</v>
      </c>
      <c r="B194" s="1">
        <f ca="1">IFERROR(__xludf.DUMMYFUNCTION("""COMPUTED_VALUE"""),2.2)</f>
        <v>2.2000000000000002</v>
      </c>
    </row>
    <row r="195" spans="1:2">
      <c r="A195" s="3">
        <f ca="1">IFERROR(__xludf.DUMMYFUNCTION("""COMPUTED_VALUE"""),38632.6666666666)</f>
        <v>38632.666666666599</v>
      </c>
      <c r="B195" s="1">
        <f ca="1">IFERROR(__xludf.DUMMYFUNCTION("""COMPUTED_VALUE"""),2.19)</f>
        <v>2.19</v>
      </c>
    </row>
    <row r="196" spans="1:2">
      <c r="A196" s="3">
        <f ca="1">IFERROR(__xludf.DUMMYFUNCTION("""COMPUTED_VALUE"""),38635.6666666666)</f>
        <v>38635.666666666599</v>
      </c>
      <c r="B196" s="1">
        <f ca="1">IFERROR(__xludf.DUMMYFUNCTION("""COMPUTED_VALUE"""),2.19)</f>
        <v>2.19</v>
      </c>
    </row>
    <row r="197" spans="1:2">
      <c r="A197" s="3">
        <f ca="1">IFERROR(__xludf.DUMMYFUNCTION("""COMPUTED_VALUE"""),38636.6666666666)</f>
        <v>38636.666666666599</v>
      </c>
      <c r="B197" s="1">
        <f ca="1">IFERROR(__xludf.DUMMYFUNCTION("""COMPUTED_VALUE"""),2.17)</f>
        <v>2.17</v>
      </c>
    </row>
    <row r="198" spans="1:2">
      <c r="A198" s="3">
        <f ca="1">IFERROR(__xludf.DUMMYFUNCTION("""COMPUTED_VALUE"""),38637.6666666666)</f>
        <v>38637.666666666599</v>
      </c>
      <c r="B198" s="1">
        <f ca="1">IFERROR(__xludf.DUMMYFUNCTION("""COMPUTED_VALUE"""),2.13)</f>
        <v>2.13</v>
      </c>
    </row>
    <row r="199" spans="1:2">
      <c r="A199" s="3">
        <f ca="1">IFERROR(__xludf.DUMMYFUNCTION("""COMPUTED_VALUE"""),38638.6666666666)</f>
        <v>38638.666666666599</v>
      </c>
      <c r="B199" s="1">
        <f ca="1">IFERROR(__xludf.DUMMYFUNCTION("""COMPUTED_VALUE"""),2.13)</f>
        <v>2.13</v>
      </c>
    </row>
    <row r="200" spans="1:2">
      <c r="A200" s="3">
        <f ca="1">IFERROR(__xludf.DUMMYFUNCTION("""COMPUTED_VALUE"""),38639.6666666666)</f>
        <v>38639.666666666599</v>
      </c>
      <c r="B200" s="1">
        <f ca="1">IFERROR(__xludf.DUMMYFUNCTION("""COMPUTED_VALUE"""),2.19)</f>
        <v>2.19</v>
      </c>
    </row>
    <row r="201" spans="1:2">
      <c r="A201" s="3">
        <f ca="1">IFERROR(__xludf.DUMMYFUNCTION("""COMPUTED_VALUE"""),38642.6666666666)</f>
        <v>38642.666666666599</v>
      </c>
      <c r="B201" s="1">
        <f ca="1">IFERROR(__xludf.DUMMYFUNCTION("""COMPUTED_VALUE"""),2.25)</f>
        <v>2.25</v>
      </c>
    </row>
    <row r="202" spans="1:2">
      <c r="A202" s="3">
        <f ca="1">IFERROR(__xludf.DUMMYFUNCTION("""COMPUTED_VALUE"""),38643.6666666666)</f>
        <v>38643.666666666599</v>
      </c>
      <c r="B202" s="1">
        <f ca="1">IFERROR(__xludf.DUMMYFUNCTION("""COMPUTED_VALUE"""),2.23)</f>
        <v>2.23</v>
      </c>
    </row>
    <row r="203" spans="1:2">
      <c r="A203" s="3">
        <f ca="1">IFERROR(__xludf.DUMMYFUNCTION("""COMPUTED_VALUE"""),38644.6666666666)</f>
        <v>38644.666666666599</v>
      </c>
      <c r="B203" s="1">
        <f ca="1">IFERROR(__xludf.DUMMYFUNCTION("""COMPUTED_VALUE"""),2.29)</f>
        <v>2.29</v>
      </c>
    </row>
    <row r="204" spans="1:2">
      <c r="A204" s="3">
        <f ca="1">IFERROR(__xludf.DUMMYFUNCTION("""COMPUTED_VALUE"""),38645.6666666666)</f>
        <v>38645.666666666599</v>
      </c>
      <c r="B204" s="1">
        <f ca="1">IFERROR(__xludf.DUMMYFUNCTION("""COMPUTED_VALUE"""),2.25)</f>
        <v>2.25</v>
      </c>
    </row>
    <row r="205" spans="1:2">
      <c r="A205" s="3">
        <f ca="1">IFERROR(__xludf.DUMMYFUNCTION("""COMPUTED_VALUE"""),38646.6666666666)</f>
        <v>38646.666666666599</v>
      </c>
      <c r="B205" s="1">
        <f ca="1">IFERROR(__xludf.DUMMYFUNCTION("""COMPUTED_VALUE"""),2.3)</f>
        <v>2.2999999999999998</v>
      </c>
    </row>
    <row r="206" spans="1:2">
      <c r="A206" s="3">
        <f ca="1">IFERROR(__xludf.DUMMYFUNCTION("""COMPUTED_VALUE"""),38649.6666666666)</f>
        <v>38649.666666666599</v>
      </c>
      <c r="B206" s="1">
        <f ca="1">IFERROR(__xludf.DUMMYFUNCTION("""COMPUTED_VALUE"""),2.35)</f>
        <v>2.35</v>
      </c>
    </row>
    <row r="207" spans="1:2">
      <c r="A207" s="3">
        <f ca="1">IFERROR(__xludf.DUMMYFUNCTION("""COMPUTED_VALUE"""),38650.6666666666)</f>
        <v>38650.666666666599</v>
      </c>
      <c r="B207" s="1">
        <f ca="1">IFERROR(__xludf.DUMMYFUNCTION("""COMPUTED_VALUE"""),2.31)</f>
        <v>2.31</v>
      </c>
    </row>
    <row r="208" spans="1:2">
      <c r="A208" s="3">
        <f ca="1">IFERROR(__xludf.DUMMYFUNCTION("""COMPUTED_VALUE"""),38651.6666666666)</f>
        <v>38651.666666666599</v>
      </c>
      <c r="B208" s="1">
        <f ca="1">IFERROR(__xludf.DUMMYFUNCTION("""COMPUTED_VALUE"""),1.99)</f>
        <v>1.99</v>
      </c>
    </row>
    <row r="209" spans="1:2">
      <c r="A209" s="3">
        <f ca="1">IFERROR(__xludf.DUMMYFUNCTION("""COMPUTED_VALUE"""),38652.6666666666)</f>
        <v>38652.666666666599</v>
      </c>
      <c r="B209" s="1">
        <f ca="1">IFERROR(__xludf.DUMMYFUNCTION("""COMPUTED_VALUE"""),1.95)</f>
        <v>1.95</v>
      </c>
    </row>
    <row r="210" spans="1:2">
      <c r="A210" s="3">
        <f ca="1">IFERROR(__xludf.DUMMYFUNCTION("""COMPUTED_VALUE"""),38653.6666666666)</f>
        <v>38653.666666666599</v>
      </c>
      <c r="B210" s="1">
        <f ca="1">IFERROR(__xludf.DUMMYFUNCTION("""COMPUTED_VALUE"""),1.95)</f>
        <v>1.95</v>
      </c>
    </row>
    <row r="211" spans="1:2">
      <c r="A211" s="3">
        <f ca="1">IFERROR(__xludf.DUMMYFUNCTION("""COMPUTED_VALUE"""),38656.6666666666)</f>
        <v>38656.666666666599</v>
      </c>
      <c r="B211" s="1">
        <f ca="1">IFERROR(__xludf.DUMMYFUNCTION("""COMPUTED_VALUE"""),1.99)</f>
        <v>1.99</v>
      </c>
    </row>
    <row r="212" spans="1:2">
      <c r="A212" s="3">
        <f ca="1">IFERROR(__xludf.DUMMYFUNCTION("""COMPUTED_VALUE"""),38657.6666666666)</f>
        <v>38657.666666666599</v>
      </c>
      <c r="B212" s="1">
        <f ca="1">IFERROR(__xludf.DUMMYFUNCTION("""COMPUTED_VALUE"""),2.02)</f>
        <v>2.02</v>
      </c>
    </row>
    <row r="213" spans="1:2">
      <c r="A213" s="3">
        <f ca="1">IFERROR(__xludf.DUMMYFUNCTION("""COMPUTED_VALUE"""),38658.6666666666)</f>
        <v>38658.666666666599</v>
      </c>
      <c r="B213" s="1">
        <f ca="1">IFERROR(__xludf.DUMMYFUNCTION("""COMPUTED_VALUE"""),2.04)</f>
        <v>2.04</v>
      </c>
    </row>
    <row r="214" spans="1:2">
      <c r="A214" s="3">
        <f ca="1">IFERROR(__xludf.DUMMYFUNCTION("""COMPUTED_VALUE"""),38659.6666666666)</f>
        <v>38659.666666666599</v>
      </c>
      <c r="B214" s="1">
        <f ca="1">IFERROR(__xludf.DUMMYFUNCTION("""COMPUTED_VALUE"""),2.08)</f>
        <v>2.08</v>
      </c>
    </row>
    <row r="215" spans="1:2">
      <c r="A215" s="3">
        <f ca="1">IFERROR(__xludf.DUMMYFUNCTION("""COMPUTED_VALUE"""),38660.6666666666)</f>
        <v>38660.666666666599</v>
      </c>
      <c r="B215" s="1">
        <f ca="1">IFERROR(__xludf.DUMMYFUNCTION("""COMPUTED_VALUE"""),2.05)</f>
        <v>2.0499999999999998</v>
      </c>
    </row>
    <row r="216" spans="1:2">
      <c r="A216" s="3">
        <f ca="1">IFERROR(__xludf.DUMMYFUNCTION("""COMPUTED_VALUE"""),38663.6666666666)</f>
        <v>38663.666666666599</v>
      </c>
      <c r="B216" s="1">
        <f ca="1">IFERROR(__xludf.DUMMYFUNCTION("""COMPUTED_VALUE"""),2.07)</f>
        <v>2.0699999999999998</v>
      </c>
    </row>
    <row r="217" spans="1:2">
      <c r="A217" s="3">
        <f ca="1">IFERROR(__xludf.DUMMYFUNCTION("""COMPUTED_VALUE"""),38664.6666666666)</f>
        <v>38664.666666666599</v>
      </c>
      <c r="B217" s="1">
        <f ca="1">IFERROR(__xludf.DUMMYFUNCTION("""COMPUTED_VALUE"""),2.1)</f>
        <v>2.1</v>
      </c>
    </row>
    <row r="218" spans="1:2">
      <c r="A218" s="3">
        <f ca="1">IFERROR(__xludf.DUMMYFUNCTION("""COMPUTED_VALUE"""),38665.6666666666)</f>
        <v>38665.666666666599</v>
      </c>
      <c r="B218" s="1">
        <f ca="1">IFERROR(__xludf.DUMMYFUNCTION("""COMPUTED_VALUE"""),2.07)</f>
        <v>2.0699999999999998</v>
      </c>
    </row>
    <row r="219" spans="1:2">
      <c r="A219" s="3">
        <f ca="1">IFERROR(__xludf.DUMMYFUNCTION("""COMPUTED_VALUE"""),38666.6666666666)</f>
        <v>38666.666666666599</v>
      </c>
      <c r="B219" s="1">
        <f ca="1">IFERROR(__xludf.DUMMYFUNCTION("""COMPUTED_VALUE"""),2.11)</f>
        <v>2.11</v>
      </c>
    </row>
    <row r="220" spans="1:2">
      <c r="A220" s="3">
        <f ca="1">IFERROR(__xludf.DUMMYFUNCTION("""COMPUTED_VALUE"""),38667.6666666666)</f>
        <v>38667.666666666599</v>
      </c>
      <c r="B220" s="1">
        <f ca="1">IFERROR(__xludf.DUMMYFUNCTION("""COMPUTED_VALUE"""),2.13)</f>
        <v>2.13</v>
      </c>
    </row>
    <row r="221" spans="1:2">
      <c r="A221" s="3">
        <f ca="1">IFERROR(__xludf.DUMMYFUNCTION("""COMPUTED_VALUE"""),38670.6666666666)</f>
        <v>38670.666666666599</v>
      </c>
      <c r="B221" s="1">
        <f ca="1">IFERROR(__xludf.DUMMYFUNCTION("""COMPUTED_VALUE"""),2.13)</f>
        <v>2.13</v>
      </c>
    </row>
    <row r="222" spans="1:2">
      <c r="A222" s="3">
        <f ca="1">IFERROR(__xludf.DUMMYFUNCTION("""COMPUTED_VALUE"""),38671.6666666666)</f>
        <v>38671.666666666599</v>
      </c>
      <c r="B222" s="1">
        <f ca="1">IFERROR(__xludf.DUMMYFUNCTION("""COMPUTED_VALUE"""),2.22)</f>
        <v>2.2200000000000002</v>
      </c>
    </row>
    <row r="223" spans="1:2">
      <c r="A223" s="3">
        <f ca="1">IFERROR(__xludf.DUMMYFUNCTION("""COMPUTED_VALUE"""),38672.6666666666)</f>
        <v>38672.666666666599</v>
      </c>
      <c r="B223" s="1">
        <f ca="1">IFERROR(__xludf.DUMMYFUNCTION("""COMPUTED_VALUE"""),2.27)</f>
        <v>2.27</v>
      </c>
    </row>
    <row r="224" spans="1:2">
      <c r="A224" s="3">
        <f ca="1">IFERROR(__xludf.DUMMYFUNCTION("""COMPUTED_VALUE"""),38673.6666666666)</f>
        <v>38673.666666666599</v>
      </c>
      <c r="B224" s="1">
        <f ca="1">IFERROR(__xludf.DUMMYFUNCTION("""COMPUTED_VALUE"""),2.34)</f>
        <v>2.34</v>
      </c>
    </row>
    <row r="225" spans="1:2">
      <c r="A225" s="3">
        <f ca="1">IFERROR(__xludf.DUMMYFUNCTION("""COMPUTED_VALUE"""),38674.6666666666)</f>
        <v>38674.666666666599</v>
      </c>
      <c r="B225" s="1">
        <f ca="1">IFERROR(__xludf.DUMMYFUNCTION("""COMPUTED_VALUE"""),2.4)</f>
        <v>2.4</v>
      </c>
    </row>
    <row r="226" spans="1:2">
      <c r="A226" s="3">
        <f ca="1">IFERROR(__xludf.DUMMYFUNCTION("""COMPUTED_VALUE"""),38677.6666666666)</f>
        <v>38677.666666666599</v>
      </c>
      <c r="B226" s="1">
        <f ca="1">IFERROR(__xludf.DUMMYFUNCTION("""COMPUTED_VALUE"""),2.4)</f>
        <v>2.4</v>
      </c>
    </row>
    <row r="227" spans="1:2">
      <c r="A227" s="3">
        <f ca="1">IFERROR(__xludf.DUMMYFUNCTION("""COMPUTED_VALUE"""),38678.6666666666)</f>
        <v>38678.666666666599</v>
      </c>
      <c r="B227" s="1">
        <f ca="1">IFERROR(__xludf.DUMMYFUNCTION("""COMPUTED_VALUE"""),2.44)</f>
        <v>2.44</v>
      </c>
    </row>
    <row r="228" spans="1:2">
      <c r="A228" s="3">
        <f ca="1">IFERROR(__xludf.DUMMYFUNCTION("""COMPUTED_VALUE"""),38679.6666666666)</f>
        <v>38679.666666666599</v>
      </c>
      <c r="B228" s="1">
        <f ca="1">IFERROR(__xludf.DUMMYFUNCTION("""COMPUTED_VALUE"""),2.41)</f>
        <v>2.41</v>
      </c>
    </row>
    <row r="229" spans="1:2">
      <c r="A229" s="3">
        <f ca="1">IFERROR(__xludf.DUMMYFUNCTION("""COMPUTED_VALUE"""),38681.6666666666)</f>
        <v>38681.666666666599</v>
      </c>
      <c r="B229" s="1">
        <f ca="1">IFERROR(__xludf.DUMMYFUNCTION("""COMPUTED_VALUE"""),2.4)</f>
        <v>2.4</v>
      </c>
    </row>
    <row r="230" spans="1:2">
      <c r="A230" s="3">
        <f ca="1">IFERROR(__xludf.DUMMYFUNCTION("""COMPUTED_VALUE"""),38684.6666666666)</f>
        <v>38684.666666666599</v>
      </c>
      <c r="B230" s="1">
        <f ca="1">IFERROR(__xludf.DUMMYFUNCTION("""COMPUTED_VALUE"""),2.42)</f>
        <v>2.42</v>
      </c>
    </row>
    <row r="231" spans="1:2">
      <c r="A231" s="3">
        <f ca="1">IFERROR(__xludf.DUMMYFUNCTION("""COMPUTED_VALUE"""),38685.6666666666)</f>
        <v>38685.666666666599</v>
      </c>
      <c r="B231" s="1">
        <f ca="1">IFERROR(__xludf.DUMMYFUNCTION("""COMPUTED_VALUE"""),2.43)</f>
        <v>2.4300000000000002</v>
      </c>
    </row>
    <row r="232" spans="1:2">
      <c r="A232" s="3">
        <f ca="1">IFERROR(__xludf.DUMMYFUNCTION("""COMPUTED_VALUE"""),38686.6666666666)</f>
        <v>38686.666666666599</v>
      </c>
      <c r="B232" s="1">
        <f ca="1">IFERROR(__xludf.DUMMYFUNCTION("""COMPUTED_VALUE"""),2.42)</f>
        <v>2.42</v>
      </c>
    </row>
    <row r="233" spans="1:2">
      <c r="A233" s="3">
        <f ca="1">IFERROR(__xludf.DUMMYFUNCTION("""COMPUTED_VALUE"""),38687.6666666666)</f>
        <v>38687.666666666599</v>
      </c>
      <c r="B233" s="1">
        <f ca="1">IFERROR(__xludf.DUMMYFUNCTION("""COMPUTED_VALUE"""),2.45)</f>
        <v>2.4500000000000002</v>
      </c>
    </row>
    <row r="234" spans="1:2">
      <c r="A234" s="3">
        <f ca="1">IFERROR(__xludf.DUMMYFUNCTION("""COMPUTED_VALUE"""),38688.6666666666)</f>
        <v>38688.666666666599</v>
      </c>
      <c r="B234" s="1">
        <f ca="1">IFERROR(__xludf.DUMMYFUNCTION("""COMPUTED_VALUE"""),2.45)</f>
        <v>2.4500000000000002</v>
      </c>
    </row>
    <row r="235" spans="1:2">
      <c r="A235" s="3">
        <f ca="1">IFERROR(__xludf.DUMMYFUNCTION("""COMPUTED_VALUE"""),38691.6666666666)</f>
        <v>38691.666666666599</v>
      </c>
      <c r="B235" s="1">
        <f ca="1">IFERROR(__xludf.DUMMYFUNCTION("""COMPUTED_VALUE"""),2.44)</f>
        <v>2.44</v>
      </c>
    </row>
    <row r="236" spans="1:2">
      <c r="A236" s="3">
        <f ca="1">IFERROR(__xludf.DUMMYFUNCTION("""COMPUTED_VALUE"""),38692.6666666666)</f>
        <v>38692.666666666599</v>
      </c>
      <c r="B236" s="1">
        <f ca="1">IFERROR(__xludf.DUMMYFUNCTION("""COMPUTED_VALUE"""),2.46)</f>
        <v>2.46</v>
      </c>
    </row>
    <row r="237" spans="1:2">
      <c r="A237" s="3">
        <f ca="1">IFERROR(__xludf.DUMMYFUNCTION("""COMPUTED_VALUE"""),38693.6666666666)</f>
        <v>38693.666666666599</v>
      </c>
      <c r="B237" s="1">
        <f ca="1">IFERROR(__xludf.DUMMYFUNCTION("""COMPUTED_VALUE"""),2.44)</f>
        <v>2.44</v>
      </c>
    </row>
    <row r="238" spans="1:2">
      <c r="A238" s="3">
        <f ca="1">IFERROR(__xludf.DUMMYFUNCTION("""COMPUTED_VALUE"""),38694.6666666666)</f>
        <v>38694.666666666599</v>
      </c>
      <c r="B238" s="1">
        <f ca="1">IFERROR(__xludf.DUMMYFUNCTION("""COMPUTED_VALUE"""),2.42)</f>
        <v>2.42</v>
      </c>
    </row>
    <row r="239" spans="1:2">
      <c r="A239" s="3">
        <f ca="1">IFERROR(__xludf.DUMMYFUNCTION("""COMPUTED_VALUE"""),38695.6666666666)</f>
        <v>38695.666666666599</v>
      </c>
      <c r="B239" s="1">
        <f ca="1">IFERROR(__xludf.DUMMYFUNCTION("""COMPUTED_VALUE"""),2.44)</f>
        <v>2.44</v>
      </c>
    </row>
    <row r="240" spans="1:2">
      <c r="A240" s="3">
        <f ca="1">IFERROR(__xludf.DUMMYFUNCTION("""COMPUTED_VALUE"""),38698.6666666666)</f>
        <v>38698.666666666599</v>
      </c>
      <c r="B240" s="1">
        <f ca="1">IFERROR(__xludf.DUMMYFUNCTION("""COMPUTED_VALUE"""),2.45)</f>
        <v>2.4500000000000002</v>
      </c>
    </row>
    <row r="241" spans="1:2">
      <c r="A241" s="3">
        <f ca="1">IFERROR(__xludf.DUMMYFUNCTION("""COMPUTED_VALUE"""),38699.6666666666)</f>
        <v>38699.666666666599</v>
      </c>
      <c r="B241" s="1">
        <f ca="1">IFERROR(__xludf.DUMMYFUNCTION("""COMPUTED_VALUE"""),2.48)</f>
        <v>2.48</v>
      </c>
    </row>
    <row r="242" spans="1:2">
      <c r="A242" s="3">
        <f ca="1">IFERROR(__xludf.DUMMYFUNCTION("""COMPUTED_VALUE"""),38700.6666666666)</f>
        <v>38700.666666666599</v>
      </c>
      <c r="B242" s="1">
        <f ca="1">IFERROR(__xludf.DUMMYFUNCTION("""COMPUTED_VALUE"""),2.47)</f>
        <v>2.4700000000000002</v>
      </c>
    </row>
    <row r="243" spans="1:2">
      <c r="A243" s="3">
        <f ca="1">IFERROR(__xludf.DUMMYFUNCTION("""COMPUTED_VALUE"""),38701.6666666666)</f>
        <v>38701.666666666599</v>
      </c>
      <c r="B243" s="1">
        <f ca="1">IFERROR(__xludf.DUMMYFUNCTION("""COMPUTED_VALUE"""),2.47)</f>
        <v>2.4700000000000002</v>
      </c>
    </row>
    <row r="244" spans="1:2">
      <c r="A244" s="3">
        <f ca="1">IFERROR(__xludf.DUMMYFUNCTION("""COMPUTED_VALUE"""),38702.6666666666)</f>
        <v>38702.666666666599</v>
      </c>
      <c r="B244" s="1">
        <f ca="1">IFERROR(__xludf.DUMMYFUNCTION("""COMPUTED_VALUE"""),2.46)</f>
        <v>2.46</v>
      </c>
    </row>
    <row r="245" spans="1:2">
      <c r="A245" s="3">
        <f ca="1">IFERROR(__xludf.DUMMYFUNCTION("""COMPUTED_VALUE"""),38705.6666666666)</f>
        <v>38705.666666666599</v>
      </c>
      <c r="B245" s="1">
        <f ca="1">IFERROR(__xludf.DUMMYFUNCTION("""COMPUTED_VALUE"""),2.42)</f>
        <v>2.42</v>
      </c>
    </row>
    <row r="246" spans="1:2">
      <c r="A246" s="3">
        <f ca="1">IFERROR(__xludf.DUMMYFUNCTION("""COMPUTED_VALUE"""),38706.6666666666)</f>
        <v>38706.666666666599</v>
      </c>
      <c r="B246" s="1">
        <f ca="1">IFERROR(__xludf.DUMMYFUNCTION("""COMPUTED_VALUE"""),2.41)</f>
        <v>2.41</v>
      </c>
    </row>
    <row r="247" spans="1:2">
      <c r="A247" s="3">
        <f ca="1">IFERROR(__xludf.DUMMYFUNCTION("""COMPUTED_VALUE"""),38707.6666666666)</f>
        <v>38707.666666666599</v>
      </c>
      <c r="B247" s="1">
        <f ca="1">IFERROR(__xludf.DUMMYFUNCTION("""COMPUTED_VALUE"""),2.45)</f>
        <v>2.4500000000000002</v>
      </c>
    </row>
    <row r="248" spans="1:2">
      <c r="A248" s="3">
        <f ca="1">IFERROR(__xludf.DUMMYFUNCTION("""COMPUTED_VALUE"""),38708.6666666666)</f>
        <v>38708.666666666599</v>
      </c>
      <c r="B248" s="1">
        <f ca="1">IFERROR(__xludf.DUMMYFUNCTION("""COMPUTED_VALUE"""),2.46)</f>
        <v>2.46</v>
      </c>
    </row>
    <row r="249" spans="1:2">
      <c r="A249" s="3">
        <f ca="1">IFERROR(__xludf.DUMMYFUNCTION("""COMPUTED_VALUE"""),38709.6666666666)</f>
        <v>38709.666666666599</v>
      </c>
      <c r="B249" s="1">
        <f ca="1">IFERROR(__xludf.DUMMYFUNCTION("""COMPUTED_VALUE"""),2.46)</f>
        <v>2.46</v>
      </c>
    </row>
    <row r="250" spans="1:2">
      <c r="A250" s="3">
        <f ca="1">IFERROR(__xludf.DUMMYFUNCTION("""COMPUTED_VALUE"""),38713.6666666666)</f>
        <v>38713.666666666599</v>
      </c>
      <c r="B250" s="1">
        <f ca="1">IFERROR(__xludf.DUMMYFUNCTION("""COMPUTED_VALUE"""),2.43)</f>
        <v>2.4300000000000002</v>
      </c>
    </row>
    <row r="251" spans="1:2">
      <c r="A251" s="3">
        <f ca="1">IFERROR(__xludf.DUMMYFUNCTION("""COMPUTED_VALUE"""),38714.6666666666)</f>
        <v>38714.666666666599</v>
      </c>
      <c r="B251" s="1">
        <f ca="1">IFERROR(__xludf.DUMMYFUNCTION("""COMPUTED_VALUE"""),2.4)</f>
        <v>2.4</v>
      </c>
    </row>
    <row r="252" spans="1:2">
      <c r="A252" s="3">
        <f ca="1">IFERROR(__xludf.DUMMYFUNCTION("""COMPUTED_VALUE"""),38715.6666666666)</f>
        <v>38715.666666666599</v>
      </c>
      <c r="B252" s="1">
        <f ca="1">IFERROR(__xludf.DUMMYFUNCTION("""COMPUTED_VALUE"""),2.4)</f>
        <v>2.4</v>
      </c>
    </row>
    <row r="253" spans="1:2">
      <c r="A253" s="3">
        <f ca="1">IFERROR(__xludf.DUMMYFUNCTION("""COMPUTED_VALUE"""),38716.6666666666)</f>
        <v>38716.666666666599</v>
      </c>
      <c r="B253" s="1">
        <f ca="1">IFERROR(__xludf.DUMMYFUNCTION("""COMPUTED_VALUE"""),2.36)</f>
        <v>2.36</v>
      </c>
    </row>
    <row r="254" spans="1:2">
      <c r="A254" s="3">
        <f ca="1">IFERROR(__xludf.DUMMYFUNCTION("""COMPUTED_VALUE"""),38720.6666666666)</f>
        <v>38720.666666666599</v>
      </c>
      <c r="B254" s="1">
        <f ca="1">IFERROR(__xludf.DUMMYFUNCTION("""COMPUTED_VALUE"""),2.38)</f>
        <v>2.38</v>
      </c>
    </row>
    <row r="255" spans="1:2">
      <c r="A255" s="3">
        <f ca="1">IFERROR(__xludf.DUMMYFUNCTION("""COMPUTED_VALUE"""),38721.6666666666)</f>
        <v>38721.666666666599</v>
      </c>
      <c r="B255" s="1">
        <f ca="1">IFERROR(__xludf.DUMMYFUNCTION("""COMPUTED_VALUE"""),2.36)</f>
        <v>2.36</v>
      </c>
    </row>
    <row r="256" spans="1:2">
      <c r="A256" s="3">
        <f ca="1">IFERROR(__xludf.DUMMYFUNCTION("""COMPUTED_VALUE"""),38722.6666666666)</f>
        <v>38722.666666666599</v>
      </c>
      <c r="B256" s="1">
        <f ca="1">IFERROR(__xludf.DUMMYFUNCTION("""COMPUTED_VALUE"""),2.38)</f>
        <v>2.38</v>
      </c>
    </row>
    <row r="257" spans="1:2">
      <c r="A257" s="3">
        <f ca="1">IFERROR(__xludf.DUMMYFUNCTION("""COMPUTED_VALUE"""),38723.6666666666)</f>
        <v>38723.666666666599</v>
      </c>
      <c r="B257" s="1">
        <f ca="1">IFERROR(__xludf.DUMMYFUNCTION("""COMPUTED_VALUE"""),2.39)</f>
        <v>2.39</v>
      </c>
    </row>
    <row r="258" spans="1:2">
      <c r="A258" s="3">
        <f ca="1">IFERROR(__xludf.DUMMYFUNCTION("""COMPUTED_VALUE"""),38726.6666666666)</f>
        <v>38726.666666666599</v>
      </c>
      <c r="B258" s="1">
        <f ca="1">IFERROR(__xludf.DUMMYFUNCTION("""COMPUTED_VALUE"""),2.35)</f>
        <v>2.35</v>
      </c>
    </row>
    <row r="259" spans="1:2">
      <c r="A259" s="3">
        <f ca="1">IFERROR(__xludf.DUMMYFUNCTION("""COMPUTED_VALUE"""),38727.6666666666)</f>
        <v>38727.666666666599</v>
      </c>
      <c r="B259" s="1">
        <f ca="1">IFERROR(__xludf.DUMMYFUNCTION("""COMPUTED_VALUE"""),2.28)</f>
        <v>2.2799999999999998</v>
      </c>
    </row>
    <row r="260" spans="1:2">
      <c r="A260" s="3">
        <f ca="1">IFERROR(__xludf.DUMMYFUNCTION("""COMPUTED_VALUE"""),38728.6666666666)</f>
        <v>38728.666666666599</v>
      </c>
      <c r="B260" s="1">
        <f ca="1">IFERROR(__xludf.DUMMYFUNCTION("""COMPUTED_VALUE"""),2.25)</f>
        <v>2.25</v>
      </c>
    </row>
    <row r="261" spans="1:2">
      <c r="A261" s="3">
        <f ca="1">IFERROR(__xludf.DUMMYFUNCTION("""COMPUTED_VALUE"""),38729.6666666666)</f>
        <v>38729.666666666599</v>
      </c>
      <c r="B261" s="1">
        <f ca="1">IFERROR(__xludf.DUMMYFUNCTION("""COMPUTED_VALUE"""),2.22)</f>
        <v>2.2200000000000002</v>
      </c>
    </row>
    <row r="262" spans="1:2">
      <c r="A262" s="3">
        <f ca="1">IFERROR(__xludf.DUMMYFUNCTION("""COMPUTED_VALUE"""),38730.6666666666)</f>
        <v>38730.666666666599</v>
      </c>
      <c r="B262" s="1">
        <f ca="1">IFERROR(__xludf.DUMMYFUNCTION("""COMPUTED_VALUE"""),2.22)</f>
        <v>2.2200000000000002</v>
      </c>
    </row>
    <row r="263" spans="1:2">
      <c r="A263" s="3">
        <f ca="1">IFERROR(__xludf.DUMMYFUNCTION("""COMPUTED_VALUE"""),38734.6666666666)</f>
        <v>38734.666666666599</v>
      </c>
      <c r="B263" s="1">
        <f ca="1">IFERROR(__xludf.DUMMYFUNCTION("""COMPUTED_VALUE"""),2.2)</f>
        <v>2.2000000000000002</v>
      </c>
    </row>
    <row r="264" spans="1:2">
      <c r="A264" s="3">
        <f ca="1">IFERROR(__xludf.DUMMYFUNCTION("""COMPUTED_VALUE"""),38735.6666666666)</f>
        <v>38735.666666666599</v>
      </c>
      <c r="B264" s="1">
        <f ca="1">IFERROR(__xludf.DUMMYFUNCTION("""COMPUTED_VALUE"""),2.22)</f>
        <v>2.2200000000000002</v>
      </c>
    </row>
    <row r="265" spans="1:2">
      <c r="A265" s="3">
        <f ca="1">IFERROR(__xludf.DUMMYFUNCTION("""COMPUTED_VALUE"""),38736.6666666666)</f>
        <v>38736.666666666599</v>
      </c>
      <c r="B265" s="1">
        <f ca="1">IFERROR(__xludf.DUMMYFUNCTION("""COMPUTED_VALUE"""),2.22)</f>
        <v>2.2200000000000002</v>
      </c>
    </row>
    <row r="266" spans="1:2">
      <c r="A266" s="3">
        <f ca="1">IFERROR(__xludf.DUMMYFUNCTION("""COMPUTED_VALUE"""),38737.6666666666)</f>
        <v>38737.666666666599</v>
      </c>
      <c r="B266" s="1">
        <f ca="1">IFERROR(__xludf.DUMMYFUNCTION("""COMPUTED_VALUE"""),2.2)</f>
        <v>2.2000000000000002</v>
      </c>
    </row>
    <row r="267" spans="1:2">
      <c r="A267" s="3">
        <f ca="1">IFERROR(__xludf.DUMMYFUNCTION("""COMPUTED_VALUE"""),38740.6666666666)</f>
        <v>38740.666666666599</v>
      </c>
      <c r="B267" s="1">
        <f ca="1">IFERROR(__xludf.DUMMYFUNCTION("""COMPUTED_VALUE"""),2.19)</f>
        <v>2.19</v>
      </c>
    </row>
    <row r="268" spans="1:2">
      <c r="A268" s="3">
        <f ca="1">IFERROR(__xludf.DUMMYFUNCTION("""COMPUTED_VALUE"""),38741.6666666666)</f>
        <v>38741.666666666599</v>
      </c>
      <c r="B268" s="1">
        <f ca="1">IFERROR(__xludf.DUMMYFUNCTION("""COMPUTED_VALUE"""),2.2)</f>
        <v>2.2000000000000002</v>
      </c>
    </row>
    <row r="269" spans="1:2">
      <c r="A269" s="3">
        <f ca="1">IFERROR(__xludf.DUMMYFUNCTION("""COMPUTED_VALUE"""),38742.6666666666)</f>
        <v>38742.666666666599</v>
      </c>
      <c r="B269" s="1">
        <f ca="1">IFERROR(__xludf.DUMMYFUNCTION("""COMPUTED_VALUE"""),2.18)</f>
        <v>2.1800000000000002</v>
      </c>
    </row>
    <row r="270" spans="1:2">
      <c r="A270" s="3">
        <f ca="1">IFERROR(__xludf.DUMMYFUNCTION("""COMPUTED_VALUE"""),38743.6666666666)</f>
        <v>38743.666666666599</v>
      </c>
      <c r="B270" s="1">
        <f ca="1">IFERROR(__xludf.DUMMYFUNCTION("""COMPUTED_VALUE"""),2.23)</f>
        <v>2.23</v>
      </c>
    </row>
    <row r="271" spans="1:2">
      <c r="A271" s="3">
        <f ca="1">IFERROR(__xludf.DUMMYFUNCTION("""COMPUTED_VALUE"""),38744.6666666666)</f>
        <v>38744.666666666599</v>
      </c>
      <c r="B271" s="1">
        <f ca="1">IFERROR(__xludf.DUMMYFUNCTION("""COMPUTED_VALUE"""),2.26)</f>
        <v>2.2599999999999998</v>
      </c>
    </row>
    <row r="272" spans="1:2">
      <c r="A272" s="3">
        <f ca="1">IFERROR(__xludf.DUMMYFUNCTION("""COMPUTED_VALUE"""),38747.6666666666)</f>
        <v>38747.666666666599</v>
      </c>
      <c r="B272" s="1">
        <f ca="1">IFERROR(__xludf.DUMMYFUNCTION("""COMPUTED_VALUE"""),2.25)</f>
        <v>2.25</v>
      </c>
    </row>
    <row r="273" spans="1:2">
      <c r="A273" s="3">
        <f ca="1">IFERROR(__xludf.DUMMYFUNCTION("""COMPUTED_VALUE"""),38748.6666666666)</f>
        <v>38748.666666666599</v>
      </c>
      <c r="B273" s="1">
        <f ca="1">IFERROR(__xludf.DUMMYFUNCTION("""COMPUTED_VALUE"""),2.24)</f>
        <v>2.2400000000000002</v>
      </c>
    </row>
    <row r="274" spans="1:2">
      <c r="A274" s="3">
        <f ca="1">IFERROR(__xludf.DUMMYFUNCTION("""COMPUTED_VALUE"""),38749.6666666666)</f>
        <v>38749.666666666599</v>
      </c>
      <c r="B274" s="1">
        <f ca="1">IFERROR(__xludf.DUMMYFUNCTION("""COMPUTED_VALUE"""),2.2)</f>
        <v>2.2000000000000002</v>
      </c>
    </row>
    <row r="275" spans="1:2">
      <c r="A275" s="3">
        <f ca="1">IFERROR(__xludf.DUMMYFUNCTION("""COMPUTED_VALUE"""),38750.6666666666)</f>
        <v>38750.666666666599</v>
      </c>
      <c r="B275" s="1">
        <f ca="1">IFERROR(__xludf.DUMMYFUNCTION("""COMPUTED_VALUE"""),1.95)</f>
        <v>1.95</v>
      </c>
    </row>
    <row r="276" spans="1:2">
      <c r="A276" s="3">
        <f ca="1">IFERROR(__xludf.DUMMYFUNCTION("""COMPUTED_VALUE"""),38751.6666666666)</f>
        <v>38751.666666666599</v>
      </c>
      <c r="B276" s="1">
        <f ca="1">IFERROR(__xludf.DUMMYFUNCTION("""COMPUTED_VALUE"""),1.92)</f>
        <v>1.92</v>
      </c>
    </row>
    <row r="277" spans="1:2">
      <c r="A277" s="3">
        <f ca="1">IFERROR(__xludf.DUMMYFUNCTION("""COMPUTED_VALUE"""),38754.6666666666)</f>
        <v>38754.666666666599</v>
      </c>
      <c r="B277" s="1">
        <f ca="1">IFERROR(__xludf.DUMMYFUNCTION("""COMPUTED_VALUE"""),1.9)</f>
        <v>1.9</v>
      </c>
    </row>
    <row r="278" spans="1:2">
      <c r="A278" s="3">
        <f ca="1">IFERROR(__xludf.DUMMYFUNCTION("""COMPUTED_VALUE"""),38755.6666666666)</f>
        <v>38755.666666666599</v>
      </c>
      <c r="B278" s="1">
        <f ca="1">IFERROR(__xludf.DUMMYFUNCTION("""COMPUTED_VALUE"""),1.88)</f>
        <v>1.88</v>
      </c>
    </row>
    <row r="279" spans="1:2">
      <c r="A279" s="3">
        <f ca="1">IFERROR(__xludf.DUMMYFUNCTION("""COMPUTED_VALUE"""),38756.6666666666)</f>
        <v>38756.666666666599</v>
      </c>
      <c r="B279" s="1">
        <f ca="1">IFERROR(__xludf.DUMMYFUNCTION("""COMPUTED_VALUE"""),1.91)</f>
        <v>1.91</v>
      </c>
    </row>
    <row r="280" spans="1:2">
      <c r="A280" s="3">
        <f ca="1">IFERROR(__xludf.DUMMYFUNCTION("""COMPUTED_VALUE"""),38757.6666666666)</f>
        <v>38757.666666666599</v>
      </c>
      <c r="B280" s="1">
        <f ca="1">IFERROR(__xludf.DUMMYFUNCTION("""COMPUTED_VALUE"""),1.9)</f>
        <v>1.9</v>
      </c>
    </row>
    <row r="281" spans="1:2">
      <c r="A281" s="3">
        <f ca="1">IFERROR(__xludf.DUMMYFUNCTION("""COMPUTED_VALUE"""),38758.6666666666)</f>
        <v>38758.666666666599</v>
      </c>
      <c r="B281" s="1">
        <f ca="1">IFERROR(__xludf.DUMMYFUNCTION("""COMPUTED_VALUE"""),1.93)</f>
        <v>1.93</v>
      </c>
    </row>
    <row r="282" spans="1:2">
      <c r="A282" s="3">
        <f ca="1">IFERROR(__xludf.DUMMYFUNCTION("""COMPUTED_VALUE"""),38761.6666666666)</f>
        <v>38761.666666666599</v>
      </c>
      <c r="B282" s="1">
        <f ca="1">IFERROR(__xludf.DUMMYFUNCTION("""COMPUTED_VALUE"""),1.89)</f>
        <v>1.89</v>
      </c>
    </row>
    <row r="283" spans="1:2">
      <c r="A283" s="3">
        <f ca="1">IFERROR(__xludf.DUMMYFUNCTION("""COMPUTED_VALUE"""),38762.6666666666)</f>
        <v>38762.666666666599</v>
      </c>
      <c r="B283" s="1">
        <f ca="1">IFERROR(__xludf.DUMMYFUNCTION("""COMPUTED_VALUE"""),1.91)</f>
        <v>1.91</v>
      </c>
    </row>
    <row r="284" spans="1:2">
      <c r="A284" s="3">
        <f ca="1">IFERROR(__xludf.DUMMYFUNCTION("""COMPUTED_VALUE"""),38763.6666666666)</f>
        <v>38763.666666666599</v>
      </c>
      <c r="B284" s="1">
        <f ca="1">IFERROR(__xludf.DUMMYFUNCTION("""COMPUTED_VALUE"""),1.96)</f>
        <v>1.96</v>
      </c>
    </row>
    <row r="285" spans="1:2">
      <c r="A285" s="3">
        <f ca="1">IFERROR(__xludf.DUMMYFUNCTION("""COMPUTED_VALUE"""),38764.6666666666)</f>
        <v>38764.666666666599</v>
      </c>
      <c r="B285" s="1">
        <f ca="1">IFERROR(__xludf.DUMMYFUNCTION("""COMPUTED_VALUE"""),1.96)</f>
        <v>1.96</v>
      </c>
    </row>
    <row r="286" spans="1:2">
      <c r="A286" s="3">
        <f ca="1">IFERROR(__xludf.DUMMYFUNCTION("""COMPUTED_VALUE"""),38765.6666666666)</f>
        <v>38765.666666666599</v>
      </c>
      <c r="B286" s="1">
        <f ca="1">IFERROR(__xludf.DUMMYFUNCTION("""COMPUTED_VALUE"""),1.96)</f>
        <v>1.96</v>
      </c>
    </row>
    <row r="287" spans="1:2">
      <c r="A287" s="3">
        <f ca="1">IFERROR(__xludf.DUMMYFUNCTION("""COMPUTED_VALUE"""),38769.6666666666)</f>
        <v>38769.666666666599</v>
      </c>
      <c r="B287" s="1">
        <f ca="1">IFERROR(__xludf.DUMMYFUNCTION("""COMPUTED_VALUE"""),1.91)</f>
        <v>1.91</v>
      </c>
    </row>
    <row r="288" spans="1:2">
      <c r="A288" s="3">
        <f ca="1">IFERROR(__xludf.DUMMYFUNCTION("""COMPUTED_VALUE"""),38770.6666666666)</f>
        <v>38770.666666666599</v>
      </c>
      <c r="B288" s="1">
        <f ca="1">IFERROR(__xludf.DUMMYFUNCTION("""COMPUTED_VALUE"""),1.94)</f>
        <v>1.94</v>
      </c>
    </row>
    <row r="289" spans="1:2">
      <c r="A289" s="3">
        <f ca="1">IFERROR(__xludf.DUMMYFUNCTION("""COMPUTED_VALUE"""),38771.6666666666)</f>
        <v>38771.666666666599</v>
      </c>
      <c r="B289" s="1">
        <f ca="1">IFERROR(__xludf.DUMMYFUNCTION("""COMPUTED_VALUE"""),1.9)</f>
        <v>1.9</v>
      </c>
    </row>
    <row r="290" spans="1:2">
      <c r="A290" s="3">
        <f ca="1">IFERROR(__xludf.DUMMYFUNCTION("""COMPUTED_VALUE"""),38772.6666666666)</f>
        <v>38772.666666666599</v>
      </c>
      <c r="B290" s="1">
        <f ca="1">IFERROR(__xludf.DUMMYFUNCTION("""COMPUTED_VALUE"""),1.92)</f>
        <v>1.92</v>
      </c>
    </row>
    <row r="291" spans="1:2">
      <c r="A291" s="3">
        <f ca="1">IFERROR(__xludf.DUMMYFUNCTION("""COMPUTED_VALUE"""),38775.6666666666)</f>
        <v>38775.666666666599</v>
      </c>
      <c r="B291" s="1">
        <f ca="1">IFERROR(__xludf.DUMMYFUNCTION("""COMPUTED_VALUE"""),1.9)</f>
        <v>1.9</v>
      </c>
    </row>
    <row r="292" spans="1:2">
      <c r="A292" s="3">
        <f ca="1">IFERROR(__xludf.DUMMYFUNCTION("""COMPUTED_VALUE"""),38776.6666666666)</f>
        <v>38776.666666666599</v>
      </c>
      <c r="B292" s="1">
        <f ca="1">IFERROR(__xludf.DUMMYFUNCTION("""COMPUTED_VALUE"""),1.87)</f>
        <v>1.87</v>
      </c>
    </row>
    <row r="293" spans="1:2">
      <c r="A293" s="3">
        <f ca="1">IFERROR(__xludf.DUMMYFUNCTION("""COMPUTED_VALUE"""),38777.6666666666)</f>
        <v>38777.666666666599</v>
      </c>
      <c r="B293" s="1">
        <f ca="1">IFERROR(__xludf.DUMMYFUNCTION("""COMPUTED_VALUE"""),1.86)</f>
        <v>1.86</v>
      </c>
    </row>
    <row r="294" spans="1:2">
      <c r="A294" s="3">
        <f ca="1">IFERROR(__xludf.DUMMYFUNCTION("""COMPUTED_VALUE"""),38778.6666666666)</f>
        <v>38778.666666666599</v>
      </c>
      <c r="B294" s="1">
        <f ca="1">IFERROR(__xludf.DUMMYFUNCTION("""COMPUTED_VALUE"""),1.84)</f>
        <v>1.84</v>
      </c>
    </row>
    <row r="295" spans="1:2">
      <c r="A295" s="3">
        <f ca="1">IFERROR(__xludf.DUMMYFUNCTION("""COMPUTED_VALUE"""),38779.6666666666)</f>
        <v>38779.666666666599</v>
      </c>
      <c r="B295" s="1">
        <f ca="1">IFERROR(__xludf.DUMMYFUNCTION("""COMPUTED_VALUE"""),1.86)</f>
        <v>1.86</v>
      </c>
    </row>
    <row r="296" spans="1:2">
      <c r="A296" s="3">
        <f ca="1">IFERROR(__xludf.DUMMYFUNCTION("""COMPUTED_VALUE"""),38782.6666666666)</f>
        <v>38782.666666666599</v>
      </c>
      <c r="B296" s="1">
        <f ca="1">IFERROR(__xludf.DUMMYFUNCTION("""COMPUTED_VALUE"""),1.84)</f>
        <v>1.84</v>
      </c>
    </row>
    <row r="297" spans="1:2">
      <c r="A297" s="3">
        <f ca="1">IFERROR(__xludf.DUMMYFUNCTION("""COMPUTED_VALUE"""),38783.6666666666)</f>
        <v>38783.666666666599</v>
      </c>
      <c r="B297" s="1">
        <f ca="1">IFERROR(__xludf.DUMMYFUNCTION("""COMPUTED_VALUE"""),1.85)</f>
        <v>1.85</v>
      </c>
    </row>
    <row r="298" spans="1:2">
      <c r="A298" s="3">
        <f ca="1">IFERROR(__xludf.DUMMYFUNCTION("""COMPUTED_VALUE"""),38784.6666666666)</f>
        <v>38784.666666666599</v>
      </c>
      <c r="B298" s="1">
        <f ca="1">IFERROR(__xludf.DUMMYFUNCTION("""COMPUTED_VALUE"""),1.84)</f>
        <v>1.84</v>
      </c>
    </row>
    <row r="299" spans="1:2">
      <c r="A299" s="3">
        <f ca="1">IFERROR(__xludf.DUMMYFUNCTION("""COMPUTED_VALUE"""),38785.6666666666)</f>
        <v>38785.666666666599</v>
      </c>
      <c r="B299" s="1">
        <f ca="1">IFERROR(__xludf.DUMMYFUNCTION("""COMPUTED_VALUE"""),1.81)</f>
        <v>1.81</v>
      </c>
    </row>
    <row r="300" spans="1:2">
      <c r="A300" s="3">
        <f ca="1">IFERROR(__xludf.DUMMYFUNCTION("""COMPUTED_VALUE"""),38786.6666666666)</f>
        <v>38786.666666666599</v>
      </c>
      <c r="B300" s="1">
        <f ca="1">IFERROR(__xludf.DUMMYFUNCTION("""COMPUTED_VALUE"""),1.81)</f>
        <v>1.81</v>
      </c>
    </row>
    <row r="301" spans="1:2">
      <c r="A301" s="3">
        <f ca="1">IFERROR(__xludf.DUMMYFUNCTION("""COMPUTED_VALUE"""),38789.6666666666)</f>
        <v>38789.666666666599</v>
      </c>
      <c r="B301" s="1">
        <f ca="1">IFERROR(__xludf.DUMMYFUNCTION("""COMPUTED_VALUE"""),1.81)</f>
        <v>1.81</v>
      </c>
    </row>
    <row r="302" spans="1:2">
      <c r="A302" s="3">
        <f ca="1">IFERROR(__xludf.DUMMYFUNCTION("""COMPUTED_VALUE"""),38790.6666666666)</f>
        <v>38790.666666666599</v>
      </c>
      <c r="B302" s="1">
        <f ca="1">IFERROR(__xludf.DUMMYFUNCTION("""COMPUTED_VALUE"""),1.85)</f>
        <v>1.85</v>
      </c>
    </row>
    <row r="303" spans="1:2">
      <c r="A303" s="3">
        <f ca="1">IFERROR(__xludf.DUMMYFUNCTION("""COMPUTED_VALUE"""),38791.6666666666)</f>
        <v>38791.666666666599</v>
      </c>
      <c r="B303" s="1">
        <f ca="1">IFERROR(__xludf.DUMMYFUNCTION("""COMPUTED_VALUE"""),1.84)</f>
        <v>1.84</v>
      </c>
    </row>
    <row r="304" spans="1:2">
      <c r="A304" s="3">
        <f ca="1">IFERROR(__xludf.DUMMYFUNCTION("""COMPUTED_VALUE"""),38792.6666666666)</f>
        <v>38792.666666666599</v>
      </c>
      <c r="B304" s="1">
        <f ca="1">IFERROR(__xludf.DUMMYFUNCTION("""COMPUTED_VALUE"""),1.84)</f>
        <v>1.84</v>
      </c>
    </row>
    <row r="305" spans="1:2">
      <c r="A305" s="3">
        <f ca="1">IFERROR(__xludf.DUMMYFUNCTION("""COMPUTED_VALUE"""),38793.6666666666)</f>
        <v>38793.666666666599</v>
      </c>
      <c r="B305" s="1">
        <f ca="1">IFERROR(__xludf.DUMMYFUNCTION("""COMPUTED_VALUE"""),1.8)</f>
        <v>1.8</v>
      </c>
    </row>
    <row r="306" spans="1:2">
      <c r="A306" s="3">
        <f ca="1">IFERROR(__xludf.DUMMYFUNCTION("""COMPUTED_VALUE"""),38796.6666666666)</f>
        <v>38796.666666666599</v>
      </c>
      <c r="B306" s="1">
        <f ca="1">IFERROR(__xludf.DUMMYFUNCTION("""COMPUTED_VALUE"""),1.81)</f>
        <v>1.81</v>
      </c>
    </row>
    <row r="307" spans="1:2">
      <c r="A307" s="3">
        <f ca="1">IFERROR(__xludf.DUMMYFUNCTION("""COMPUTED_VALUE"""),38797.6666666666)</f>
        <v>38797.666666666599</v>
      </c>
      <c r="B307" s="1">
        <f ca="1">IFERROR(__xludf.DUMMYFUNCTION("""COMPUTED_VALUE"""),1.8)</f>
        <v>1.8</v>
      </c>
    </row>
    <row r="308" spans="1:2">
      <c r="A308" s="3">
        <f ca="1">IFERROR(__xludf.DUMMYFUNCTION("""COMPUTED_VALUE"""),38798.6666666666)</f>
        <v>38798.666666666599</v>
      </c>
      <c r="B308" s="1">
        <f ca="1">IFERROR(__xludf.DUMMYFUNCTION("""COMPUTED_VALUE"""),1.8)</f>
        <v>1.8</v>
      </c>
    </row>
    <row r="309" spans="1:2">
      <c r="A309" s="3">
        <f ca="1">IFERROR(__xludf.DUMMYFUNCTION("""COMPUTED_VALUE"""),38799.6666666666)</f>
        <v>38799.666666666599</v>
      </c>
      <c r="B309" s="1">
        <f ca="1">IFERROR(__xludf.DUMMYFUNCTION("""COMPUTED_VALUE"""),1.78)</f>
        <v>1.78</v>
      </c>
    </row>
    <row r="310" spans="1:2">
      <c r="A310" s="3">
        <f ca="1">IFERROR(__xludf.DUMMYFUNCTION("""COMPUTED_VALUE"""),38800.6666666666)</f>
        <v>38800.666666666599</v>
      </c>
      <c r="B310" s="1">
        <f ca="1">IFERROR(__xludf.DUMMYFUNCTION("""COMPUTED_VALUE"""),1.77)</f>
        <v>1.77</v>
      </c>
    </row>
    <row r="311" spans="1:2">
      <c r="A311" s="3">
        <f ca="1">IFERROR(__xludf.DUMMYFUNCTION("""COMPUTED_VALUE"""),38803.6666666666)</f>
        <v>38803.666666666599</v>
      </c>
      <c r="B311" s="1">
        <f ca="1">IFERROR(__xludf.DUMMYFUNCTION("""COMPUTED_VALUE"""),1.76)</f>
        <v>1.76</v>
      </c>
    </row>
    <row r="312" spans="1:2">
      <c r="A312" s="3">
        <f ca="1">IFERROR(__xludf.DUMMYFUNCTION("""COMPUTED_VALUE"""),38804.6666666666)</f>
        <v>38804.666666666599</v>
      </c>
      <c r="B312" s="1">
        <f ca="1">IFERROR(__xludf.DUMMYFUNCTION("""COMPUTED_VALUE"""),1.78)</f>
        <v>1.78</v>
      </c>
    </row>
    <row r="313" spans="1:2">
      <c r="A313" s="3">
        <f ca="1">IFERROR(__xludf.DUMMYFUNCTION("""COMPUTED_VALUE"""),38805.6666666666)</f>
        <v>38805.666666666599</v>
      </c>
      <c r="B313" s="1">
        <f ca="1">IFERROR(__xludf.DUMMYFUNCTION("""COMPUTED_VALUE"""),1.82)</f>
        <v>1.82</v>
      </c>
    </row>
    <row r="314" spans="1:2">
      <c r="A314" s="3">
        <f ca="1">IFERROR(__xludf.DUMMYFUNCTION("""COMPUTED_VALUE"""),38806.6666666666)</f>
        <v>38806.666666666599</v>
      </c>
      <c r="B314" s="1">
        <f ca="1">IFERROR(__xludf.DUMMYFUNCTION("""COMPUTED_VALUE"""),1.83)</f>
        <v>1.83</v>
      </c>
    </row>
    <row r="315" spans="1:2">
      <c r="A315" s="3">
        <f ca="1">IFERROR(__xludf.DUMMYFUNCTION("""COMPUTED_VALUE"""),38807.6666666666)</f>
        <v>38807.666666666599</v>
      </c>
      <c r="B315" s="1">
        <f ca="1">IFERROR(__xludf.DUMMYFUNCTION("""COMPUTED_VALUE"""),1.83)</f>
        <v>1.83</v>
      </c>
    </row>
    <row r="316" spans="1:2">
      <c r="A316" s="3">
        <f ca="1">IFERROR(__xludf.DUMMYFUNCTION("""COMPUTED_VALUE"""),38810.6666666666)</f>
        <v>38810.666666666599</v>
      </c>
      <c r="B316" s="1">
        <f ca="1">IFERROR(__xludf.DUMMYFUNCTION("""COMPUTED_VALUE"""),1.81)</f>
        <v>1.81</v>
      </c>
    </row>
    <row r="317" spans="1:2">
      <c r="A317" s="3">
        <f ca="1">IFERROR(__xludf.DUMMYFUNCTION("""COMPUTED_VALUE"""),38811.6666666666)</f>
        <v>38811.666666666599</v>
      </c>
      <c r="B317" s="1">
        <f ca="1">IFERROR(__xludf.DUMMYFUNCTION("""COMPUTED_VALUE"""),1.84)</f>
        <v>1.84</v>
      </c>
    </row>
    <row r="318" spans="1:2">
      <c r="A318" s="3">
        <f ca="1">IFERROR(__xludf.DUMMYFUNCTION("""COMPUTED_VALUE"""),38812.6666666666)</f>
        <v>38812.666666666599</v>
      </c>
      <c r="B318" s="1">
        <f ca="1">IFERROR(__xludf.DUMMYFUNCTION("""COMPUTED_VALUE"""),1.87)</f>
        <v>1.87</v>
      </c>
    </row>
    <row r="319" spans="1:2">
      <c r="A319" s="3">
        <f ca="1">IFERROR(__xludf.DUMMYFUNCTION("""COMPUTED_VALUE"""),38813.6666666666)</f>
        <v>38813.666666666599</v>
      </c>
      <c r="B319" s="1">
        <f ca="1">IFERROR(__xludf.DUMMYFUNCTION("""COMPUTED_VALUE"""),1.93)</f>
        <v>1.93</v>
      </c>
    </row>
    <row r="320" spans="1:2">
      <c r="A320" s="3">
        <f ca="1">IFERROR(__xludf.DUMMYFUNCTION("""COMPUTED_VALUE"""),38814.6666666666)</f>
        <v>38814.666666666599</v>
      </c>
      <c r="B320" s="1">
        <f ca="1">IFERROR(__xludf.DUMMYFUNCTION("""COMPUTED_VALUE"""),1.85)</f>
        <v>1.85</v>
      </c>
    </row>
    <row r="321" spans="1:2">
      <c r="A321" s="3">
        <f ca="1">IFERROR(__xludf.DUMMYFUNCTION("""COMPUTED_VALUE"""),38817.6666666666)</f>
        <v>38817.666666666599</v>
      </c>
      <c r="B321" s="1">
        <f ca="1">IFERROR(__xludf.DUMMYFUNCTION("""COMPUTED_VALUE"""),1.83)</f>
        <v>1.83</v>
      </c>
    </row>
    <row r="322" spans="1:2">
      <c r="A322" s="3">
        <f ca="1">IFERROR(__xludf.DUMMYFUNCTION("""COMPUTED_VALUE"""),38818.6666666666)</f>
        <v>38818.666666666599</v>
      </c>
      <c r="B322" s="1">
        <f ca="1">IFERROR(__xludf.DUMMYFUNCTION("""COMPUTED_VALUE"""),1.8)</f>
        <v>1.8</v>
      </c>
    </row>
    <row r="323" spans="1:2">
      <c r="A323" s="3">
        <f ca="1">IFERROR(__xludf.DUMMYFUNCTION("""COMPUTED_VALUE"""),38819.6666666666)</f>
        <v>38819.666666666599</v>
      </c>
      <c r="B323" s="1">
        <f ca="1">IFERROR(__xludf.DUMMYFUNCTION("""COMPUTED_VALUE"""),1.81)</f>
        <v>1.81</v>
      </c>
    </row>
    <row r="324" spans="1:2">
      <c r="A324" s="3">
        <f ca="1">IFERROR(__xludf.DUMMYFUNCTION("""COMPUTED_VALUE"""),38820.6666666666)</f>
        <v>38820.666666666599</v>
      </c>
      <c r="B324" s="1">
        <f ca="1">IFERROR(__xludf.DUMMYFUNCTION("""COMPUTED_VALUE"""),1.83)</f>
        <v>1.83</v>
      </c>
    </row>
    <row r="325" spans="1:2">
      <c r="A325" s="3">
        <f ca="1">IFERROR(__xludf.DUMMYFUNCTION("""COMPUTED_VALUE"""),38824.6666666666)</f>
        <v>38824.666666666599</v>
      </c>
      <c r="B325" s="1">
        <f ca="1">IFERROR(__xludf.DUMMYFUNCTION("""COMPUTED_VALUE"""),1.76)</f>
        <v>1.76</v>
      </c>
    </row>
    <row r="326" spans="1:2">
      <c r="A326" s="3">
        <f ca="1">IFERROR(__xludf.DUMMYFUNCTION("""COMPUTED_VALUE"""),38825.6666666666)</f>
        <v>38825.666666666599</v>
      </c>
      <c r="B326" s="1">
        <f ca="1">IFERROR(__xludf.DUMMYFUNCTION("""COMPUTED_VALUE"""),1.81)</f>
        <v>1.81</v>
      </c>
    </row>
    <row r="327" spans="1:2">
      <c r="A327" s="3">
        <f ca="1">IFERROR(__xludf.DUMMYFUNCTION("""COMPUTED_VALUE"""),38826.6666666666)</f>
        <v>38826.666666666599</v>
      </c>
      <c r="B327" s="1">
        <f ca="1">IFERROR(__xludf.DUMMYFUNCTION("""COMPUTED_VALUE"""),1.84)</f>
        <v>1.84</v>
      </c>
    </row>
    <row r="328" spans="1:2">
      <c r="A328" s="3">
        <f ca="1">IFERROR(__xludf.DUMMYFUNCTION("""COMPUTED_VALUE"""),38827.6666666666)</f>
        <v>38827.666666666599</v>
      </c>
      <c r="B328" s="1">
        <f ca="1">IFERROR(__xludf.DUMMYFUNCTION("""COMPUTED_VALUE"""),1.82)</f>
        <v>1.82</v>
      </c>
    </row>
    <row r="329" spans="1:2">
      <c r="A329" s="3">
        <f ca="1">IFERROR(__xludf.DUMMYFUNCTION("""COMPUTED_VALUE"""),38828.6666666666)</f>
        <v>38828.666666666599</v>
      </c>
      <c r="B329" s="1">
        <f ca="1">IFERROR(__xludf.DUMMYFUNCTION("""COMPUTED_VALUE"""),1.8)</f>
        <v>1.8</v>
      </c>
    </row>
    <row r="330" spans="1:2">
      <c r="A330" s="3">
        <f ca="1">IFERROR(__xludf.DUMMYFUNCTION("""COMPUTED_VALUE"""),38831.6666666666)</f>
        <v>38831.666666666599</v>
      </c>
      <c r="B330" s="1">
        <f ca="1">IFERROR(__xludf.DUMMYFUNCTION("""COMPUTED_VALUE"""),1.79)</f>
        <v>1.79</v>
      </c>
    </row>
    <row r="331" spans="1:2">
      <c r="A331" s="3">
        <f ca="1">IFERROR(__xludf.DUMMYFUNCTION("""COMPUTED_VALUE"""),38832.6666666666)</f>
        <v>38832.666666666599</v>
      </c>
      <c r="B331" s="1">
        <f ca="1">IFERROR(__xludf.DUMMYFUNCTION("""COMPUTED_VALUE"""),1.78)</f>
        <v>1.78</v>
      </c>
    </row>
    <row r="332" spans="1:2">
      <c r="A332" s="3">
        <f ca="1">IFERROR(__xludf.DUMMYFUNCTION("""COMPUTED_VALUE"""),38833.6666666666)</f>
        <v>38833.666666666599</v>
      </c>
      <c r="B332" s="1">
        <f ca="1">IFERROR(__xludf.DUMMYFUNCTION("""COMPUTED_VALUE"""),1.79)</f>
        <v>1.79</v>
      </c>
    </row>
    <row r="333" spans="1:2">
      <c r="A333" s="3">
        <f ca="1">IFERROR(__xludf.DUMMYFUNCTION("""COMPUTED_VALUE"""),38834.6666666666)</f>
        <v>38834.666666666599</v>
      </c>
      <c r="B333" s="1">
        <f ca="1">IFERROR(__xludf.DUMMYFUNCTION("""COMPUTED_VALUE"""),1.79)</f>
        <v>1.79</v>
      </c>
    </row>
    <row r="334" spans="1:2">
      <c r="A334" s="3">
        <f ca="1">IFERROR(__xludf.DUMMYFUNCTION("""COMPUTED_VALUE"""),38835.6666666666)</f>
        <v>38835.666666666599</v>
      </c>
      <c r="B334" s="1">
        <f ca="1">IFERROR(__xludf.DUMMYFUNCTION("""COMPUTED_VALUE"""),1.76)</f>
        <v>1.76</v>
      </c>
    </row>
    <row r="335" spans="1:2">
      <c r="A335" s="3">
        <f ca="1">IFERROR(__xludf.DUMMYFUNCTION("""COMPUTED_VALUE"""),38838.6666666666)</f>
        <v>38838.666666666599</v>
      </c>
      <c r="B335" s="1">
        <f ca="1">IFERROR(__xludf.DUMMYFUNCTION("""COMPUTED_VALUE"""),1.73)</f>
        <v>1.73</v>
      </c>
    </row>
    <row r="336" spans="1:2">
      <c r="A336" s="3">
        <f ca="1">IFERROR(__xludf.DUMMYFUNCTION("""COMPUTED_VALUE"""),38839.6666666666)</f>
        <v>38839.666666666599</v>
      </c>
      <c r="B336" s="1">
        <f ca="1">IFERROR(__xludf.DUMMYFUNCTION("""COMPUTED_VALUE"""),1.72)</f>
        <v>1.72</v>
      </c>
    </row>
    <row r="337" spans="1:2">
      <c r="A337" s="3">
        <f ca="1">IFERROR(__xludf.DUMMYFUNCTION("""COMPUTED_VALUE"""),38840.6666666666)</f>
        <v>38840.666666666599</v>
      </c>
      <c r="B337" s="1">
        <f ca="1">IFERROR(__xludf.DUMMYFUNCTION("""COMPUTED_VALUE"""),1.7)</f>
        <v>1.7</v>
      </c>
    </row>
    <row r="338" spans="1:2">
      <c r="A338" s="3">
        <f ca="1">IFERROR(__xludf.DUMMYFUNCTION("""COMPUTED_VALUE"""),38841.6666666666)</f>
        <v>38841.666666666599</v>
      </c>
      <c r="B338" s="1">
        <f ca="1">IFERROR(__xludf.DUMMYFUNCTION("""COMPUTED_VALUE"""),1.72)</f>
        <v>1.72</v>
      </c>
    </row>
    <row r="339" spans="1:2">
      <c r="A339" s="3">
        <f ca="1">IFERROR(__xludf.DUMMYFUNCTION("""COMPUTED_VALUE"""),38842.6666666666)</f>
        <v>38842.666666666599</v>
      </c>
      <c r="B339" s="1">
        <f ca="1">IFERROR(__xludf.DUMMYFUNCTION("""COMPUTED_VALUE"""),1.75)</f>
        <v>1.75</v>
      </c>
    </row>
    <row r="340" spans="1:2">
      <c r="A340" s="3">
        <f ca="1">IFERROR(__xludf.DUMMYFUNCTION("""COMPUTED_VALUE"""),38845.6666666666)</f>
        <v>38845.666666666599</v>
      </c>
      <c r="B340" s="1">
        <f ca="1">IFERROR(__xludf.DUMMYFUNCTION("""COMPUTED_VALUE"""),1.73)</f>
        <v>1.73</v>
      </c>
    </row>
    <row r="341" spans="1:2">
      <c r="A341" s="3">
        <f ca="1">IFERROR(__xludf.DUMMYFUNCTION("""COMPUTED_VALUE"""),38846.6666666666)</f>
        <v>38846.666666666599</v>
      </c>
      <c r="B341" s="1">
        <f ca="1">IFERROR(__xludf.DUMMYFUNCTION("""COMPUTED_VALUE"""),1.74)</f>
        <v>1.74</v>
      </c>
    </row>
    <row r="342" spans="1:2">
      <c r="A342" s="3">
        <f ca="1">IFERROR(__xludf.DUMMYFUNCTION("""COMPUTED_VALUE"""),38847.6666666666)</f>
        <v>38847.666666666599</v>
      </c>
      <c r="B342" s="1">
        <f ca="1">IFERROR(__xludf.DUMMYFUNCTION("""COMPUTED_VALUE"""),1.71)</f>
        <v>1.71</v>
      </c>
    </row>
    <row r="343" spans="1:2">
      <c r="A343" s="3">
        <f ca="1">IFERROR(__xludf.DUMMYFUNCTION("""COMPUTED_VALUE"""),38848.6666666666)</f>
        <v>38848.666666666599</v>
      </c>
      <c r="B343" s="1">
        <f ca="1">IFERROR(__xludf.DUMMYFUNCTION("""COMPUTED_VALUE"""),1.68)</f>
        <v>1.68</v>
      </c>
    </row>
    <row r="344" spans="1:2">
      <c r="A344" s="3">
        <f ca="1">IFERROR(__xludf.DUMMYFUNCTION("""COMPUTED_VALUE"""),38849.6666666666)</f>
        <v>38849.666666666599</v>
      </c>
      <c r="B344" s="1">
        <f ca="1">IFERROR(__xludf.DUMMYFUNCTION("""COMPUTED_VALUE"""),1.64)</f>
        <v>1.64</v>
      </c>
    </row>
    <row r="345" spans="1:2">
      <c r="A345" s="3">
        <f ca="1">IFERROR(__xludf.DUMMYFUNCTION("""COMPUTED_VALUE"""),38852.6666666666)</f>
        <v>38852.666666666599</v>
      </c>
      <c r="B345" s="1">
        <f ca="1">IFERROR(__xludf.DUMMYFUNCTION("""COMPUTED_VALUE"""),1.64)</f>
        <v>1.64</v>
      </c>
    </row>
    <row r="346" spans="1:2">
      <c r="A346" s="3">
        <f ca="1">IFERROR(__xludf.DUMMYFUNCTION("""COMPUTED_VALUE"""),38853.6666666666)</f>
        <v>38853.666666666599</v>
      </c>
      <c r="B346" s="1">
        <f ca="1">IFERROR(__xludf.DUMMYFUNCTION("""COMPUTED_VALUE"""),1.64)</f>
        <v>1.64</v>
      </c>
    </row>
    <row r="347" spans="1:2">
      <c r="A347" s="3">
        <f ca="1">IFERROR(__xludf.DUMMYFUNCTION("""COMPUTED_VALUE"""),38854.6666666666)</f>
        <v>38854.666666666599</v>
      </c>
      <c r="B347" s="1">
        <f ca="1">IFERROR(__xludf.DUMMYFUNCTION("""COMPUTED_VALUE"""),1.58)</f>
        <v>1.58</v>
      </c>
    </row>
    <row r="348" spans="1:2">
      <c r="A348" s="3">
        <f ca="1">IFERROR(__xludf.DUMMYFUNCTION("""COMPUTED_VALUE"""),38855.6666666666)</f>
        <v>38855.666666666599</v>
      </c>
      <c r="B348" s="1">
        <f ca="1">IFERROR(__xludf.DUMMYFUNCTION("""COMPUTED_VALUE"""),1.63)</f>
        <v>1.63</v>
      </c>
    </row>
    <row r="349" spans="1:2">
      <c r="A349" s="3">
        <f ca="1">IFERROR(__xludf.DUMMYFUNCTION("""COMPUTED_VALUE"""),38856.6666666666)</f>
        <v>38856.666666666599</v>
      </c>
      <c r="B349" s="1">
        <f ca="1">IFERROR(__xludf.DUMMYFUNCTION("""COMPUTED_VALUE"""),1.7)</f>
        <v>1.7</v>
      </c>
    </row>
    <row r="350" spans="1:2">
      <c r="A350" s="3">
        <f ca="1">IFERROR(__xludf.DUMMYFUNCTION("""COMPUTED_VALUE"""),38859.6666666666)</f>
        <v>38859.666666666599</v>
      </c>
      <c r="B350" s="1">
        <f ca="1">IFERROR(__xludf.DUMMYFUNCTION("""COMPUTED_VALUE"""),1.74)</f>
        <v>1.74</v>
      </c>
    </row>
    <row r="351" spans="1:2">
      <c r="A351" s="3">
        <f ca="1">IFERROR(__xludf.DUMMYFUNCTION("""COMPUTED_VALUE"""),38860.6666666666)</f>
        <v>38860.666666666599</v>
      </c>
      <c r="B351" s="1">
        <f ca="1">IFERROR(__xludf.DUMMYFUNCTION("""COMPUTED_VALUE"""),1.69)</f>
        <v>1.69</v>
      </c>
    </row>
    <row r="352" spans="1:2">
      <c r="A352" s="3">
        <f ca="1">IFERROR(__xludf.DUMMYFUNCTION("""COMPUTED_VALUE"""),38861.6666666666)</f>
        <v>38861.666666666599</v>
      </c>
      <c r="B352" s="1">
        <f ca="1">IFERROR(__xludf.DUMMYFUNCTION("""COMPUTED_VALUE"""),1.76)</f>
        <v>1.76</v>
      </c>
    </row>
    <row r="353" spans="1:2">
      <c r="A353" s="3">
        <f ca="1">IFERROR(__xludf.DUMMYFUNCTION("""COMPUTED_VALUE"""),38862.6666666666)</f>
        <v>38862.666666666599</v>
      </c>
      <c r="B353" s="1">
        <f ca="1">IFERROR(__xludf.DUMMYFUNCTION("""COMPUTED_VALUE"""),1.78)</f>
        <v>1.78</v>
      </c>
    </row>
    <row r="354" spans="1:2">
      <c r="A354" s="3">
        <f ca="1">IFERROR(__xludf.DUMMYFUNCTION("""COMPUTED_VALUE"""),38863.6666666666)</f>
        <v>38863.666666666599</v>
      </c>
      <c r="B354" s="1">
        <f ca="1">IFERROR(__xludf.DUMMYFUNCTION("""COMPUTED_VALUE"""),1.8)</f>
        <v>1.8</v>
      </c>
    </row>
    <row r="355" spans="1:2">
      <c r="A355" s="3">
        <f ca="1">IFERROR(__xludf.DUMMYFUNCTION("""COMPUTED_VALUE"""),38867.6666666666)</f>
        <v>38867.666666666599</v>
      </c>
      <c r="B355" s="1">
        <f ca="1">IFERROR(__xludf.DUMMYFUNCTION("""COMPUTED_VALUE"""),1.73)</f>
        <v>1.73</v>
      </c>
    </row>
    <row r="356" spans="1:2">
      <c r="A356" s="3">
        <f ca="1">IFERROR(__xludf.DUMMYFUNCTION("""COMPUTED_VALUE"""),38868.6666666666)</f>
        <v>38868.666666666599</v>
      </c>
      <c r="B356" s="1">
        <f ca="1">IFERROR(__xludf.DUMMYFUNCTION("""COMPUTED_VALUE"""),1.73)</f>
        <v>1.73</v>
      </c>
    </row>
    <row r="357" spans="1:2">
      <c r="A357" s="3">
        <f ca="1">IFERROR(__xludf.DUMMYFUNCTION("""COMPUTED_VALUE"""),38869.6666666666)</f>
        <v>38869.666666666599</v>
      </c>
      <c r="B357" s="1">
        <f ca="1">IFERROR(__xludf.DUMMYFUNCTION("""COMPUTED_VALUE"""),1.75)</f>
        <v>1.75</v>
      </c>
    </row>
    <row r="358" spans="1:2">
      <c r="A358" s="3">
        <f ca="1">IFERROR(__xludf.DUMMYFUNCTION("""COMPUTED_VALUE"""),38870.6666666666)</f>
        <v>38870.666666666599</v>
      </c>
      <c r="B358" s="1">
        <f ca="1">IFERROR(__xludf.DUMMYFUNCTION("""COMPUTED_VALUE"""),1.74)</f>
        <v>1.74</v>
      </c>
    </row>
    <row r="359" spans="1:2">
      <c r="A359" s="3">
        <f ca="1">IFERROR(__xludf.DUMMYFUNCTION("""COMPUTED_VALUE"""),38873.6666666666)</f>
        <v>38873.666666666599</v>
      </c>
      <c r="B359" s="1">
        <f ca="1">IFERROR(__xludf.DUMMYFUNCTION("""COMPUTED_VALUE"""),1.67)</f>
        <v>1.67</v>
      </c>
    </row>
    <row r="360" spans="1:2">
      <c r="A360" s="3">
        <f ca="1">IFERROR(__xludf.DUMMYFUNCTION("""COMPUTED_VALUE"""),38874.6666666666)</f>
        <v>38874.666666666599</v>
      </c>
      <c r="B360" s="1">
        <f ca="1">IFERROR(__xludf.DUMMYFUNCTION("""COMPUTED_VALUE"""),1.67)</f>
        <v>1.67</v>
      </c>
    </row>
    <row r="361" spans="1:2">
      <c r="A361" s="3">
        <f ca="1">IFERROR(__xludf.DUMMYFUNCTION("""COMPUTED_VALUE"""),38875.6666666666)</f>
        <v>38875.666666666599</v>
      </c>
      <c r="B361" s="1">
        <f ca="1">IFERROR(__xludf.DUMMYFUNCTION("""COMPUTED_VALUE"""),1.69)</f>
        <v>1.69</v>
      </c>
    </row>
    <row r="362" spans="1:2">
      <c r="A362" s="3">
        <f ca="1">IFERROR(__xludf.DUMMYFUNCTION("""COMPUTED_VALUE"""),38876.6666666666)</f>
        <v>38876.666666666599</v>
      </c>
      <c r="B362" s="1">
        <f ca="1">IFERROR(__xludf.DUMMYFUNCTION("""COMPUTED_VALUE"""),1.68)</f>
        <v>1.68</v>
      </c>
    </row>
    <row r="363" spans="1:2">
      <c r="A363" s="3">
        <f ca="1">IFERROR(__xludf.DUMMYFUNCTION("""COMPUTED_VALUE"""),38877.6666666666)</f>
        <v>38877.666666666599</v>
      </c>
      <c r="B363" s="1">
        <f ca="1">IFERROR(__xludf.DUMMYFUNCTION("""COMPUTED_VALUE"""),1.69)</f>
        <v>1.69</v>
      </c>
    </row>
    <row r="364" spans="1:2">
      <c r="A364" s="3">
        <f ca="1">IFERROR(__xludf.DUMMYFUNCTION("""COMPUTED_VALUE"""),38880.6666666666)</f>
        <v>38880.666666666599</v>
      </c>
      <c r="B364" s="1">
        <f ca="1">IFERROR(__xludf.DUMMYFUNCTION("""COMPUTED_VALUE"""),1.68)</f>
        <v>1.68</v>
      </c>
    </row>
    <row r="365" spans="1:2">
      <c r="A365" s="3">
        <f ca="1">IFERROR(__xludf.DUMMYFUNCTION("""COMPUTED_VALUE"""),38881.6666666666)</f>
        <v>38881.666666666599</v>
      </c>
      <c r="B365" s="1">
        <f ca="1">IFERROR(__xludf.DUMMYFUNCTION("""COMPUTED_VALUE"""),1.67)</f>
        <v>1.67</v>
      </c>
    </row>
    <row r="366" spans="1:2">
      <c r="A366" s="3">
        <f ca="1">IFERROR(__xludf.DUMMYFUNCTION("""COMPUTED_VALUE"""),38882.6666666666)</f>
        <v>38882.666666666599</v>
      </c>
      <c r="B366" s="1">
        <f ca="1">IFERROR(__xludf.DUMMYFUNCTION("""COMPUTED_VALUE"""),1.68)</f>
        <v>1.68</v>
      </c>
    </row>
    <row r="367" spans="1:2">
      <c r="A367" s="3">
        <f ca="1">IFERROR(__xludf.DUMMYFUNCTION("""COMPUTED_VALUE"""),38883.6666666666)</f>
        <v>38883.666666666599</v>
      </c>
      <c r="B367" s="1">
        <f ca="1">IFERROR(__xludf.DUMMYFUNCTION("""COMPUTED_VALUE"""),1.75)</f>
        <v>1.75</v>
      </c>
    </row>
    <row r="368" spans="1:2">
      <c r="A368" s="3">
        <f ca="1">IFERROR(__xludf.DUMMYFUNCTION("""COMPUTED_VALUE"""),38884.6666666666)</f>
        <v>38884.666666666599</v>
      </c>
      <c r="B368" s="1">
        <f ca="1">IFERROR(__xludf.DUMMYFUNCTION("""COMPUTED_VALUE"""),1.75)</f>
        <v>1.75</v>
      </c>
    </row>
    <row r="369" spans="1:2">
      <c r="A369" s="3">
        <f ca="1">IFERROR(__xludf.DUMMYFUNCTION("""COMPUTED_VALUE"""),38887.6666666666)</f>
        <v>38887.666666666599</v>
      </c>
      <c r="B369" s="1">
        <f ca="1">IFERROR(__xludf.DUMMYFUNCTION("""COMPUTED_VALUE"""),1.75)</f>
        <v>1.75</v>
      </c>
    </row>
    <row r="370" spans="1:2">
      <c r="A370" s="3">
        <f ca="1">IFERROR(__xludf.DUMMYFUNCTION("""COMPUTED_VALUE"""),38888.6666666666)</f>
        <v>38888.666666666599</v>
      </c>
      <c r="B370" s="1">
        <f ca="1">IFERROR(__xludf.DUMMYFUNCTION("""COMPUTED_VALUE"""),1.77)</f>
        <v>1.77</v>
      </c>
    </row>
    <row r="371" spans="1:2">
      <c r="A371" s="3">
        <f ca="1">IFERROR(__xludf.DUMMYFUNCTION("""COMPUTED_VALUE"""),38889.6666666666)</f>
        <v>38889.666666666599</v>
      </c>
      <c r="B371" s="1">
        <f ca="1">IFERROR(__xludf.DUMMYFUNCTION("""COMPUTED_VALUE"""),1.83)</f>
        <v>1.83</v>
      </c>
    </row>
    <row r="372" spans="1:2">
      <c r="A372" s="3">
        <f ca="1">IFERROR(__xludf.DUMMYFUNCTION("""COMPUTED_VALUE"""),38890.6666666666)</f>
        <v>38890.666666666599</v>
      </c>
      <c r="B372" s="1">
        <f ca="1">IFERROR(__xludf.DUMMYFUNCTION("""COMPUTED_VALUE"""),1.82)</f>
        <v>1.82</v>
      </c>
    </row>
    <row r="373" spans="1:2">
      <c r="A373" s="3">
        <f ca="1">IFERROR(__xludf.DUMMYFUNCTION("""COMPUTED_VALUE"""),38891.6666666666)</f>
        <v>38891.666666666599</v>
      </c>
      <c r="B373" s="1">
        <f ca="1">IFERROR(__xludf.DUMMYFUNCTION("""COMPUTED_VALUE"""),1.83)</f>
        <v>1.83</v>
      </c>
    </row>
    <row r="374" spans="1:2">
      <c r="A374" s="3">
        <f ca="1">IFERROR(__xludf.DUMMYFUNCTION("""COMPUTED_VALUE"""),38894.6666666666)</f>
        <v>38894.666666666599</v>
      </c>
      <c r="B374" s="1">
        <f ca="1">IFERROR(__xludf.DUMMYFUNCTION("""COMPUTED_VALUE"""),1.84)</f>
        <v>1.84</v>
      </c>
    </row>
    <row r="375" spans="1:2">
      <c r="A375" s="3">
        <f ca="1">IFERROR(__xludf.DUMMYFUNCTION("""COMPUTED_VALUE"""),38895.6666666666)</f>
        <v>38895.666666666599</v>
      </c>
      <c r="B375" s="1">
        <f ca="1">IFERROR(__xludf.DUMMYFUNCTION("""COMPUTED_VALUE"""),1.82)</f>
        <v>1.82</v>
      </c>
    </row>
    <row r="376" spans="1:2">
      <c r="A376" s="3">
        <f ca="1">IFERROR(__xludf.DUMMYFUNCTION("""COMPUTED_VALUE"""),38896.6666666666)</f>
        <v>38896.666666666599</v>
      </c>
      <c r="B376" s="1">
        <f ca="1">IFERROR(__xludf.DUMMYFUNCTION("""COMPUTED_VALUE"""),1.84)</f>
        <v>1.84</v>
      </c>
    </row>
    <row r="377" spans="1:2">
      <c r="A377" s="3">
        <f ca="1">IFERROR(__xludf.DUMMYFUNCTION("""COMPUTED_VALUE"""),38897.6666666666)</f>
        <v>38897.666666666599</v>
      </c>
      <c r="B377" s="1">
        <f ca="1">IFERROR(__xludf.DUMMYFUNCTION("""COMPUTED_VALUE"""),1.93)</f>
        <v>1.93</v>
      </c>
    </row>
    <row r="378" spans="1:2">
      <c r="A378" s="3">
        <f ca="1">IFERROR(__xludf.DUMMYFUNCTION("""COMPUTED_VALUE"""),38898.6666666666)</f>
        <v>38898.666666666599</v>
      </c>
      <c r="B378" s="1">
        <f ca="1">IFERROR(__xludf.DUMMYFUNCTION("""COMPUTED_VALUE"""),1.93)</f>
        <v>1.93</v>
      </c>
    </row>
    <row r="379" spans="1:2">
      <c r="A379" s="3">
        <f ca="1">IFERROR(__xludf.DUMMYFUNCTION("""COMPUTED_VALUE"""),38901.6666666666)</f>
        <v>38901.666666666599</v>
      </c>
      <c r="B379" s="1">
        <f ca="1">IFERROR(__xludf.DUMMYFUNCTION("""COMPUTED_VALUE"""),1.93)</f>
        <v>1.93</v>
      </c>
    </row>
    <row r="380" spans="1:2">
      <c r="A380" s="3">
        <f ca="1">IFERROR(__xludf.DUMMYFUNCTION("""COMPUTED_VALUE"""),38903.6666666666)</f>
        <v>38903.666666666599</v>
      </c>
      <c r="B380" s="1">
        <f ca="1">IFERROR(__xludf.DUMMYFUNCTION("""COMPUTED_VALUE"""),1.86)</f>
        <v>1.86</v>
      </c>
    </row>
    <row r="381" spans="1:2">
      <c r="A381" s="3">
        <f ca="1">IFERROR(__xludf.DUMMYFUNCTION("""COMPUTED_VALUE"""),38904.6666666666)</f>
        <v>38904.666666666599</v>
      </c>
      <c r="B381" s="1">
        <f ca="1">IFERROR(__xludf.DUMMYFUNCTION("""COMPUTED_VALUE"""),1.84)</f>
        <v>1.84</v>
      </c>
    </row>
    <row r="382" spans="1:2">
      <c r="A382" s="3">
        <f ca="1">IFERROR(__xludf.DUMMYFUNCTION("""COMPUTED_VALUE"""),38905.6666666666)</f>
        <v>38905.666666666599</v>
      </c>
      <c r="B382" s="1">
        <f ca="1">IFERROR(__xludf.DUMMYFUNCTION("""COMPUTED_VALUE"""),1.81)</f>
        <v>1.81</v>
      </c>
    </row>
    <row r="383" spans="1:2">
      <c r="A383" s="3">
        <f ca="1">IFERROR(__xludf.DUMMYFUNCTION("""COMPUTED_VALUE"""),38908.6666666666)</f>
        <v>38908.666666666599</v>
      </c>
      <c r="B383" s="1">
        <f ca="1">IFERROR(__xludf.DUMMYFUNCTION("""COMPUTED_VALUE"""),1.79)</f>
        <v>1.79</v>
      </c>
    </row>
    <row r="384" spans="1:2">
      <c r="A384" s="3">
        <f ca="1">IFERROR(__xludf.DUMMYFUNCTION("""COMPUTED_VALUE"""),38909.6666666666)</f>
        <v>38909.666666666599</v>
      </c>
      <c r="B384" s="1">
        <f ca="1">IFERROR(__xludf.DUMMYFUNCTION("""COMPUTED_VALUE"""),1.78)</f>
        <v>1.78</v>
      </c>
    </row>
    <row r="385" spans="1:2">
      <c r="A385" s="3">
        <f ca="1">IFERROR(__xludf.DUMMYFUNCTION("""COMPUTED_VALUE"""),38910.6666666666)</f>
        <v>38910.666666666599</v>
      </c>
      <c r="B385" s="1">
        <f ca="1">IFERROR(__xludf.DUMMYFUNCTION("""COMPUTED_VALUE"""),1.73)</f>
        <v>1.73</v>
      </c>
    </row>
    <row r="386" spans="1:2">
      <c r="A386" s="3">
        <f ca="1">IFERROR(__xludf.DUMMYFUNCTION("""COMPUTED_VALUE"""),38911.6666666666)</f>
        <v>38911.666666666599</v>
      </c>
      <c r="B386" s="1">
        <f ca="1">IFERROR(__xludf.DUMMYFUNCTION("""COMPUTED_VALUE"""),1.69)</f>
        <v>1.69</v>
      </c>
    </row>
    <row r="387" spans="1:2">
      <c r="A387" s="3">
        <f ca="1">IFERROR(__xludf.DUMMYFUNCTION("""COMPUTED_VALUE"""),38912.6666666666)</f>
        <v>38912.666666666599</v>
      </c>
      <c r="B387" s="1">
        <f ca="1">IFERROR(__xludf.DUMMYFUNCTION("""COMPUTED_VALUE"""),1.65)</f>
        <v>1.65</v>
      </c>
    </row>
    <row r="388" spans="1:2">
      <c r="A388" s="3">
        <f ca="1">IFERROR(__xludf.DUMMYFUNCTION("""COMPUTED_VALUE"""),38915.6666666666)</f>
        <v>38915.666666666599</v>
      </c>
      <c r="B388" s="1">
        <f ca="1">IFERROR(__xludf.DUMMYFUNCTION("""COMPUTED_VALUE"""),1.68)</f>
        <v>1.68</v>
      </c>
    </row>
    <row r="389" spans="1:2">
      <c r="A389" s="3">
        <f ca="1">IFERROR(__xludf.DUMMYFUNCTION("""COMPUTED_VALUE"""),38916.6666666666)</f>
        <v>38916.666666666599</v>
      </c>
      <c r="B389" s="1">
        <f ca="1">IFERROR(__xludf.DUMMYFUNCTION("""COMPUTED_VALUE"""),1.67)</f>
        <v>1.67</v>
      </c>
    </row>
    <row r="390" spans="1:2">
      <c r="A390" s="3">
        <f ca="1">IFERROR(__xludf.DUMMYFUNCTION("""COMPUTED_VALUE"""),38917.6666666666)</f>
        <v>38917.666666666599</v>
      </c>
      <c r="B390" s="1">
        <f ca="1">IFERROR(__xludf.DUMMYFUNCTION("""COMPUTED_VALUE"""),1.72)</f>
        <v>1.72</v>
      </c>
    </row>
    <row r="391" spans="1:2">
      <c r="A391" s="3">
        <f ca="1">IFERROR(__xludf.DUMMYFUNCTION("""COMPUTED_VALUE"""),38918.6666666666)</f>
        <v>38918.666666666599</v>
      </c>
      <c r="B391" s="1">
        <f ca="1">IFERROR(__xludf.DUMMYFUNCTION("""COMPUTED_VALUE"""),1.71)</f>
        <v>1.71</v>
      </c>
    </row>
    <row r="392" spans="1:2">
      <c r="A392" s="3">
        <f ca="1">IFERROR(__xludf.DUMMYFUNCTION("""COMPUTED_VALUE"""),38919.6666666666)</f>
        <v>38919.666666666599</v>
      </c>
      <c r="B392" s="1">
        <f ca="1">IFERROR(__xludf.DUMMYFUNCTION("""COMPUTED_VALUE"""),1.66)</f>
        <v>1.66</v>
      </c>
    </row>
    <row r="393" spans="1:2">
      <c r="A393" s="3">
        <f ca="1">IFERROR(__xludf.DUMMYFUNCTION("""COMPUTED_VALUE"""),38922.6666666666)</f>
        <v>38922.666666666599</v>
      </c>
      <c r="B393" s="1">
        <f ca="1">IFERROR(__xludf.DUMMYFUNCTION("""COMPUTED_VALUE"""),1.72)</f>
        <v>1.72</v>
      </c>
    </row>
    <row r="394" spans="1:2">
      <c r="A394" s="3">
        <f ca="1">IFERROR(__xludf.DUMMYFUNCTION("""COMPUTED_VALUE"""),38923.6666666666)</f>
        <v>38923.666666666599</v>
      </c>
      <c r="B394" s="1">
        <f ca="1">IFERROR(__xludf.DUMMYFUNCTION("""COMPUTED_VALUE"""),1.68)</f>
        <v>1.68</v>
      </c>
    </row>
    <row r="395" spans="1:2">
      <c r="A395" s="3">
        <f ca="1">IFERROR(__xludf.DUMMYFUNCTION("""COMPUTED_VALUE"""),38924.6666666666)</f>
        <v>38924.666666666599</v>
      </c>
      <c r="B395" s="1">
        <f ca="1">IFERROR(__xludf.DUMMYFUNCTION("""COMPUTED_VALUE"""),1.31)</f>
        <v>1.31</v>
      </c>
    </row>
    <row r="396" spans="1:2">
      <c r="A396" s="3">
        <f ca="1">IFERROR(__xludf.DUMMYFUNCTION("""COMPUTED_VALUE"""),38925.6666666666)</f>
        <v>38925.666666666599</v>
      </c>
      <c r="B396" s="1">
        <f ca="1">IFERROR(__xludf.DUMMYFUNCTION("""COMPUTED_VALUE"""),1.33)</f>
        <v>1.33</v>
      </c>
    </row>
    <row r="397" spans="1:2">
      <c r="A397" s="3">
        <f ca="1">IFERROR(__xludf.DUMMYFUNCTION("""COMPUTED_VALUE"""),38926.6666666666)</f>
        <v>38926.666666666599</v>
      </c>
      <c r="B397" s="1">
        <f ca="1">IFERROR(__xludf.DUMMYFUNCTION("""COMPUTED_VALUE"""),1.36)</f>
        <v>1.36</v>
      </c>
    </row>
    <row r="398" spans="1:2">
      <c r="A398" s="3">
        <f ca="1">IFERROR(__xludf.DUMMYFUNCTION("""COMPUTED_VALUE"""),38929.6666666666)</f>
        <v>38929.666666666599</v>
      </c>
      <c r="B398" s="1">
        <f ca="1">IFERROR(__xludf.DUMMYFUNCTION("""COMPUTED_VALUE"""),1.34)</f>
        <v>1.34</v>
      </c>
    </row>
    <row r="399" spans="1:2">
      <c r="A399" s="3">
        <f ca="1">IFERROR(__xludf.DUMMYFUNCTION("""COMPUTED_VALUE"""),38930.6666666666)</f>
        <v>38930.666666666599</v>
      </c>
      <c r="B399" s="1">
        <f ca="1">IFERROR(__xludf.DUMMYFUNCTION("""COMPUTED_VALUE"""),1.32)</f>
        <v>1.32</v>
      </c>
    </row>
    <row r="400" spans="1:2">
      <c r="A400" s="3">
        <f ca="1">IFERROR(__xludf.DUMMYFUNCTION("""COMPUTED_VALUE"""),38931.6666666666)</f>
        <v>38931.666666666599</v>
      </c>
      <c r="B400" s="1">
        <f ca="1">IFERROR(__xludf.DUMMYFUNCTION("""COMPUTED_VALUE"""),1.3)</f>
        <v>1.3</v>
      </c>
    </row>
    <row r="401" spans="1:2">
      <c r="A401" s="3">
        <f ca="1">IFERROR(__xludf.DUMMYFUNCTION("""COMPUTED_VALUE"""),38932.6666666666)</f>
        <v>38932.666666666599</v>
      </c>
      <c r="B401" s="1">
        <f ca="1">IFERROR(__xludf.DUMMYFUNCTION("""COMPUTED_VALUE"""),1.33)</f>
        <v>1.33</v>
      </c>
    </row>
    <row r="402" spans="1:2">
      <c r="A402" s="3">
        <f ca="1">IFERROR(__xludf.DUMMYFUNCTION("""COMPUTED_VALUE"""),38933.6666666666)</f>
        <v>38933.666666666599</v>
      </c>
      <c r="B402" s="1">
        <f ca="1">IFERROR(__xludf.DUMMYFUNCTION("""COMPUTED_VALUE"""),1.36)</f>
        <v>1.36</v>
      </c>
    </row>
    <row r="403" spans="1:2">
      <c r="A403" s="3">
        <f ca="1">IFERROR(__xludf.DUMMYFUNCTION("""COMPUTED_VALUE"""),38936.6666666666)</f>
        <v>38936.666666666599</v>
      </c>
      <c r="B403" s="1">
        <f ca="1">IFERROR(__xludf.DUMMYFUNCTION("""COMPUTED_VALUE"""),1.34)</f>
        <v>1.34</v>
      </c>
    </row>
    <row r="404" spans="1:2">
      <c r="A404" s="3">
        <f ca="1">IFERROR(__xludf.DUMMYFUNCTION("""COMPUTED_VALUE"""),38937.6666666666)</f>
        <v>38937.666666666599</v>
      </c>
      <c r="B404" s="1">
        <f ca="1">IFERROR(__xludf.DUMMYFUNCTION("""COMPUTED_VALUE"""),1.32)</f>
        <v>1.32</v>
      </c>
    </row>
    <row r="405" spans="1:2">
      <c r="A405" s="3">
        <f ca="1">IFERROR(__xludf.DUMMYFUNCTION("""COMPUTED_VALUE"""),38938.6666666666)</f>
        <v>38938.666666666599</v>
      </c>
      <c r="B405" s="1">
        <f ca="1">IFERROR(__xludf.DUMMYFUNCTION("""COMPUTED_VALUE"""),1.31)</f>
        <v>1.31</v>
      </c>
    </row>
    <row r="406" spans="1:2">
      <c r="A406" s="3">
        <f ca="1">IFERROR(__xludf.DUMMYFUNCTION("""COMPUTED_VALUE"""),38939.6666666666)</f>
        <v>38939.666666666599</v>
      </c>
      <c r="B406" s="1">
        <f ca="1">IFERROR(__xludf.DUMMYFUNCTION("""COMPUTED_VALUE"""),1.32)</f>
        <v>1.32</v>
      </c>
    </row>
    <row r="407" spans="1:2">
      <c r="A407" s="3">
        <f ca="1">IFERROR(__xludf.DUMMYFUNCTION("""COMPUTED_VALUE"""),38940.6666666666)</f>
        <v>38940.666666666599</v>
      </c>
      <c r="B407" s="1">
        <f ca="1">IFERROR(__xludf.DUMMYFUNCTION("""COMPUTED_VALUE"""),1.3)</f>
        <v>1.3</v>
      </c>
    </row>
    <row r="408" spans="1:2">
      <c r="A408" s="3">
        <f ca="1">IFERROR(__xludf.DUMMYFUNCTION("""COMPUTED_VALUE"""),38943.6666666666)</f>
        <v>38943.666666666599</v>
      </c>
      <c r="B408" s="1">
        <f ca="1">IFERROR(__xludf.DUMMYFUNCTION("""COMPUTED_VALUE"""),1.33)</f>
        <v>1.33</v>
      </c>
    </row>
    <row r="409" spans="1:2">
      <c r="A409" s="3">
        <f ca="1">IFERROR(__xludf.DUMMYFUNCTION("""COMPUTED_VALUE"""),38944.6666666666)</f>
        <v>38944.666666666599</v>
      </c>
      <c r="B409" s="1">
        <f ca="1">IFERROR(__xludf.DUMMYFUNCTION("""COMPUTED_VALUE"""),1.39)</f>
        <v>1.39</v>
      </c>
    </row>
    <row r="410" spans="1:2">
      <c r="A410" s="3">
        <f ca="1">IFERROR(__xludf.DUMMYFUNCTION("""COMPUTED_VALUE"""),38945.6666666666)</f>
        <v>38945.666666666599</v>
      </c>
      <c r="B410" s="1">
        <f ca="1">IFERROR(__xludf.DUMMYFUNCTION("""COMPUTED_VALUE"""),1.4)</f>
        <v>1.4</v>
      </c>
    </row>
    <row r="411" spans="1:2">
      <c r="A411" s="3">
        <f ca="1">IFERROR(__xludf.DUMMYFUNCTION("""COMPUTED_VALUE"""),38946.6666666666)</f>
        <v>38946.666666666599</v>
      </c>
      <c r="B411" s="1">
        <f ca="1">IFERROR(__xludf.DUMMYFUNCTION("""COMPUTED_VALUE"""),1.45)</f>
        <v>1.45</v>
      </c>
    </row>
    <row r="412" spans="1:2">
      <c r="A412" s="3">
        <f ca="1">IFERROR(__xludf.DUMMYFUNCTION("""COMPUTED_VALUE"""),38947.6666666666)</f>
        <v>38947.666666666599</v>
      </c>
      <c r="B412" s="1">
        <f ca="1">IFERROR(__xludf.DUMMYFUNCTION("""COMPUTED_VALUE"""),1.46)</f>
        <v>1.46</v>
      </c>
    </row>
    <row r="413" spans="1:2">
      <c r="A413" s="3">
        <f ca="1">IFERROR(__xludf.DUMMYFUNCTION("""COMPUTED_VALUE"""),38950.6666666666)</f>
        <v>38950.666666666599</v>
      </c>
      <c r="B413" s="1">
        <f ca="1">IFERROR(__xludf.DUMMYFUNCTION("""COMPUTED_VALUE"""),1.41)</f>
        <v>1.41</v>
      </c>
    </row>
    <row r="414" spans="1:2">
      <c r="A414" s="3">
        <f ca="1">IFERROR(__xludf.DUMMYFUNCTION("""COMPUTED_VALUE"""),38951.6666666666)</f>
        <v>38951.666666666599</v>
      </c>
      <c r="B414" s="1">
        <f ca="1">IFERROR(__xludf.DUMMYFUNCTION("""COMPUTED_VALUE"""),1.42)</f>
        <v>1.42</v>
      </c>
    </row>
    <row r="415" spans="1:2">
      <c r="A415" s="3">
        <f ca="1">IFERROR(__xludf.DUMMYFUNCTION("""COMPUTED_VALUE"""),38952.6666666666)</f>
        <v>38952.666666666599</v>
      </c>
      <c r="B415" s="1">
        <f ca="1">IFERROR(__xludf.DUMMYFUNCTION("""COMPUTED_VALUE"""),1.41)</f>
        <v>1.41</v>
      </c>
    </row>
    <row r="416" spans="1:2">
      <c r="A416" s="3">
        <f ca="1">IFERROR(__xludf.DUMMYFUNCTION("""COMPUTED_VALUE"""),38953.6666666666)</f>
        <v>38953.666666666599</v>
      </c>
      <c r="B416" s="1">
        <f ca="1">IFERROR(__xludf.DUMMYFUNCTION("""COMPUTED_VALUE"""),1.4)</f>
        <v>1.4</v>
      </c>
    </row>
    <row r="417" spans="1:2">
      <c r="A417" s="3">
        <f ca="1">IFERROR(__xludf.DUMMYFUNCTION("""COMPUTED_VALUE"""),38954.6666666666)</f>
        <v>38954.666666666599</v>
      </c>
      <c r="B417" s="1">
        <f ca="1">IFERROR(__xludf.DUMMYFUNCTION("""COMPUTED_VALUE"""),1.4)</f>
        <v>1.4</v>
      </c>
    </row>
    <row r="418" spans="1:2">
      <c r="A418" s="3">
        <f ca="1">IFERROR(__xludf.DUMMYFUNCTION("""COMPUTED_VALUE"""),38957.6666666666)</f>
        <v>38957.666666666599</v>
      </c>
      <c r="B418" s="1">
        <f ca="1">IFERROR(__xludf.DUMMYFUNCTION("""COMPUTED_VALUE"""),1.45)</f>
        <v>1.45</v>
      </c>
    </row>
    <row r="419" spans="1:2">
      <c r="A419" s="3">
        <f ca="1">IFERROR(__xludf.DUMMYFUNCTION("""COMPUTED_VALUE"""),38958.6666666666)</f>
        <v>38958.666666666599</v>
      </c>
      <c r="B419" s="1">
        <f ca="1">IFERROR(__xludf.DUMMYFUNCTION("""COMPUTED_VALUE"""),1.48)</f>
        <v>1.48</v>
      </c>
    </row>
    <row r="420" spans="1:2">
      <c r="A420" s="3">
        <f ca="1">IFERROR(__xludf.DUMMYFUNCTION("""COMPUTED_VALUE"""),38959.6666666666)</f>
        <v>38959.666666666599</v>
      </c>
      <c r="B420" s="1">
        <f ca="1">IFERROR(__xludf.DUMMYFUNCTION("""COMPUTED_VALUE"""),1.53)</f>
        <v>1.53</v>
      </c>
    </row>
    <row r="421" spans="1:2">
      <c r="A421" s="3">
        <f ca="1">IFERROR(__xludf.DUMMYFUNCTION("""COMPUTED_VALUE"""),38960.6666666666)</f>
        <v>38960.666666666599</v>
      </c>
      <c r="B421" s="1">
        <f ca="1">IFERROR(__xludf.DUMMYFUNCTION("""COMPUTED_VALUE"""),1.54)</f>
        <v>1.54</v>
      </c>
    </row>
    <row r="422" spans="1:2">
      <c r="A422" s="3">
        <f ca="1">IFERROR(__xludf.DUMMYFUNCTION("""COMPUTED_VALUE"""),38961.6666666666)</f>
        <v>38961.666666666599</v>
      </c>
      <c r="B422" s="1">
        <f ca="1">IFERROR(__xludf.DUMMYFUNCTION("""COMPUTED_VALUE"""),1.59)</f>
        <v>1.59</v>
      </c>
    </row>
    <row r="423" spans="1:2">
      <c r="A423" s="3">
        <f ca="1">IFERROR(__xludf.DUMMYFUNCTION("""COMPUTED_VALUE"""),38965.6666666666)</f>
        <v>38965.666666666599</v>
      </c>
      <c r="B423" s="1">
        <f ca="1">IFERROR(__xludf.DUMMYFUNCTION("""COMPUTED_VALUE"""),1.61)</f>
        <v>1.61</v>
      </c>
    </row>
    <row r="424" spans="1:2">
      <c r="A424" s="3">
        <f ca="1">IFERROR(__xludf.DUMMYFUNCTION("""COMPUTED_VALUE"""),38966.6666666666)</f>
        <v>38966.666666666599</v>
      </c>
      <c r="B424" s="1">
        <f ca="1">IFERROR(__xludf.DUMMYFUNCTION("""COMPUTED_VALUE"""),1.54)</f>
        <v>1.54</v>
      </c>
    </row>
    <row r="425" spans="1:2">
      <c r="A425" s="3">
        <f ca="1">IFERROR(__xludf.DUMMYFUNCTION("""COMPUTED_VALUE"""),38967.6666666666)</f>
        <v>38967.666666666599</v>
      </c>
      <c r="B425" s="1">
        <f ca="1">IFERROR(__xludf.DUMMYFUNCTION("""COMPUTED_VALUE"""),1.49)</f>
        <v>1.49</v>
      </c>
    </row>
    <row r="426" spans="1:2">
      <c r="A426" s="3">
        <f ca="1">IFERROR(__xludf.DUMMYFUNCTION("""COMPUTED_VALUE"""),38968.6666666666)</f>
        <v>38968.666666666599</v>
      </c>
      <c r="B426" s="1">
        <f ca="1">IFERROR(__xludf.DUMMYFUNCTION("""COMPUTED_VALUE"""),1.53)</f>
        <v>1.53</v>
      </c>
    </row>
    <row r="427" spans="1:2">
      <c r="A427" s="3">
        <f ca="1">IFERROR(__xludf.DUMMYFUNCTION("""COMPUTED_VALUE"""),38971.6666666666)</f>
        <v>38971.666666666599</v>
      </c>
      <c r="B427" s="1">
        <f ca="1">IFERROR(__xludf.DUMMYFUNCTION("""COMPUTED_VALUE"""),1.54)</f>
        <v>1.54</v>
      </c>
    </row>
    <row r="428" spans="1:2">
      <c r="A428" s="3">
        <f ca="1">IFERROR(__xludf.DUMMYFUNCTION("""COMPUTED_VALUE"""),38972.6666666666)</f>
        <v>38972.666666666599</v>
      </c>
      <c r="B428" s="1">
        <f ca="1">IFERROR(__xludf.DUMMYFUNCTION("""COMPUTED_VALUE"""),1.59)</f>
        <v>1.59</v>
      </c>
    </row>
    <row r="429" spans="1:2">
      <c r="A429" s="3">
        <f ca="1">IFERROR(__xludf.DUMMYFUNCTION("""COMPUTED_VALUE"""),38973.6666666666)</f>
        <v>38973.666666666599</v>
      </c>
      <c r="B429" s="1">
        <f ca="1">IFERROR(__xludf.DUMMYFUNCTION("""COMPUTED_VALUE"""),1.58)</f>
        <v>1.58</v>
      </c>
    </row>
    <row r="430" spans="1:2">
      <c r="A430" s="3">
        <f ca="1">IFERROR(__xludf.DUMMYFUNCTION("""COMPUTED_VALUE"""),38974.6666666666)</f>
        <v>38974.666666666599</v>
      </c>
      <c r="B430" s="1">
        <f ca="1">IFERROR(__xludf.DUMMYFUNCTION("""COMPUTED_VALUE"""),1.58)</f>
        <v>1.58</v>
      </c>
    </row>
    <row r="431" spans="1:2">
      <c r="A431" s="3">
        <f ca="1">IFERROR(__xludf.DUMMYFUNCTION("""COMPUTED_VALUE"""),38975.6666666666)</f>
        <v>38975.666666666599</v>
      </c>
      <c r="B431" s="1">
        <f ca="1">IFERROR(__xludf.DUMMYFUNCTION("""COMPUTED_VALUE"""),1.63)</f>
        <v>1.63</v>
      </c>
    </row>
    <row r="432" spans="1:2">
      <c r="A432" s="3">
        <f ca="1">IFERROR(__xludf.DUMMYFUNCTION("""COMPUTED_VALUE"""),38978.6666666666)</f>
        <v>38978.666666666599</v>
      </c>
      <c r="B432" s="1">
        <f ca="1">IFERROR(__xludf.DUMMYFUNCTION("""COMPUTED_VALUE"""),1.6)</f>
        <v>1.6</v>
      </c>
    </row>
    <row r="433" spans="1:2">
      <c r="A433" s="3">
        <f ca="1">IFERROR(__xludf.DUMMYFUNCTION("""COMPUTED_VALUE"""),38979.6666666666)</f>
        <v>38979.666666666599</v>
      </c>
      <c r="B433" s="1">
        <f ca="1">IFERROR(__xludf.DUMMYFUNCTION("""COMPUTED_VALUE"""),1.58)</f>
        <v>1.58</v>
      </c>
    </row>
    <row r="434" spans="1:2">
      <c r="A434" s="3">
        <f ca="1">IFERROR(__xludf.DUMMYFUNCTION("""COMPUTED_VALUE"""),38980.6666666666)</f>
        <v>38980.666666666599</v>
      </c>
      <c r="B434" s="1">
        <f ca="1">IFERROR(__xludf.DUMMYFUNCTION("""COMPUTED_VALUE"""),1.61)</f>
        <v>1.61</v>
      </c>
    </row>
    <row r="435" spans="1:2">
      <c r="A435" s="3">
        <f ca="1">IFERROR(__xludf.DUMMYFUNCTION("""COMPUTED_VALUE"""),38981.6666666666)</f>
        <v>38981.666666666599</v>
      </c>
      <c r="B435" s="1">
        <f ca="1">IFERROR(__xludf.DUMMYFUNCTION("""COMPUTED_VALUE"""),1.51)</f>
        <v>1.51</v>
      </c>
    </row>
    <row r="436" spans="1:2">
      <c r="A436" s="3">
        <f ca="1">IFERROR(__xludf.DUMMYFUNCTION("""COMPUTED_VALUE"""),38982.6666666666)</f>
        <v>38982.666666666599</v>
      </c>
      <c r="B436" s="1">
        <f ca="1">IFERROR(__xludf.DUMMYFUNCTION("""COMPUTED_VALUE"""),1.54)</f>
        <v>1.54</v>
      </c>
    </row>
    <row r="437" spans="1:2">
      <c r="A437" s="3">
        <f ca="1">IFERROR(__xludf.DUMMYFUNCTION("""COMPUTED_VALUE"""),38985.6666666666)</f>
        <v>38985.666666666599</v>
      </c>
      <c r="B437" s="1">
        <f ca="1">IFERROR(__xludf.DUMMYFUNCTION("""COMPUTED_VALUE"""),1.59)</f>
        <v>1.59</v>
      </c>
    </row>
    <row r="438" spans="1:2">
      <c r="A438" s="3">
        <f ca="1">IFERROR(__xludf.DUMMYFUNCTION("""COMPUTED_VALUE"""),38986.6666666666)</f>
        <v>38986.666666666599</v>
      </c>
      <c r="B438" s="1">
        <f ca="1">IFERROR(__xludf.DUMMYFUNCTION("""COMPUTED_VALUE"""),1.63)</f>
        <v>1.63</v>
      </c>
    </row>
    <row r="439" spans="1:2">
      <c r="A439" s="3">
        <f ca="1">IFERROR(__xludf.DUMMYFUNCTION("""COMPUTED_VALUE"""),38987.6666666666)</f>
        <v>38987.666666666599</v>
      </c>
      <c r="B439" s="1">
        <f ca="1">IFERROR(__xludf.DUMMYFUNCTION("""COMPUTED_VALUE"""),1.62)</f>
        <v>1.62</v>
      </c>
    </row>
    <row r="440" spans="1:2">
      <c r="A440" s="3">
        <f ca="1">IFERROR(__xludf.DUMMYFUNCTION("""COMPUTED_VALUE"""),38988.6666666666)</f>
        <v>38988.666666666599</v>
      </c>
      <c r="B440" s="1">
        <f ca="1">IFERROR(__xludf.DUMMYFUNCTION("""COMPUTED_VALUE"""),1.59)</f>
        <v>1.59</v>
      </c>
    </row>
    <row r="441" spans="1:2">
      <c r="A441" s="3">
        <f ca="1">IFERROR(__xludf.DUMMYFUNCTION("""COMPUTED_VALUE"""),38989.6666666666)</f>
        <v>38989.666666666599</v>
      </c>
      <c r="B441" s="1">
        <f ca="1">IFERROR(__xludf.DUMMYFUNCTION("""COMPUTED_VALUE"""),1.61)</f>
        <v>1.61</v>
      </c>
    </row>
    <row r="442" spans="1:2">
      <c r="A442" s="3">
        <f ca="1">IFERROR(__xludf.DUMMYFUNCTION("""COMPUTED_VALUE"""),38992.6666666666)</f>
        <v>38992.666666666599</v>
      </c>
      <c r="B442" s="1">
        <f ca="1">IFERROR(__xludf.DUMMYFUNCTION("""COMPUTED_VALUE"""),1.54)</f>
        <v>1.54</v>
      </c>
    </row>
    <row r="443" spans="1:2">
      <c r="A443" s="3">
        <f ca="1">IFERROR(__xludf.DUMMYFUNCTION("""COMPUTED_VALUE"""),38993.6666666666)</f>
        <v>38993.666666666599</v>
      </c>
      <c r="B443" s="1">
        <f ca="1">IFERROR(__xludf.DUMMYFUNCTION("""COMPUTED_VALUE"""),1.59)</f>
        <v>1.59</v>
      </c>
    </row>
    <row r="444" spans="1:2">
      <c r="A444" s="3">
        <f ca="1">IFERROR(__xludf.DUMMYFUNCTION("""COMPUTED_VALUE"""),38994.6666666666)</f>
        <v>38994.666666666599</v>
      </c>
      <c r="B444" s="1">
        <f ca="1">IFERROR(__xludf.DUMMYFUNCTION("""COMPUTED_VALUE"""),1.64)</f>
        <v>1.64</v>
      </c>
    </row>
    <row r="445" spans="1:2">
      <c r="A445" s="3">
        <f ca="1">IFERROR(__xludf.DUMMYFUNCTION("""COMPUTED_VALUE"""),38995.6666666666)</f>
        <v>38995.666666666599</v>
      </c>
      <c r="B445" s="1">
        <f ca="1">IFERROR(__xludf.DUMMYFUNCTION("""COMPUTED_VALUE"""),1.67)</f>
        <v>1.67</v>
      </c>
    </row>
    <row r="446" spans="1:2">
      <c r="A446" s="3">
        <f ca="1">IFERROR(__xludf.DUMMYFUNCTION("""COMPUTED_VALUE"""),38996.6666666666)</f>
        <v>38996.666666666599</v>
      </c>
      <c r="B446" s="1">
        <f ca="1">IFERROR(__xludf.DUMMYFUNCTION("""COMPUTED_VALUE"""),1.63)</f>
        <v>1.63</v>
      </c>
    </row>
    <row r="447" spans="1:2">
      <c r="A447" s="3">
        <f ca="1">IFERROR(__xludf.DUMMYFUNCTION("""COMPUTED_VALUE"""),38999.6666666666)</f>
        <v>38999.666666666599</v>
      </c>
      <c r="B447" s="1">
        <f ca="1">IFERROR(__xludf.DUMMYFUNCTION("""COMPUTED_VALUE"""),1.67)</f>
        <v>1.67</v>
      </c>
    </row>
    <row r="448" spans="1:2">
      <c r="A448" s="3">
        <f ca="1">IFERROR(__xludf.DUMMYFUNCTION("""COMPUTED_VALUE"""),39000.6666666666)</f>
        <v>39000.666666666599</v>
      </c>
      <c r="B448" s="1">
        <f ca="1">IFERROR(__xludf.DUMMYFUNCTION("""COMPUTED_VALUE"""),1.63)</f>
        <v>1.63</v>
      </c>
    </row>
    <row r="449" spans="1:2">
      <c r="A449" s="3">
        <f ca="1">IFERROR(__xludf.DUMMYFUNCTION("""COMPUTED_VALUE"""),39001.6666666666)</f>
        <v>39001.666666666599</v>
      </c>
      <c r="B449" s="1">
        <f ca="1">IFERROR(__xludf.DUMMYFUNCTION("""COMPUTED_VALUE"""),1.65)</f>
        <v>1.65</v>
      </c>
    </row>
    <row r="450" spans="1:2">
      <c r="A450" s="3">
        <f ca="1">IFERROR(__xludf.DUMMYFUNCTION("""COMPUTED_VALUE"""),39002.6666666666)</f>
        <v>39002.666666666599</v>
      </c>
      <c r="B450" s="1">
        <f ca="1">IFERROR(__xludf.DUMMYFUNCTION("""COMPUTED_VALUE"""),1.68)</f>
        <v>1.68</v>
      </c>
    </row>
    <row r="451" spans="1:2">
      <c r="A451" s="3">
        <f ca="1">IFERROR(__xludf.DUMMYFUNCTION("""COMPUTED_VALUE"""),39003.6666666666)</f>
        <v>39003.666666666599</v>
      </c>
      <c r="B451" s="1">
        <f ca="1">IFERROR(__xludf.DUMMYFUNCTION("""COMPUTED_VALUE"""),1.67)</f>
        <v>1.67</v>
      </c>
    </row>
    <row r="452" spans="1:2">
      <c r="A452" s="3">
        <f ca="1">IFERROR(__xludf.DUMMYFUNCTION("""COMPUTED_VALUE"""),39006.6666666666)</f>
        <v>39006.666666666599</v>
      </c>
      <c r="B452" s="1">
        <f ca="1">IFERROR(__xludf.DUMMYFUNCTION("""COMPUTED_VALUE"""),1.63)</f>
        <v>1.63</v>
      </c>
    </row>
    <row r="453" spans="1:2">
      <c r="A453" s="3">
        <f ca="1">IFERROR(__xludf.DUMMYFUNCTION("""COMPUTED_VALUE"""),39007.6666666666)</f>
        <v>39007.666666666599</v>
      </c>
      <c r="B453" s="1">
        <f ca="1">IFERROR(__xludf.DUMMYFUNCTION("""COMPUTED_VALUE"""),1.62)</f>
        <v>1.62</v>
      </c>
    </row>
    <row r="454" spans="1:2">
      <c r="A454" s="3">
        <f ca="1">IFERROR(__xludf.DUMMYFUNCTION("""COMPUTED_VALUE"""),39008.6666666666)</f>
        <v>39008.666666666599</v>
      </c>
      <c r="B454" s="1">
        <f ca="1">IFERROR(__xludf.DUMMYFUNCTION("""COMPUTED_VALUE"""),1.62)</f>
        <v>1.62</v>
      </c>
    </row>
    <row r="455" spans="1:2">
      <c r="A455" s="3">
        <f ca="1">IFERROR(__xludf.DUMMYFUNCTION("""COMPUTED_VALUE"""),39009.6666666666)</f>
        <v>39009.666666666599</v>
      </c>
      <c r="B455" s="1">
        <f ca="1">IFERROR(__xludf.DUMMYFUNCTION("""COMPUTED_VALUE"""),1.63)</f>
        <v>1.63</v>
      </c>
    </row>
    <row r="456" spans="1:2">
      <c r="A456" s="3">
        <f ca="1">IFERROR(__xludf.DUMMYFUNCTION("""COMPUTED_VALUE"""),39010.6666666666)</f>
        <v>39010.666666666599</v>
      </c>
      <c r="B456" s="1">
        <f ca="1">IFERROR(__xludf.DUMMYFUNCTION("""COMPUTED_VALUE"""),1.63)</f>
        <v>1.63</v>
      </c>
    </row>
    <row r="457" spans="1:2">
      <c r="A457" s="3">
        <f ca="1">IFERROR(__xludf.DUMMYFUNCTION("""COMPUTED_VALUE"""),39013.6666666666)</f>
        <v>39013.666666666599</v>
      </c>
      <c r="B457" s="1">
        <f ca="1">IFERROR(__xludf.DUMMYFUNCTION("""COMPUTED_VALUE"""),1.64)</f>
        <v>1.64</v>
      </c>
    </row>
    <row r="458" spans="1:2">
      <c r="A458" s="3">
        <f ca="1">IFERROR(__xludf.DUMMYFUNCTION("""COMPUTED_VALUE"""),39014.6666666666)</f>
        <v>39014.666666666599</v>
      </c>
      <c r="B458" s="1">
        <f ca="1">IFERROR(__xludf.DUMMYFUNCTION("""COMPUTED_VALUE"""),1.68)</f>
        <v>1.68</v>
      </c>
    </row>
    <row r="459" spans="1:2">
      <c r="A459" s="3">
        <f ca="1">IFERROR(__xludf.DUMMYFUNCTION("""COMPUTED_VALUE"""),39015.6666666666)</f>
        <v>39015.666666666599</v>
      </c>
      <c r="B459" s="1">
        <f ca="1">IFERROR(__xludf.DUMMYFUNCTION("""COMPUTED_VALUE"""),1.88)</f>
        <v>1.88</v>
      </c>
    </row>
    <row r="460" spans="1:2">
      <c r="A460" s="3">
        <f ca="1">IFERROR(__xludf.DUMMYFUNCTION("""COMPUTED_VALUE"""),39016.6666666666)</f>
        <v>39016.666666666599</v>
      </c>
      <c r="B460" s="1">
        <f ca="1">IFERROR(__xludf.DUMMYFUNCTION("""COMPUTED_VALUE"""),1.92)</f>
        <v>1.92</v>
      </c>
    </row>
    <row r="461" spans="1:2">
      <c r="A461" s="3">
        <f ca="1">IFERROR(__xludf.DUMMYFUNCTION("""COMPUTED_VALUE"""),39017.6666666666)</f>
        <v>39017.666666666599</v>
      </c>
      <c r="B461" s="1">
        <f ca="1">IFERROR(__xludf.DUMMYFUNCTION("""COMPUTED_VALUE"""),1.91)</f>
        <v>1.91</v>
      </c>
    </row>
    <row r="462" spans="1:2">
      <c r="A462" s="3">
        <f ca="1">IFERROR(__xludf.DUMMYFUNCTION("""COMPUTED_VALUE"""),39020.6666666666)</f>
        <v>39020.666666666599</v>
      </c>
      <c r="B462" s="1">
        <f ca="1">IFERROR(__xludf.DUMMYFUNCTION("""COMPUTED_VALUE"""),1.91)</f>
        <v>1.91</v>
      </c>
    </row>
    <row r="463" spans="1:2">
      <c r="A463" s="3">
        <f ca="1">IFERROR(__xludf.DUMMYFUNCTION("""COMPUTED_VALUE"""),39021.6666666666)</f>
        <v>39021.666666666599</v>
      </c>
      <c r="B463" s="1">
        <f ca="1">IFERROR(__xludf.DUMMYFUNCTION("""COMPUTED_VALUE"""),1.9)</f>
        <v>1.9</v>
      </c>
    </row>
    <row r="464" spans="1:2">
      <c r="A464" s="3">
        <f ca="1">IFERROR(__xludf.DUMMYFUNCTION("""COMPUTED_VALUE"""),39022.6666666666)</f>
        <v>39022.666666666599</v>
      </c>
      <c r="B464" s="1">
        <f ca="1">IFERROR(__xludf.DUMMYFUNCTION("""COMPUTED_VALUE"""),1.88)</f>
        <v>1.88</v>
      </c>
    </row>
    <row r="465" spans="1:2">
      <c r="A465" s="3">
        <f ca="1">IFERROR(__xludf.DUMMYFUNCTION("""COMPUTED_VALUE"""),39023.6666666666)</f>
        <v>39023.666666666599</v>
      </c>
      <c r="B465" s="1">
        <f ca="1">IFERROR(__xludf.DUMMYFUNCTION("""COMPUTED_VALUE"""),1.87)</f>
        <v>1.87</v>
      </c>
    </row>
    <row r="466" spans="1:2">
      <c r="A466" s="3">
        <f ca="1">IFERROR(__xludf.DUMMYFUNCTION("""COMPUTED_VALUE"""),39024.6666666666)</f>
        <v>39024.666666666599</v>
      </c>
      <c r="B466" s="1">
        <f ca="1">IFERROR(__xludf.DUMMYFUNCTION("""COMPUTED_VALUE"""),1.87)</f>
        <v>1.87</v>
      </c>
    </row>
    <row r="467" spans="1:2">
      <c r="A467" s="3">
        <f ca="1">IFERROR(__xludf.DUMMYFUNCTION("""COMPUTED_VALUE"""),39027.6666666666)</f>
        <v>39027.666666666599</v>
      </c>
      <c r="B467" s="1">
        <f ca="1">IFERROR(__xludf.DUMMYFUNCTION("""COMPUTED_VALUE"""),1.91)</f>
        <v>1.91</v>
      </c>
    </row>
    <row r="468" spans="1:2">
      <c r="A468" s="3">
        <f ca="1">IFERROR(__xludf.DUMMYFUNCTION("""COMPUTED_VALUE"""),39028.6666666666)</f>
        <v>39028.666666666599</v>
      </c>
      <c r="B468" s="1">
        <f ca="1">IFERROR(__xludf.DUMMYFUNCTION("""COMPUTED_VALUE"""),1.94)</f>
        <v>1.94</v>
      </c>
    </row>
    <row r="469" spans="1:2">
      <c r="A469" s="3">
        <f ca="1">IFERROR(__xludf.DUMMYFUNCTION("""COMPUTED_VALUE"""),39029.6666666666)</f>
        <v>39029.666666666599</v>
      </c>
      <c r="B469" s="1">
        <f ca="1">IFERROR(__xludf.DUMMYFUNCTION("""COMPUTED_VALUE"""),1.97)</f>
        <v>1.97</v>
      </c>
    </row>
    <row r="470" spans="1:2">
      <c r="A470" s="3">
        <f ca="1">IFERROR(__xludf.DUMMYFUNCTION("""COMPUTED_VALUE"""),39030.6666666666)</f>
        <v>39030.666666666599</v>
      </c>
      <c r="B470" s="1">
        <f ca="1">IFERROR(__xludf.DUMMYFUNCTION("""COMPUTED_VALUE"""),1.94)</f>
        <v>1.94</v>
      </c>
    </row>
    <row r="471" spans="1:2">
      <c r="A471" s="3">
        <f ca="1">IFERROR(__xludf.DUMMYFUNCTION("""COMPUTED_VALUE"""),39031.6666666666)</f>
        <v>39031.666666666599</v>
      </c>
      <c r="B471" s="1">
        <f ca="1">IFERROR(__xludf.DUMMYFUNCTION("""COMPUTED_VALUE"""),1.96)</f>
        <v>1.96</v>
      </c>
    </row>
    <row r="472" spans="1:2">
      <c r="A472" s="3">
        <f ca="1">IFERROR(__xludf.DUMMYFUNCTION("""COMPUTED_VALUE"""),39034.6666666666)</f>
        <v>39034.666666666599</v>
      </c>
      <c r="B472" s="1">
        <f ca="1">IFERROR(__xludf.DUMMYFUNCTION("""COMPUTED_VALUE"""),2)</f>
        <v>2</v>
      </c>
    </row>
    <row r="473" spans="1:2">
      <c r="A473" s="3">
        <f ca="1">IFERROR(__xludf.DUMMYFUNCTION("""COMPUTED_VALUE"""),39035.6666666666)</f>
        <v>39035.666666666599</v>
      </c>
      <c r="B473" s="1">
        <f ca="1">IFERROR(__xludf.DUMMYFUNCTION("""COMPUTED_VALUE"""),2.08)</f>
        <v>2.08</v>
      </c>
    </row>
    <row r="474" spans="1:2">
      <c r="A474" s="3">
        <f ca="1">IFERROR(__xludf.DUMMYFUNCTION("""COMPUTED_VALUE"""),39036.6666666666)</f>
        <v>39036.666666666599</v>
      </c>
      <c r="B474" s="1">
        <f ca="1">IFERROR(__xludf.DUMMYFUNCTION("""COMPUTED_VALUE"""),2.13)</f>
        <v>2.13</v>
      </c>
    </row>
    <row r="475" spans="1:2">
      <c r="A475" s="3">
        <f ca="1">IFERROR(__xludf.DUMMYFUNCTION("""COMPUTED_VALUE"""),39037.6666666666)</f>
        <v>39037.666666666599</v>
      </c>
      <c r="B475" s="1">
        <f ca="1">IFERROR(__xludf.DUMMYFUNCTION("""COMPUTED_VALUE"""),2.14)</f>
        <v>2.14</v>
      </c>
    </row>
    <row r="476" spans="1:2">
      <c r="A476" s="3">
        <f ca="1">IFERROR(__xludf.DUMMYFUNCTION("""COMPUTED_VALUE"""),39038.6666666666)</f>
        <v>39038.666666666599</v>
      </c>
      <c r="B476" s="1">
        <f ca="1">IFERROR(__xludf.DUMMYFUNCTION("""COMPUTED_VALUE"""),2.13)</f>
        <v>2.13</v>
      </c>
    </row>
    <row r="477" spans="1:2">
      <c r="A477" s="3">
        <f ca="1">IFERROR(__xludf.DUMMYFUNCTION("""COMPUTED_VALUE"""),39041.6666666666)</f>
        <v>39041.666666666599</v>
      </c>
      <c r="B477" s="1">
        <f ca="1">IFERROR(__xludf.DUMMYFUNCTION("""COMPUTED_VALUE"""),2.12)</f>
        <v>2.12</v>
      </c>
    </row>
    <row r="478" spans="1:2">
      <c r="A478" s="3">
        <f ca="1">IFERROR(__xludf.DUMMYFUNCTION("""COMPUTED_VALUE"""),39042.6666666666)</f>
        <v>39042.666666666599</v>
      </c>
      <c r="B478" s="1">
        <f ca="1">IFERROR(__xludf.DUMMYFUNCTION("""COMPUTED_VALUE"""),2.13)</f>
        <v>2.13</v>
      </c>
    </row>
    <row r="479" spans="1:2">
      <c r="A479" s="3">
        <f ca="1">IFERROR(__xludf.DUMMYFUNCTION("""COMPUTED_VALUE"""),39043.6666666666)</f>
        <v>39043.666666666599</v>
      </c>
      <c r="B479" s="1">
        <f ca="1">IFERROR(__xludf.DUMMYFUNCTION("""COMPUTED_VALUE"""),2.15)</f>
        <v>2.15</v>
      </c>
    </row>
    <row r="480" spans="1:2">
      <c r="A480" s="3">
        <f ca="1">IFERROR(__xludf.DUMMYFUNCTION("""COMPUTED_VALUE"""),39045.6666666666)</f>
        <v>39045.666666666599</v>
      </c>
      <c r="B480" s="1">
        <f ca="1">IFERROR(__xludf.DUMMYFUNCTION("""COMPUTED_VALUE"""),2.12)</f>
        <v>2.12</v>
      </c>
    </row>
    <row r="481" spans="1:2">
      <c r="A481" s="3">
        <f ca="1">IFERROR(__xludf.DUMMYFUNCTION("""COMPUTED_VALUE"""),39048.6666666666)</f>
        <v>39048.666666666599</v>
      </c>
      <c r="B481" s="1">
        <f ca="1">IFERROR(__xludf.DUMMYFUNCTION("""COMPUTED_VALUE"""),2.04)</f>
        <v>2.04</v>
      </c>
    </row>
    <row r="482" spans="1:2">
      <c r="A482" s="3">
        <f ca="1">IFERROR(__xludf.DUMMYFUNCTION("""COMPUTED_VALUE"""),39049.6666666666)</f>
        <v>39049.666666666599</v>
      </c>
      <c r="B482" s="1">
        <f ca="1">IFERROR(__xludf.DUMMYFUNCTION("""COMPUTED_VALUE"""),2.05)</f>
        <v>2.0499999999999998</v>
      </c>
    </row>
    <row r="483" spans="1:2">
      <c r="A483" s="3">
        <f ca="1">IFERROR(__xludf.DUMMYFUNCTION("""COMPUTED_VALUE"""),39050.6666666666)</f>
        <v>39050.666666666599</v>
      </c>
      <c r="B483" s="1">
        <f ca="1">IFERROR(__xludf.DUMMYFUNCTION("""COMPUTED_VALUE"""),2.03)</f>
        <v>2.0299999999999998</v>
      </c>
    </row>
    <row r="484" spans="1:2">
      <c r="A484" s="3">
        <f ca="1">IFERROR(__xludf.DUMMYFUNCTION("""COMPUTED_VALUE"""),39051.6666666666)</f>
        <v>39051.666666666599</v>
      </c>
      <c r="B484" s="1">
        <f ca="1">IFERROR(__xludf.DUMMYFUNCTION("""COMPUTED_VALUE"""),2.02)</f>
        <v>2.02</v>
      </c>
    </row>
    <row r="485" spans="1:2">
      <c r="A485" s="3">
        <f ca="1">IFERROR(__xludf.DUMMYFUNCTION("""COMPUTED_VALUE"""),39052.6666666666)</f>
        <v>39052.666666666599</v>
      </c>
      <c r="B485" s="1">
        <f ca="1">IFERROR(__xludf.DUMMYFUNCTION("""COMPUTED_VALUE"""),1.97)</f>
        <v>1.97</v>
      </c>
    </row>
    <row r="486" spans="1:2">
      <c r="A486" s="3">
        <f ca="1">IFERROR(__xludf.DUMMYFUNCTION("""COMPUTED_VALUE"""),39055.6666666666)</f>
        <v>39055.666666666599</v>
      </c>
      <c r="B486" s="1">
        <f ca="1">IFERROR(__xludf.DUMMYFUNCTION("""COMPUTED_VALUE"""),1.96)</f>
        <v>1.96</v>
      </c>
    </row>
    <row r="487" spans="1:2">
      <c r="A487" s="3">
        <f ca="1">IFERROR(__xludf.DUMMYFUNCTION("""COMPUTED_VALUE"""),39056.6666666666)</f>
        <v>39056.666666666599</v>
      </c>
      <c r="B487" s="1">
        <f ca="1">IFERROR(__xludf.DUMMYFUNCTION("""COMPUTED_VALUE"""),1.95)</f>
        <v>1.95</v>
      </c>
    </row>
    <row r="488" spans="1:2">
      <c r="A488" s="3">
        <f ca="1">IFERROR(__xludf.DUMMYFUNCTION("""COMPUTED_VALUE"""),39057.6666666666)</f>
        <v>39057.666666666599</v>
      </c>
      <c r="B488" s="1">
        <f ca="1">IFERROR(__xludf.DUMMYFUNCTION("""COMPUTED_VALUE"""),1.95)</f>
        <v>1.95</v>
      </c>
    </row>
    <row r="489" spans="1:2">
      <c r="A489" s="3">
        <f ca="1">IFERROR(__xludf.DUMMYFUNCTION("""COMPUTED_VALUE"""),39058.6666666666)</f>
        <v>39058.666666666599</v>
      </c>
      <c r="B489" s="1">
        <f ca="1">IFERROR(__xludf.DUMMYFUNCTION("""COMPUTED_VALUE"""),1.91)</f>
        <v>1.91</v>
      </c>
    </row>
    <row r="490" spans="1:2">
      <c r="A490" s="3">
        <f ca="1">IFERROR(__xludf.DUMMYFUNCTION("""COMPUTED_VALUE"""),39059.6666666666)</f>
        <v>39059.666666666599</v>
      </c>
      <c r="B490" s="1">
        <f ca="1">IFERROR(__xludf.DUMMYFUNCTION("""COMPUTED_VALUE"""),1.92)</f>
        <v>1.92</v>
      </c>
    </row>
    <row r="491" spans="1:2">
      <c r="A491" s="3">
        <f ca="1">IFERROR(__xludf.DUMMYFUNCTION("""COMPUTED_VALUE"""),39062.6666666666)</f>
        <v>39062.666666666599</v>
      </c>
      <c r="B491" s="1">
        <f ca="1">IFERROR(__xludf.DUMMYFUNCTION("""COMPUTED_VALUE"""),1.93)</f>
        <v>1.93</v>
      </c>
    </row>
    <row r="492" spans="1:2">
      <c r="A492" s="3">
        <f ca="1">IFERROR(__xludf.DUMMYFUNCTION("""COMPUTED_VALUE"""),39063.6666666666)</f>
        <v>39063.666666666599</v>
      </c>
      <c r="B492" s="1">
        <f ca="1">IFERROR(__xludf.DUMMYFUNCTION("""COMPUTED_VALUE"""),1.92)</f>
        <v>1.92</v>
      </c>
    </row>
    <row r="493" spans="1:2">
      <c r="A493" s="3">
        <f ca="1">IFERROR(__xludf.DUMMYFUNCTION("""COMPUTED_VALUE"""),39064.6666666666)</f>
        <v>39064.666666666599</v>
      </c>
      <c r="B493" s="1">
        <f ca="1">IFERROR(__xludf.DUMMYFUNCTION("""COMPUTED_VALUE"""),1.93)</f>
        <v>1.93</v>
      </c>
    </row>
    <row r="494" spans="1:2">
      <c r="A494" s="3">
        <f ca="1">IFERROR(__xludf.DUMMYFUNCTION("""COMPUTED_VALUE"""),39065.6666666666)</f>
        <v>39065.666666666599</v>
      </c>
      <c r="B494" s="1">
        <f ca="1">IFERROR(__xludf.DUMMYFUNCTION("""COMPUTED_VALUE"""),1.95)</f>
        <v>1.95</v>
      </c>
    </row>
    <row r="495" spans="1:2">
      <c r="A495" s="3">
        <f ca="1">IFERROR(__xludf.DUMMYFUNCTION("""COMPUTED_VALUE"""),39066.6666666666)</f>
        <v>39066.666666666599</v>
      </c>
      <c r="B495" s="1">
        <f ca="1">IFERROR(__xludf.DUMMYFUNCTION("""COMPUTED_VALUE"""),2)</f>
        <v>2</v>
      </c>
    </row>
    <row r="496" spans="1:2">
      <c r="A496" s="3">
        <f ca="1">IFERROR(__xludf.DUMMYFUNCTION("""COMPUTED_VALUE"""),39069.6666666666)</f>
        <v>39069.666666666599</v>
      </c>
      <c r="B496" s="1">
        <f ca="1">IFERROR(__xludf.DUMMYFUNCTION("""COMPUTED_VALUE"""),1.96)</f>
        <v>1.96</v>
      </c>
    </row>
    <row r="497" spans="1:2">
      <c r="A497" s="3">
        <f ca="1">IFERROR(__xludf.DUMMYFUNCTION("""COMPUTED_VALUE"""),39070.6666666666)</f>
        <v>39070.666666666599</v>
      </c>
      <c r="B497" s="1">
        <f ca="1">IFERROR(__xludf.DUMMYFUNCTION("""COMPUTED_VALUE"""),1.97)</f>
        <v>1.97</v>
      </c>
    </row>
    <row r="498" spans="1:2">
      <c r="A498" s="3">
        <f ca="1">IFERROR(__xludf.DUMMYFUNCTION("""COMPUTED_VALUE"""),39071.6666666666)</f>
        <v>39071.666666666599</v>
      </c>
      <c r="B498" s="1">
        <f ca="1">IFERROR(__xludf.DUMMYFUNCTION("""COMPUTED_VALUE"""),2)</f>
        <v>2</v>
      </c>
    </row>
    <row r="499" spans="1:2">
      <c r="A499" s="3">
        <f ca="1">IFERROR(__xludf.DUMMYFUNCTION("""COMPUTED_VALUE"""),39072.6666666666)</f>
        <v>39072.666666666599</v>
      </c>
      <c r="B499" s="1">
        <f ca="1">IFERROR(__xludf.DUMMYFUNCTION("""COMPUTED_VALUE"""),1.99)</f>
        <v>1.99</v>
      </c>
    </row>
    <row r="500" spans="1:2">
      <c r="A500" s="3">
        <f ca="1">IFERROR(__xludf.DUMMYFUNCTION("""COMPUTED_VALUE"""),39073.6666666666)</f>
        <v>39073.666666666599</v>
      </c>
      <c r="B500" s="1">
        <f ca="1">IFERROR(__xludf.DUMMYFUNCTION("""COMPUTED_VALUE"""),2.01)</f>
        <v>2.0099999999999998</v>
      </c>
    </row>
    <row r="501" spans="1:2">
      <c r="A501" s="3">
        <f ca="1">IFERROR(__xludf.DUMMYFUNCTION("""COMPUTED_VALUE"""),39077.6666666666)</f>
        <v>39077.666666666599</v>
      </c>
      <c r="B501" s="1">
        <f ca="1">IFERROR(__xludf.DUMMYFUNCTION("""COMPUTED_VALUE"""),1.99)</f>
        <v>1.99</v>
      </c>
    </row>
    <row r="502" spans="1:2">
      <c r="A502" s="3">
        <f ca="1">IFERROR(__xludf.DUMMYFUNCTION("""COMPUTED_VALUE"""),39078.6666666666)</f>
        <v>39078.666666666599</v>
      </c>
      <c r="B502" s="1">
        <f ca="1">IFERROR(__xludf.DUMMYFUNCTION("""COMPUTED_VALUE"""),2.01)</f>
        <v>2.0099999999999998</v>
      </c>
    </row>
    <row r="503" spans="1:2">
      <c r="A503" s="3">
        <f ca="1">IFERROR(__xludf.DUMMYFUNCTION("""COMPUTED_VALUE"""),39079.6666666666)</f>
        <v>39079.666666666599</v>
      </c>
      <c r="B503" s="1">
        <f ca="1">IFERROR(__xludf.DUMMYFUNCTION("""COMPUTED_VALUE"""),2.01)</f>
        <v>2.0099999999999998</v>
      </c>
    </row>
    <row r="504" spans="1:2">
      <c r="A504" s="3">
        <f ca="1">IFERROR(__xludf.DUMMYFUNCTION("""COMPUTED_VALUE"""),39080.6666666666)</f>
        <v>39080.666666666599</v>
      </c>
      <c r="B504" s="1">
        <f ca="1">IFERROR(__xludf.DUMMYFUNCTION("""COMPUTED_VALUE"""),1.97)</f>
        <v>1.97</v>
      </c>
    </row>
    <row r="505" spans="1:2">
      <c r="A505" s="3">
        <f ca="1">IFERROR(__xludf.DUMMYFUNCTION("""COMPUTED_VALUE"""),39085.6666666666)</f>
        <v>39085.666666666599</v>
      </c>
      <c r="B505" s="1">
        <f ca="1">IFERROR(__xludf.DUMMYFUNCTION("""COMPUTED_VALUE"""),1.94)</f>
        <v>1.94</v>
      </c>
    </row>
    <row r="506" spans="1:2">
      <c r="A506" s="3">
        <f ca="1">IFERROR(__xludf.DUMMYFUNCTION("""COMPUTED_VALUE"""),39086.6666666666)</f>
        <v>39086.666666666599</v>
      </c>
      <c r="B506" s="1">
        <f ca="1">IFERROR(__xludf.DUMMYFUNCTION("""COMPUTED_VALUE"""),1.95)</f>
        <v>1.95</v>
      </c>
    </row>
    <row r="507" spans="1:2">
      <c r="A507" s="3">
        <f ca="1">IFERROR(__xludf.DUMMYFUNCTION("""COMPUTED_VALUE"""),39087.6666666666)</f>
        <v>39087.666666666599</v>
      </c>
      <c r="B507" s="1">
        <f ca="1">IFERROR(__xludf.DUMMYFUNCTION("""COMPUTED_VALUE"""),1.92)</f>
        <v>1.92</v>
      </c>
    </row>
    <row r="508" spans="1:2">
      <c r="A508" s="3">
        <f ca="1">IFERROR(__xludf.DUMMYFUNCTION("""COMPUTED_VALUE"""),39090.6666666666)</f>
        <v>39090.666666666599</v>
      </c>
      <c r="B508" s="1">
        <f ca="1">IFERROR(__xludf.DUMMYFUNCTION("""COMPUTED_VALUE"""),1.88)</f>
        <v>1.88</v>
      </c>
    </row>
    <row r="509" spans="1:2">
      <c r="A509" s="3">
        <f ca="1">IFERROR(__xludf.DUMMYFUNCTION("""COMPUTED_VALUE"""),39091.6666666666)</f>
        <v>39091.666666666599</v>
      </c>
      <c r="B509" s="1">
        <f ca="1">IFERROR(__xludf.DUMMYFUNCTION("""COMPUTED_VALUE"""),1.89)</f>
        <v>1.89</v>
      </c>
    </row>
    <row r="510" spans="1:2">
      <c r="A510" s="3">
        <f ca="1">IFERROR(__xludf.DUMMYFUNCTION("""COMPUTED_VALUE"""),39092.6666666666)</f>
        <v>39092.666666666599</v>
      </c>
      <c r="B510" s="1">
        <f ca="1">IFERROR(__xludf.DUMMYFUNCTION("""COMPUTED_VALUE"""),1.86)</f>
        <v>1.86</v>
      </c>
    </row>
    <row r="511" spans="1:2">
      <c r="A511" s="3">
        <f ca="1">IFERROR(__xludf.DUMMYFUNCTION("""COMPUTED_VALUE"""),39093.6666666666)</f>
        <v>39093.666666666599</v>
      </c>
      <c r="B511" s="1">
        <f ca="1">IFERROR(__xludf.DUMMYFUNCTION("""COMPUTED_VALUE"""),1.87)</f>
        <v>1.87</v>
      </c>
    </row>
    <row r="512" spans="1:2">
      <c r="A512" s="3">
        <f ca="1">IFERROR(__xludf.DUMMYFUNCTION("""COMPUTED_VALUE"""),39094.6666666666)</f>
        <v>39094.666666666599</v>
      </c>
      <c r="B512" s="1">
        <f ca="1">IFERROR(__xludf.DUMMYFUNCTION("""COMPUTED_VALUE"""),1.91)</f>
        <v>1.91</v>
      </c>
    </row>
    <row r="513" spans="1:2">
      <c r="A513" s="3">
        <f ca="1">IFERROR(__xludf.DUMMYFUNCTION("""COMPUTED_VALUE"""),39098.6666666666)</f>
        <v>39098.666666666599</v>
      </c>
      <c r="B513" s="1">
        <f ca="1">IFERROR(__xludf.DUMMYFUNCTION("""COMPUTED_VALUE"""),1.93)</f>
        <v>1.93</v>
      </c>
    </row>
    <row r="514" spans="1:2">
      <c r="A514" s="3">
        <f ca="1">IFERROR(__xludf.DUMMYFUNCTION("""COMPUTED_VALUE"""),39099.6666666666)</f>
        <v>39099.666666666599</v>
      </c>
      <c r="B514" s="1">
        <f ca="1">IFERROR(__xludf.DUMMYFUNCTION("""COMPUTED_VALUE"""),1.89)</f>
        <v>1.89</v>
      </c>
    </row>
    <row r="515" spans="1:2">
      <c r="A515" s="3">
        <f ca="1">IFERROR(__xludf.DUMMYFUNCTION("""COMPUTED_VALUE"""),39100.6666666666)</f>
        <v>39100.666666666599</v>
      </c>
      <c r="B515" s="1">
        <f ca="1">IFERROR(__xludf.DUMMYFUNCTION("""COMPUTED_VALUE"""),1.85)</f>
        <v>1.85</v>
      </c>
    </row>
    <row r="516" spans="1:2">
      <c r="A516" s="3">
        <f ca="1">IFERROR(__xludf.DUMMYFUNCTION("""COMPUTED_VALUE"""),39101.6666666666)</f>
        <v>39101.666666666599</v>
      </c>
      <c r="B516" s="1">
        <f ca="1">IFERROR(__xludf.DUMMYFUNCTION("""COMPUTED_VALUE"""),1.85)</f>
        <v>1.85</v>
      </c>
    </row>
    <row r="517" spans="1:2">
      <c r="A517" s="3">
        <f ca="1">IFERROR(__xludf.DUMMYFUNCTION("""COMPUTED_VALUE"""),39104.6666666666)</f>
        <v>39104.666666666599</v>
      </c>
      <c r="B517" s="1">
        <f ca="1">IFERROR(__xludf.DUMMYFUNCTION("""COMPUTED_VALUE"""),1.85)</f>
        <v>1.85</v>
      </c>
    </row>
    <row r="518" spans="1:2">
      <c r="A518" s="3">
        <f ca="1">IFERROR(__xludf.DUMMYFUNCTION("""COMPUTED_VALUE"""),39105.6666666666)</f>
        <v>39105.666666666599</v>
      </c>
      <c r="B518" s="1">
        <f ca="1">IFERROR(__xludf.DUMMYFUNCTION("""COMPUTED_VALUE"""),1.82)</f>
        <v>1.82</v>
      </c>
    </row>
    <row r="519" spans="1:2">
      <c r="A519" s="3">
        <f ca="1">IFERROR(__xludf.DUMMYFUNCTION("""COMPUTED_VALUE"""),39106.6666666666)</f>
        <v>39106.666666666599</v>
      </c>
      <c r="B519" s="1">
        <f ca="1">IFERROR(__xludf.DUMMYFUNCTION("""COMPUTED_VALUE"""),1.86)</f>
        <v>1.86</v>
      </c>
    </row>
    <row r="520" spans="1:2">
      <c r="A520" s="3">
        <f ca="1">IFERROR(__xludf.DUMMYFUNCTION("""COMPUTED_VALUE"""),39107.6666666666)</f>
        <v>39107.666666666599</v>
      </c>
      <c r="B520" s="1">
        <f ca="1">IFERROR(__xludf.DUMMYFUNCTION("""COMPUTED_VALUE"""),1.85)</f>
        <v>1.85</v>
      </c>
    </row>
    <row r="521" spans="1:2">
      <c r="A521" s="3">
        <f ca="1">IFERROR(__xludf.DUMMYFUNCTION("""COMPUTED_VALUE"""),39108.6666666666)</f>
        <v>39108.666666666599</v>
      </c>
      <c r="B521" s="1">
        <f ca="1">IFERROR(__xludf.DUMMYFUNCTION("""COMPUTED_VALUE"""),1.84)</f>
        <v>1.84</v>
      </c>
    </row>
    <row r="522" spans="1:2">
      <c r="A522" s="3">
        <f ca="1">IFERROR(__xludf.DUMMYFUNCTION("""COMPUTED_VALUE"""),39111.6666666666)</f>
        <v>39111.666666666599</v>
      </c>
      <c r="B522" s="1">
        <f ca="1">IFERROR(__xludf.DUMMYFUNCTION("""COMPUTED_VALUE"""),1.87)</f>
        <v>1.87</v>
      </c>
    </row>
    <row r="523" spans="1:2">
      <c r="A523" s="3">
        <f ca="1">IFERROR(__xludf.DUMMYFUNCTION("""COMPUTED_VALUE"""),39112.6666666666)</f>
        <v>39112.666666666599</v>
      </c>
      <c r="B523" s="1">
        <f ca="1">IFERROR(__xludf.DUMMYFUNCTION("""COMPUTED_VALUE"""),1.85)</f>
        <v>1.85</v>
      </c>
    </row>
    <row r="524" spans="1:2">
      <c r="A524" s="3">
        <f ca="1">IFERROR(__xludf.DUMMYFUNCTION("""COMPUTED_VALUE"""),39113.6666666666)</f>
        <v>39113.666666666599</v>
      </c>
      <c r="B524" s="1">
        <f ca="1">IFERROR(__xludf.DUMMYFUNCTION("""COMPUTED_VALUE"""),1.88)</f>
        <v>1.88</v>
      </c>
    </row>
    <row r="525" spans="1:2">
      <c r="A525" s="3">
        <f ca="1">IFERROR(__xludf.DUMMYFUNCTION("""COMPUTED_VALUE"""),39114.6666666666)</f>
        <v>39114.666666666599</v>
      </c>
      <c r="B525" s="1">
        <f ca="1">IFERROR(__xludf.DUMMYFUNCTION("""COMPUTED_VALUE"""),1.94)</f>
        <v>1.94</v>
      </c>
    </row>
    <row r="526" spans="1:2">
      <c r="A526" s="3">
        <f ca="1">IFERROR(__xludf.DUMMYFUNCTION("""COMPUTED_VALUE"""),39115.6666666666)</f>
        <v>39115.666666666599</v>
      </c>
      <c r="B526" s="1">
        <f ca="1">IFERROR(__xludf.DUMMYFUNCTION("""COMPUTED_VALUE"""),1.87)</f>
        <v>1.87</v>
      </c>
    </row>
    <row r="527" spans="1:2">
      <c r="A527" s="3">
        <f ca="1">IFERROR(__xludf.DUMMYFUNCTION("""COMPUTED_VALUE"""),39118.6666666666)</f>
        <v>39118.666666666599</v>
      </c>
      <c r="B527" s="1">
        <f ca="1">IFERROR(__xludf.DUMMYFUNCTION("""COMPUTED_VALUE"""),1.86)</f>
        <v>1.86</v>
      </c>
    </row>
    <row r="528" spans="1:2">
      <c r="A528" s="3">
        <f ca="1">IFERROR(__xludf.DUMMYFUNCTION("""COMPUTED_VALUE"""),39119.6666666666)</f>
        <v>39119.666666666599</v>
      </c>
      <c r="B528" s="1">
        <f ca="1">IFERROR(__xludf.DUMMYFUNCTION("""COMPUTED_VALUE"""),1.91)</f>
        <v>1.91</v>
      </c>
    </row>
    <row r="529" spans="1:2">
      <c r="A529" s="3">
        <f ca="1">IFERROR(__xludf.DUMMYFUNCTION("""COMPUTED_VALUE"""),39120.6666666666)</f>
        <v>39120.666666666599</v>
      </c>
      <c r="B529" s="1">
        <f ca="1">IFERROR(__xludf.DUMMYFUNCTION("""COMPUTED_VALUE"""),1.95)</f>
        <v>1.95</v>
      </c>
    </row>
    <row r="530" spans="1:2">
      <c r="A530" s="3">
        <f ca="1">IFERROR(__xludf.DUMMYFUNCTION("""COMPUTED_VALUE"""),39121.6666666666)</f>
        <v>39121.666666666599</v>
      </c>
      <c r="B530" s="1">
        <f ca="1">IFERROR(__xludf.DUMMYFUNCTION("""COMPUTED_VALUE"""),1.96)</f>
        <v>1.96</v>
      </c>
    </row>
    <row r="531" spans="1:2">
      <c r="A531" s="3">
        <f ca="1">IFERROR(__xludf.DUMMYFUNCTION("""COMPUTED_VALUE"""),39122.6666666666)</f>
        <v>39122.666666666599</v>
      </c>
      <c r="B531" s="1">
        <f ca="1">IFERROR(__xludf.DUMMYFUNCTION("""COMPUTED_VALUE"""),1.94)</f>
        <v>1.94</v>
      </c>
    </row>
    <row r="532" spans="1:2">
      <c r="A532" s="3">
        <f ca="1">IFERROR(__xludf.DUMMYFUNCTION("""COMPUTED_VALUE"""),39125.6666666666)</f>
        <v>39125.666666666599</v>
      </c>
      <c r="B532" s="1">
        <f ca="1">IFERROR(__xludf.DUMMYFUNCTION("""COMPUTED_VALUE"""),1.94)</f>
        <v>1.94</v>
      </c>
    </row>
    <row r="533" spans="1:2">
      <c r="A533" s="3">
        <f ca="1">IFERROR(__xludf.DUMMYFUNCTION("""COMPUTED_VALUE"""),39126.6666666666)</f>
        <v>39126.666666666599</v>
      </c>
      <c r="B533" s="1">
        <f ca="1">IFERROR(__xludf.DUMMYFUNCTION("""COMPUTED_VALUE"""),1.97)</f>
        <v>1.97</v>
      </c>
    </row>
    <row r="534" spans="1:2">
      <c r="A534" s="3">
        <f ca="1">IFERROR(__xludf.DUMMYFUNCTION("""COMPUTED_VALUE"""),39127.6666666666)</f>
        <v>39127.666666666599</v>
      </c>
      <c r="B534" s="1">
        <f ca="1">IFERROR(__xludf.DUMMYFUNCTION("""COMPUTED_VALUE"""),2.01)</f>
        <v>2.0099999999999998</v>
      </c>
    </row>
    <row r="535" spans="1:2">
      <c r="A535" s="3">
        <f ca="1">IFERROR(__xludf.DUMMYFUNCTION("""COMPUTED_VALUE"""),39128.6666666666)</f>
        <v>39128.666666666599</v>
      </c>
      <c r="B535" s="1">
        <f ca="1">IFERROR(__xludf.DUMMYFUNCTION("""COMPUTED_VALUE"""),2)</f>
        <v>2</v>
      </c>
    </row>
    <row r="536" spans="1:2">
      <c r="A536" s="3">
        <f ca="1">IFERROR(__xludf.DUMMYFUNCTION("""COMPUTED_VALUE"""),39129.6666666666)</f>
        <v>39129.666666666599</v>
      </c>
      <c r="B536" s="1">
        <f ca="1">IFERROR(__xludf.DUMMYFUNCTION("""COMPUTED_VALUE"""),2.02)</f>
        <v>2.02</v>
      </c>
    </row>
    <row r="537" spans="1:2">
      <c r="A537" s="3">
        <f ca="1">IFERROR(__xludf.DUMMYFUNCTION("""COMPUTED_VALUE"""),39133.6666666666)</f>
        <v>39133.666666666599</v>
      </c>
      <c r="B537" s="1">
        <f ca="1">IFERROR(__xludf.DUMMYFUNCTION("""COMPUTED_VALUE"""),2.08)</f>
        <v>2.08</v>
      </c>
    </row>
    <row r="538" spans="1:2">
      <c r="A538" s="3">
        <f ca="1">IFERROR(__xludf.DUMMYFUNCTION("""COMPUTED_VALUE"""),39134.6666666666)</f>
        <v>39134.666666666599</v>
      </c>
      <c r="B538" s="1">
        <f ca="1">IFERROR(__xludf.DUMMYFUNCTION("""COMPUTED_VALUE"""),2.06)</f>
        <v>2.06</v>
      </c>
    </row>
    <row r="539" spans="1:2">
      <c r="A539" s="3">
        <f ca="1">IFERROR(__xludf.DUMMYFUNCTION("""COMPUTED_VALUE"""),39135.6666666666)</f>
        <v>39135.666666666599</v>
      </c>
      <c r="B539" s="1">
        <f ca="1">IFERROR(__xludf.DUMMYFUNCTION("""COMPUTED_VALUE"""),2.05)</f>
        <v>2.0499999999999998</v>
      </c>
    </row>
    <row r="540" spans="1:2">
      <c r="A540" s="3">
        <f ca="1">IFERROR(__xludf.DUMMYFUNCTION("""COMPUTED_VALUE"""),39136.6666666666)</f>
        <v>39136.666666666599</v>
      </c>
      <c r="B540" s="1">
        <f ca="1">IFERROR(__xludf.DUMMYFUNCTION("""COMPUTED_VALUE"""),2.04)</f>
        <v>2.04</v>
      </c>
    </row>
    <row r="541" spans="1:2">
      <c r="A541" s="3">
        <f ca="1">IFERROR(__xludf.DUMMYFUNCTION("""COMPUTED_VALUE"""),39139.6666666666)</f>
        <v>39139.666666666599</v>
      </c>
      <c r="B541" s="1">
        <f ca="1">IFERROR(__xludf.DUMMYFUNCTION("""COMPUTED_VALUE"""),2.04)</f>
        <v>2.04</v>
      </c>
    </row>
    <row r="542" spans="1:2">
      <c r="A542" s="3">
        <f ca="1">IFERROR(__xludf.DUMMYFUNCTION("""COMPUTED_VALUE"""),39140.6666666666)</f>
        <v>39140.666666666599</v>
      </c>
      <c r="B542" s="1">
        <f ca="1">IFERROR(__xludf.DUMMYFUNCTION("""COMPUTED_VALUE"""),1.94)</f>
        <v>1.94</v>
      </c>
    </row>
    <row r="543" spans="1:2">
      <c r="A543" s="3">
        <f ca="1">IFERROR(__xludf.DUMMYFUNCTION("""COMPUTED_VALUE"""),39141.6666666666)</f>
        <v>39141.666666666599</v>
      </c>
      <c r="B543" s="1">
        <f ca="1">IFERROR(__xludf.DUMMYFUNCTION("""COMPUTED_VALUE"""),1.96)</f>
        <v>1.96</v>
      </c>
    </row>
    <row r="544" spans="1:2">
      <c r="A544" s="3">
        <f ca="1">IFERROR(__xludf.DUMMYFUNCTION("""COMPUTED_VALUE"""),39142.6666666666)</f>
        <v>39142.666666666599</v>
      </c>
      <c r="B544" s="1">
        <f ca="1">IFERROR(__xludf.DUMMYFUNCTION("""COMPUTED_VALUE"""),1.94)</f>
        <v>1.94</v>
      </c>
    </row>
    <row r="545" spans="1:2">
      <c r="A545" s="3">
        <f ca="1">IFERROR(__xludf.DUMMYFUNCTION("""COMPUTED_VALUE"""),39143.6666666666)</f>
        <v>39143.666666666599</v>
      </c>
      <c r="B545" s="1">
        <f ca="1">IFERROR(__xludf.DUMMYFUNCTION("""COMPUTED_VALUE"""),1.88)</f>
        <v>1.88</v>
      </c>
    </row>
    <row r="546" spans="1:2">
      <c r="A546" s="3">
        <f ca="1">IFERROR(__xludf.DUMMYFUNCTION("""COMPUTED_VALUE"""),39146.6666666666)</f>
        <v>39146.666666666599</v>
      </c>
      <c r="B546" s="1">
        <f ca="1">IFERROR(__xludf.DUMMYFUNCTION("""COMPUTED_VALUE"""),1.85)</f>
        <v>1.85</v>
      </c>
    </row>
    <row r="547" spans="1:2">
      <c r="A547" s="3">
        <f ca="1">IFERROR(__xludf.DUMMYFUNCTION("""COMPUTED_VALUE"""),39147.6666666666)</f>
        <v>39147.666666666599</v>
      </c>
      <c r="B547" s="1">
        <f ca="1">IFERROR(__xludf.DUMMYFUNCTION("""COMPUTED_VALUE"""),1.93)</f>
        <v>1.93</v>
      </c>
    </row>
    <row r="548" spans="1:2">
      <c r="A548" s="3">
        <f ca="1">IFERROR(__xludf.DUMMYFUNCTION("""COMPUTED_VALUE"""),39148.6666666666)</f>
        <v>39148.666666666599</v>
      </c>
      <c r="B548" s="1">
        <f ca="1">IFERROR(__xludf.DUMMYFUNCTION("""COMPUTED_VALUE"""),1.92)</f>
        <v>1.92</v>
      </c>
    </row>
    <row r="549" spans="1:2">
      <c r="A549" s="3">
        <f ca="1">IFERROR(__xludf.DUMMYFUNCTION("""COMPUTED_VALUE"""),39149.6666666666)</f>
        <v>39149.666666666599</v>
      </c>
      <c r="B549" s="1">
        <f ca="1">IFERROR(__xludf.DUMMYFUNCTION("""COMPUTED_VALUE"""),1.91)</f>
        <v>1.91</v>
      </c>
    </row>
    <row r="550" spans="1:2">
      <c r="A550" s="3">
        <f ca="1">IFERROR(__xludf.DUMMYFUNCTION("""COMPUTED_VALUE"""),39150.6666666666)</f>
        <v>39150.666666666599</v>
      </c>
      <c r="B550" s="1">
        <f ca="1">IFERROR(__xludf.DUMMYFUNCTION("""COMPUTED_VALUE"""),1.94)</f>
        <v>1.94</v>
      </c>
    </row>
    <row r="551" spans="1:2">
      <c r="A551" s="3">
        <f ca="1">IFERROR(__xludf.DUMMYFUNCTION("""COMPUTED_VALUE"""),39153.6666666666)</f>
        <v>39153.666666666599</v>
      </c>
      <c r="B551" s="1">
        <f ca="1">IFERROR(__xludf.DUMMYFUNCTION("""COMPUTED_VALUE"""),1.94)</f>
        <v>1.94</v>
      </c>
    </row>
    <row r="552" spans="1:2">
      <c r="A552" s="3">
        <f ca="1">IFERROR(__xludf.DUMMYFUNCTION("""COMPUTED_VALUE"""),39154.6666666666)</f>
        <v>39154.666666666599</v>
      </c>
      <c r="B552" s="1">
        <f ca="1">IFERROR(__xludf.DUMMYFUNCTION("""COMPUTED_VALUE"""),1.89)</f>
        <v>1.89</v>
      </c>
    </row>
    <row r="553" spans="1:2">
      <c r="A553" s="3">
        <f ca="1">IFERROR(__xludf.DUMMYFUNCTION("""COMPUTED_VALUE"""),39155.6666666666)</f>
        <v>39155.666666666599</v>
      </c>
      <c r="B553" s="1">
        <f ca="1">IFERROR(__xludf.DUMMYFUNCTION("""COMPUTED_VALUE"""),1.9)</f>
        <v>1.9</v>
      </c>
    </row>
    <row r="554" spans="1:2">
      <c r="A554" s="3">
        <f ca="1">IFERROR(__xludf.DUMMYFUNCTION("""COMPUTED_VALUE"""),39156.6666666666)</f>
        <v>39156.666666666599</v>
      </c>
      <c r="B554" s="1">
        <f ca="1">IFERROR(__xludf.DUMMYFUNCTION("""COMPUTED_VALUE"""),1.89)</f>
        <v>1.89</v>
      </c>
    </row>
    <row r="555" spans="1:2">
      <c r="A555" s="3">
        <f ca="1">IFERROR(__xludf.DUMMYFUNCTION("""COMPUTED_VALUE"""),39157.6666666666)</f>
        <v>39157.666666666599</v>
      </c>
      <c r="B555" s="1">
        <f ca="1">IFERROR(__xludf.DUMMYFUNCTION("""COMPUTED_VALUE"""),1.89)</f>
        <v>1.89</v>
      </c>
    </row>
    <row r="556" spans="1:2">
      <c r="A556" s="3">
        <f ca="1">IFERROR(__xludf.DUMMYFUNCTION("""COMPUTED_VALUE"""),39160.6666666666)</f>
        <v>39160.666666666599</v>
      </c>
      <c r="B556" s="1">
        <f ca="1">IFERROR(__xludf.DUMMYFUNCTION("""COMPUTED_VALUE"""),1.92)</f>
        <v>1.92</v>
      </c>
    </row>
    <row r="557" spans="1:2">
      <c r="A557" s="3">
        <f ca="1">IFERROR(__xludf.DUMMYFUNCTION("""COMPUTED_VALUE"""),39161.6666666666)</f>
        <v>39161.666666666599</v>
      </c>
      <c r="B557" s="1">
        <f ca="1">IFERROR(__xludf.DUMMYFUNCTION("""COMPUTED_VALUE"""),1.93)</f>
        <v>1.93</v>
      </c>
    </row>
    <row r="558" spans="1:2">
      <c r="A558" s="3">
        <f ca="1">IFERROR(__xludf.DUMMYFUNCTION("""COMPUTED_VALUE"""),39162.6666666666)</f>
        <v>39162.666666666599</v>
      </c>
      <c r="B558" s="1">
        <f ca="1">IFERROR(__xludf.DUMMYFUNCTION("""COMPUTED_VALUE"""),1.99)</f>
        <v>1.99</v>
      </c>
    </row>
    <row r="559" spans="1:2">
      <c r="A559" s="3">
        <f ca="1">IFERROR(__xludf.DUMMYFUNCTION("""COMPUTED_VALUE"""),39163.6666666666)</f>
        <v>39163.666666666599</v>
      </c>
      <c r="B559" s="1">
        <f ca="1">IFERROR(__xludf.DUMMYFUNCTION("""COMPUTED_VALUE"""),1.97)</f>
        <v>1.97</v>
      </c>
    </row>
    <row r="560" spans="1:2">
      <c r="A560" s="3">
        <f ca="1">IFERROR(__xludf.DUMMYFUNCTION("""COMPUTED_VALUE"""),39164.6666666666)</f>
        <v>39164.666666666599</v>
      </c>
      <c r="B560" s="1">
        <f ca="1">IFERROR(__xludf.DUMMYFUNCTION("""COMPUTED_VALUE"""),1.95)</f>
        <v>1.95</v>
      </c>
    </row>
    <row r="561" spans="1:2">
      <c r="A561" s="3">
        <f ca="1">IFERROR(__xludf.DUMMYFUNCTION("""COMPUTED_VALUE"""),39167.6666666666)</f>
        <v>39167.666666666599</v>
      </c>
      <c r="B561" s="1">
        <f ca="1">IFERROR(__xludf.DUMMYFUNCTION("""COMPUTED_VALUE"""),1.95)</f>
        <v>1.95</v>
      </c>
    </row>
    <row r="562" spans="1:2">
      <c r="A562" s="3">
        <f ca="1">IFERROR(__xludf.DUMMYFUNCTION("""COMPUTED_VALUE"""),39168.6666666666)</f>
        <v>39168.666666666599</v>
      </c>
      <c r="B562" s="1">
        <f ca="1">IFERROR(__xludf.DUMMYFUNCTION("""COMPUTED_VALUE"""),1.97)</f>
        <v>1.97</v>
      </c>
    </row>
    <row r="563" spans="1:2">
      <c r="A563" s="3">
        <f ca="1">IFERROR(__xludf.DUMMYFUNCTION("""COMPUTED_VALUE"""),39169.6666666666)</f>
        <v>39169.666666666599</v>
      </c>
      <c r="B563" s="1">
        <f ca="1">IFERROR(__xludf.DUMMYFUNCTION("""COMPUTED_VALUE"""),1.97)</f>
        <v>1.97</v>
      </c>
    </row>
    <row r="564" spans="1:2">
      <c r="A564" s="3">
        <f ca="1">IFERROR(__xludf.DUMMYFUNCTION("""COMPUTED_VALUE"""),39170.6666666666)</f>
        <v>39170.666666666599</v>
      </c>
      <c r="B564" s="1">
        <f ca="1">IFERROR(__xludf.DUMMYFUNCTION("""COMPUTED_VALUE"""),1.99)</f>
        <v>1.99</v>
      </c>
    </row>
    <row r="565" spans="1:2">
      <c r="A565" s="3">
        <f ca="1">IFERROR(__xludf.DUMMYFUNCTION("""COMPUTED_VALUE"""),39171.6666666666)</f>
        <v>39171.666666666599</v>
      </c>
      <c r="B565" s="1">
        <f ca="1">IFERROR(__xludf.DUMMYFUNCTION("""COMPUTED_VALUE"""),1.99)</f>
        <v>1.99</v>
      </c>
    </row>
    <row r="566" spans="1:2">
      <c r="A566" s="3">
        <f ca="1">IFERROR(__xludf.DUMMYFUNCTION("""COMPUTED_VALUE"""),39174.6666666666)</f>
        <v>39174.666666666599</v>
      </c>
      <c r="B566" s="1">
        <f ca="1">IFERROR(__xludf.DUMMYFUNCTION("""COMPUTED_VALUE"""),2.02)</f>
        <v>2.02</v>
      </c>
    </row>
    <row r="567" spans="1:2">
      <c r="A567" s="3">
        <f ca="1">IFERROR(__xludf.DUMMYFUNCTION("""COMPUTED_VALUE"""),39175.6666666666)</f>
        <v>39175.666666666599</v>
      </c>
      <c r="B567" s="1">
        <f ca="1">IFERROR(__xludf.DUMMYFUNCTION("""COMPUTED_VALUE"""),2.06)</f>
        <v>2.06</v>
      </c>
    </row>
    <row r="568" spans="1:2">
      <c r="A568" s="3">
        <f ca="1">IFERROR(__xludf.DUMMYFUNCTION("""COMPUTED_VALUE"""),39176.6666666666)</f>
        <v>39176.666666666599</v>
      </c>
      <c r="B568" s="1">
        <f ca="1">IFERROR(__xludf.DUMMYFUNCTION("""COMPUTED_VALUE"""),2.08)</f>
        <v>2.08</v>
      </c>
    </row>
    <row r="569" spans="1:2">
      <c r="A569" s="3">
        <f ca="1">IFERROR(__xludf.DUMMYFUNCTION("""COMPUTED_VALUE"""),39177.6666666666)</f>
        <v>39177.666666666599</v>
      </c>
      <c r="B569" s="1">
        <f ca="1">IFERROR(__xludf.DUMMYFUNCTION("""COMPUTED_VALUE"""),2.08)</f>
        <v>2.08</v>
      </c>
    </row>
    <row r="570" spans="1:2">
      <c r="A570" s="3">
        <f ca="1">IFERROR(__xludf.DUMMYFUNCTION("""COMPUTED_VALUE"""),39181.6666666666)</f>
        <v>39181.666666666599</v>
      </c>
      <c r="B570" s="1">
        <f ca="1">IFERROR(__xludf.DUMMYFUNCTION("""COMPUTED_VALUE"""),2.08)</f>
        <v>2.08</v>
      </c>
    </row>
    <row r="571" spans="1:2">
      <c r="A571" s="3">
        <f ca="1">IFERROR(__xludf.DUMMYFUNCTION("""COMPUTED_VALUE"""),39182.6666666666)</f>
        <v>39182.666666666599</v>
      </c>
      <c r="B571" s="1">
        <f ca="1">IFERROR(__xludf.DUMMYFUNCTION("""COMPUTED_VALUE"""),2.09)</f>
        <v>2.09</v>
      </c>
    </row>
    <row r="572" spans="1:2">
      <c r="A572" s="3">
        <f ca="1">IFERROR(__xludf.DUMMYFUNCTION("""COMPUTED_VALUE"""),39183.6666666666)</f>
        <v>39183.666666666599</v>
      </c>
      <c r="B572" s="1">
        <f ca="1">IFERROR(__xludf.DUMMYFUNCTION("""COMPUTED_VALUE"""),2.08)</f>
        <v>2.08</v>
      </c>
    </row>
    <row r="573" spans="1:2">
      <c r="A573" s="3">
        <f ca="1">IFERROR(__xludf.DUMMYFUNCTION("""COMPUTED_VALUE"""),39184.6666666666)</f>
        <v>39184.666666666599</v>
      </c>
      <c r="B573" s="1">
        <f ca="1">IFERROR(__xludf.DUMMYFUNCTION("""COMPUTED_VALUE"""),2.11)</f>
        <v>2.11</v>
      </c>
    </row>
    <row r="574" spans="1:2">
      <c r="A574" s="3">
        <f ca="1">IFERROR(__xludf.DUMMYFUNCTION("""COMPUTED_VALUE"""),39185.6666666666)</f>
        <v>39185.666666666599</v>
      </c>
      <c r="B574" s="1">
        <f ca="1">IFERROR(__xludf.DUMMYFUNCTION("""COMPUTED_VALUE"""),2.12)</f>
        <v>2.12</v>
      </c>
    </row>
    <row r="575" spans="1:2">
      <c r="A575" s="3">
        <f ca="1">IFERROR(__xludf.DUMMYFUNCTION("""COMPUTED_VALUE"""),39188.6666666666)</f>
        <v>39188.666666666599</v>
      </c>
      <c r="B575" s="1">
        <f ca="1">IFERROR(__xludf.DUMMYFUNCTION("""COMPUTED_VALUE"""),2.26)</f>
        <v>2.2599999999999998</v>
      </c>
    </row>
    <row r="576" spans="1:2">
      <c r="A576" s="3">
        <f ca="1">IFERROR(__xludf.DUMMYFUNCTION("""COMPUTED_VALUE"""),39189.6666666666)</f>
        <v>39189.666666666599</v>
      </c>
      <c r="B576" s="1">
        <f ca="1">IFERROR(__xludf.DUMMYFUNCTION("""COMPUTED_VALUE"""),2.25)</f>
        <v>2.25</v>
      </c>
    </row>
    <row r="577" spans="1:2">
      <c r="A577" s="3">
        <f ca="1">IFERROR(__xludf.DUMMYFUNCTION("""COMPUTED_VALUE"""),39190.6666666666)</f>
        <v>39190.666666666599</v>
      </c>
      <c r="B577" s="1">
        <f ca="1">IFERROR(__xludf.DUMMYFUNCTION("""COMPUTED_VALUE"""),2.25)</f>
        <v>2.25</v>
      </c>
    </row>
    <row r="578" spans="1:2">
      <c r="A578" s="3">
        <f ca="1">IFERROR(__xludf.DUMMYFUNCTION("""COMPUTED_VALUE"""),39191.6666666666)</f>
        <v>39191.666666666599</v>
      </c>
      <c r="B578" s="1">
        <f ca="1">IFERROR(__xludf.DUMMYFUNCTION("""COMPUTED_VALUE"""),2.23)</f>
        <v>2.23</v>
      </c>
    </row>
    <row r="579" spans="1:2">
      <c r="A579" s="3">
        <f ca="1">IFERROR(__xludf.DUMMYFUNCTION("""COMPUTED_VALUE"""),39192.6666666666)</f>
        <v>39192.666666666599</v>
      </c>
      <c r="B579" s="1">
        <f ca="1">IFERROR(__xludf.DUMMYFUNCTION("""COMPUTED_VALUE"""),2.25)</f>
        <v>2.25</v>
      </c>
    </row>
    <row r="580" spans="1:2">
      <c r="A580" s="3">
        <f ca="1">IFERROR(__xludf.DUMMYFUNCTION("""COMPUTED_VALUE"""),39195.6666666666)</f>
        <v>39195.666666666599</v>
      </c>
      <c r="B580" s="1">
        <f ca="1">IFERROR(__xludf.DUMMYFUNCTION("""COMPUTED_VALUE"""),2.24)</f>
        <v>2.2400000000000002</v>
      </c>
    </row>
    <row r="581" spans="1:2">
      <c r="A581" s="3">
        <f ca="1">IFERROR(__xludf.DUMMYFUNCTION("""COMPUTED_VALUE"""),39196.6666666666)</f>
        <v>39196.666666666599</v>
      </c>
      <c r="B581" s="1">
        <f ca="1">IFERROR(__xludf.DUMMYFUNCTION("""COMPUTED_VALUE"""),2.24)</f>
        <v>2.2400000000000002</v>
      </c>
    </row>
    <row r="582" spans="1:2">
      <c r="A582" s="3">
        <f ca="1">IFERROR(__xludf.DUMMYFUNCTION("""COMPUTED_VALUE"""),39197.6666666666)</f>
        <v>39197.666666666599</v>
      </c>
      <c r="B582" s="1">
        <f ca="1">IFERROR(__xludf.DUMMYFUNCTION("""COMPUTED_VALUE"""),2.84)</f>
        <v>2.84</v>
      </c>
    </row>
    <row r="583" spans="1:2">
      <c r="A583" s="3">
        <f ca="1">IFERROR(__xludf.DUMMYFUNCTION("""COMPUTED_VALUE"""),39198.6666666666)</f>
        <v>39198.666666666599</v>
      </c>
      <c r="B583" s="1">
        <f ca="1">IFERROR(__xludf.DUMMYFUNCTION("""COMPUTED_VALUE"""),3.14)</f>
        <v>3.14</v>
      </c>
    </row>
    <row r="584" spans="1:2">
      <c r="A584" s="3">
        <f ca="1">IFERROR(__xludf.DUMMYFUNCTION("""COMPUTED_VALUE"""),39199.6666666666)</f>
        <v>39199.666666666599</v>
      </c>
      <c r="B584" s="1">
        <f ca="1">IFERROR(__xludf.DUMMYFUNCTION("""COMPUTED_VALUE"""),3.13)</f>
        <v>3.13</v>
      </c>
    </row>
    <row r="585" spans="1:2">
      <c r="A585" s="3">
        <f ca="1">IFERROR(__xludf.DUMMYFUNCTION("""COMPUTED_VALUE"""),39202.6666666666)</f>
        <v>39202.666666666599</v>
      </c>
      <c r="B585" s="1">
        <f ca="1">IFERROR(__xludf.DUMMYFUNCTION("""COMPUTED_VALUE"""),3.07)</f>
        <v>3.07</v>
      </c>
    </row>
    <row r="586" spans="1:2">
      <c r="A586" s="3">
        <f ca="1">IFERROR(__xludf.DUMMYFUNCTION("""COMPUTED_VALUE"""),39203.6666666666)</f>
        <v>39203.666666666599</v>
      </c>
      <c r="B586" s="1">
        <f ca="1">IFERROR(__xludf.DUMMYFUNCTION("""COMPUTED_VALUE"""),3.06)</f>
        <v>3.06</v>
      </c>
    </row>
    <row r="587" spans="1:2">
      <c r="A587" s="3">
        <f ca="1">IFERROR(__xludf.DUMMYFUNCTION("""COMPUTED_VALUE"""),39204.6666666666)</f>
        <v>39204.666666666599</v>
      </c>
      <c r="B587" s="1">
        <f ca="1">IFERROR(__xludf.DUMMYFUNCTION("""COMPUTED_VALUE"""),3.06)</f>
        <v>3.06</v>
      </c>
    </row>
    <row r="588" spans="1:2">
      <c r="A588" s="3">
        <f ca="1">IFERROR(__xludf.DUMMYFUNCTION("""COMPUTED_VALUE"""),39205.6666666666)</f>
        <v>39205.666666666599</v>
      </c>
      <c r="B588" s="1">
        <f ca="1">IFERROR(__xludf.DUMMYFUNCTION("""COMPUTED_VALUE"""),3.11)</f>
        <v>3.11</v>
      </c>
    </row>
    <row r="589" spans="1:2">
      <c r="A589" s="3">
        <f ca="1">IFERROR(__xludf.DUMMYFUNCTION("""COMPUTED_VALUE"""),39206.6666666666)</f>
        <v>39206.666666666599</v>
      </c>
      <c r="B589" s="1">
        <f ca="1">IFERROR(__xludf.DUMMYFUNCTION("""COMPUTED_VALUE"""),3.16)</f>
        <v>3.16</v>
      </c>
    </row>
    <row r="590" spans="1:2">
      <c r="A590" s="3">
        <f ca="1">IFERROR(__xludf.DUMMYFUNCTION("""COMPUTED_VALUE"""),39209.6666666666)</f>
        <v>39209.666666666599</v>
      </c>
      <c r="B590" s="1">
        <f ca="1">IFERROR(__xludf.DUMMYFUNCTION("""COMPUTED_VALUE"""),3.04)</f>
        <v>3.04</v>
      </c>
    </row>
    <row r="591" spans="1:2">
      <c r="A591" s="3">
        <f ca="1">IFERROR(__xludf.DUMMYFUNCTION("""COMPUTED_VALUE"""),39210.6666666666)</f>
        <v>39210.666666666599</v>
      </c>
      <c r="B591" s="1">
        <f ca="1">IFERROR(__xludf.DUMMYFUNCTION("""COMPUTED_VALUE"""),3.09)</f>
        <v>3.09</v>
      </c>
    </row>
    <row r="592" spans="1:2">
      <c r="A592" s="3">
        <f ca="1">IFERROR(__xludf.DUMMYFUNCTION("""COMPUTED_VALUE"""),39211.6666666666)</f>
        <v>39211.666666666599</v>
      </c>
      <c r="B592" s="1">
        <f ca="1">IFERROR(__xludf.DUMMYFUNCTION("""COMPUTED_VALUE"""),3.14)</f>
        <v>3.14</v>
      </c>
    </row>
    <row r="593" spans="1:2">
      <c r="A593" s="3">
        <f ca="1">IFERROR(__xludf.DUMMYFUNCTION("""COMPUTED_VALUE"""),39212.6666666666)</f>
        <v>39212.666666666599</v>
      </c>
      <c r="B593" s="1">
        <f ca="1">IFERROR(__xludf.DUMMYFUNCTION("""COMPUTED_VALUE"""),3.05)</f>
        <v>3.05</v>
      </c>
    </row>
    <row r="594" spans="1:2">
      <c r="A594" s="3">
        <f ca="1">IFERROR(__xludf.DUMMYFUNCTION("""COMPUTED_VALUE"""),39213.6666666666)</f>
        <v>39213.666666666599</v>
      </c>
      <c r="B594" s="1">
        <f ca="1">IFERROR(__xludf.DUMMYFUNCTION("""COMPUTED_VALUE"""),3.08)</f>
        <v>3.08</v>
      </c>
    </row>
    <row r="595" spans="1:2">
      <c r="A595" s="3">
        <f ca="1">IFERROR(__xludf.DUMMYFUNCTION("""COMPUTED_VALUE"""),39216.6666666666)</f>
        <v>39216.666666666599</v>
      </c>
      <c r="B595" s="1">
        <f ca="1">IFERROR(__xludf.DUMMYFUNCTION("""COMPUTED_VALUE"""),3.09)</f>
        <v>3.09</v>
      </c>
    </row>
    <row r="596" spans="1:2">
      <c r="A596" s="3">
        <f ca="1">IFERROR(__xludf.DUMMYFUNCTION("""COMPUTED_VALUE"""),39217.6666666666)</f>
        <v>39217.666666666599</v>
      </c>
      <c r="B596" s="1">
        <f ca="1">IFERROR(__xludf.DUMMYFUNCTION("""COMPUTED_VALUE"""),3.03)</f>
        <v>3.03</v>
      </c>
    </row>
    <row r="597" spans="1:2">
      <c r="A597" s="3">
        <f ca="1">IFERROR(__xludf.DUMMYFUNCTION("""COMPUTED_VALUE"""),39218.6666666666)</f>
        <v>39218.666666666599</v>
      </c>
      <c r="B597" s="1">
        <f ca="1">IFERROR(__xludf.DUMMYFUNCTION("""COMPUTED_VALUE"""),3.16)</f>
        <v>3.16</v>
      </c>
    </row>
    <row r="598" spans="1:2">
      <c r="A598" s="3">
        <f ca="1">IFERROR(__xludf.DUMMYFUNCTION("""COMPUTED_VALUE"""),39219.6666666666)</f>
        <v>39219.666666666599</v>
      </c>
      <c r="B598" s="1">
        <f ca="1">IFERROR(__xludf.DUMMYFUNCTION("""COMPUTED_VALUE"""),3.11)</f>
        <v>3.11</v>
      </c>
    </row>
    <row r="599" spans="1:2">
      <c r="A599" s="3">
        <f ca="1">IFERROR(__xludf.DUMMYFUNCTION("""COMPUTED_VALUE"""),39220.6666666666)</f>
        <v>39220.666666666599</v>
      </c>
      <c r="B599" s="1">
        <f ca="1">IFERROR(__xludf.DUMMYFUNCTION("""COMPUTED_VALUE"""),3.17)</f>
        <v>3.17</v>
      </c>
    </row>
    <row r="600" spans="1:2">
      <c r="A600" s="3">
        <f ca="1">IFERROR(__xludf.DUMMYFUNCTION("""COMPUTED_VALUE"""),39223.6666666666)</f>
        <v>39223.666666666599</v>
      </c>
      <c r="B600" s="1">
        <f ca="1">IFERROR(__xludf.DUMMYFUNCTION("""COMPUTED_VALUE"""),3.42)</f>
        <v>3.42</v>
      </c>
    </row>
    <row r="601" spans="1:2">
      <c r="A601" s="3">
        <f ca="1">IFERROR(__xludf.DUMMYFUNCTION("""COMPUTED_VALUE"""),39224.6666666666)</f>
        <v>39224.666666666599</v>
      </c>
      <c r="B601" s="1">
        <f ca="1">IFERROR(__xludf.DUMMYFUNCTION("""COMPUTED_VALUE"""),3.44)</f>
        <v>3.44</v>
      </c>
    </row>
    <row r="602" spans="1:2">
      <c r="A602" s="3">
        <f ca="1">IFERROR(__xludf.DUMMYFUNCTION("""COMPUTED_VALUE"""),39225.6666666666)</f>
        <v>39225.666666666599</v>
      </c>
      <c r="B602" s="1">
        <f ca="1">IFERROR(__xludf.DUMMYFUNCTION("""COMPUTED_VALUE"""),3.45)</f>
        <v>3.45</v>
      </c>
    </row>
    <row r="603" spans="1:2">
      <c r="A603" s="3">
        <f ca="1">IFERROR(__xludf.DUMMYFUNCTION("""COMPUTED_VALUE"""),39226.6666666666)</f>
        <v>39226.666666666599</v>
      </c>
      <c r="B603" s="1">
        <f ca="1">IFERROR(__xludf.DUMMYFUNCTION("""COMPUTED_VALUE"""),3.47)</f>
        <v>3.47</v>
      </c>
    </row>
    <row r="604" spans="1:2">
      <c r="A604" s="3">
        <f ca="1">IFERROR(__xludf.DUMMYFUNCTION("""COMPUTED_VALUE"""),39227.6666666666)</f>
        <v>39227.666666666599</v>
      </c>
      <c r="B604" s="1">
        <f ca="1">IFERROR(__xludf.DUMMYFUNCTION("""COMPUTED_VALUE"""),3.43)</f>
        <v>3.43</v>
      </c>
    </row>
    <row r="605" spans="1:2">
      <c r="A605" s="3">
        <f ca="1">IFERROR(__xludf.DUMMYFUNCTION("""COMPUTED_VALUE"""),39231.6666666666)</f>
        <v>39231.666666666599</v>
      </c>
      <c r="B605" s="1">
        <f ca="1">IFERROR(__xludf.DUMMYFUNCTION("""COMPUTED_VALUE"""),3.48)</f>
        <v>3.48</v>
      </c>
    </row>
    <row r="606" spans="1:2">
      <c r="A606" s="3">
        <f ca="1">IFERROR(__xludf.DUMMYFUNCTION("""COMPUTED_VALUE"""),39232.6666666666)</f>
        <v>39232.666666666599</v>
      </c>
      <c r="B606" s="1">
        <f ca="1">IFERROR(__xludf.DUMMYFUNCTION("""COMPUTED_VALUE"""),3.49)</f>
        <v>3.49</v>
      </c>
    </row>
    <row r="607" spans="1:2">
      <c r="A607" s="3">
        <f ca="1">IFERROR(__xludf.DUMMYFUNCTION("""COMPUTED_VALUE"""),39233.6666666666)</f>
        <v>39233.666666666599</v>
      </c>
      <c r="B607" s="1">
        <f ca="1">IFERROR(__xludf.DUMMYFUNCTION("""COMPUTED_VALUE"""),3.46)</f>
        <v>3.46</v>
      </c>
    </row>
    <row r="608" spans="1:2">
      <c r="A608" s="3">
        <f ca="1">IFERROR(__xludf.DUMMYFUNCTION("""COMPUTED_VALUE"""),39234.6666666666)</f>
        <v>39234.666666666599</v>
      </c>
      <c r="B608" s="1">
        <f ca="1">IFERROR(__xludf.DUMMYFUNCTION("""COMPUTED_VALUE"""),3.43)</f>
        <v>3.43</v>
      </c>
    </row>
    <row r="609" spans="1:2">
      <c r="A609" s="3">
        <f ca="1">IFERROR(__xludf.DUMMYFUNCTION("""COMPUTED_VALUE"""),39237.6666666666)</f>
        <v>39237.666666666599</v>
      </c>
      <c r="B609" s="1">
        <f ca="1">IFERROR(__xludf.DUMMYFUNCTION("""COMPUTED_VALUE"""),3.52)</f>
        <v>3.52</v>
      </c>
    </row>
    <row r="610" spans="1:2">
      <c r="A610" s="3">
        <f ca="1">IFERROR(__xludf.DUMMYFUNCTION("""COMPUTED_VALUE"""),39238.6666666666)</f>
        <v>39238.666666666599</v>
      </c>
      <c r="B610" s="1">
        <f ca="1">IFERROR(__xludf.DUMMYFUNCTION("""COMPUTED_VALUE"""),3.68)</f>
        <v>3.68</v>
      </c>
    </row>
    <row r="611" spans="1:2">
      <c r="A611" s="3">
        <f ca="1">IFERROR(__xludf.DUMMYFUNCTION("""COMPUTED_VALUE"""),39239.6666666666)</f>
        <v>39239.666666666599</v>
      </c>
      <c r="B611" s="1">
        <f ca="1">IFERROR(__xludf.DUMMYFUNCTION("""COMPUTED_VALUE"""),3.61)</f>
        <v>3.61</v>
      </c>
    </row>
    <row r="612" spans="1:2">
      <c r="A612" s="3">
        <f ca="1">IFERROR(__xludf.DUMMYFUNCTION("""COMPUTED_VALUE"""),39240.6666666666)</f>
        <v>39240.666666666599</v>
      </c>
      <c r="B612" s="1">
        <f ca="1">IFERROR(__xludf.DUMMYFUNCTION("""COMPUTED_VALUE"""),3.6)</f>
        <v>3.6</v>
      </c>
    </row>
    <row r="613" spans="1:2">
      <c r="A613" s="3">
        <f ca="1">IFERROR(__xludf.DUMMYFUNCTION("""COMPUTED_VALUE"""),39241.6666666666)</f>
        <v>39241.666666666599</v>
      </c>
      <c r="B613" s="1">
        <f ca="1">IFERROR(__xludf.DUMMYFUNCTION("""COMPUTED_VALUE"""),3.66)</f>
        <v>3.66</v>
      </c>
    </row>
    <row r="614" spans="1:2">
      <c r="A614" s="3">
        <f ca="1">IFERROR(__xludf.DUMMYFUNCTION("""COMPUTED_VALUE"""),39244.6666666666)</f>
        <v>39244.666666666599</v>
      </c>
      <c r="B614" s="1">
        <f ca="1">IFERROR(__xludf.DUMMYFUNCTION("""COMPUTED_VALUE"""),3.56)</f>
        <v>3.56</v>
      </c>
    </row>
    <row r="615" spans="1:2">
      <c r="A615" s="3">
        <f ca="1">IFERROR(__xludf.DUMMYFUNCTION("""COMPUTED_VALUE"""),39245.6666666666)</f>
        <v>39245.666666666599</v>
      </c>
      <c r="B615" s="1">
        <f ca="1">IFERROR(__xludf.DUMMYFUNCTION("""COMPUTED_VALUE"""),3.5)</f>
        <v>3.5</v>
      </c>
    </row>
    <row r="616" spans="1:2">
      <c r="A616" s="3">
        <f ca="1">IFERROR(__xludf.DUMMYFUNCTION("""COMPUTED_VALUE"""),39246.6666666666)</f>
        <v>39246.666666666599</v>
      </c>
      <c r="B616" s="1">
        <f ca="1">IFERROR(__xludf.DUMMYFUNCTION("""COMPUTED_VALUE"""),3.54)</f>
        <v>3.54</v>
      </c>
    </row>
    <row r="617" spans="1:2">
      <c r="A617" s="3">
        <f ca="1">IFERROR(__xludf.DUMMYFUNCTION("""COMPUTED_VALUE"""),39247.6666666666)</f>
        <v>39247.666666666599</v>
      </c>
      <c r="B617" s="1">
        <f ca="1">IFERROR(__xludf.DUMMYFUNCTION("""COMPUTED_VALUE"""),3.6)</f>
        <v>3.6</v>
      </c>
    </row>
    <row r="618" spans="1:2">
      <c r="A618" s="3">
        <f ca="1">IFERROR(__xludf.DUMMYFUNCTION("""COMPUTED_VALUE"""),39248.6666666666)</f>
        <v>39248.666666666599</v>
      </c>
      <c r="B618" s="1">
        <f ca="1">IFERROR(__xludf.DUMMYFUNCTION("""COMPUTED_VALUE"""),3.62)</f>
        <v>3.62</v>
      </c>
    </row>
    <row r="619" spans="1:2">
      <c r="A619" s="3">
        <f ca="1">IFERROR(__xludf.DUMMYFUNCTION("""COMPUTED_VALUE"""),39251.6666666666)</f>
        <v>39251.666666666599</v>
      </c>
      <c r="B619" s="1">
        <f ca="1">IFERROR(__xludf.DUMMYFUNCTION("""COMPUTED_VALUE"""),3.59)</f>
        <v>3.59</v>
      </c>
    </row>
    <row r="620" spans="1:2">
      <c r="A620" s="3">
        <f ca="1">IFERROR(__xludf.DUMMYFUNCTION("""COMPUTED_VALUE"""),39252.6666666666)</f>
        <v>39252.666666666599</v>
      </c>
      <c r="B620" s="1">
        <f ca="1">IFERROR(__xludf.DUMMYFUNCTION("""COMPUTED_VALUE"""),3.49)</f>
        <v>3.49</v>
      </c>
    </row>
    <row r="621" spans="1:2">
      <c r="A621" s="3">
        <f ca="1">IFERROR(__xludf.DUMMYFUNCTION("""COMPUTED_VALUE"""),39253.6666666666)</f>
        <v>39253.666666666599</v>
      </c>
      <c r="B621" s="1">
        <f ca="1">IFERROR(__xludf.DUMMYFUNCTION("""COMPUTED_VALUE"""),3.46)</f>
        <v>3.46</v>
      </c>
    </row>
    <row r="622" spans="1:2">
      <c r="A622" s="3">
        <f ca="1">IFERROR(__xludf.DUMMYFUNCTION("""COMPUTED_VALUE"""),39254.6666666666)</f>
        <v>39254.666666666599</v>
      </c>
      <c r="B622" s="1">
        <f ca="1">IFERROR(__xludf.DUMMYFUNCTION("""COMPUTED_VALUE"""),3.48)</f>
        <v>3.48</v>
      </c>
    </row>
    <row r="623" spans="1:2">
      <c r="A623" s="3">
        <f ca="1">IFERROR(__xludf.DUMMYFUNCTION("""COMPUTED_VALUE"""),39255.6666666666)</f>
        <v>39255.666666666599</v>
      </c>
      <c r="B623" s="1">
        <f ca="1">IFERROR(__xludf.DUMMYFUNCTION("""COMPUTED_VALUE"""),3.44)</f>
        <v>3.44</v>
      </c>
    </row>
    <row r="624" spans="1:2">
      <c r="A624" s="3">
        <f ca="1">IFERROR(__xludf.DUMMYFUNCTION("""COMPUTED_VALUE"""),39258.6666666666)</f>
        <v>39258.666666666599</v>
      </c>
      <c r="B624" s="1">
        <f ca="1">IFERROR(__xludf.DUMMYFUNCTION("""COMPUTED_VALUE"""),3.43)</f>
        <v>3.43</v>
      </c>
    </row>
    <row r="625" spans="1:2">
      <c r="A625" s="3">
        <f ca="1">IFERROR(__xludf.DUMMYFUNCTION("""COMPUTED_VALUE"""),39259.6666666666)</f>
        <v>39259.666666666599</v>
      </c>
      <c r="B625" s="1">
        <f ca="1">IFERROR(__xludf.DUMMYFUNCTION("""COMPUTED_VALUE"""),3.37)</f>
        <v>3.37</v>
      </c>
    </row>
    <row r="626" spans="1:2">
      <c r="A626" s="3">
        <f ca="1">IFERROR(__xludf.DUMMYFUNCTION("""COMPUTED_VALUE"""),39260.6666666666)</f>
        <v>39260.666666666599</v>
      </c>
      <c r="B626" s="1">
        <f ca="1">IFERROR(__xludf.DUMMYFUNCTION("""COMPUTED_VALUE"""),3.41)</f>
        <v>3.41</v>
      </c>
    </row>
    <row r="627" spans="1:2">
      <c r="A627" s="3">
        <f ca="1">IFERROR(__xludf.DUMMYFUNCTION("""COMPUTED_VALUE"""),39261.6666666666)</f>
        <v>39261.666666666599</v>
      </c>
      <c r="B627" s="1">
        <f ca="1">IFERROR(__xludf.DUMMYFUNCTION("""COMPUTED_VALUE"""),3.44)</f>
        <v>3.44</v>
      </c>
    </row>
    <row r="628" spans="1:2">
      <c r="A628" s="3">
        <f ca="1">IFERROR(__xludf.DUMMYFUNCTION("""COMPUTED_VALUE"""),39262.6666666666)</f>
        <v>39262.666666666599</v>
      </c>
      <c r="B628" s="1">
        <f ca="1">IFERROR(__xludf.DUMMYFUNCTION("""COMPUTED_VALUE"""),3.42)</f>
        <v>3.42</v>
      </c>
    </row>
    <row r="629" spans="1:2">
      <c r="A629" s="3">
        <f ca="1">IFERROR(__xludf.DUMMYFUNCTION("""COMPUTED_VALUE"""),39265.6666666666)</f>
        <v>39265.666666666599</v>
      </c>
      <c r="B629" s="1">
        <f ca="1">IFERROR(__xludf.DUMMYFUNCTION("""COMPUTED_VALUE"""),3.48)</f>
        <v>3.48</v>
      </c>
    </row>
    <row r="630" spans="1:2">
      <c r="A630" s="3">
        <f ca="1">IFERROR(__xludf.DUMMYFUNCTION("""COMPUTED_VALUE"""),39266.6666666666)</f>
        <v>39266.666666666599</v>
      </c>
      <c r="B630" s="1">
        <f ca="1">IFERROR(__xludf.DUMMYFUNCTION("""COMPUTED_VALUE"""),3.47)</f>
        <v>3.47</v>
      </c>
    </row>
    <row r="631" spans="1:2">
      <c r="A631" s="3">
        <f ca="1">IFERROR(__xludf.DUMMYFUNCTION("""COMPUTED_VALUE"""),39268.6666666666)</f>
        <v>39268.666666666599</v>
      </c>
      <c r="B631" s="1">
        <f ca="1">IFERROR(__xludf.DUMMYFUNCTION("""COMPUTED_VALUE"""),3.44)</f>
        <v>3.44</v>
      </c>
    </row>
    <row r="632" spans="1:2">
      <c r="A632" s="3">
        <f ca="1">IFERROR(__xludf.DUMMYFUNCTION("""COMPUTED_VALUE"""),39269.6666666666)</f>
        <v>39269.666666666599</v>
      </c>
      <c r="B632" s="1">
        <f ca="1">IFERROR(__xludf.DUMMYFUNCTION("""COMPUTED_VALUE"""),3.45)</f>
        <v>3.45</v>
      </c>
    </row>
    <row r="633" spans="1:2">
      <c r="A633" s="3">
        <f ca="1">IFERROR(__xludf.DUMMYFUNCTION("""COMPUTED_VALUE"""),39272.6666666666)</f>
        <v>39272.666666666599</v>
      </c>
      <c r="B633" s="1">
        <f ca="1">IFERROR(__xludf.DUMMYFUNCTION("""COMPUTED_VALUE"""),3.6)</f>
        <v>3.6</v>
      </c>
    </row>
    <row r="634" spans="1:2">
      <c r="A634" s="3">
        <f ca="1">IFERROR(__xludf.DUMMYFUNCTION("""COMPUTED_VALUE"""),39273.6666666666)</f>
        <v>39273.666666666599</v>
      </c>
      <c r="B634" s="1">
        <f ca="1">IFERROR(__xludf.DUMMYFUNCTION("""COMPUTED_VALUE"""),3.51)</f>
        <v>3.51</v>
      </c>
    </row>
    <row r="635" spans="1:2">
      <c r="A635" s="3">
        <f ca="1">IFERROR(__xludf.DUMMYFUNCTION("""COMPUTED_VALUE"""),39274.6666666666)</f>
        <v>39274.666666666599</v>
      </c>
      <c r="B635" s="1">
        <f ca="1">IFERROR(__xludf.DUMMYFUNCTION("""COMPUTED_VALUE"""),3.54)</f>
        <v>3.54</v>
      </c>
    </row>
    <row r="636" spans="1:2">
      <c r="A636" s="3">
        <f ca="1">IFERROR(__xludf.DUMMYFUNCTION("""COMPUTED_VALUE"""),39275.6666666666)</f>
        <v>39275.666666666599</v>
      </c>
      <c r="B636" s="1">
        <f ca="1">IFERROR(__xludf.DUMMYFUNCTION("""COMPUTED_VALUE"""),3.64)</f>
        <v>3.64</v>
      </c>
    </row>
    <row r="637" spans="1:2">
      <c r="A637" s="3">
        <f ca="1">IFERROR(__xludf.DUMMYFUNCTION("""COMPUTED_VALUE"""),39276.6666666666)</f>
        <v>39276.666666666599</v>
      </c>
      <c r="B637" s="1">
        <f ca="1">IFERROR(__xludf.DUMMYFUNCTION("""COMPUTED_VALUE"""),3.76)</f>
        <v>3.76</v>
      </c>
    </row>
    <row r="638" spans="1:2">
      <c r="A638" s="3">
        <f ca="1">IFERROR(__xludf.DUMMYFUNCTION("""COMPUTED_VALUE"""),39279.6666666666)</f>
        <v>39279.666666666599</v>
      </c>
      <c r="B638" s="1">
        <f ca="1">IFERROR(__xludf.DUMMYFUNCTION("""COMPUTED_VALUE"""),3.68)</f>
        <v>3.68</v>
      </c>
    </row>
    <row r="639" spans="1:2">
      <c r="A639" s="3">
        <f ca="1">IFERROR(__xludf.DUMMYFUNCTION("""COMPUTED_VALUE"""),39280.6666666666)</f>
        <v>39280.666666666599</v>
      </c>
      <c r="B639" s="1">
        <f ca="1">IFERROR(__xludf.DUMMYFUNCTION("""COMPUTED_VALUE"""),3.69)</f>
        <v>3.69</v>
      </c>
    </row>
    <row r="640" spans="1:2">
      <c r="A640" s="3">
        <f ca="1">IFERROR(__xludf.DUMMYFUNCTION("""COMPUTED_VALUE"""),39281.6666666666)</f>
        <v>39281.666666666599</v>
      </c>
      <c r="B640" s="1">
        <f ca="1">IFERROR(__xludf.DUMMYFUNCTION("""COMPUTED_VALUE"""),3.67)</f>
        <v>3.67</v>
      </c>
    </row>
    <row r="641" spans="1:2">
      <c r="A641" s="3">
        <f ca="1">IFERROR(__xludf.DUMMYFUNCTION("""COMPUTED_VALUE"""),39282.6666666666)</f>
        <v>39282.666666666599</v>
      </c>
      <c r="B641" s="1">
        <f ca="1">IFERROR(__xludf.DUMMYFUNCTION("""COMPUTED_VALUE"""),3.67)</f>
        <v>3.67</v>
      </c>
    </row>
    <row r="642" spans="1:2">
      <c r="A642" s="3">
        <f ca="1">IFERROR(__xludf.DUMMYFUNCTION("""COMPUTED_VALUE"""),39283.6666666666)</f>
        <v>39283.666666666599</v>
      </c>
      <c r="B642" s="1">
        <f ca="1">IFERROR(__xludf.DUMMYFUNCTION("""COMPUTED_VALUE"""),3.58)</f>
        <v>3.58</v>
      </c>
    </row>
    <row r="643" spans="1:2">
      <c r="A643" s="3">
        <f ca="1">IFERROR(__xludf.DUMMYFUNCTION("""COMPUTED_VALUE"""),39286.6666666666)</f>
        <v>39286.666666666599</v>
      </c>
      <c r="B643" s="1">
        <f ca="1">IFERROR(__xludf.DUMMYFUNCTION("""COMPUTED_VALUE"""),3.59)</f>
        <v>3.59</v>
      </c>
    </row>
    <row r="644" spans="1:2">
      <c r="A644" s="3">
        <f ca="1">IFERROR(__xludf.DUMMYFUNCTION("""COMPUTED_VALUE"""),39287.6666666666)</f>
        <v>39287.666666666599</v>
      </c>
      <c r="B644" s="1">
        <f ca="1">IFERROR(__xludf.DUMMYFUNCTION("""COMPUTED_VALUE"""),3.46)</f>
        <v>3.46</v>
      </c>
    </row>
    <row r="645" spans="1:2">
      <c r="A645" s="3">
        <f ca="1">IFERROR(__xludf.DUMMYFUNCTION("""COMPUTED_VALUE"""),39288.6666666666)</f>
        <v>39288.666666666599</v>
      </c>
      <c r="B645" s="1">
        <f ca="1">IFERROR(__xludf.DUMMYFUNCTION("""COMPUTED_VALUE"""),4.31)</f>
        <v>4.3099999999999996</v>
      </c>
    </row>
    <row r="646" spans="1:2">
      <c r="A646" s="3">
        <f ca="1">IFERROR(__xludf.DUMMYFUNCTION("""COMPUTED_VALUE"""),39289.6666666666)</f>
        <v>39289.666666666599</v>
      </c>
      <c r="B646" s="1">
        <f ca="1">IFERROR(__xludf.DUMMYFUNCTION("""COMPUTED_VALUE"""),4.2)</f>
        <v>4.2</v>
      </c>
    </row>
    <row r="647" spans="1:2">
      <c r="A647" s="3">
        <f ca="1">IFERROR(__xludf.DUMMYFUNCTION("""COMPUTED_VALUE"""),39290.6666666666)</f>
        <v>39290.666666666599</v>
      </c>
      <c r="B647" s="1">
        <f ca="1">IFERROR(__xludf.DUMMYFUNCTION("""COMPUTED_VALUE"""),4.2)</f>
        <v>4.2</v>
      </c>
    </row>
    <row r="648" spans="1:2">
      <c r="A648" s="3">
        <f ca="1">IFERROR(__xludf.DUMMYFUNCTION("""COMPUTED_VALUE"""),39293.6666666666)</f>
        <v>39293.666666666599</v>
      </c>
      <c r="B648" s="1">
        <f ca="1">IFERROR(__xludf.DUMMYFUNCTION("""COMPUTED_VALUE"""),4.14)</f>
        <v>4.1399999999999997</v>
      </c>
    </row>
    <row r="649" spans="1:2">
      <c r="A649" s="3">
        <f ca="1">IFERROR(__xludf.DUMMYFUNCTION("""COMPUTED_VALUE"""),39294.6666666666)</f>
        <v>39294.666666666599</v>
      </c>
      <c r="B649" s="1">
        <f ca="1">IFERROR(__xludf.DUMMYFUNCTION("""COMPUTED_VALUE"""),3.93)</f>
        <v>3.93</v>
      </c>
    </row>
    <row r="650" spans="1:2">
      <c r="A650" s="3">
        <f ca="1">IFERROR(__xludf.DUMMYFUNCTION("""COMPUTED_VALUE"""),39295.6666666666)</f>
        <v>39295.666666666599</v>
      </c>
      <c r="B650" s="1">
        <f ca="1">IFERROR(__xludf.DUMMYFUNCTION("""COMPUTED_VALUE"""),3.87)</f>
        <v>3.87</v>
      </c>
    </row>
    <row r="651" spans="1:2">
      <c r="A651" s="3">
        <f ca="1">IFERROR(__xludf.DUMMYFUNCTION("""COMPUTED_VALUE"""),39296.6666666666)</f>
        <v>39296.666666666599</v>
      </c>
      <c r="B651" s="1">
        <f ca="1">IFERROR(__xludf.DUMMYFUNCTION("""COMPUTED_VALUE"""),3.99)</f>
        <v>3.99</v>
      </c>
    </row>
    <row r="652" spans="1:2">
      <c r="A652" s="3">
        <f ca="1">IFERROR(__xludf.DUMMYFUNCTION("""COMPUTED_VALUE"""),39297.6666666666)</f>
        <v>39297.666666666599</v>
      </c>
      <c r="B652" s="1">
        <f ca="1">IFERROR(__xludf.DUMMYFUNCTION("""COMPUTED_VALUE"""),3.84)</f>
        <v>3.84</v>
      </c>
    </row>
    <row r="653" spans="1:2">
      <c r="A653" s="3">
        <f ca="1">IFERROR(__xludf.DUMMYFUNCTION("""COMPUTED_VALUE"""),39300.6666666666)</f>
        <v>39300.666666666599</v>
      </c>
      <c r="B653" s="1">
        <f ca="1">IFERROR(__xludf.DUMMYFUNCTION("""COMPUTED_VALUE"""),3.95)</f>
        <v>3.95</v>
      </c>
    </row>
    <row r="654" spans="1:2">
      <c r="A654" s="3">
        <f ca="1">IFERROR(__xludf.DUMMYFUNCTION("""COMPUTED_VALUE"""),39301.6666666666)</f>
        <v>39301.666666666599</v>
      </c>
      <c r="B654" s="1">
        <f ca="1">IFERROR(__xludf.DUMMYFUNCTION("""COMPUTED_VALUE"""),3.96)</f>
        <v>3.96</v>
      </c>
    </row>
    <row r="655" spans="1:2">
      <c r="A655" s="3">
        <f ca="1">IFERROR(__xludf.DUMMYFUNCTION("""COMPUTED_VALUE"""),39302.6666666666)</f>
        <v>39302.666666666599</v>
      </c>
      <c r="B655" s="1">
        <f ca="1">IFERROR(__xludf.DUMMYFUNCTION("""COMPUTED_VALUE"""),3.89)</f>
        <v>3.89</v>
      </c>
    </row>
    <row r="656" spans="1:2">
      <c r="A656" s="3">
        <f ca="1">IFERROR(__xludf.DUMMYFUNCTION("""COMPUTED_VALUE"""),39303.6666666666)</f>
        <v>39303.666666666599</v>
      </c>
      <c r="B656" s="1">
        <f ca="1">IFERROR(__xludf.DUMMYFUNCTION("""COMPUTED_VALUE"""),3.71)</f>
        <v>3.71</v>
      </c>
    </row>
    <row r="657" spans="1:2">
      <c r="A657" s="3">
        <f ca="1">IFERROR(__xludf.DUMMYFUNCTION("""COMPUTED_VALUE"""),39304.6666666666)</f>
        <v>39304.666666666599</v>
      </c>
      <c r="B657" s="1">
        <f ca="1">IFERROR(__xludf.DUMMYFUNCTION("""COMPUTED_VALUE"""),3.74)</f>
        <v>3.74</v>
      </c>
    </row>
    <row r="658" spans="1:2">
      <c r="A658" s="3">
        <f ca="1">IFERROR(__xludf.DUMMYFUNCTION("""COMPUTED_VALUE"""),39307.6666666666)</f>
        <v>39307.666666666599</v>
      </c>
      <c r="B658" s="1">
        <f ca="1">IFERROR(__xludf.DUMMYFUNCTION("""COMPUTED_VALUE"""),3.74)</f>
        <v>3.74</v>
      </c>
    </row>
    <row r="659" spans="1:2">
      <c r="A659" s="3">
        <f ca="1">IFERROR(__xludf.DUMMYFUNCTION("""COMPUTED_VALUE"""),39308.6666666666)</f>
        <v>39308.666666666599</v>
      </c>
      <c r="B659" s="1">
        <f ca="1">IFERROR(__xludf.DUMMYFUNCTION("""COMPUTED_VALUE"""),3.67)</f>
        <v>3.67</v>
      </c>
    </row>
    <row r="660" spans="1:2">
      <c r="A660" s="3">
        <f ca="1">IFERROR(__xludf.DUMMYFUNCTION("""COMPUTED_VALUE"""),39309.6666666666)</f>
        <v>39309.666666666599</v>
      </c>
      <c r="B660" s="1">
        <f ca="1">IFERROR(__xludf.DUMMYFUNCTION("""COMPUTED_VALUE"""),3.62)</f>
        <v>3.62</v>
      </c>
    </row>
    <row r="661" spans="1:2">
      <c r="A661" s="3">
        <f ca="1">IFERROR(__xludf.DUMMYFUNCTION("""COMPUTED_VALUE"""),39310.6666666666)</f>
        <v>39310.666666666599</v>
      </c>
      <c r="B661" s="1">
        <f ca="1">IFERROR(__xludf.DUMMYFUNCTION("""COMPUTED_VALUE"""),3.64)</f>
        <v>3.64</v>
      </c>
    </row>
    <row r="662" spans="1:2">
      <c r="A662" s="3">
        <f ca="1">IFERROR(__xludf.DUMMYFUNCTION("""COMPUTED_VALUE"""),39311.6666666666)</f>
        <v>39311.666666666599</v>
      </c>
      <c r="B662" s="1">
        <f ca="1">IFERROR(__xludf.DUMMYFUNCTION("""COMPUTED_VALUE"""),3.75)</f>
        <v>3.75</v>
      </c>
    </row>
    <row r="663" spans="1:2">
      <c r="A663" s="3">
        <f ca="1">IFERROR(__xludf.DUMMYFUNCTION("""COMPUTED_VALUE"""),39314.6666666666)</f>
        <v>39314.666666666599</v>
      </c>
      <c r="B663" s="1">
        <f ca="1">IFERROR(__xludf.DUMMYFUNCTION("""COMPUTED_VALUE"""),3.74)</f>
        <v>3.74</v>
      </c>
    </row>
    <row r="664" spans="1:2">
      <c r="A664" s="3">
        <f ca="1">IFERROR(__xludf.DUMMYFUNCTION("""COMPUTED_VALUE"""),39315.6666666666)</f>
        <v>39315.666666666599</v>
      </c>
      <c r="B664" s="1">
        <f ca="1">IFERROR(__xludf.DUMMYFUNCTION("""COMPUTED_VALUE"""),3.87)</f>
        <v>3.87</v>
      </c>
    </row>
    <row r="665" spans="1:2">
      <c r="A665" s="3">
        <f ca="1">IFERROR(__xludf.DUMMYFUNCTION("""COMPUTED_VALUE"""),39316.6666666666)</f>
        <v>39316.666666666599</v>
      </c>
      <c r="B665" s="1">
        <f ca="1">IFERROR(__xludf.DUMMYFUNCTION("""COMPUTED_VALUE"""),3.93)</f>
        <v>3.93</v>
      </c>
    </row>
    <row r="666" spans="1:2">
      <c r="A666" s="3">
        <f ca="1">IFERROR(__xludf.DUMMYFUNCTION("""COMPUTED_VALUE"""),39317.6666666666)</f>
        <v>39317.666666666599</v>
      </c>
      <c r="B666" s="1">
        <f ca="1">IFERROR(__xludf.DUMMYFUNCTION("""COMPUTED_VALUE"""),3.87)</f>
        <v>3.87</v>
      </c>
    </row>
    <row r="667" spans="1:2">
      <c r="A667" s="3">
        <f ca="1">IFERROR(__xludf.DUMMYFUNCTION("""COMPUTED_VALUE"""),39318.6666666666)</f>
        <v>39318.666666666599</v>
      </c>
      <c r="B667" s="1">
        <f ca="1">IFERROR(__xludf.DUMMYFUNCTION("""COMPUTED_VALUE"""),3.96)</f>
        <v>3.96</v>
      </c>
    </row>
    <row r="668" spans="1:2">
      <c r="A668" s="3">
        <f ca="1">IFERROR(__xludf.DUMMYFUNCTION("""COMPUTED_VALUE"""),39321.6666666666)</f>
        <v>39321.666666666599</v>
      </c>
      <c r="B668" s="1">
        <f ca="1">IFERROR(__xludf.DUMMYFUNCTION("""COMPUTED_VALUE"""),3.93)</f>
        <v>3.93</v>
      </c>
    </row>
    <row r="669" spans="1:2">
      <c r="A669" s="3">
        <f ca="1">IFERROR(__xludf.DUMMYFUNCTION("""COMPUTED_VALUE"""),39322.6666666666)</f>
        <v>39322.666666666599</v>
      </c>
      <c r="B669" s="1">
        <f ca="1">IFERROR(__xludf.DUMMYFUNCTION("""COMPUTED_VALUE"""),3.81)</f>
        <v>3.81</v>
      </c>
    </row>
    <row r="670" spans="1:2">
      <c r="A670" s="3">
        <f ca="1">IFERROR(__xludf.DUMMYFUNCTION("""COMPUTED_VALUE"""),39323.6666666666)</f>
        <v>39323.666666666599</v>
      </c>
      <c r="B670" s="1">
        <f ca="1">IFERROR(__xludf.DUMMYFUNCTION("""COMPUTED_VALUE"""),3.95)</f>
        <v>3.95</v>
      </c>
    </row>
    <row r="671" spans="1:2">
      <c r="A671" s="3">
        <f ca="1">IFERROR(__xludf.DUMMYFUNCTION("""COMPUTED_VALUE"""),39324.6666666666)</f>
        <v>39324.666666666599</v>
      </c>
      <c r="B671" s="1">
        <f ca="1">IFERROR(__xludf.DUMMYFUNCTION("""COMPUTED_VALUE"""),3.93)</f>
        <v>3.93</v>
      </c>
    </row>
    <row r="672" spans="1:2">
      <c r="A672" s="3">
        <f ca="1">IFERROR(__xludf.DUMMYFUNCTION("""COMPUTED_VALUE"""),39325.6666666666)</f>
        <v>39325.666666666599</v>
      </c>
      <c r="B672" s="1">
        <f ca="1">IFERROR(__xludf.DUMMYFUNCTION("""COMPUTED_VALUE"""),4)</f>
        <v>4</v>
      </c>
    </row>
    <row r="673" spans="1:2">
      <c r="A673" s="3">
        <f ca="1">IFERROR(__xludf.DUMMYFUNCTION("""COMPUTED_VALUE"""),39329.6666666666)</f>
        <v>39329.666666666599</v>
      </c>
      <c r="B673" s="1">
        <f ca="1">IFERROR(__xludf.DUMMYFUNCTION("""COMPUTED_VALUE"""),4.14)</f>
        <v>4.1399999999999997</v>
      </c>
    </row>
    <row r="674" spans="1:2">
      <c r="A674" s="3">
        <f ca="1">IFERROR(__xludf.DUMMYFUNCTION("""COMPUTED_VALUE"""),39330.6666666666)</f>
        <v>39330.666666666599</v>
      </c>
      <c r="B674" s="1">
        <f ca="1">IFERROR(__xludf.DUMMYFUNCTION("""COMPUTED_VALUE"""),4.19)</f>
        <v>4.1900000000000004</v>
      </c>
    </row>
    <row r="675" spans="1:2">
      <c r="A675" s="3">
        <f ca="1">IFERROR(__xludf.DUMMYFUNCTION("""COMPUTED_VALUE"""),39331.6666666666)</f>
        <v>39331.666666666599</v>
      </c>
      <c r="B675" s="1">
        <f ca="1">IFERROR(__xludf.DUMMYFUNCTION("""COMPUTED_VALUE"""),4.31)</f>
        <v>4.3099999999999996</v>
      </c>
    </row>
    <row r="676" spans="1:2">
      <c r="A676" s="3">
        <f ca="1">IFERROR(__xludf.DUMMYFUNCTION("""COMPUTED_VALUE"""),39332.6666666666)</f>
        <v>39332.666666666599</v>
      </c>
      <c r="B676" s="1">
        <f ca="1">IFERROR(__xludf.DUMMYFUNCTION("""COMPUTED_VALUE"""),4.23)</f>
        <v>4.2300000000000004</v>
      </c>
    </row>
    <row r="677" spans="1:2">
      <c r="A677" s="3">
        <f ca="1">IFERROR(__xludf.DUMMYFUNCTION("""COMPUTED_VALUE"""),39335.6666666666)</f>
        <v>39335.666666666599</v>
      </c>
      <c r="B677" s="1">
        <f ca="1">IFERROR(__xludf.DUMMYFUNCTION("""COMPUTED_VALUE"""),4.17)</f>
        <v>4.17</v>
      </c>
    </row>
    <row r="678" spans="1:2">
      <c r="A678" s="3">
        <f ca="1">IFERROR(__xludf.DUMMYFUNCTION("""COMPUTED_VALUE"""),39336.6666666666)</f>
        <v>39336.666666666599</v>
      </c>
      <c r="B678" s="1">
        <f ca="1">IFERROR(__xludf.DUMMYFUNCTION("""COMPUTED_VALUE"""),4.31)</f>
        <v>4.3099999999999996</v>
      </c>
    </row>
    <row r="679" spans="1:2">
      <c r="A679" s="3">
        <f ca="1">IFERROR(__xludf.DUMMYFUNCTION("""COMPUTED_VALUE"""),39337.6666666666)</f>
        <v>39337.666666666599</v>
      </c>
      <c r="B679" s="1">
        <f ca="1">IFERROR(__xludf.DUMMYFUNCTION("""COMPUTED_VALUE"""),4.37)</f>
        <v>4.37</v>
      </c>
    </row>
    <row r="680" spans="1:2">
      <c r="A680" s="3">
        <f ca="1">IFERROR(__xludf.DUMMYFUNCTION("""COMPUTED_VALUE"""),39338.6666666666)</f>
        <v>39338.666666666599</v>
      </c>
      <c r="B680" s="1">
        <f ca="1">IFERROR(__xludf.DUMMYFUNCTION("""COMPUTED_VALUE"""),4.36)</f>
        <v>4.3600000000000003</v>
      </c>
    </row>
    <row r="681" spans="1:2">
      <c r="A681" s="3">
        <f ca="1">IFERROR(__xludf.DUMMYFUNCTION("""COMPUTED_VALUE"""),39339.6666666666)</f>
        <v>39339.666666666599</v>
      </c>
      <c r="B681" s="1">
        <f ca="1">IFERROR(__xludf.DUMMYFUNCTION("""COMPUTED_VALUE"""),4.39)</f>
        <v>4.3899999999999997</v>
      </c>
    </row>
    <row r="682" spans="1:2">
      <c r="A682" s="3">
        <f ca="1">IFERROR(__xludf.DUMMYFUNCTION("""COMPUTED_VALUE"""),39342.6666666666)</f>
        <v>39342.666666666599</v>
      </c>
      <c r="B682" s="1">
        <f ca="1">IFERROR(__xludf.DUMMYFUNCTION("""COMPUTED_VALUE"""),4.35)</f>
        <v>4.3499999999999996</v>
      </c>
    </row>
    <row r="683" spans="1:2">
      <c r="A683" s="3">
        <f ca="1">IFERROR(__xludf.DUMMYFUNCTION("""COMPUTED_VALUE"""),39343.6666666666)</f>
        <v>39343.666666666599</v>
      </c>
      <c r="B683" s="1">
        <f ca="1">IFERROR(__xludf.DUMMYFUNCTION("""COMPUTED_VALUE"""),4.44)</f>
        <v>4.4400000000000004</v>
      </c>
    </row>
    <row r="684" spans="1:2">
      <c r="A684" s="3">
        <f ca="1">IFERROR(__xludf.DUMMYFUNCTION("""COMPUTED_VALUE"""),39344.6666666666)</f>
        <v>39344.666666666599</v>
      </c>
      <c r="B684" s="1">
        <f ca="1">IFERROR(__xludf.DUMMYFUNCTION("""COMPUTED_VALUE"""),4.45)</f>
        <v>4.45</v>
      </c>
    </row>
    <row r="685" spans="1:2">
      <c r="A685" s="3">
        <f ca="1">IFERROR(__xludf.DUMMYFUNCTION("""COMPUTED_VALUE"""),39345.6666666666)</f>
        <v>39345.666666666599</v>
      </c>
      <c r="B685" s="1">
        <f ca="1">IFERROR(__xludf.DUMMYFUNCTION("""COMPUTED_VALUE"""),4.48)</f>
        <v>4.4800000000000004</v>
      </c>
    </row>
    <row r="686" spans="1:2">
      <c r="A686" s="3">
        <f ca="1">IFERROR(__xludf.DUMMYFUNCTION("""COMPUTED_VALUE"""),39346.6666666666)</f>
        <v>39346.666666666599</v>
      </c>
      <c r="B686" s="1">
        <f ca="1">IFERROR(__xludf.DUMMYFUNCTION("""COMPUTED_VALUE"""),4.57)</f>
        <v>4.57</v>
      </c>
    </row>
    <row r="687" spans="1:2">
      <c r="A687" s="3">
        <f ca="1">IFERROR(__xludf.DUMMYFUNCTION("""COMPUTED_VALUE"""),39349.6666666666)</f>
        <v>39349.666666666599</v>
      </c>
      <c r="B687" s="1">
        <f ca="1">IFERROR(__xludf.DUMMYFUNCTION("""COMPUTED_VALUE"""),4.63)</f>
        <v>4.63</v>
      </c>
    </row>
    <row r="688" spans="1:2">
      <c r="A688" s="3">
        <f ca="1">IFERROR(__xludf.DUMMYFUNCTION("""COMPUTED_VALUE"""),39350.6666666666)</f>
        <v>39350.666666666599</v>
      </c>
      <c r="B688" s="1">
        <f ca="1">IFERROR(__xludf.DUMMYFUNCTION("""COMPUTED_VALUE"""),4.67)</f>
        <v>4.67</v>
      </c>
    </row>
    <row r="689" spans="1:2">
      <c r="A689" s="3">
        <f ca="1">IFERROR(__xludf.DUMMYFUNCTION("""COMPUTED_VALUE"""),39351.6666666666)</f>
        <v>39351.666666666599</v>
      </c>
      <c r="B689" s="1">
        <f ca="1">IFERROR(__xludf.DUMMYFUNCTION("""COMPUTED_VALUE"""),4.67)</f>
        <v>4.67</v>
      </c>
    </row>
    <row r="690" spans="1:2">
      <c r="A690" s="3">
        <f ca="1">IFERROR(__xludf.DUMMYFUNCTION("""COMPUTED_VALUE"""),39352.6666666666)</f>
        <v>39352.666666666599</v>
      </c>
      <c r="B690" s="1">
        <f ca="1">IFERROR(__xludf.DUMMYFUNCTION("""COMPUTED_VALUE"""),4.67)</f>
        <v>4.67</v>
      </c>
    </row>
    <row r="691" spans="1:2">
      <c r="A691" s="3">
        <f ca="1">IFERROR(__xludf.DUMMYFUNCTION("""COMPUTED_VALUE"""),39353.6666666666)</f>
        <v>39353.666666666599</v>
      </c>
      <c r="B691" s="1">
        <f ca="1">IFERROR(__xludf.DUMMYFUNCTION("""COMPUTED_VALUE"""),4.66)</f>
        <v>4.66</v>
      </c>
    </row>
    <row r="692" spans="1:2">
      <c r="A692" s="3">
        <f ca="1">IFERROR(__xludf.DUMMYFUNCTION("""COMPUTED_VALUE"""),39356.6666666666)</f>
        <v>39356.666666666599</v>
      </c>
      <c r="B692" s="1">
        <f ca="1">IFERROR(__xludf.DUMMYFUNCTION("""COMPUTED_VALUE"""),4.67)</f>
        <v>4.67</v>
      </c>
    </row>
    <row r="693" spans="1:2">
      <c r="A693" s="3">
        <f ca="1">IFERROR(__xludf.DUMMYFUNCTION("""COMPUTED_VALUE"""),39357.6666666666)</f>
        <v>39357.666666666599</v>
      </c>
      <c r="B693" s="1">
        <f ca="1">IFERROR(__xludf.DUMMYFUNCTION("""COMPUTED_VALUE"""),4.62)</f>
        <v>4.62</v>
      </c>
    </row>
    <row r="694" spans="1:2">
      <c r="A694" s="3">
        <f ca="1">IFERROR(__xludf.DUMMYFUNCTION("""COMPUTED_VALUE"""),39358.6666666666)</f>
        <v>39358.666666666599</v>
      </c>
      <c r="B694" s="1">
        <f ca="1">IFERROR(__xludf.DUMMYFUNCTION("""COMPUTED_VALUE"""),4.62)</f>
        <v>4.62</v>
      </c>
    </row>
    <row r="695" spans="1:2">
      <c r="A695" s="3">
        <f ca="1">IFERROR(__xludf.DUMMYFUNCTION("""COMPUTED_VALUE"""),39359.6666666666)</f>
        <v>39359.666666666599</v>
      </c>
      <c r="B695" s="1">
        <f ca="1">IFERROR(__xludf.DUMMYFUNCTION("""COMPUTED_VALUE"""),4.61)</f>
        <v>4.6100000000000003</v>
      </c>
    </row>
    <row r="696" spans="1:2">
      <c r="A696" s="3">
        <f ca="1">IFERROR(__xludf.DUMMYFUNCTION("""COMPUTED_VALUE"""),39360.6666666666)</f>
        <v>39360.666666666599</v>
      </c>
      <c r="B696" s="1">
        <f ca="1">IFERROR(__xludf.DUMMYFUNCTION("""COMPUTED_VALUE"""),4.67)</f>
        <v>4.67</v>
      </c>
    </row>
    <row r="697" spans="1:2">
      <c r="A697" s="3">
        <f ca="1">IFERROR(__xludf.DUMMYFUNCTION("""COMPUTED_VALUE"""),39363.6666666666)</f>
        <v>39363.666666666599</v>
      </c>
      <c r="B697" s="1">
        <f ca="1">IFERROR(__xludf.DUMMYFUNCTION("""COMPUTED_VALUE"""),4.79)</f>
        <v>4.79</v>
      </c>
    </row>
    <row r="698" spans="1:2">
      <c r="A698" s="3">
        <f ca="1">IFERROR(__xludf.DUMMYFUNCTION("""COMPUTED_VALUE"""),39364.6666666666)</f>
        <v>39364.666666666599</v>
      </c>
      <c r="B698" s="1">
        <f ca="1">IFERROR(__xludf.DUMMYFUNCTION("""COMPUTED_VALUE"""),4.77)</f>
        <v>4.7699999999999996</v>
      </c>
    </row>
    <row r="699" spans="1:2">
      <c r="A699" s="3">
        <f ca="1">IFERROR(__xludf.DUMMYFUNCTION("""COMPUTED_VALUE"""),39365.6666666666)</f>
        <v>39365.666666666599</v>
      </c>
      <c r="B699" s="1">
        <f ca="1">IFERROR(__xludf.DUMMYFUNCTION("""COMPUTED_VALUE"""),4.73)</f>
        <v>4.7300000000000004</v>
      </c>
    </row>
    <row r="700" spans="1:2">
      <c r="A700" s="3">
        <f ca="1">IFERROR(__xludf.DUMMYFUNCTION("""COMPUTED_VALUE"""),39366.6666666666)</f>
        <v>39366.666666666599</v>
      </c>
      <c r="B700" s="1">
        <f ca="1">IFERROR(__xludf.DUMMYFUNCTION("""COMPUTED_VALUE"""),4.47)</f>
        <v>4.47</v>
      </c>
    </row>
    <row r="701" spans="1:2">
      <c r="A701" s="3">
        <f ca="1">IFERROR(__xludf.DUMMYFUNCTION("""COMPUTED_VALUE"""),39367.6666666666)</f>
        <v>39367.666666666599</v>
      </c>
      <c r="B701" s="1">
        <f ca="1">IFERROR(__xludf.DUMMYFUNCTION("""COMPUTED_VALUE"""),4.62)</f>
        <v>4.62</v>
      </c>
    </row>
    <row r="702" spans="1:2">
      <c r="A702" s="3">
        <f ca="1">IFERROR(__xludf.DUMMYFUNCTION("""COMPUTED_VALUE"""),39370.6666666666)</f>
        <v>39370.666666666599</v>
      </c>
      <c r="B702" s="1">
        <f ca="1">IFERROR(__xludf.DUMMYFUNCTION("""COMPUTED_VALUE"""),4.53)</f>
        <v>4.53</v>
      </c>
    </row>
    <row r="703" spans="1:2">
      <c r="A703" s="3">
        <f ca="1">IFERROR(__xludf.DUMMYFUNCTION("""COMPUTED_VALUE"""),39371.6666666666)</f>
        <v>39371.666666666599</v>
      </c>
      <c r="B703" s="1">
        <f ca="1">IFERROR(__xludf.DUMMYFUNCTION("""COMPUTED_VALUE"""),4.48)</f>
        <v>4.4800000000000004</v>
      </c>
    </row>
    <row r="704" spans="1:2">
      <c r="A704" s="3">
        <f ca="1">IFERROR(__xludf.DUMMYFUNCTION("""COMPUTED_VALUE"""),39372.6666666666)</f>
        <v>39372.666666666599</v>
      </c>
      <c r="B704" s="1">
        <f ca="1">IFERROR(__xludf.DUMMYFUNCTION("""COMPUTED_VALUE"""),4.53)</f>
        <v>4.53</v>
      </c>
    </row>
    <row r="705" spans="1:2">
      <c r="A705" s="3">
        <f ca="1">IFERROR(__xludf.DUMMYFUNCTION("""COMPUTED_VALUE"""),39373.6666666666)</f>
        <v>39373.666666666599</v>
      </c>
      <c r="B705" s="1">
        <f ca="1">IFERROR(__xludf.DUMMYFUNCTION("""COMPUTED_VALUE"""),4.49)</f>
        <v>4.49</v>
      </c>
    </row>
    <row r="706" spans="1:2">
      <c r="A706" s="3">
        <f ca="1">IFERROR(__xludf.DUMMYFUNCTION("""COMPUTED_VALUE"""),39374.6666666666)</f>
        <v>39374.666666666599</v>
      </c>
      <c r="B706" s="1">
        <f ca="1">IFERROR(__xludf.DUMMYFUNCTION("""COMPUTED_VALUE"""),4.49)</f>
        <v>4.49</v>
      </c>
    </row>
    <row r="707" spans="1:2">
      <c r="A707" s="3">
        <f ca="1">IFERROR(__xludf.DUMMYFUNCTION("""COMPUTED_VALUE"""),39377.6666666666)</f>
        <v>39377.666666666599</v>
      </c>
      <c r="B707" s="1">
        <f ca="1">IFERROR(__xludf.DUMMYFUNCTION("""COMPUTED_VALUE"""),4.56)</f>
        <v>4.5599999999999996</v>
      </c>
    </row>
    <row r="708" spans="1:2">
      <c r="A708" s="3">
        <f ca="1">IFERROR(__xludf.DUMMYFUNCTION("""COMPUTED_VALUE"""),39378.6666666666)</f>
        <v>39378.666666666599</v>
      </c>
      <c r="B708" s="1">
        <f ca="1">IFERROR(__xludf.DUMMYFUNCTION("""COMPUTED_VALUE"""),5.04)</f>
        <v>5.04</v>
      </c>
    </row>
    <row r="709" spans="1:2">
      <c r="A709" s="3">
        <f ca="1">IFERROR(__xludf.DUMMYFUNCTION("""COMPUTED_VALUE"""),39379.6666666666)</f>
        <v>39379.666666666599</v>
      </c>
      <c r="B709" s="1">
        <f ca="1">IFERROR(__xludf.DUMMYFUNCTION("""COMPUTED_VALUE"""),4.44)</f>
        <v>4.4400000000000004</v>
      </c>
    </row>
    <row r="710" spans="1:2">
      <c r="A710" s="3">
        <f ca="1">IFERROR(__xludf.DUMMYFUNCTION("""COMPUTED_VALUE"""),39380.6666666666)</f>
        <v>39380.666666666599</v>
      </c>
      <c r="B710" s="1">
        <f ca="1">IFERROR(__xludf.DUMMYFUNCTION("""COMPUTED_VALUE"""),4.41)</f>
        <v>4.41</v>
      </c>
    </row>
    <row r="711" spans="1:2">
      <c r="A711" s="3">
        <f ca="1">IFERROR(__xludf.DUMMYFUNCTION("""COMPUTED_VALUE"""),39381.6666666666)</f>
        <v>39381.666666666599</v>
      </c>
      <c r="B711" s="1">
        <f ca="1">IFERROR(__xludf.DUMMYFUNCTION("""COMPUTED_VALUE"""),4.5)</f>
        <v>4.5</v>
      </c>
    </row>
    <row r="712" spans="1:2">
      <c r="A712" s="3">
        <f ca="1">IFERROR(__xludf.DUMMYFUNCTION("""COMPUTED_VALUE"""),39384.6666666666)</f>
        <v>39384.666666666599</v>
      </c>
      <c r="B712" s="1">
        <f ca="1">IFERROR(__xludf.DUMMYFUNCTION("""COMPUTED_VALUE"""),4.51)</f>
        <v>4.51</v>
      </c>
    </row>
    <row r="713" spans="1:2">
      <c r="A713" s="3">
        <f ca="1">IFERROR(__xludf.DUMMYFUNCTION("""COMPUTED_VALUE"""),39385.6666666666)</f>
        <v>39385.666666666599</v>
      </c>
      <c r="B713" s="1">
        <f ca="1">IFERROR(__xludf.DUMMYFUNCTION("""COMPUTED_VALUE"""),4.41)</f>
        <v>4.41</v>
      </c>
    </row>
    <row r="714" spans="1:2">
      <c r="A714" s="3">
        <f ca="1">IFERROR(__xludf.DUMMYFUNCTION("""COMPUTED_VALUE"""),39386.6666666666)</f>
        <v>39386.666666666599</v>
      </c>
      <c r="B714" s="1">
        <f ca="1">IFERROR(__xludf.DUMMYFUNCTION("""COMPUTED_VALUE"""),4.46)</f>
        <v>4.46</v>
      </c>
    </row>
    <row r="715" spans="1:2">
      <c r="A715" s="3">
        <f ca="1">IFERROR(__xludf.DUMMYFUNCTION("""COMPUTED_VALUE"""),39387.6666666666)</f>
        <v>39387.666666666599</v>
      </c>
      <c r="B715" s="1">
        <f ca="1">IFERROR(__xludf.DUMMYFUNCTION("""COMPUTED_VALUE"""),4.38)</f>
        <v>4.38</v>
      </c>
    </row>
    <row r="716" spans="1:2">
      <c r="A716" s="3">
        <f ca="1">IFERROR(__xludf.DUMMYFUNCTION("""COMPUTED_VALUE"""),39388.6666666666)</f>
        <v>39388.666666666599</v>
      </c>
      <c r="B716" s="1">
        <f ca="1">IFERROR(__xludf.DUMMYFUNCTION("""COMPUTED_VALUE"""),4.3)</f>
        <v>4.3</v>
      </c>
    </row>
    <row r="717" spans="1:2">
      <c r="A717" s="3">
        <f ca="1">IFERROR(__xludf.DUMMYFUNCTION("""COMPUTED_VALUE"""),39391.6666666666)</f>
        <v>39391.666666666599</v>
      </c>
      <c r="B717" s="1">
        <f ca="1">IFERROR(__xludf.DUMMYFUNCTION("""COMPUTED_VALUE"""),4.22)</f>
        <v>4.22</v>
      </c>
    </row>
    <row r="718" spans="1:2">
      <c r="A718" s="3">
        <f ca="1">IFERROR(__xludf.DUMMYFUNCTION("""COMPUTED_VALUE"""),39392.6666666666)</f>
        <v>39392.666666666599</v>
      </c>
      <c r="B718" s="1">
        <f ca="1">IFERROR(__xludf.DUMMYFUNCTION("""COMPUTED_VALUE"""),4.36)</f>
        <v>4.3600000000000003</v>
      </c>
    </row>
    <row r="719" spans="1:2">
      <c r="A719" s="3">
        <f ca="1">IFERROR(__xludf.DUMMYFUNCTION("""COMPUTED_VALUE"""),39393.6666666666)</f>
        <v>39393.666666666599</v>
      </c>
      <c r="B719" s="1">
        <f ca="1">IFERROR(__xludf.DUMMYFUNCTION("""COMPUTED_VALUE"""),4.35)</f>
        <v>4.3499999999999996</v>
      </c>
    </row>
    <row r="720" spans="1:2">
      <c r="A720" s="3">
        <f ca="1">IFERROR(__xludf.DUMMYFUNCTION("""COMPUTED_VALUE"""),39394.6666666666)</f>
        <v>39394.666666666599</v>
      </c>
      <c r="B720" s="1">
        <f ca="1">IFERROR(__xludf.DUMMYFUNCTION("""COMPUTED_VALUE"""),4.18)</f>
        <v>4.18</v>
      </c>
    </row>
    <row r="721" spans="1:2">
      <c r="A721" s="3">
        <f ca="1">IFERROR(__xludf.DUMMYFUNCTION("""COMPUTED_VALUE"""),39395.6666666666)</f>
        <v>39395.666666666599</v>
      </c>
      <c r="B721" s="1">
        <f ca="1">IFERROR(__xludf.DUMMYFUNCTION("""COMPUTED_VALUE"""),3.94)</f>
        <v>3.94</v>
      </c>
    </row>
    <row r="722" spans="1:2">
      <c r="A722" s="3">
        <f ca="1">IFERROR(__xludf.DUMMYFUNCTION("""COMPUTED_VALUE"""),39398.6666666666)</f>
        <v>39398.666666666599</v>
      </c>
      <c r="B722" s="1">
        <f ca="1">IFERROR(__xludf.DUMMYFUNCTION("""COMPUTED_VALUE"""),3.85)</f>
        <v>3.85</v>
      </c>
    </row>
    <row r="723" spans="1:2">
      <c r="A723" s="3">
        <f ca="1">IFERROR(__xludf.DUMMYFUNCTION("""COMPUTED_VALUE"""),39399.6666666666)</f>
        <v>39399.666666666599</v>
      </c>
      <c r="B723" s="1">
        <f ca="1">IFERROR(__xludf.DUMMYFUNCTION("""COMPUTED_VALUE"""),3.99)</f>
        <v>3.99</v>
      </c>
    </row>
    <row r="724" spans="1:2">
      <c r="A724" s="3">
        <f ca="1">IFERROR(__xludf.DUMMYFUNCTION("""COMPUTED_VALUE"""),39400.6666666666)</f>
        <v>39400.666666666599</v>
      </c>
      <c r="B724" s="1">
        <f ca="1">IFERROR(__xludf.DUMMYFUNCTION("""COMPUTED_VALUE"""),3.93)</f>
        <v>3.93</v>
      </c>
    </row>
    <row r="725" spans="1:2">
      <c r="A725" s="3">
        <f ca="1">IFERROR(__xludf.DUMMYFUNCTION("""COMPUTED_VALUE"""),39401.6666666666)</f>
        <v>39401.666666666599</v>
      </c>
      <c r="B725" s="1">
        <f ca="1">IFERROR(__xludf.DUMMYFUNCTION("""COMPUTED_VALUE"""),3.89)</f>
        <v>3.89</v>
      </c>
    </row>
    <row r="726" spans="1:2">
      <c r="A726" s="3">
        <f ca="1">IFERROR(__xludf.DUMMYFUNCTION("""COMPUTED_VALUE"""),39402.6666666666)</f>
        <v>39402.666666666599</v>
      </c>
      <c r="B726" s="1">
        <f ca="1">IFERROR(__xludf.DUMMYFUNCTION("""COMPUTED_VALUE"""),3.93)</f>
        <v>3.93</v>
      </c>
    </row>
    <row r="727" spans="1:2">
      <c r="A727" s="3">
        <f ca="1">IFERROR(__xludf.DUMMYFUNCTION("""COMPUTED_VALUE"""),39405.6666666666)</f>
        <v>39405.666666666599</v>
      </c>
      <c r="B727" s="1">
        <f ca="1">IFERROR(__xludf.DUMMYFUNCTION("""COMPUTED_VALUE"""),3.96)</f>
        <v>3.96</v>
      </c>
    </row>
    <row r="728" spans="1:2">
      <c r="A728" s="3">
        <f ca="1">IFERROR(__xludf.DUMMYFUNCTION("""COMPUTED_VALUE"""),39406.6666666666)</f>
        <v>39406.666666666599</v>
      </c>
      <c r="B728" s="1">
        <f ca="1">IFERROR(__xludf.DUMMYFUNCTION("""COMPUTED_VALUE"""),4.02)</f>
        <v>4.0199999999999996</v>
      </c>
    </row>
    <row r="729" spans="1:2">
      <c r="A729" s="3">
        <f ca="1">IFERROR(__xludf.DUMMYFUNCTION("""COMPUTED_VALUE"""),39407.6666666666)</f>
        <v>39407.666666666599</v>
      </c>
      <c r="B729" s="1">
        <f ca="1">IFERROR(__xludf.DUMMYFUNCTION("""COMPUTED_VALUE"""),3.99)</f>
        <v>3.99</v>
      </c>
    </row>
    <row r="730" spans="1:2">
      <c r="A730" s="3">
        <f ca="1">IFERROR(__xludf.DUMMYFUNCTION("""COMPUTED_VALUE"""),39409.6666666666)</f>
        <v>39409.666666666599</v>
      </c>
      <c r="B730" s="1">
        <f ca="1">IFERROR(__xludf.DUMMYFUNCTION("""COMPUTED_VALUE"""),4.07)</f>
        <v>4.07</v>
      </c>
    </row>
    <row r="731" spans="1:2">
      <c r="A731" s="3">
        <f ca="1">IFERROR(__xludf.DUMMYFUNCTION("""COMPUTED_VALUE"""),39412.6666666666)</f>
        <v>39412.666666666599</v>
      </c>
      <c r="B731" s="1">
        <f ca="1">IFERROR(__xludf.DUMMYFUNCTION("""COMPUTED_VALUE"""),4.07)</f>
        <v>4.07</v>
      </c>
    </row>
    <row r="732" spans="1:2">
      <c r="A732" s="3">
        <f ca="1">IFERROR(__xludf.DUMMYFUNCTION("""COMPUTED_VALUE"""),39413.6666666666)</f>
        <v>39413.666666666599</v>
      </c>
      <c r="B732" s="1">
        <f ca="1">IFERROR(__xludf.DUMMYFUNCTION("""COMPUTED_VALUE"""),4.28)</f>
        <v>4.28</v>
      </c>
    </row>
    <row r="733" spans="1:2">
      <c r="A733" s="3">
        <f ca="1">IFERROR(__xludf.DUMMYFUNCTION("""COMPUTED_VALUE"""),39414.6666666666)</f>
        <v>39414.666666666599</v>
      </c>
      <c r="B733" s="1">
        <f ca="1">IFERROR(__xludf.DUMMYFUNCTION("""COMPUTED_VALUE"""),4.51)</f>
        <v>4.51</v>
      </c>
    </row>
    <row r="734" spans="1:2">
      <c r="A734" s="3">
        <f ca="1">IFERROR(__xludf.DUMMYFUNCTION("""COMPUTED_VALUE"""),39415.6666666666)</f>
        <v>39415.666666666599</v>
      </c>
      <c r="B734" s="1">
        <f ca="1">IFERROR(__xludf.DUMMYFUNCTION("""COMPUTED_VALUE"""),4.46)</f>
        <v>4.46</v>
      </c>
    </row>
    <row r="735" spans="1:2">
      <c r="A735" s="3">
        <f ca="1">IFERROR(__xludf.DUMMYFUNCTION("""COMPUTED_VALUE"""),39416.6666666666)</f>
        <v>39416.666666666599</v>
      </c>
      <c r="B735" s="1">
        <f ca="1">IFERROR(__xludf.DUMMYFUNCTION("""COMPUTED_VALUE"""),4.53)</f>
        <v>4.53</v>
      </c>
    </row>
    <row r="736" spans="1:2">
      <c r="A736" s="3">
        <f ca="1">IFERROR(__xludf.DUMMYFUNCTION("""COMPUTED_VALUE"""),39419.6666666666)</f>
        <v>39419.666666666599</v>
      </c>
      <c r="B736" s="1">
        <f ca="1">IFERROR(__xludf.DUMMYFUNCTION("""COMPUTED_VALUE"""),4.55)</f>
        <v>4.55</v>
      </c>
    </row>
    <row r="737" spans="1:2">
      <c r="A737" s="3">
        <f ca="1">IFERROR(__xludf.DUMMYFUNCTION("""COMPUTED_VALUE"""),39420.6666666666)</f>
        <v>39420.666666666599</v>
      </c>
      <c r="B737" s="1">
        <f ca="1">IFERROR(__xludf.DUMMYFUNCTION("""COMPUTED_VALUE"""),4.72)</f>
        <v>4.72</v>
      </c>
    </row>
    <row r="738" spans="1:2">
      <c r="A738" s="3">
        <f ca="1">IFERROR(__xludf.DUMMYFUNCTION("""COMPUTED_VALUE"""),39421.6666666666)</f>
        <v>39421.666666666599</v>
      </c>
      <c r="B738" s="1">
        <f ca="1">IFERROR(__xludf.DUMMYFUNCTION("""COMPUTED_VALUE"""),4.66)</f>
        <v>4.66</v>
      </c>
    </row>
    <row r="739" spans="1:2">
      <c r="A739" s="3">
        <f ca="1">IFERROR(__xludf.DUMMYFUNCTION("""COMPUTED_VALUE"""),39422.6666666666)</f>
        <v>39422.666666666599</v>
      </c>
      <c r="B739" s="1">
        <f ca="1">IFERROR(__xludf.DUMMYFUNCTION("""COMPUTED_VALUE"""),4.71)</f>
        <v>4.71</v>
      </c>
    </row>
    <row r="740" spans="1:2">
      <c r="A740" s="3">
        <f ca="1">IFERROR(__xludf.DUMMYFUNCTION("""COMPUTED_VALUE"""),39423.6666666666)</f>
        <v>39423.666666666599</v>
      </c>
      <c r="B740" s="1">
        <f ca="1">IFERROR(__xludf.DUMMYFUNCTION("""COMPUTED_VALUE"""),4.72)</f>
        <v>4.72</v>
      </c>
    </row>
    <row r="741" spans="1:2">
      <c r="A741" s="3">
        <f ca="1">IFERROR(__xludf.DUMMYFUNCTION("""COMPUTED_VALUE"""),39426.6666666666)</f>
        <v>39426.666666666599</v>
      </c>
      <c r="B741" s="1">
        <f ca="1">IFERROR(__xludf.DUMMYFUNCTION("""COMPUTED_VALUE"""),4.65)</f>
        <v>4.6500000000000004</v>
      </c>
    </row>
    <row r="742" spans="1:2">
      <c r="A742" s="3">
        <f ca="1">IFERROR(__xludf.DUMMYFUNCTION("""COMPUTED_VALUE"""),39427.6666666666)</f>
        <v>39427.666666666599</v>
      </c>
      <c r="B742" s="1">
        <f ca="1">IFERROR(__xludf.DUMMYFUNCTION("""COMPUTED_VALUE"""),4.54)</f>
        <v>4.54</v>
      </c>
    </row>
    <row r="743" spans="1:2">
      <c r="A743" s="3">
        <f ca="1">IFERROR(__xludf.DUMMYFUNCTION("""COMPUTED_VALUE"""),39428.6666666666)</f>
        <v>39428.666666666599</v>
      </c>
      <c r="B743" s="1">
        <f ca="1">IFERROR(__xludf.DUMMYFUNCTION("""COMPUTED_VALUE"""),4.56)</f>
        <v>4.5599999999999996</v>
      </c>
    </row>
    <row r="744" spans="1:2">
      <c r="A744" s="3">
        <f ca="1">IFERROR(__xludf.DUMMYFUNCTION("""COMPUTED_VALUE"""),39429.6666666666)</f>
        <v>39429.666666666599</v>
      </c>
      <c r="B744" s="1">
        <f ca="1">IFERROR(__xludf.DUMMYFUNCTION("""COMPUTED_VALUE"""),4.62)</f>
        <v>4.62</v>
      </c>
    </row>
    <row r="745" spans="1:2">
      <c r="A745" s="3">
        <f ca="1">IFERROR(__xludf.DUMMYFUNCTION("""COMPUTED_VALUE"""),39430.6666666666)</f>
        <v>39430.666666666599</v>
      </c>
      <c r="B745" s="1">
        <f ca="1">IFERROR(__xludf.DUMMYFUNCTION("""COMPUTED_VALUE"""),4.45)</f>
        <v>4.45</v>
      </c>
    </row>
    <row r="746" spans="1:2">
      <c r="A746" s="3">
        <f ca="1">IFERROR(__xludf.DUMMYFUNCTION("""COMPUTED_VALUE"""),39433.6666666666)</f>
        <v>39433.666666666599</v>
      </c>
      <c r="B746" s="1">
        <f ca="1">IFERROR(__xludf.DUMMYFUNCTION("""COMPUTED_VALUE"""),4.25)</f>
        <v>4.25</v>
      </c>
    </row>
    <row r="747" spans="1:2">
      <c r="A747" s="3">
        <f ca="1">IFERROR(__xludf.DUMMYFUNCTION("""COMPUTED_VALUE"""),39434.6666666666)</f>
        <v>39434.666666666599</v>
      </c>
      <c r="B747" s="1">
        <f ca="1">IFERROR(__xludf.DUMMYFUNCTION("""COMPUTED_VALUE"""),4.34)</f>
        <v>4.34</v>
      </c>
    </row>
    <row r="748" spans="1:2">
      <c r="A748" s="3">
        <f ca="1">IFERROR(__xludf.DUMMYFUNCTION("""COMPUTED_VALUE"""),39435.6666666666)</f>
        <v>39435.666666666599</v>
      </c>
      <c r="B748" s="1">
        <f ca="1">IFERROR(__xludf.DUMMYFUNCTION("""COMPUTED_VALUE"""),4.47)</f>
        <v>4.47</v>
      </c>
    </row>
    <row r="749" spans="1:2">
      <c r="A749" s="3">
        <f ca="1">IFERROR(__xludf.DUMMYFUNCTION("""COMPUTED_VALUE"""),39436.6666666666)</f>
        <v>39436.666666666599</v>
      </c>
      <c r="B749" s="1">
        <f ca="1">IFERROR(__xludf.DUMMYFUNCTION("""COMPUTED_VALUE"""),4.53)</f>
        <v>4.53</v>
      </c>
    </row>
    <row r="750" spans="1:2">
      <c r="A750" s="3">
        <f ca="1">IFERROR(__xludf.DUMMYFUNCTION("""COMPUTED_VALUE"""),39437.6666666666)</f>
        <v>39437.666666666599</v>
      </c>
      <c r="B750" s="1">
        <f ca="1">IFERROR(__xludf.DUMMYFUNCTION("""COMPUTED_VALUE"""),4.56)</f>
        <v>4.5599999999999996</v>
      </c>
    </row>
    <row r="751" spans="1:2">
      <c r="A751" s="3">
        <f ca="1">IFERROR(__xludf.DUMMYFUNCTION("""COMPUTED_VALUE"""),39440.6666666666)</f>
        <v>39440.666666666599</v>
      </c>
      <c r="B751" s="1">
        <f ca="1">IFERROR(__xludf.DUMMYFUNCTION("""COMPUTED_VALUE"""),4.55)</f>
        <v>4.55</v>
      </c>
    </row>
    <row r="752" spans="1:2">
      <c r="A752" s="3">
        <f ca="1">IFERROR(__xludf.DUMMYFUNCTION("""COMPUTED_VALUE"""),39442.6666666666)</f>
        <v>39442.666666666599</v>
      </c>
      <c r="B752" s="1">
        <f ca="1">IFERROR(__xludf.DUMMYFUNCTION("""COMPUTED_VALUE"""),4.64)</f>
        <v>4.6399999999999997</v>
      </c>
    </row>
    <row r="753" spans="1:2">
      <c r="A753" s="3">
        <f ca="1">IFERROR(__xludf.DUMMYFUNCTION("""COMPUTED_VALUE"""),39443.6666666666)</f>
        <v>39443.666666666599</v>
      </c>
      <c r="B753" s="1">
        <f ca="1">IFERROR(__xludf.DUMMYFUNCTION("""COMPUTED_VALUE"""),4.71)</f>
        <v>4.71</v>
      </c>
    </row>
    <row r="754" spans="1:2">
      <c r="A754" s="3">
        <f ca="1">IFERROR(__xludf.DUMMYFUNCTION("""COMPUTED_VALUE"""),39444.6666666666)</f>
        <v>39444.666666666599</v>
      </c>
      <c r="B754" s="1">
        <f ca="1">IFERROR(__xludf.DUMMYFUNCTION("""COMPUTED_VALUE"""),4.72)</f>
        <v>4.72</v>
      </c>
    </row>
    <row r="755" spans="1:2">
      <c r="A755" s="3">
        <f ca="1">IFERROR(__xludf.DUMMYFUNCTION("""COMPUTED_VALUE"""),39447.6666666666)</f>
        <v>39447.666666666599</v>
      </c>
      <c r="B755" s="1">
        <f ca="1">IFERROR(__xludf.DUMMYFUNCTION("""COMPUTED_VALUE"""),4.63)</f>
        <v>4.63</v>
      </c>
    </row>
    <row r="756" spans="1:2">
      <c r="A756" s="3">
        <f ca="1">IFERROR(__xludf.DUMMYFUNCTION("""COMPUTED_VALUE"""),39449.6666666666)</f>
        <v>39449.666666666599</v>
      </c>
      <c r="B756" s="1">
        <f ca="1">IFERROR(__xludf.DUMMYFUNCTION("""COMPUTED_VALUE"""),4.81)</f>
        <v>4.8099999999999996</v>
      </c>
    </row>
    <row r="757" spans="1:2">
      <c r="A757" s="3">
        <f ca="1">IFERROR(__xludf.DUMMYFUNCTION("""COMPUTED_VALUE"""),39450.6666666666)</f>
        <v>39450.666666666599</v>
      </c>
      <c r="B757" s="1">
        <f ca="1">IFERROR(__xludf.DUMMYFUNCTION("""COMPUTED_VALUE"""),4.76)</f>
        <v>4.76</v>
      </c>
    </row>
    <row r="758" spans="1:2">
      <c r="A758" s="3">
        <f ca="1">IFERROR(__xludf.DUMMYFUNCTION("""COMPUTED_VALUE"""),39451.6666666666)</f>
        <v>39451.666666666599</v>
      </c>
      <c r="B758" s="1">
        <f ca="1">IFERROR(__xludf.DUMMYFUNCTION("""COMPUTED_VALUE"""),4.44)</f>
        <v>4.4400000000000004</v>
      </c>
    </row>
    <row r="759" spans="1:2">
      <c r="A759" s="3">
        <f ca="1">IFERROR(__xludf.DUMMYFUNCTION("""COMPUTED_VALUE"""),39454.6666666666)</f>
        <v>39454.666666666599</v>
      </c>
      <c r="B759" s="1">
        <f ca="1">IFERROR(__xludf.DUMMYFUNCTION("""COMPUTED_VALUE"""),4.44)</f>
        <v>4.4400000000000004</v>
      </c>
    </row>
    <row r="760" spans="1:2">
      <c r="A760" s="3">
        <f ca="1">IFERROR(__xludf.DUMMYFUNCTION("""COMPUTED_VALUE"""),39455.6666666666)</f>
        <v>39455.666666666599</v>
      </c>
      <c r="B760" s="1">
        <f ca="1">IFERROR(__xludf.DUMMYFUNCTION("""COMPUTED_VALUE"""),4.39)</f>
        <v>4.3899999999999997</v>
      </c>
    </row>
    <row r="761" spans="1:2">
      <c r="A761" s="3">
        <f ca="1">IFERROR(__xludf.DUMMYFUNCTION("""COMPUTED_VALUE"""),39456.6666666666)</f>
        <v>39456.666666666599</v>
      </c>
      <c r="B761" s="1">
        <f ca="1">IFERROR(__xludf.DUMMYFUNCTION("""COMPUTED_VALUE"""),4.26)</f>
        <v>4.26</v>
      </c>
    </row>
    <row r="762" spans="1:2">
      <c r="A762" s="3">
        <f ca="1">IFERROR(__xludf.DUMMYFUNCTION("""COMPUTED_VALUE"""),39457.6666666666)</f>
        <v>39457.666666666599</v>
      </c>
      <c r="B762" s="1">
        <f ca="1">IFERROR(__xludf.DUMMYFUNCTION("""COMPUTED_VALUE"""),4.21)</f>
        <v>4.21</v>
      </c>
    </row>
    <row r="763" spans="1:2">
      <c r="A763" s="3">
        <f ca="1">IFERROR(__xludf.DUMMYFUNCTION("""COMPUTED_VALUE"""),39458.6666666666)</f>
        <v>39458.666666666599</v>
      </c>
      <c r="B763" s="1">
        <f ca="1">IFERROR(__xludf.DUMMYFUNCTION("""COMPUTED_VALUE"""),4.05)</f>
        <v>4.05</v>
      </c>
    </row>
    <row r="764" spans="1:2">
      <c r="A764" s="3">
        <f ca="1">IFERROR(__xludf.DUMMYFUNCTION("""COMPUTED_VALUE"""),39461.6666666666)</f>
        <v>39461.666666666599</v>
      </c>
      <c r="B764" s="1">
        <f ca="1">IFERROR(__xludf.DUMMYFUNCTION("""COMPUTED_VALUE"""),4.14)</f>
        <v>4.1399999999999997</v>
      </c>
    </row>
    <row r="765" spans="1:2">
      <c r="A765" s="3">
        <f ca="1">IFERROR(__xludf.DUMMYFUNCTION("""COMPUTED_VALUE"""),39462.6666666666)</f>
        <v>39462.666666666599</v>
      </c>
      <c r="B765" s="1">
        <f ca="1">IFERROR(__xludf.DUMMYFUNCTION("""COMPUTED_VALUE"""),4.01)</f>
        <v>4.01</v>
      </c>
    </row>
    <row r="766" spans="1:2">
      <c r="A766" s="3">
        <f ca="1">IFERROR(__xludf.DUMMYFUNCTION("""COMPUTED_VALUE"""),39463.6666666666)</f>
        <v>39463.666666666599</v>
      </c>
      <c r="B766" s="1">
        <f ca="1">IFERROR(__xludf.DUMMYFUNCTION("""COMPUTED_VALUE"""),4.02)</f>
        <v>4.0199999999999996</v>
      </c>
    </row>
    <row r="767" spans="1:2">
      <c r="A767" s="3">
        <f ca="1">IFERROR(__xludf.DUMMYFUNCTION("""COMPUTED_VALUE"""),39464.6666666666)</f>
        <v>39464.666666666599</v>
      </c>
      <c r="B767" s="1">
        <f ca="1">IFERROR(__xludf.DUMMYFUNCTION("""COMPUTED_VALUE"""),4.01)</f>
        <v>4.01</v>
      </c>
    </row>
    <row r="768" spans="1:2">
      <c r="A768" s="3">
        <f ca="1">IFERROR(__xludf.DUMMYFUNCTION("""COMPUTED_VALUE"""),39465.6666666666)</f>
        <v>39465.666666666599</v>
      </c>
      <c r="B768" s="1">
        <f ca="1">IFERROR(__xludf.DUMMYFUNCTION("""COMPUTED_VALUE"""),3.99)</f>
        <v>3.99</v>
      </c>
    </row>
    <row r="769" spans="1:2">
      <c r="A769" s="3">
        <f ca="1">IFERROR(__xludf.DUMMYFUNCTION("""COMPUTED_VALUE"""),39469.6666666666)</f>
        <v>39469.666666666599</v>
      </c>
      <c r="B769" s="1">
        <f ca="1">IFERROR(__xludf.DUMMYFUNCTION("""COMPUTED_VALUE"""),3.92)</f>
        <v>3.92</v>
      </c>
    </row>
    <row r="770" spans="1:2">
      <c r="A770" s="3">
        <f ca="1">IFERROR(__xludf.DUMMYFUNCTION("""COMPUTED_VALUE"""),39470.6666666666)</f>
        <v>39470.666666666599</v>
      </c>
      <c r="B770" s="1">
        <f ca="1">IFERROR(__xludf.DUMMYFUNCTION("""COMPUTED_VALUE"""),3.7)</f>
        <v>3.7</v>
      </c>
    </row>
    <row r="771" spans="1:2">
      <c r="A771" s="3">
        <f ca="1">IFERROR(__xludf.DUMMYFUNCTION("""COMPUTED_VALUE"""),39471.6666666666)</f>
        <v>39471.666666666599</v>
      </c>
      <c r="B771" s="1">
        <f ca="1">IFERROR(__xludf.DUMMYFUNCTION("""COMPUTED_VALUE"""),3.88)</f>
        <v>3.88</v>
      </c>
    </row>
    <row r="772" spans="1:2">
      <c r="A772" s="3">
        <f ca="1">IFERROR(__xludf.DUMMYFUNCTION("""COMPUTED_VALUE"""),39472.6666666666)</f>
        <v>39472.666666666599</v>
      </c>
      <c r="B772" s="1">
        <f ca="1">IFERROR(__xludf.DUMMYFUNCTION("""COMPUTED_VALUE"""),3.88)</f>
        <v>3.88</v>
      </c>
    </row>
    <row r="773" spans="1:2">
      <c r="A773" s="3">
        <f ca="1">IFERROR(__xludf.DUMMYFUNCTION("""COMPUTED_VALUE"""),39475.6666666666)</f>
        <v>39475.666666666599</v>
      </c>
      <c r="B773" s="1">
        <f ca="1">IFERROR(__xludf.DUMMYFUNCTION("""COMPUTED_VALUE"""),3.79)</f>
        <v>3.79</v>
      </c>
    </row>
    <row r="774" spans="1:2">
      <c r="A774" s="3">
        <f ca="1">IFERROR(__xludf.DUMMYFUNCTION("""COMPUTED_VALUE"""),39476.6666666666)</f>
        <v>39476.666666666599</v>
      </c>
      <c r="B774" s="1">
        <f ca="1">IFERROR(__xludf.DUMMYFUNCTION("""COMPUTED_VALUE"""),3.7)</f>
        <v>3.7</v>
      </c>
    </row>
    <row r="775" spans="1:2">
      <c r="A775" s="3">
        <f ca="1">IFERROR(__xludf.DUMMYFUNCTION("""COMPUTED_VALUE"""),39477.6666666666)</f>
        <v>39477.666666666599</v>
      </c>
      <c r="B775" s="1">
        <f ca="1">IFERROR(__xludf.DUMMYFUNCTION("""COMPUTED_VALUE"""),3.71)</f>
        <v>3.71</v>
      </c>
    </row>
    <row r="776" spans="1:2">
      <c r="A776" s="3">
        <f ca="1">IFERROR(__xludf.DUMMYFUNCTION("""COMPUTED_VALUE"""),39478.6666666666)</f>
        <v>39478.666666666599</v>
      </c>
      <c r="B776" s="1">
        <f ca="1">IFERROR(__xludf.DUMMYFUNCTION("""COMPUTED_VALUE"""),3.89)</f>
        <v>3.89</v>
      </c>
    </row>
    <row r="777" spans="1:2">
      <c r="A777" s="3">
        <f ca="1">IFERROR(__xludf.DUMMYFUNCTION("""COMPUTED_VALUE"""),39479.6666666666)</f>
        <v>39479.666666666599</v>
      </c>
      <c r="B777" s="1">
        <f ca="1">IFERROR(__xludf.DUMMYFUNCTION("""COMPUTED_VALUE"""),3.73)</f>
        <v>3.73</v>
      </c>
    </row>
    <row r="778" spans="1:2">
      <c r="A778" s="3">
        <f ca="1">IFERROR(__xludf.DUMMYFUNCTION("""COMPUTED_VALUE"""),39482.6666666666)</f>
        <v>39482.666666666599</v>
      </c>
      <c r="B778" s="1">
        <f ca="1">IFERROR(__xludf.DUMMYFUNCTION("""COMPUTED_VALUE"""),3.7)</f>
        <v>3.7</v>
      </c>
    </row>
    <row r="779" spans="1:2">
      <c r="A779" s="3">
        <f ca="1">IFERROR(__xludf.DUMMYFUNCTION("""COMPUTED_VALUE"""),39483.6666666666)</f>
        <v>39483.666666666599</v>
      </c>
      <c r="B779" s="1">
        <f ca="1">IFERROR(__xludf.DUMMYFUNCTION("""COMPUTED_VALUE"""),3.6)</f>
        <v>3.6</v>
      </c>
    </row>
    <row r="780" spans="1:2">
      <c r="A780" s="3">
        <f ca="1">IFERROR(__xludf.DUMMYFUNCTION("""COMPUTED_VALUE"""),39484.6666666666)</f>
        <v>39484.666666666599</v>
      </c>
      <c r="B780" s="1">
        <f ca="1">IFERROR(__xludf.DUMMYFUNCTION("""COMPUTED_VALUE"""),3.42)</f>
        <v>3.42</v>
      </c>
    </row>
    <row r="781" spans="1:2">
      <c r="A781" s="3">
        <f ca="1">IFERROR(__xludf.DUMMYFUNCTION("""COMPUTED_VALUE"""),39485.6666666666)</f>
        <v>39485.666666666599</v>
      </c>
      <c r="B781" s="1">
        <f ca="1">IFERROR(__xludf.DUMMYFUNCTION("""COMPUTED_VALUE"""),3.55)</f>
        <v>3.55</v>
      </c>
    </row>
    <row r="782" spans="1:2">
      <c r="A782" s="3">
        <f ca="1">IFERROR(__xludf.DUMMYFUNCTION("""COMPUTED_VALUE"""),39486.6666666666)</f>
        <v>39486.666666666599</v>
      </c>
      <c r="B782" s="1">
        <f ca="1">IFERROR(__xludf.DUMMYFUNCTION("""COMPUTED_VALUE"""),3.68)</f>
        <v>3.68</v>
      </c>
    </row>
    <row r="783" spans="1:2">
      <c r="A783" s="3">
        <f ca="1">IFERROR(__xludf.DUMMYFUNCTION("""COMPUTED_VALUE"""),39489.6666666666)</f>
        <v>39489.666666666599</v>
      </c>
      <c r="B783" s="1">
        <f ca="1">IFERROR(__xludf.DUMMYFUNCTION("""COMPUTED_VALUE"""),3.76)</f>
        <v>3.76</v>
      </c>
    </row>
    <row r="784" spans="1:2">
      <c r="A784" s="3">
        <f ca="1">IFERROR(__xludf.DUMMYFUNCTION("""COMPUTED_VALUE"""),39490.6666666666)</f>
        <v>39490.666666666599</v>
      </c>
      <c r="B784" s="1">
        <f ca="1">IFERROR(__xludf.DUMMYFUNCTION("""COMPUTED_VALUE"""),3.72)</f>
        <v>3.72</v>
      </c>
    </row>
    <row r="785" spans="1:2">
      <c r="A785" s="3">
        <f ca="1">IFERROR(__xludf.DUMMYFUNCTION("""COMPUTED_VALUE"""),39491.6666666666)</f>
        <v>39491.666666666599</v>
      </c>
      <c r="B785" s="1">
        <f ca="1">IFERROR(__xludf.DUMMYFUNCTION("""COMPUTED_VALUE"""),3.89)</f>
        <v>3.89</v>
      </c>
    </row>
    <row r="786" spans="1:2">
      <c r="A786" s="3">
        <f ca="1">IFERROR(__xludf.DUMMYFUNCTION("""COMPUTED_VALUE"""),39492.6666666666)</f>
        <v>39492.666666666599</v>
      </c>
      <c r="B786" s="1">
        <f ca="1">IFERROR(__xludf.DUMMYFUNCTION("""COMPUTED_VALUE"""),3.79)</f>
        <v>3.79</v>
      </c>
    </row>
    <row r="787" spans="1:2">
      <c r="A787" s="3">
        <f ca="1">IFERROR(__xludf.DUMMYFUNCTION("""COMPUTED_VALUE"""),39493.6666666666)</f>
        <v>39493.666666666599</v>
      </c>
      <c r="B787" s="1">
        <f ca="1">IFERROR(__xludf.DUMMYFUNCTION("""COMPUTED_VALUE"""),3.65)</f>
        <v>3.65</v>
      </c>
    </row>
    <row r="788" spans="1:2">
      <c r="A788" s="3">
        <f ca="1">IFERROR(__xludf.DUMMYFUNCTION("""COMPUTED_VALUE"""),39497.6666666666)</f>
        <v>39497.666666666599</v>
      </c>
      <c r="B788" s="1">
        <f ca="1">IFERROR(__xludf.DUMMYFUNCTION("""COMPUTED_VALUE"""),3.6)</f>
        <v>3.6</v>
      </c>
    </row>
    <row r="789" spans="1:2">
      <c r="A789" s="3">
        <f ca="1">IFERROR(__xludf.DUMMYFUNCTION("""COMPUTED_VALUE"""),39498.6666666666)</f>
        <v>39498.666666666599</v>
      </c>
      <c r="B789" s="1">
        <f ca="1">IFERROR(__xludf.DUMMYFUNCTION("""COMPUTED_VALUE"""),3.68)</f>
        <v>3.68</v>
      </c>
    </row>
    <row r="790" spans="1:2">
      <c r="A790" s="3">
        <f ca="1">IFERROR(__xludf.DUMMYFUNCTION("""COMPUTED_VALUE"""),39499.6666666666)</f>
        <v>39499.666666666599</v>
      </c>
      <c r="B790" s="1">
        <f ca="1">IFERROR(__xludf.DUMMYFUNCTION("""COMPUTED_VALUE"""),3.5)</f>
        <v>3.5</v>
      </c>
    </row>
    <row r="791" spans="1:2">
      <c r="A791" s="3">
        <f ca="1">IFERROR(__xludf.DUMMYFUNCTION("""COMPUTED_VALUE"""),39500.6666666666)</f>
        <v>39500.666666666599</v>
      </c>
      <c r="B791" s="1">
        <f ca="1">IFERROR(__xludf.DUMMYFUNCTION("""COMPUTED_VALUE"""),3.6)</f>
        <v>3.6</v>
      </c>
    </row>
    <row r="792" spans="1:2">
      <c r="A792" s="3">
        <f ca="1">IFERROR(__xludf.DUMMYFUNCTION("""COMPUTED_VALUE"""),39503.6666666666)</f>
        <v>39503.666666666599</v>
      </c>
      <c r="B792" s="1">
        <f ca="1">IFERROR(__xludf.DUMMYFUNCTION("""COMPUTED_VALUE"""),3.66)</f>
        <v>3.66</v>
      </c>
    </row>
    <row r="793" spans="1:2">
      <c r="A793" s="3">
        <f ca="1">IFERROR(__xludf.DUMMYFUNCTION("""COMPUTED_VALUE"""),39504.6666666666)</f>
        <v>39504.666666666599</v>
      </c>
      <c r="B793" s="1">
        <f ca="1">IFERROR(__xludf.DUMMYFUNCTION("""COMPUTED_VALUE"""),3.58)</f>
        <v>3.58</v>
      </c>
    </row>
    <row r="794" spans="1:2">
      <c r="A794" s="3">
        <f ca="1">IFERROR(__xludf.DUMMYFUNCTION("""COMPUTED_VALUE"""),39505.6666666666)</f>
        <v>39505.666666666599</v>
      </c>
      <c r="B794" s="1">
        <f ca="1">IFERROR(__xludf.DUMMYFUNCTION("""COMPUTED_VALUE"""),3.54)</f>
        <v>3.54</v>
      </c>
    </row>
    <row r="795" spans="1:2">
      <c r="A795" s="3">
        <f ca="1">IFERROR(__xludf.DUMMYFUNCTION("""COMPUTED_VALUE"""),39506.6666666666)</f>
        <v>39506.666666666599</v>
      </c>
      <c r="B795" s="1">
        <f ca="1">IFERROR(__xludf.DUMMYFUNCTION("""COMPUTED_VALUE"""),3.39)</f>
        <v>3.39</v>
      </c>
    </row>
    <row r="796" spans="1:2">
      <c r="A796" s="3">
        <f ca="1">IFERROR(__xludf.DUMMYFUNCTION("""COMPUTED_VALUE"""),39507.6666666666)</f>
        <v>39507.666666666599</v>
      </c>
      <c r="B796" s="1">
        <f ca="1">IFERROR(__xludf.DUMMYFUNCTION("""COMPUTED_VALUE"""),3.22)</f>
        <v>3.22</v>
      </c>
    </row>
    <row r="797" spans="1:2">
      <c r="A797" s="3">
        <f ca="1">IFERROR(__xludf.DUMMYFUNCTION("""COMPUTED_VALUE"""),39510.6666666666)</f>
        <v>39510.666666666599</v>
      </c>
      <c r="B797" s="1">
        <f ca="1">IFERROR(__xludf.DUMMYFUNCTION("""COMPUTED_VALUE"""),3.12)</f>
        <v>3.12</v>
      </c>
    </row>
    <row r="798" spans="1:2">
      <c r="A798" s="3">
        <f ca="1">IFERROR(__xludf.DUMMYFUNCTION("""COMPUTED_VALUE"""),39511.6666666666)</f>
        <v>39511.666666666599</v>
      </c>
      <c r="B798" s="1">
        <f ca="1">IFERROR(__xludf.DUMMYFUNCTION("""COMPUTED_VALUE"""),3.27)</f>
        <v>3.27</v>
      </c>
    </row>
    <row r="799" spans="1:2">
      <c r="A799" s="3">
        <f ca="1">IFERROR(__xludf.DUMMYFUNCTION("""COMPUTED_VALUE"""),39512.6666666666)</f>
        <v>39512.666666666599</v>
      </c>
      <c r="B799" s="1">
        <f ca="1">IFERROR(__xludf.DUMMYFUNCTION("""COMPUTED_VALUE"""),3.25)</f>
        <v>3.25</v>
      </c>
    </row>
    <row r="800" spans="1:2">
      <c r="A800" s="3">
        <f ca="1">IFERROR(__xludf.DUMMYFUNCTION("""COMPUTED_VALUE"""),39513.6666666666)</f>
        <v>39513.666666666599</v>
      </c>
      <c r="B800" s="1">
        <f ca="1">IFERROR(__xludf.DUMMYFUNCTION("""COMPUTED_VALUE"""),3.14)</f>
        <v>3.14</v>
      </c>
    </row>
    <row r="801" spans="1:2">
      <c r="A801" s="3">
        <f ca="1">IFERROR(__xludf.DUMMYFUNCTION("""COMPUTED_VALUE"""),39514.6666666666)</f>
        <v>39514.666666666599</v>
      </c>
      <c r="B801" s="1">
        <f ca="1">IFERROR(__xludf.DUMMYFUNCTION("""COMPUTED_VALUE"""),3.2)</f>
        <v>3.2</v>
      </c>
    </row>
    <row r="802" spans="1:2">
      <c r="A802" s="3">
        <f ca="1">IFERROR(__xludf.DUMMYFUNCTION("""COMPUTED_VALUE"""),39517.6666666666)</f>
        <v>39517.666666666599</v>
      </c>
      <c r="B802" s="1">
        <f ca="1">IFERROR(__xludf.DUMMYFUNCTION("""COMPUTED_VALUE"""),3.17)</f>
        <v>3.17</v>
      </c>
    </row>
    <row r="803" spans="1:2">
      <c r="A803" s="3">
        <f ca="1">IFERROR(__xludf.DUMMYFUNCTION("""COMPUTED_VALUE"""),39518.6666666666)</f>
        <v>39518.666666666599</v>
      </c>
      <c r="B803" s="1">
        <f ca="1">IFERROR(__xludf.DUMMYFUNCTION("""COMPUTED_VALUE"""),3.36)</f>
        <v>3.36</v>
      </c>
    </row>
    <row r="804" spans="1:2">
      <c r="A804" s="3">
        <f ca="1">IFERROR(__xludf.DUMMYFUNCTION("""COMPUTED_VALUE"""),39519.6666666666)</f>
        <v>39519.666666666599</v>
      </c>
      <c r="B804" s="1">
        <f ca="1">IFERROR(__xludf.DUMMYFUNCTION("""COMPUTED_VALUE"""),3.33)</f>
        <v>3.33</v>
      </c>
    </row>
    <row r="805" spans="1:2">
      <c r="A805" s="3">
        <f ca="1">IFERROR(__xludf.DUMMYFUNCTION("""COMPUTED_VALUE"""),39520.6666666666)</f>
        <v>39520.666666666599</v>
      </c>
      <c r="B805" s="1">
        <f ca="1">IFERROR(__xludf.DUMMYFUNCTION("""COMPUTED_VALUE"""),3.42)</f>
        <v>3.42</v>
      </c>
    </row>
    <row r="806" spans="1:2">
      <c r="A806" s="3">
        <f ca="1">IFERROR(__xludf.DUMMYFUNCTION("""COMPUTED_VALUE"""),39521.6666666666)</f>
        <v>39521.666666666599</v>
      </c>
      <c r="B806" s="1">
        <f ca="1">IFERROR(__xludf.DUMMYFUNCTION("""COMPUTED_VALUE"""),3.41)</f>
        <v>3.41</v>
      </c>
    </row>
    <row r="807" spans="1:2">
      <c r="A807" s="3">
        <f ca="1">IFERROR(__xludf.DUMMYFUNCTION("""COMPUTED_VALUE"""),39524.6666666666)</f>
        <v>39524.666666666599</v>
      </c>
      <c r="B807" s="1">
        <f ca="1">IFERROR(__xludf.DUMMYFUNCTION("""COMPUTED_VALUE"""),3.33)</f>
        <v>3.33</v>
      </c>
    </row>
    <row r="808" spans="1:2">
      <c r="A808" s="3">
        <f ca="1">IFERROR(__xludf.DUMMYFUNCTION("""COMPUTED_VALUE"""),39525.6666666666)</f>
        <v>39525.666666666599</v>
      </c>
      <c r="B808" s="1">
        <f ca="1">IFERROR(__xludf.DUMMYFUNCTION("""COMPUTED_VALUE"""),3.59)</f>
        <v>3.59</v>
      </c>
    </row>
    <row r="809" spans="1:2">
      <c r="A809" s="3">
        <f ca="1">IFERROR(__xludf.DUMMYFUNCTION("""COMPUTED_VALUE"""),39526.6666666666)</f>
        <v>39526.666666666599</v>
      </c>
      <c r="B809" s="1">
        <f ca="1">IFERROR(__xludf.DUMMYFUNCTION("""COMPUTED_VALUE"""),3.51)</f>
        <v>3.51</v>
      </c>
    </row>
    <row r="810" spans="1:2">
      <c r="A810" s="3">
        <f ca="1">IFERROR(__xludf.DUMMYFUNCTION("""COMPUTED_VALUE"""),39527.6666666666)</f>
        <v>39527.666666666599</v>
      </c>
      <c r="B810" s="1">
        <f ca="1">IFERROR(__xludf.DUMMYFUNCTION("""COMPUTED_VALUE"""),3.66)</f>
        <v>3.66</v>
      </c>
    </row>
    <row r="811" spans="1:2">
      <c r="A811" s="3">
        <f ca="1">IFERROR(__xludf.DUMMYFUNCTION("""COMPUTED_VALUE"""),39531.6666666666)</f>
        <v>39531.666666666599</v>
      </c>
      <c r="B811" s="1">
        <f ca="1">IFERROR(__xludf.DUMMYFUNCTION("""COMPUTED_VALUE"""),3.8)</f>
        <v>3.8</v>
      </c>
    </row>
    <row r="812" spans="1:2">
      <c r="A812" s="3">
        <f ca="1">IFERROR(__xludf.DUMMYFUNCTION("""COMPUTED_VALUE"""),39532.6666666666)</f>
        <v>39532.666666666599</v>
      </c>
      <c r="B812" s="1">
        <f ca="1">IFERROR(__xludf.DUMMYFUNCTION("""COMPUTED_VALUE"""),3.76)</f>
        <v>3.76</v>
      </c>
    </row>
    <row r="813" spans="1:2">
      <c r="A813" s="3">
        <f ca="1">IFERROR(__xludf.DUMMYFUNCTION("""COMPUTED_VALUE"""),39533.6666666666)</f>
        <v>39533.666666666599</v>
      </c>
      <c r="B813" s="1">
        <f ca="1">IFERROR(__xludf.DUMMYFUNCTION("""COMPUTED_VALUE"""),3.69)</f>
        <v>3.69</v>
      </c>
    </row>
    <row r="814" spans="1:2">
      <c r="A814" s="3">
        <f ca="1">IFERROR(__xludf.DUMMYFUNCTION("""COMPUTED_VALUE"""),39534.6666666666)</f>
        <v>39534.666666666599</v>
      </c>
      <c r="B814" s="1">
        <f ca="1">IFERROR(__xludf.DUMMYFUNCTION("""COMPUTED_VALUE"""),3.54)</f>
        <v>3.54</v>
      </c>
    </row>
    <row r="815" spans="1:2">
      <c r="A815" s="3">
        <f ca="1">IFERROR(__xludf.DUMMYFUNCTION("""COMPUTED_VALUE"""),39535.6666666666)</f>
        <v>39535.666666666599</v>
      </c>
      <c r="B815" s="1">
        <f ca="1">IFERROR(__xludf.DUMMYFUNCTION("""COMPUTED_VALUE"""),3.49)</f>
        <v>3.49</v>
      </c>
    </row>
    <row r="816" spans="1:2">
      <c r="A816" s="3">
        <f ca="1">IFERROR(__xludf.DUMMYFUNCTION("""COMPUTED_VALUE"""),39538.6666666666)</f>
        <v>39538.666666666599</v>
      </c>
      <c r="B816" s="1">
        <f ca="1">IFERROR(__xludf.DUMMYFUNCTION("""COMPUTED_VALUE"""),3.57)</f>
        <v>3.57</v>
      </c>
    </row>
    <row r="817" spans="1:2">
      <c r="A817" s="3">
        <f ca="1">IFERROR(__xludf.DUMMYFUNCTION("""COMPUTED_VALUE"""),39539.6666666666)</f>
        <v>39539.666666666599</v>
      </c>
      <c r="B817" s="1">
        <f ca="1">IFERROR(__xludf.DUMMYFUNCTION("""COMPUTED_VALUE"""),3.84)</f>
        <v>3.84</v>
      </c>
    </row>
    <row r="818" spans="1:2">
      <c r="A818" s="3">
        <f ca="1">IFERROR(__xludf.DUMMYFUNCTION("""COMPUTED_VALUE"""),39540.6666666666)</f>
        <v>39540.666666666599</v>
      </c>
      <c r="B818" s="1">
        <f ca="1">IFERROR(__xludf.DUMMYFUNCTION("""COMPUTED_VALUE"""),3.87)</f>
        <v>3.87</v>
      </c>
    </row>
    <row r="819" spans="1:2">
      <c r="A819" s="3">
        <f ca="1">IFERROR(__xludf.DUMMYFUNCTION("""COMPUTED_VALUE"""),39541.6666666666)</f>
        <v>39541.666666666599</v>
      </c>
      <c r="B819" s="1">
        <f ca="1">IFERROR(__xludf.DUMMYFUNCTION("""COMPUTED_VALUE"""),3.75)</f>
        <v>3.75</v>
      </c>
    </row>
    <row r="820" spans="1:2">
      <c r="A820" s="3">
        <f ca="1">IFERROR(__xludf.DUMMYFUNCTION("""COMPUTED_VALUE"""),39542.6666666666)</f>
        <v>39542.666666666599</v>
      </c>
      <c r="B820" s="1">
        <f ca="1">IFERROR(__xludf.DUMMYFUNCTION("""COMPUTED_VALUE"""),3.84)</f>
        <v>3.84</v>
      </c>
    </row>
    <row r="821" spans="1:2">
      <c r="A821" s="3">
        <f ca="1">IFERROR(__xludf.DUMMYFUNCTION("""COMPUTED_VALUE"""),39545.6666666666)</f>
        <v>39545.666666666599</v>
      </c>
      <c r="B821" s="1">
        <f ca="1">IFERROR(__xludf.DUMMYFUNCTION("""COMPUTED_VALUE"""),3.85)</f>
        <v>3.85</v>
      </c>
    </row>
    <row r="822" spans="1:2">
      <c r="A822" s="3">
        <f ca="1">IFERROR(__xludf.DUMMYFUNCTION("""COMPUTED_VALUE"""),39546.6666666666)</f>
        <v>39546.666666666599</v>
      </c>
      <c r="B822" s="1">
        <f ca="1">IFERROR(__xludf.DUMMYFUNCTION("""COMPUTED_VALUE"""),3.87)</f>
        <v>3.87</v>
      </c>
    </row>
    <row r="823" spans="1:2">
      <c r="A823" s="3">
        <f ca="1">IFERROR(__xludf.DUMMYFUNCTION("""COMPUTED_VALUE"""),39547.6666666666)</f>
        <v>39547.666666666599</v>
      </c>
      <c r="B823" s="1">
        <f ca="1">IFERROR(__xludf.DUMMYFUNCTION("""COMPUTED_VALUE"""),3.72)</f>
        <v>3.72</v>
      </c>
    </row>
    <row r="824" spans="1:2">
      <c r="A824" s="3">
        <f ca="1">IFERROR(__xludf.DUMMYFUNCTION("""COMPUTED_VALUE"""),39548.6666666666)</f>
        <v>39548.666666666599</v>
      </c>
      <c r="B824" s="1">
        <f ca="1">IFERROR(__xludf.DUMMYFUNCTION("""COMPUTED_VALUE"""),3.74)</f>
        <v>3.74</v>
      </c>
    </row>
    <row r="825" spans="1:2">
      <c r="A825" s="3">
        <f ca="1">IFERROR(__xludf.DUMMYFUNCTION("""COMPUTED_VALUE"""),39549.6666666666)</f>
        <v>39549.666666666599</v>
      </c>
      <c r="B825" s="1">
        <f ca="1">IFERROR(__xludf.DUMMYFUNCTION("""COMPUTED_VALUE"""),3.6)</f>
        <v>3.6</v>
      </c>
    </row>
    <row r="826" spans="1:2">
      <c r="A826" s="3">
        <f ca="1">IFERROR(__xludf.DUMMYFUNCTION("""COMPUTED_VALUE"""),39552.6666666666)</f>
        <v>39552.666666666599</v>
      </c>
      <c r="B826" s="1">
        <f ca="1">IFERROR(__xludf.DUMMYFUNCTION("""COMPUTED_VALUE"""),3.63)</f>
        <v>3.63</v>
      </c>
    </row>
    <row r="827" spans="1:2">
      <c r="A827" s="3">
        <f ca="1">IFERROR(__xludf.DUMMYFUNCTION("""COMPUTED_VALUE"""),39553.6666666666)</f>
        <v>39553.666666666599</v>
      </c>
      <c r="B827" s="1">
        <f ca="1">IFERROR(__xludf.DUMMYFUNCTION("""COMPUTED_VALUE"""),3.63)</f>
        <v>3.63</v>
      </c>
    </row>
    <row r="828" spans="1:2">
      <c r="A828" s="3">
        <f ca="1">IFERROR(__xludf.DUMMYFUNCTION("""COMPUTED_VALUE"""),39554.6666666666)</f>
        <v>39554.666666666599</v>
      </c>
      <c r="B828" s="1">
        <f ca="1">IFERROR(__xludf.DUMMYFUNCTION("""COMPUTED_VALUE"""),3.73)</f>
        <v>3.73</v>
      </c>
    </row>
    <row r="829" spans="1:2">
      <c r="A829" s="3">
        <f ca="1">IFERROR(__xludf.DUMMYFUNCTION("""COMPUTED_VALUE"""),39555.6666666666)</f>
        <v>39555.666666666599</v>
      </c>
      <c r="B829" s="1">
        <f ca="1">IFERROR(__xludf.DUMMYFUNCTION("""COMPUTED_VALUE"""),3.7)</f>
        <v>3.7</v>
      </c>
    </row>
    <row r="830" spans="1:2">
      <c r="A830" s="3">
        <f ca="1">IFERROR(__xludf.DUMMYFUNCTION("""COMPUTED_VALUE"""),39556.6666666666)</f>
        <v>39556.666666666599</v>
      </c>
      <c r="B830" s="1">
        <f ca="1">IFERROR(__xludf.DUMMYFUNCTION("""COMPUTED_VALUE"""),4.01)</f>
        <v>4.01</v>
      </c>
    </row>
    <row r="831" spans="1:2">
      <c r="A831" s="3">
        <f ca="1">IFERROR(__xludf.DUMMYFUNCTION("""COMPUTED_VALUE"""),39559.6666666666)</f>
        <v>39559.666666666599</v>
      </c>
      <c r="B831" s="1">
        <f ca="1">IFERROR(__xludf.DUMMYFUNCTION("""COMPUTED_VALUE"""),4.01)</f>
        <v>4.01</v>
      </c>
    </row>
    <row r="832" spans="1:2">
      <c r="A832" s="3">
        <f ca="1">IFERROR(__xludf.DUMMYFUNCTION("""COMPUTED_VALUE"""),39560.6666666666)</f>
        <v>39560.666666666599</v>
      </c>
      <c r="B832" s="1">
        <f ca="1">IFERROR(__xludf.DUMMYFUNCTION("""COMPUTED_VALUE"""),3.98)</f>
        <v>3.98</v>
      </c>
    </row>
    <row r="833" spans="1:2">
      <c r="A833" s="3">
        <f ca="1">IFERROR(__xludf.DUMMYFUNCTION("""COMPUTED_VALUE"""),39561.6666666666)</f>
        <v>39561.666666666599</v>
      </c>
      <c r="B833" s="1">
        <f ca="1">IFERROR(__xludf.DUMMYFUNCTION("""COMPUTED_VALUE"""),4.05)</f>
        <v>4.05</v>
      </c>
    </row>
    <row r="834" spans="1:2">
      <c r="A834" s="3">
        <f ca="1">IFERROR(__xludf.DUMMYFUNCTION("""COMPUTED_VALUE"""),39562.6666666666)</f>
        <v>39562.666666666599</v>
      </c>
      <c r="B834" s="1">
        <f ca="1">IFERROR(__xludf.DUMMYFUNCTION("""COMPUTED_VALUE"""),3.88)</f>
        <v>3.88</v>
      </c>
    </row>
    <row r="835" spans="1:2">
      <c r="A835" s="3">
        <f ca="1">IFERROR(__xludf.DUMMYFUNCTION("""COMPUTED_VALUE"""),39563.6666666666)</f>
        <v>39563.666666666599</v>
      </c>
      <c r="B835" s="1">
        <f ca="1">IFERROR(__xludf.DUMMYFUNCTION("""COMPUTED_VALUE"""),4.04)</f>
        <v>4.04</v>
      </c>
    </row>
    <row r="836" spans="1:2">
      <c r="A836" s="3">
        <f ca="1">IFERROR(__xludf.DUMMYFUNCTION("""COMPUTED_VALUE"""),39566.6666666666)</f>
        <v>39566.666666666599</v>
      </c>
      <c r="B836" s="1">
        <f ca="1">IFERROR(__xludf.DUMMYFUNCTION("""COMPUTED_VALUE"""),4.1)</f>
        <v>4.0999999999999996</v>
      </c>
    </row>
    <row r="837" spans="1:2">
      <c r="A837" s="3">
        <f ca="1">IFERROR(__xludf.DUMMYFUNCTION("""COMPUTED_VALUE"""),39567.6666666666)</f>
        <v>39567.666666666599</v>
      </c>
      <c r="B837" s="1">
        <f ca="1">IFERROR(__xludf.DUMMYFUNCTION("""COMPUTED_VALUE"""),4.04)</f>
        <v>4.04</v>
      </c>
    </row>
    <row r="838" spans="1:2">
      <c r="A838" s="3">
        <f ca="1">IFERROR(__xludf.DUMMYFUNCTION("""COMPUTED_VALUE"""),39568.6666666666)</f>
        <v>39568.666666666599</v>
      </c>
      <c r="B838" s="1">
        <f ca="1">IFERROR(__xludf.DUMMYFUNCTION("""COMPUTED_VALUE"""),3.93)</f>
        <v>3.93</v>
      </c>
    </row>
    <row r="839" spans="1:2">
      <c r="A839" s="3">
        <f ca="1">IFERROR(__xludf.DUMMYFUNCTION("""COMPUTED_VALUE"""),39569.6666666666)</f>
        <v>39569.666666666599</v>
      </c>
      <c r="B839" s="1">
        <f ca="1">IFERROR(__xludf.DUMMYFUNCTION("""COMPUTED_VALUE"""),3.97)</f>
        <v>3.97</v>
      </c>
    </row>
    <row r="840" spans="1:2">
      <c r="A840" s="3">
        <f ca="1">IFERROR(__xludf.DUMMYFUNCTION("""COMPUTED_VALUE"""),39570.6666666666)</f>
        <v>39570.666666666599</v>
      </c>
      <c r="B840" s="1">
        <f ca="1">IFERROR(__xludf.DUMMYFUNCTION("""COMPUTED_VALUE"""),3.87)</f>
        <v>3.87</v>
      </c>
    </row>
    <row r="841" spans="1:2">
      <c r="A841" s="3">
        <f ca="1">IFERROR(__xludf.DUMMYFUNCTION("""COMPUTED_VALUE"""),39573.6666666666)</f>
        <v>39573.666666666599</v>
      </c>
      <c r="B841" s="1">
        <f ca="1">IFERROR(__xludf.DUMMYFUNCTION("""COMPUTED_VALUE"""),3.8)</f>
        <v>3.8</v>
      </c>
    </row>
    <row r="842" spans="1:2">
      <c r="A842" s="3">
        <f ca="1">IFERROR(__xludf.DUMMYFUNCTION("""COMPUTED_VALUE"""),39574.6666666666)</f>
        <v>39574.666666666599</v>
      </c>
      <c r="B842" s="1">
        <f ca="1">IFERROR(__xludf.DUMMYFUNCTION("""COMPUTED_VALUE"""),3.79)</f>
        <v>3.79</v>
      </c>
    </row>
    <row r="843" spans="1:2">
      <c r="A843" s="3">
        <f ca="1">IFERROR(__xludf.DUMMYFUNCTION("""COMPUTED_VALUE"""),39575.6666666666)</f>
        <v>39575.666666666599</v>
      </c>
      <c r="B843" s="1">
        <f ca="1">IFERROR(__xludf.DUMMYFUNCTION("""COMPUTED_VALUE"""),3.66)</f>
        <v>3.66</v>
      </c>
    </row>
    <row r="844" spans="1:2">
      <c r="A844" s="3">
        <f ca="1">IFERROR(__xludf.DUMMYFUNCTION("""COMPUTED_VALUE"""),39576.6666666666)</f>
        <v>39576.666666666599</v>
      </c>
      <c r="B844" s="1">
        <f ca="1">IFERROR(__xludf.DUMMYFUNCTION("""COMPUTED_VALUE"""),3.64)</f>
        <v>3.64</v>
      </c>
    </row>
    <row r="845" spans="1:2">
      <c r="A845" s="3">
        <f ca="1">IFERROR(__xludf.DUMMYFUNCTION("""COMPUTED_VALUE"""),39577.6666666666)</f>
        <v>39577.666666666599</v>
      </c>
      <c r="B845" s="1">
        <f ca="1">IFERROR(__xludf.DUMMYFUNCTION("""COMPUTED_VALUE"""),3.62)</f>
        <v>3.62</v>
      </c>
    </row>
    <row r="846" spans="1:2">
      <c r="A846" s="3">
        <f ca="1">IFERROR(__xludf.DUMMYFUNCTION("""COMPUTED_VALUE"""),39580.6666666666)</f>
        <v>39580.666666666599</v>
      </c>
      <c r="B846" s="1">
        <f ca="1">IFERROR(__xludf.DUMMYFUNCTION("""COMPUTED_VALUE"""),3.73)</f>
        <v>3.73</v>
      </c>
    </row>
    <row r="847" spans="1:2">
      <c r="A847" s="3">
        <f ca="1">IFERROR(__xludf.DUMMYFUNCTION("""COMPUTED_VALUE"""),39581.6666666666)</f>
        <v>39581.666666666599</v>
      </c>
      <c r="B847" s="1">
        <f ca="1">IFERROR(__xludf.DUMMYFUNCTION("""COMPUTED_VALUE"""),3.73)</f>
        <v>3.73</v>
      </c>
    </row>
    <row r="848" spans="1:2">
      <c r="A848" s="3">
        <f ca="1">IFERROR(__xludf.DUMMYFUNCTION("""COMPUTED_VALUE"""),39582.6666666666)</f>
        <v>39582.666666666599</v>
      </c>
      <c r="B848" s="1">
        <f ca="1">IFERROR(__xludf.DUMMYFUNCTION("""COMPUTED_VALUE"""),3.71)</f>
        <v>3.71</v>
      </c>
    </row>
    <row r="849" spans="1:2">
      <c r="A849" s="3">
        <f ca="1">IFERROR(__xludf.DUMMYFUNCTION("""COMPUTED_VALUE"""),39583.6666666666)</f>
        <v>39583.666666666599</v>
      </c>
      <c r="B849" s="1">
        <f ca="1">IFERROR(__xludf.DUMMYFUNCTION("""COMPUTED_VALUE"""),3.81)</f>
        <v>3.81</v>
      </c>
    </row>
    <row r="850" spans="1:2">
      <c r="A850" s="3">
        <f ca="1">IFERROR(__xludf.DUMMYFUNCTION("""COMPUTED_VALUE"""),39584.6666666666)</f>
        <v>39584.666666666599</v>
      </c>
      <c r="B850" s="1">
        <f ca="1">IFERROR(__xludf.DUMMYFUNCTION("""COMPUTED_VALUE"""),3.82)</f>
        <v>3.82</v>
      </c>
    </row>
    <row r="851" spans="1:2">
      <c r="A851" s="3">
        <f ca="1">IFERROR(__xludf.DUMMYFUNCTION("""COMPUTED_VALUE"""),39587.6666666666)</f>
        <v>39587.666666666599</v>
      </c>
      <c r="B851" s="1">
        <f ca="1">IFERROR(__xludf.DUMMYFUNCTION("""COMPUTED_VALUE"""),4.11)</f>
        <v>4.1100000000000003</v>
      </c>
    </row>
    <row r="852" spans="1:2">
      <c r="A852" s="3">
        <f ca="1">IFERROR(__xludf.DUMMYFUNCTION("""COMPUTED_VALUE"""),39588.6666666666)</f>
        <v>39588.666666666599</v>
      </c>
      <c r="B852" s="1">
        <f ca="1">IFERROR(__xludf.DUMMYFUNCTION("""COMPUTED_VALUE"""),4.04)</f>
        <v>4.04</v>
      </c>
    </row>
    <row r="853" spans="1:2">
      <c r="A853" s="3">
        <f ca="1">IFERROR(__xludf.DUMMYFUNCTION("""COMPUTED_VALUE"""),39589.6666666666)</f>
        <v>39589.666666666599</v>
      </c>
      <c r="B853" s="1">
        <f ca="1">IFERROR(__xludf.DUMMYFUNCTION("""COMPUTED_VALUE"""),3.92)</f>
        <v>3.92</v>
      </c>
    </row>
    <row r="854" spans="1:2">
      <c r="A854" s="3">
        <f ca="1">IFERROR(__xludf.DUMMYFUNCTION("""COMPUTED_VALUE"""),39590.6666666666)</f>
        <v>39590.666666666599</v>
      </c>
      <c r="B854" s="1">
        <f ca="1">IFERROR(__xludf.DUMMYFUNCTION("""COMPUTED_VALUE"""),3.96)</f>
        <v>3.96</v>
      </c>
    </row>
    <row r="855" spans="1:2">
      <c r="A855" s="3">
        <f ca="1">IFERROR(__xludf.DUMMYFUNCTION("""COMPUTED_VALUE"""),39591.6666666666)</f>
        <v>39591.666666666599</v>
      </c>
      <c r="B855" s="1">
        <f ca="1">IFERROR(__xludf.DUMMYFUNCTION("""COMPUTED_VALUE"""),3.92)</f>
        <v>3.92</v>
      </c>
    </row>
    <row r="856" spans="1:2">
      <c r="A856" s="3">
        <f ca="1">IFERROR(__xludf.DUMMYFUNCTION("""COMPUTED_VALUE"""),39595.6666666666)</f>
        <v>39595.666666666599</v>
      </c>
      <c r="B856" s="1">
        <f ca="1">IFERROR(__xludf.DUMMYFUNCTION("""COMPUTED_VALUE"""),4.03)</f>
        <v>4.03</v>
      </c>
    </row>
    <row r="857" spans="1:2">
      <c r="A857" s="3">
        <f ca="1">IFERROR(__xludf.DUMMYFUNCTION("""COMPUTED_VALUE"""),39596.6666666666)</f>
        <v>39596.666666666599</v>
      </c>
      <c r="B857" s="1">
        <f ca="1">IFERROR(__xludf.DUMMYFUNCTION("""COMPUTED_VALUE"""),4)</f>
        <v>4</v>
      </c>
    </row>
    <row r="858" spans="1:2">
      <c r="A858" s="3">
        <f ca="1">IFERROR(__xludf.DUMMYFUNCTION("""COMPUTED_VALUE"""),39597.6666666666)</f>
        <v>39597.666666666599</v>
      </c>
      <c r="B858" s="1">
        <f ca="1">IFERROR(__xludf.DUMMYFUNCTION("""COMPUTED_VALUE"""),4.02)</f>
        <v>4.0199999999999996</v>
      </c>
    </row>
    <row r="859" spans="1:2">
      <c r="A859" s="3">
        <f ca="1">IFERROR(__xludf.DUMMYFUNCTION("""COMPUTED_VALUE"""),39598.6666666666)</f>
        <v>39598.666666666599</v>
      </c>
      <c r="B859" s="1">
        <f ca="1">IFERROR(__xludf.DUMMYFUNCTION("""COMPUTED_VALUE"""),4.08)</f>
        <v>4.08</v>
      </c>
    </row>
    <row r="860" spans="1:2">
      <c r="A860" s="3">
        <f ca="1">IFERROR(__xludf.DUMMYFUNCTION("""COMPUTED_VALUE"""),39601.6666666666)</f>
        <v>39601.666666666599</v>
      </c>
      <c r="B860" s="1">
        <f ca="1">IFERROR(__xludf.DUMMYFUNCTION("""COMPUTED_VALUE"""),4.01)</f>
        <v>4.01</v>
      </c>
    </row>
    <row r="861" spans="1:2">
      <c r="A861" s="3">
        <f ca="1">IFERROR(__xludf.DUMMYFUNCTION("""COMPUTED_VALUE"""),39602.6666666666)</f>
        <v>39602.666666666599</v>
      </c>
      <c r="B861" s="1">
        <f ca="1">IFERROR(__xludf.DUMMYFUNCTION("""COMPUTED_VALUE"""),4.01)</f>
        <v>4.01</v>
      </c>
    </row>
    <row r="862" spans="1:2">
      <c r="A862" s="3">
        <f ca="1">IFERROR(__xludf.DUMMYFUNCTION("""COMPUTED_VALUE"""),39603.6666666666)</f>
        <v>39603.666666666599</v>
      </c>
      <c r="B862" s="1">
        <f ca="1">IFERROR(__xludf.DUMMYFUNCTION("""COMPUTED_VALUE"""),4.08)</f>
        <v>4.08</v>
      </c>
    </row>
    <row r="863" spans="1:2">
      <c r="A863" s="3">
        <f ca="1">IFERROR(__xludf.DUMMYFUNCTION("""COMPUTED_VALUE"""),39604.6666666666)</f>
        <v>39604.666666666599</v>
      </c>
      <c r="B863" s="1">
        <f ca="1">IFERROR(__xludf.DUMMYFUNCTION("""COMPUTED_VALUE"""),4.23)</f>
        <v>4.2300000000000004</v>
      </c>
    </row>
    <row r="864" spans="1:2">
      <c r="A864" s="3">
        <f ca="1">IFERROR(__xludf.DUMMYFUNCTION("""COMPUTED_VALUE"""),39605.6666666666)</f>
        <v>39605.666666666599</v>
      </c>
      <c r="B864" s="1">
        <f ca="1">IFERROR(__xludf.DUMMYFUNCTION("""COMPUTED_VALUE"""),4.03)</f>
        <v>4.03</v>
      </c>
    </row>
    <row r="865" spans="1:2">
      <c r="A865" s="3">
        <f ca="1">IFERROR(__xludf.DUMMYFUNCTION("""COMPUTED_VALUE"""),39608.6666666666)</f>
        <v>39608.666666666599</v>
      </c>
      <c r="B865" s="1">
        <f ca="1">IFERROR(__xludf.DUMMYFUNCTION("""COMPUTED_VALUE"""),3.97)</f>
        <v>3.97</v>
      </c>
    </row>
    <row r="866" spans="1:2">
      <c r="A866" s="3">
        <f ca="1">IFERROR(__xludf.DUMMYFUNCTION("""COMPUTED_VALUE"""),39609.6666666666)</f>
        <v>39609.666666666599</v>
      </c>
      <c r="B866" s="1">
        <f ca="1">IFERROR(__xludf.DUMMYFUNCTION("""COMPUTED_VALUE"""),3.98)</f>
        <v>3.98</v>
      </c>
    </row>
    <row r="867" spans="1:2">
      <c r="A867" s="3">
        <f ca="1">IFERROR(__xludf.DUMMYFUNCTION("""COMPUTED_VALUE"""),39610.6666666666)</f>
        <v>39610.666666666599</v>
      </c>
      <c r="B867" s="1">
        <f ca="1">IFERROR(__xludf.DUMMYFUNCTION("""COMPUTED_VALUE"""),3.86)</f>
        <v>3.86</v>
      </c>
    </row>
    <row r="868" spans="1:2">
      <c r="A868" s="3">
        <f ca="1">IFERROR(__xludf.DUMMYFUNCTION("""COMPUTED_VALUE"""),39611.6666666666)</f>
        <v>39611.666666666599</v>
      </c>
      <c r="B868" s="1">
        <f ca="1">IFERROR(__xludf.DUMMYFUNCTION("""COMPUTED_VALUE"""),3.81)</f>
        <v>3.81</v>
      </c>
    </row>
    <row r="869" spans="1:2">
      <c r="A869" s="3">
        <f ca="1">IFERROR(__xludf.DUMMYFUNCTION("""COMPUTED_VALUE"""),39612.6666666666)</f>
        <v>39612.666666666599</v>
      </c>
      <c r="B869" s="1">
        <f ca="1">IFERROR(__xludf.DUMMYFUNCTION("""COMPUTED_VALUE"""),3.96)</f>
        <v>3.96</v>
      </c>
    </row>
    <row r="870" spans="1:2">
      <c r="A870" s="3">
        <f ca="1">IFERROR(__xludf.DUMMYFUNCTION("""COMPUTED_VALUE"""),39615.6666666666)</f>
        <v>39615.666666666599</v>
      </c>
      <c r="B870" s="1">
        <f ca="1">IFERROR(__xludf.DUMMYFUNCTION("""COMPUTED_VALUE"""),4.09)</f>
        <v>4.09</v>
      </c>
    </row>
    <row r="871" spans="1:2">
      <c r="A871" s="3">
        <f ca="1">IFERROR(__xludf.DUMMYFUNCTION("""COMPUTED_VALUE"""),39616.6666666666)</f>
        <v>39616.666666666599</v>
      </c>
      <c r="B871" s="1">
        <f ca="1">IFERROR(__xludf.DUMMYFUNCTION("""COMPUTED_VALUE"""),4.15)</f>
        <v>4.1500000000000004</v>
      </c>
    </row>
    <row r="872" spans="1:2">
      <c r="A872" s="3">
        <f ca="1">IFERROR(__xludf.DUMMYFUNCTION("""COMPUTED_VALUE"""),39617.6666666666)</f>
        <v>39617.666666666599</v>
      </c>
      <c r="B872" s="1">
        <f ca="1">IFERROR(__xludf.DUMMYFUNCTION("""COMPUTED_VALUE"""),4.13)</f>
        <v>4.13</v>
      </c>
    </row>
    <row r="873" spans="1:2">
      <c r="A873" s="3">
        <f ca="1">IFERROR(__xludf.DUMMYFUNCTION("""COMPUTED_VALUE"""),39618.6666666666)</f>
        <v>39618.666666666599</v>
      </c>
      <c r="B873" s="1">
        <f ca="1">IFERROR(__xludf.DUMMYFUNCTION("""COMPUTED_VALUE"""),4.21)</f>
        <v>4.21</v>
      </c>
    </row>
    <row r="874" spans="1:2">
      <c r="A874" s="3">
        <f ca="1">IFERROR(__xludf.DUMMYFUNCTION("""COMPUTED_VALUE"""),39619.6666666666)</f>
        <v>39619.666666666599</v>
      </c>
      <c r="B874" s="1">
        <f ca="1">IFERROR(__xludf.DUMMYFUNCTION("""COMPUTED_VALUE"""),4.06)</f>
        <v>4.0599999999999996</v>
      </c>
    </row>
    <row r="875" spans="1:2">
      <c r="A875" s="3">
        <f ca="1">IFERROR(__xludf.DUMMYFUNCTION("""COMPUTED_VALUE"""),39622.6666666666)</f>
        <v>39622.666666666599</v>
      </c>
      <c r="B875" s="1">
        <f ca="1">IFERROR(__xludf.DUMMYFUNCTION("""COMPUTED_VALUE"""),4.03)</f>
        <v>4.03</v>
      </c>
    </row>
    <row r="876" spans="1:2">
      <c r="A876" s="3">
        <f ca="1">IFERROR(__xludf.DUMMYFUNCTION("""COMPUTED_VALUE"""),39623.6666666666)</f>
        <v>39623.666666666599</v>
      </c>
      <c r="B876" s="1">
        <f ca="1">IFERROR(__xludf.DUMMYFUNCTION("""COMPUTED_VALUE"""),3.98)</f>
        <v>3.98</v>
      </c>
    </row>
    <row r="877" spans="1:2">
      <c r="A877" s="3">
        <f ca="1">IFERROR(__xludf.DUMMYFUNCTION("""COMPUTED_VALUE"""),39624.6666666666)</f>
        <v>39624.666666666599</v>
      </c>
      <c r="B877" s="1">
        <f ca="1">IFERROR(__xludf.DUMMYFUNCTION("""COMPUTED_VALUE"""),4.03)</f>
        <v>4.03</v>
      </c>
    </row>
    <row r="878" spans="1:2">
      <c r="A878" s="3">
        <f ca="1">IFERROR(__xludf.DUMMYFUNCTION("""COMPUTED_VALUE"""),39625.6666666666)</f>
        <v>39625.666666666599</v>
      </c>
      <c r="B878" s="1">
        <f ca="1">IFERROR(__xludf.DUMMYFUNCTION("""COMPUTED_VALUE"""),3.82)</f>
        <v>3.82</v>
      </c>
    </row>
    <row r="879" spans="1:2">
      <c r="A879" s="3">
        <f ca="1">IFERROR(__xludf.DUMMYFUNCTION("""COMPUTED_VALUE"""),39626.6666666666)</f>
        <v>39626.666666666599</v>
      </c>
      <c r="B879" s="1">
        <f ca="1">IFERROR(__xludf.DUMMYFUNCTION("""COMPUTED_VALUE"""),3.73)</f>
        <v>3.73</v>
      </c>
    </row>
    <row r="880" spans="1:2">
      <c r="A880" s="3">
        <f ca="1">IFERROR(__xludf.DUMMYFUNCTION("""COMPUTED_VALUE"""),39629.6666666666)</f>
        <v>39629.666666666599</v>
      </c>
      <c r="B880" s="1">
        <f ca="1">IFERROR(__xludf.DUMMYFUNCTION("""COMPUTED_VALUE"""),3.67)</f>
        <v>3.67</v>
      </c>
    </row>
    <row r="881" spans="1:2">
      <c r="A881" s="3">
        <f ca="1">IFERROR(__xludf.DUMMYFUNCTION("""COMPUTED_VALUE"""),39630.6666666666)</f>
        <v>39630.666666666599</v>
      </c>
      <c r="B881" s="1">
        <f ca="1">IFERROR(__xludf.DUMMYFUNCTION("""COMPUTED_VALUE"""),3.68)</f>
        <v>3.68</v>
      </c>
    </row>
    <row r="882" spans="1:2">
      <c r="A882" s="3">
        <f ca="1">IFERROR(__xludf.DUMMYFUNCTION("""COMPUTED_VALUE"""),39631.6666666666)</f>
        <v>39631.666666666599</v>
      </c>
      <c r="B882" s="1">
        <f ca="1">IFERROR(__xludf.DUMMYFUNCTION("""COMPUTED_VALUE"""),3.57)</f>
        <v>3.57</v>
      </c>
    </row>
    <row r="883" spans="1:2">
      <c r="A883" s="3">
        <f ca="1">IFERROR(__xludf.DUMMYFUNCTION("""COMPUTED_VALUE"""),39632.6666666666)</f>
        <v>39632.666666666599</v>
      </c>
      <c r="B883" s="1">
        <f ca="1">IFERROR(__xludf.DUMMYFUNCTION("""COMPUTED_VALUE"""),3.6)</f>
        <v>3.6</v>
      </c>
    </row>
    <row r="884" spans="1:2">
      <c r="A884" s="3">
        <f ca="1">IFERROR(__xludf.DUMMYFUNCTION("""COMPUTED_VALUE"""),39636.6666666666)</f>
        <v>39636.666666666599</v>
      </c>
      <c r="B884" s="1">
        <f ca="1">IFERROR(__xludf.DUMMYFUNCTION("""COMPUTED_VALUE"""),3.62)</f>
        <v>3.62</v>
      </c>
    </row>
    <row r="885" spans="1:2">
      <c r="A885" s="3">
        <f ca="1">IFERROR(__xludf.DUMMYFUNCTION("""COMPUTED_VALUE"""),39637.6666666666)</f>
        <v>39637.666666666599</v>
      </c>
      <c r="B885" s="1">
        <f ca="1">IFERROR(__xludf.DUMMYFUNCTION("""COMPUTED_VALUE"""),3.75)</f>
        <v>3.75</v>
      </c>
    </row>
    <row r="886" spans="1:2">
      <c r="A886" s="3">
        <f ca="1">IFERROR(__xludf.DUMMYFUNCTION("""COMPUTED_VALUE"""),39638.6666666666)</f>
        <v>39638.666666666599</v>
      </c>
      <c r="B886" s="1">
        <f ca="1">IFERROR(__xludf.DUMMYFUNCTION("""COMPUTED_VALUE"""),3.53)</f>
        <v>3.53</v>
      </c>
    </row>
    <row r="887" spans="1:2">
      <c r="A887" s="3">
        <f ca="1">IFERROR(__xludf.DUMMYFUNCTION("""COMPUTED_VALUE"""),39639.6666666666)</f>
        <v>39639.666666666599</v>
      </c>
      <c r="B887" s="1">
        <f ca="1">IFERROR(__xludf.DUMMYFUNCTION("""COMPUTED_VALUE"""),3.53)</f>
        <v>3.53</v>
      </c>
    </row>
    <row r="888" spans="1:2">
      <c r="A888" s="3">
        <f ca="1">IFERROR(__xludf.DUMMYFUNCTION("""COMPUTED_VALUE"""),39640.6666666666)</f>
        <v>39640.666666666599</v>
      </c>
      <c r="B888" s="1">
        <f ca="1">IFERROR(__xludf.DUMMYFUNCTION("""COMPUTED_VALUE"""),3.43)</f>
        <v>3.43</v>
      </c>
    </row>
    <row r="889" spans="1:2">
      <c r="A889" s="3">
        <f ca="1">IFERROR(__xludf.DUMMYFUNCTION("""COMPUTED_VALUE"""),39643.6666666666)</f>
        <v>39643.666666666599</v>
      </c>
      <c r="B889" s="1">
        <f ca="1">IFERROR(__xludf.DUMMYFUNCTION("""COMPUTED_VALUE"""),3.31)</f>
        <v>3.31</v>
      </c>
    </row>
    <row r="890" spans="1:2">
      <c r="A890" s="3">
        <f ca="1">IFERROR(__xludf.DUMMYFUNCTION("""COMPUTED_VALUE"""),39644.6666666666)</f>
        <v>39644.666666666599</v>
      </c>
      <c r="B890" s="1">
        <f ca="1">IFERROR(__xludf.DUMMYFUNCTION("""COMPUTED_VALUE"""),3.35)</f>
        <v>3.35</v>
      </c>
    </row>
    <row r="891" spans="1:2">
      <c r="A891" s="3">
        <f ca="1">IFERROR(__xludf.DUMMYFUNCTION("""COMPUTED_VALUE"""),39645.6666666666)</f>
        <v>39645.666666666599</v>
      </c>
      <c r="B891" s="1">
        <f ca="1">IFERROR(__xludf.DUMMYFUNCTION("""COMPUTED_VALUE"""),3.59)</f>
        <v>3.59</v>
      </c>
    </row>
    <row r="892" spans="1:2">
      <c r="A892" s="3">
        <f ca="1">IFERROR(__xludf.DUMMYFUNCTION("""COMPUTED_VALUE"""),39646.6666666666)</f>
        <v>39646.666666666599</v>
      </c>
      <c r="B892" s="1">
        <f ca="1">IFERROR(__xludf.DUMMYFUNCTION("""COMPUTED_VALUE"""),3.61)</f>
        <v>3.61</v>
      </c>
    </row>
    <row r="893" spans="1:2">
      <c r="A893" s="3">
        <f ca="1">IFERROR(__xludf.DUMMYFUNCTION("""COMPUTED_VALUE"""),39647.6666666666)</f>
        <v>39647.666666666599</v>
      </c>
      <c r="B893" s="1">
        <f ca="1">IFERROR(__xludf.DUMMYFUNCTION("""COMPUTED_VALUE"""),3.46)</f>
        <v>3.46</v>
      </c>
    </row>
    <row r="894" spans="1:2">
      <c r="A894" s="3">
        <f ca="1">IFERROR(__xludf.DUMMYFUNCTION("""COMPUTED_VALUE"""),39650.6666666666)</f>
        <v>39650.666666666599</v>
      </c>
      <c r="B894" s="1">
        <f ca="1">IFERROR(__xludf.DUMMYFUNCTION("""COMPUTED_VALUE"""),3.42)</f>
        <v>3.42</v>
      </c>
    </row>
    <row r="895" spans="1:2">
      <c r="A895" s="3">
        <f ca="1">IFERROR(__xludf.DUMMYFUNCTION("""COMPUTED_VALUE"""),39651.6666666666)</f>
        <v>39651.666666666599</v>
      </c>
      <c r="B895" s="1">
        <f ca="1">IFERROR(__xludf.DUMMYFUNCTION("""COMPUTED_VALUE"""),3.4)</f>
        <v>3.4</v>
      </c>
    </row>
    <row r="896" spans="1:2">
      <c r="A896" s="3">
        <f ca="1">IFERROR(__xludf.DUMMYFUNCTION("""COMPUTED_VALUE"""),39652.6666666666)</f>
        <v>39652.666666666599</v>
      </c>
      <c r="B896" s="1">
        <f ca="1">IFERROR(__xludf.DUMMYFUNCTION("""COMPUTED_VALUE"""),3.53)</f>
        <v>3.53</v>
      </c>
    </row>
    <row r="897" spans="1:2">
      <c r="A897" s="3">
        <f ca="1">IFERROR(__xludf.DUMMYFUNCTION("""COMPUTED_VALUE"""),39653.6666666666)</f>
        <v>39653.666666666599</v>
      </c>
      <c r="B897" s="1">
        <f ca="1">IFERROR(__xludf.DUMMYFUNCTION("""COMPUTED_VALUE"""),3.94)</f>
        <v>3.94</v>
      </c>
    </row>
    <row r="898" spans="1:2">
      <c r="A898" s="3">
        <f ca="1">IFERROR(__xludf.DUMMYFUNCTION("""COMPUTED_VALUE"""),39654.6666666666)</f>
        <v>39654.666666666599</v>
      </c>
      <c r="B898" s="1">
        <f ca="1">IFERROR(__xludf.DUMMYFUNCTION("""COMPUTED_VALUE"""),3.92)</f>
        <v>3.92</v>
      </c>
    </row>
    <row r="899" spans="1:2">
      <c r="A899" s="3">
        <f ca="1">IFERROR(__xludf.DUMMYFUNCTION("""COMPUTED_VALUE"""),39657.6666666666)</f>
        <v>39657.666666666599</v>
      </c>
      <c r="B899" s="1">
        <f ca="1">IFERROR(__xludf.DUMMYFUNCTION("""COMPUTED_VALUE"""),3.8)</f>
        <v>3.8</v>
      </c>
    </row>
    <row r="900" spans="1:2">
      <c r="A900" s="3">
        <f ca="1">IFERROR(__xludf.DUMMYFUNCTION("""COMPUTED_VALUE"""),39658.6666666666)</f>
        <v>39658.666666666599</v>
      </c>
      <c r="B900" s="1">
        <f ca="1">IFERROR(__xludf.DUMMYFUNCTION("""COMPUTED_VALUE"""),3.91)</f>
        <v>3.91</v>
      </c>
    </row>
    <row r="901" spans="1:2">
      <c r="A901" s="3">
        <f ca="1">IFERROR(__xludf.DUMMYFUNCTION("""COMPUTED_VALUE"""),39659.6666666666)</f>
        <v>39659.666666666599</v>
      </c>
      <c r="B901" s="1">
        <f ca="1">IFERROR(__xludf.DUMMYFUNCTION("""COMPUTED_VALUE"""),3.91)</f>
        <v>3.91</v>
      </c>
    </row>
    <row r="902" spans="1:2">
      <c r="A902" s="3">
        <f ca="1">IFERROR(__xludf.DUMMYFUNCTION("""COMPUTED_VALUE"""),39660.6666666666)</f>
        <v>39660.666666666599</v>
      </c>
      <c r="B902" s="1">
        <f ca="1">IFERROR(__xludf.DUMMYFUNCTION("""COMPUTED_VALUE"""),3.82)</f>
        <v>3.82</v>
      </c>
    </row>
    <row r="903" spans="1:2">
      <c r="A903" s="3">
        <f ca="1">IFERROR(__xludf.DUMMYFUNCTION("""COMPUTED_VALUE"""),39661.6666666666)</f>
        <v>39661.666666666599</v>
      </c>
      <c r="B903" s="1">
        <f ca="1">IFERROR(__xludf.DUMMYFUNCTION("""COMPUTED_VALUE"""),3.79)</f>
        <v>3.79</v>
      </c>
    </row>
    <row r="904" spans="1:2">
      <c r="A904" s="3">
        <f ca="1">IFERROR(__xludf.DUMMYFUNCTION("""COMPUTED_VALUE"""),39664.6666666666)</f>
        <v>39664.666666666599</v>
      </c>
      <c r="B904" s="1">
        <f ca="1">IFERROR(__xludf.DUMMYFUNCTION("""COMPUTED_VALUE"""),3.79)</f>
        <v>3.79</v>
      </c>
    </row>
    <row r="905" spans="1:2">
      <c r="A905" s="3">
        <f ca="1">IFERROR(__xludf.DUMMYFUNCTION("""COMPUTED_VALUE"""),39665.6666666666)</f>
        <v>39665.666666666599</v>
      </c>
      <c r="B905" s="1">
        <f ca="1">IFERROR(__xludf.DUMMYFUNCTION("""COMPUTED_VALUE"""),3.96)</f>
        <v>3.96</v>
      </c>
    </row>
    <row r="906" spans="1:2">
      <c r="A906" s="3">
        <f ca="1">IFERROR(__xludf.DUMMYFUNCTION("""COMPUTED_VALUE"""),39666.6666666666)</f>
        <v>39666.666666666599</v>
      </c>
      <c r="B906" s="1">
        <f ca="1">IFERROR(__xludf.DUMMYFUNCTION("""COMPUTED_VALUE"""),3.9)</f>
        <v>3.9</v>
      </c>
    </row>
    <row r="907" spans="1:2">
      <c r="A907" s="3">
        <f ca="1">IFERROR(__xludf.DUMMYFUNCTION("""COMPUTED_VALUE"""),39667.6666666666)</f>
        <v>39667.666666666599</v>
      </c>
      <c r="B907" s="1">
        <f ca="1">IFERROR(__xludf.DUMMYFUNCTION("""COMPUTED_VALUE"""),3.85)</f>
        <v>3.85</v>
      </c>
    </row>
    <row r="908" spans="1:2">
      <c r="A908" s="3">
        <f ca="1">IFERROR(__xludf.DUMMYFUNCTION("""COMPUTED_VALUE"""),39668.6666666666)</f>
        <v>39668.666666666599</v>
      </c>
      <c r="B908" s="1">
        <f ca="1">IFERROR(__xludf.DUMMYFUNCTION("""COMPUTED_VALUE"""),4.03)</f>
        <v>4.03</v>
      </c>
    </row>
    <row r="909" spans="1:2">
      <c r="A909" s="3">
        <f ca="1">IFERROR(__xludf.DUMMYFUNCTION("""COMPUTED_VALUE"""),39671.6666666666)</f>
        <v>39671.666666666599</v>
      </c>
      <c r="B909" s="1">
        <f ca="1">IFERROR(__xludf.DUMMYFUNCTION("""COMPUTED_VALUE"""),4.4)</f>
        <v>4.4000000000000004</v>
      </c>
    </row>
    <row r="910" spans="1:2">
      <c r="A910" s="3">
        <f ca="1">IFERROR(__xludf.DUMMYFUNCTION("""COMPUTED_VALUE"""),39672.6666666666)</f>
        <v>39672.666666666599</v>
      </c>
      <c r="B910" s="1">
        <f ca="1">IFERROR(__xludf.DUMMYFUNCTION("""COMPUTED_VALUE"""),4.36)</f>
        <v>4.3600000000000003</v>
      </c>
    </row>
    <row r="911" spans="1:2">
      <c r="A911" s="3">
        <f ca="1">IFERROR(__xludf.DUMMYFUNCTION("""COMPUTED_VALUE"""),39673.6666666666)</f>
        <v>39673.666666666599</v>
      </c>
      <c r="B911" s="1">
        <f ca="1">IFERROR(__xludf.DUMMYFUNCTION("""COMPUTED_VALUE"""),4.33)</f>
        <v>4.33</v>
      </c>
    </row>
    <row r="912" spans="1:2">
      <c r="A912" s="3">
        <f ca="1">IFERROR(__xludf.DUMMYFUNCTION("""COMPUTED_VALUE"""),39674.6666666666)</f>
        <v>39674.666666666599</v>
      </c>
      <c r="B912" s="1">
        <f ca="1">IFERROR(__xludf.DUMMYFUNCTION("""COMPUTED_VALUE"""),4.4)</f>
        <v>4.4000000000000004</v>
      </c>
    </row>
    <row r="913" spans="1:2">
      <c r="A913" s="3">
        <f ca="1">IFERROR(__xludf.DUMMYFUNCTION("""COMPUTED_VALUE"""),39675.6666666666)</f>
        <v>39675.666666666599</v>
      </c>
      <c r="B913" s="1">
        <f ca="1">IFERROR(__xludf.DUMMYFUNCTION("""COMPUTED_VALUE"""),4.32)</f>
        <v>4.32</v>
      </c>
    </row>
    <row r="914" spans="1:2">
      <c r="A914" s="3">
        <f ca="1">IFERROR(__xludf.DUMMYFUNCTION("""COMPUTED_VALUE"""),39678.6666666666)</f>
        <v>39678.666666666599</v>
      </c>
      <c r="B914" s="1">
        <f ca="1">IFERROR(__xludf.DUMMYFUNCTION("""COMPUTED_VALUE"""),4.16)</f>
        <v>4.16</v>
      </c>
    </row>
    <row r="915" spans="1:2">
      <c r="A915" s="3">
        <f ca="1">IFERROR(__xludf.DUMMYFUNCTION("""COMPUTED_VALUE"""),39679.6666666666)</f>
        <v>39679.666666666599</v>
      </c>
      <c r="B915" s="1">
        <f ca="1">IFERROR(__xludf.DUMMYFUNCTION("""COMPUTED_VALUE"""),4.06)</f>
        <v>4.0599999999999996</v>
      </c>
    </row>
    <row r="916" spans="1:2">
      <c r="A916" s="3">
        <f ca="1">IFERROR(__xludf.DUMMYFUNCTION("""COMPUTED_VALUE"""),39680.6666666666)</f>
        <v>39680.666666666599</v>
      </c>
      <c r="B916" s="1">
        <f ca="1">IFERROR(__xludf.DUMMYFUNCTION("""COMPUTED_VALUE"""),4.11)</f>
        <v>4.1100000000000003</v>
      </c>
    </row>
    <row r="917" spans="1:2">
      <c r="A917" s="3">
        <f ca="1">IFERROR(__xludf.DUMMYFUNCTION("""COMPUTED_VALUE"""),39681.6666666666)</f>
        <v>39681.666666666599</v>
      </c>
      <c r="B917" s="1">
        <f ca="1">IFERROR(__xludf.DUMMYFUNCTION("""COMPUTED_VALUE"""),4.16)</f>
        <v>4.16</v>
      </c>
    </row>
    <row r="918" spans="1:2">
      <c r="A918" s="3">
        <f ca="1">IFERROR(__xludf.DUMMYFUNCTION("""COMPUTED_VALUE"""),39682.6666666666)</f>
        <v>39682.666666666599</v>
      </c>
      <c r="B918" s="1">
        <f ca="1">IFERROR(__xludf.DUMMYFUNCTION("""COMPUTED_VALUE"""),4.26)</f>
        <v>4.26</v>
      </c>
    </row>
    <row r="919" spans="1:2">
      <c r="A919" s="3">
        <f ca="1">IFERROR(__xludf.DUMMYFUNCTION("""COMPUTED_VALUE"""),39685.6666666666)</f>
        <v>39685.666666666599</v>
      </c>
      <c r="B919" s="1">
        <f ca="1">IFERROR(__xludf.DUMMYFUNCTION("""COMPUTED_VALUE"""),4.14)</f>
        <v>4.1399999999999997</v>
      </c>
    </row>
    <row r="920" spans="1:2">
      <c r="A920" s="3">
        <f ca="1">IFERROR(__xludf.DUMMYFUNCTION("""COMPUTED_VALUE"""),39686.6666666666)</f>
        <v>39686.666666666599</v>
      </c>
      <c r="B920" s="1">
        <f ca="1">IFERROR(__xludf.DUMMYFUNCTION("""COMPUTED_VALUE"""),4.09)</f>
        <v>4.09</v>
      </c>
    </row>
    <row r="921" spans="1:2">
      <c r="A921" s="3">
        <f ca="1">IFERROR(__xludf.DUMMYFUNCTION("""COMPUTED_VALUE"""),39687.6666666666)</f>
        <v>39687.666666666599</v>
      </c>
      <c r="B921" s="1">
        <f ca="1">IFERROR(__xludf.DUMMYFUNCTION("""COMPUTED_VALUE"""),4.09)</f>
        <v>4.09</v>
      </c>
    </row>
    <row r="922" spans="1:2">
      <c r="A922" s="3">
        <f ca="1">IFERROR(__xludf.DUMMYFUNCTION("""COMPUTED_VALUE"""),39688.6666666666)</f>
        <v>39688.666666666599</v>
      </c>
      <c r="B922" s="1">
        <f ca="1">IFERROR(__xludf.DUMMYFUNCTION("""COMPUTED_VALUE"""),4.17)</f>
        <v>4.17</v>
      </c>
    </row>
    <row r="923" spans="1:2">
      <c r="A923" s="3">
        <f ca="1">IFERROR(__xludf.DUMMYFUNCTION("""COMPUTED_VALUE"""),39689.6666666666)</f>
        <v>39689.666666666599</v>
      </c>
      <c r="B923" s="1">
        <f ca="1">IFERROR(__xludf.DUMMYFUNCTION("""COMPUTED_VALUE"""),4.04)</f>
        <v>4.04</v>
      </c>
    </row>
    <row r="924" spans="1:2">
      <c r="A924" s="3">
        <f ca="1">IFERROR(__xludf.DUMMYFUNCTION("""COMPUTED_VALUE"""),39693.6666666666)</f>
        <v>39693.666666666599</v>
      </c>
      <c r="B924" s="1">
        <f ca="1">IFERROR(__xludf.DUMMYFUNCTION("""COMPUTED_VALUE"""),4.07)</f>
        <v>4.07</v>
      </c>
    </row>
    <row r="925" spans="1:2">
      <c r="A925" s="3">
        <f ca="1">IFERROR(__xludf.DUMMYFUNCTION("""COMPUTED_VALUE"""),39694.6666666666)</f>
        <v>39694.666666666599</v>
      </c>
      <c r="B925" s="1">
        <f ca="1">IFERROR(__xludf.DUMMYFUNCTION("""COMPUTED_VALUE"""),4.04)</f>
        <v>4.04</v>
      </c>
    </row>
    <row r="926" spans="1:2">
      <c r="A926" s="3">
        <f ca="1">IFERROR(__xludf.DUMMYFUNCTION("""COMPUTED_VALUE"""),39695.6666666666)</f>
        <v>39695.666666666599</v>
      </c>
      <c r="B926" s="1">
        <f ca="1">IFERROR(__xludf.DUMMYFUNCTION("""COMPUTED_VALUE"""),3.9)</f>
        <v>3.9</v>
      </c>
    </row>
    <row r="927" spans="1:2">
      <c r="A927" s="3">
        <f ca="1">IFERROR(__xludf.DUMMYFUNCTION("""COMPUTED_VALUE"""),39696.6666666666)</f>
        <v>39696.666666666599</v>
      </c>
      <c r="B927" s="1">
        <f ca="1">IFERROR(__xludf.DUMMYFUNCTION("""COMPUTED_VALUE"""),3.96)</f>
        <v>3.96</v>
      </c>
    </row>
    <row r="928" spans="1:2">
      <c r="A928" s="3">
        <f ca="1">IFERROR(__xludf.DUMMYFUNCTION("""COMPUTED_VALUE"""),39699.6666666666)</f>
        <v>39699.666666666599</v>
      </c>
      <c r="B928" s="1">
        <f ca="1">IFERROR(__xludf.DUMMYFUNCTION("""COMPUTED_VALUE"""),4.06)</f>
        <v>4.0599999999999996</v>
      </c>
    </row>
    <row r="929" spans="1:2">
      <c r="A929" s="3">
        <f ca="1">IFERROR(__xludf.DUMMYFUNCTION("""COMPUTED_VALUE"""),39700.6666666666)</f>
        <v>39700.666666666599</v>
      </c>
      <c r="B929" s="1">
        <f ca="1">IFERROR(__xludf.DUMMYFUNCTION("""COMPUTED_VALUE"""),3.95)</f>
        <v>3.95</v>
      </c>
    </row>
    <row r="930" spans="1:2">
      <c r="A930" s="3">
        <f ca="1">IFERROR(__xludf.DUMMYFUNCTION("""COMPUTED_VALUE"""),39701.6666666666)</f>
        <v>39701.666666666599</v>
      </c>
      <c r="B930" s="1">
        <f ca="1">IFERROR(__xludf.DUMMYFUNCTION("""COMPUTED_VALUE"""),3.84)</f>
        <v>3.84</v>
      </c>
    </row>
    <row r="931" spans="1:2">
      <c r="A931" s="3">
        <f ca="1">IFERROR(__xludf.DUMMYFUNCTION("""COMPUTED_VALUE"""),39702.6666666666)</f>
        <v>39702.666666666599</v>
      </c>
      <c r="B931" s="1">
        <f ca="1">IFERROR(__xludf.DUMMYFUNCTION("""COMPUTED_VALUE"""),3.98)</f>
        <v>3.98</v>
      </c>
    </row>
    <row r="932" spans="1:2">
      <c r="A932" s="3">
        <f ca="1">IFERROR(__xludf.DUMMYFUNCTION("""COMPUTED_VALUE"""),39703.6666666666)</f>
        <v>39703.666666666599</v>
      </c>
      <c r="B932" s="1">
        <f ca="1">IFERROR(__xludf.DUMMYFUNCTION("""COMPUTED_VALUE"""),3.92)</f>
        <v>3.92</v>
      </c>
    </row>
    <row r="933" spans="1:2">
      <c r="A933" s="3">
        <f ca="1">IFERROR(__xludf.DUMMYFUNCTION("""COMPUTED_VALUE"""),39706.6666666666)</f>
        <v>39706.666666666599</v>
      </c>
      <c r="B933" s="1">
        <f ca="1">IFERROR(__xludf.DUMMYFUNCTION("""COMPUTED_VALUE"""),3.87)</f>
        <v>3.87</v>
      </c>
    </row>
    <row r="934" spans="1:2">
      <c r="A934" s="3">
        <f ca="1">IFERROR(__xludf.DUMMYFUNCTION("""COMPUTED_VALUE"""),39707.6666666666)</f>
        <v>39707.666666666599</v>
      </c>
      <c r="B934" s="1">
        <f ca="1">IFERROR(__xludf.DUMMYFUNCTION("""COMPUTED_VALUE"""),3.94)</f>
        <v>3.94</v>
      </c>
    </row>
    <row r="935" spans="1:2">
      <c r="A935" s="3">
        <f ca="1">IFERROR(__xludf.DUMMYFUNCTION("""COMPUTED_VALUE"""),39708.6666666666)</f>
        <v>39708.666666666599</v>
      </c>
      <c r="B935" s="1">
        <f ca="1">IFERROR(__xludf.DUMMYFUNCTION("""COMPUTED_VALUE"""),3.58)</f>
        <v>3.58</v>
      </c>
    </row>
    <row r="936" spans="1:2">
      <c r="A936" s="3">
        <f ca="1">IFERROR(__xludf.DUMMYFUNCTION("""COMPUTED_VALUE"""),39709.6666666666)</f>
        <v>39709.666666666599</v>
      </c>
      <c r="B936" s="1">
        <f ca="1">IFERROR(__xludf.DUMMYFUNCTION("""COMPUTED_VALUE"""),3.83)</f>
        <v>3.83</v>
      </c>
    </row>
    <row r="937" spans="1:2">
      <c r="A937" s="3">
        <f ca="1">IFERROR(__xludf.DUMMYFUNCTION("""COMPUTED_VALUE"""),39710.6666666666)</f>
        <v>39710.666666666599</v>
      </c>
      <c r="B937" s="1">
        <f ca="1">IFERROR(__xludf.DUMMYFUNCTION("""COMPUTED_VALUE"""),4.05)</f>
        <v>4.05</v>
      </c>
    </row>
    <row r="938" spans="1:2">
      <c r="A938" s="3">
        <f ca="1">IFERROR(__xludf.DUMMYFUNCTION("""COMPUTED_VALUE"""),39713.6666666666)</f>
        <v>39713.666666666599</v>
      </c>
      <c r="B938" s="1">
        <f ca="1">IFERROR(__xludf.DUMMYFUNCTION("""COMPUTED_VALUE"""),3.75)</f>
        <v>3.75</v>
      </c>
    </row>
    <row r="939" spans="1:2">
      <c r="A939" s="3">
        <f ca="1">IFERROR(__xludf.DUMMYFUNCTION("""COMPUTED_VALUE"""),39714.6666666666)</f>
        <v>39714.666666666599</v>
      </c>
      <c r="B939" s="1">
        <f ca="1">IFERROR(__xludf.DUMMYFUNCTION("""COMPUTED_VALUE"""),3.59)</f>
        <v>3.59</v>
      </c>
    </row>
    <row r="940" spans="1:2">
      <c r="A940" s="3">
        <f ca="1">IFERROR(__xludf.DUMMYFUNCTION("""COMPUTED_VALUE"""),39715.6666666666)</f>
        <v>39715.666666666599</v>
      </c>
      <c r="B940" s="1">
        <f ca="1">IFERROR(__xludf.DUMMYFUNCTION("""COMPUTED_VALUE"""),3.5)</f>
        <v>3.5</v>
      </c>
    </row>
    <row r="941" spans="1:2">
      <c r="A941" s="3">
        <f ca="1">IFERROR(__xludf.DUMMYFUNCTION("""COMPUTED_VALUE"""),39716.6666666666)</f>
        <v>39716.666666666599</v>
      </c>
      <c r="B941" s="1">
        <f ca="1">IFERROR(__xludf.DUMMYFUNCTION("""COMPUTED_VALUE"""),3.6)</f>
        <v>3.6</v>
      </c>
    </row>
    <row r="942" spans="1:2">
      <c r="A942" s="3">
        <f ca="1">IFERROR(__xludf.DUMMYFUNCTION("""COMPUTED_VALUE"""),39717.6666666666)</f>
        <v>39717.666666666599</v>
      </c>
      <c r="B942" s="1">
        <f ca="1">IFERROR(__xludf.DUMMYFUNCTION("""COMPUTED_VALUE"""),3.54)</f>
        <v>3.54</v>
      </c>
    </row>
    <row r="943" spans="1:2">
      <c r="A943" s="3">
        <f ca="1">IFERROR(__xludf.DUMMYFUNCTION("""COMPUTED_VALUE"""),39720.6666666666)</f>
        <v>39720.666666666599</v>
      </c>
      <c r="B943" s="1">
        <f ca="1">IFERROR(__xludf.DUMMYFUNCTION("""COMPUTED_VALUE"""),3.17)</f>
        <v>3.17</v>
      </c>
    </row>
    <row r="944" spans="1:2">
      <c r="A944" s="3">
        <f ca="1">IFERROR(__xludf.DUMMYFUNCTION("""COMPUTED_VALUE"""),39721.6666666666)</f>
        <v>39721.666666666599</v>
      </c>
      <c r="B944" s="1">
        <f ca="1">IFERROR(__xludf.DUMMYFUNCTION("""COMPUTED_VALUE"""),3.64)</f>
        <v>3.64</v>
      </c>
    </row>
    <row r="945" spans="1:2">
      <c r="A945" s="3">
        <f ca="1">IFERROR(__xludf.DUMMYFUNCTION("""COMPUTED_VALUE"""),39722.6666666666)</f>
        <v>39722.666666666599</v>
      </c>
      <c r="B945" s="1">
        <f ca="1">IFERROR(__xludf.DUMMYFUNCTION("""COMPUTED_VALUE"""),3.48)</f>
        <v>3.48</v>
      </c>
    </row>
    <row r="946" spans="1:2">
      <c r="A946" s="3">
        <f ca="1">IFERROR(__xludf.DUMMYFUNCTION("""COMPUTED_VALUE"""),39723.6666666666)</f>
        <v>39723.666666666599</v>
      </c>
      <c r="B946" s="1">
        <f ca="1">IFERROR(__xludf.DUMMYFUNCTION("""COMPUTED_VALUE"""),3.37)</f>
        <v>3.37</v>
      </c>
    </row>
    <row r="947" spans="1:2">
      <c r="A947" s="3">
        <f ca="1">IFERROR(__xludf.DUMMYFUNCTION("""COMPUTED_VALUE"""),39724.6666666666)</f>
        <v>39724.666666666599</v>
      </c>
      <c r="B947" s="1">
        <f ca="1">IFERROR(__xludf.DUMMYFUNCTION("""COMPUTED_VALUE"""),3.35)</f>
        <v>3.35</v>
      </c>
    </row>
    <row r="948" spans="1:2">
      <c r="A948" s="3">
        <f ca="1">IFERROR(__xludf.DUMMYFUNCTION("""COMPUTED_VALUE"""),39727.6666666666)</f>
        <v>39727.666666666599</v>
      </c>
      <c r="B948" s="1">
        <f ca="1">IFERROR(__xludf.DUMMYFUNCTION("""COMPUTED_VALUE"""),3.26)</f>
        <v>3.26</v>
      </c>
    </row>
    <row r="949" spans="1:2">
      <c r="A949" s="3">
        <f ca="1">IFERROR(__xludf.DUMMYFUNCTION("""COMPUTED_VALUE"""),39728.6666666666)</f>
        <v>39728.666666666599</v>
      </c>
      <c r="B949" s="1">
        <f ca="1">IFERROR(__xludf.DUMMYFUNCTION("""COMPUTED_VALUE"""),2.93)</f>
        <v>2.93</v>
      </c>
    </row>
    <row r="950" spans="1:2">
      <c r="A950" s="3">
        <f ca="1">IFERROR(__xludf.DUMMYFUNCTION("""COMPUTED_VALUE"""),39729.6666666666)</f>
        <v>39729.666666666599</v>
      </c>
      <c r="B950" s="1">
        <f ca="1">IFERROR(__xludf.DUMMYFUNCTION("""COMPUTED_VALUE"""),3.05)</f>
        <v>3.05</v>
      </c>
    </row>
    <row r="951" spans="1:2">
      <c r="A951" s="3">
        <f ca="1">IFERROR(__xludf.DUMMYFUNCTION("""COMPUTED_VALUE"""),39730.6666666666)</f>
        <v>39730.666666666599</v>
      </c>
      <c r="B951" s="1">
        <f ca="1">IFERROR(__xludf.DUMMYFUNCTION("""COMPUTED_VALUE"""),2.8)</f>
        <v>2.8</v>
      </c>
    </row>
    <row r="952" spans="1:2">
      <c r="A952" s="3">
        <f ca="1">IFERROR(__xludf.DUMMYFUNCTION("""COMPUTED_VALUE"""),39731.6666666666)</f>
        <v>39731.666666666599</v>
      </c>
      <c r="B952" s="1">
        <f ca="1">IFERROR(__xludf.DUMMYFUNCTION("""COMPUTED_VALUE"""),2.81)</f>
        <v>2.81</v>
      </c>
    </row>
    <row r="953" spans="1:2">
      <c r="A953" s="3">
        <f ca="1">IFERROR(__xludf.DUMMYFUNCTION("""COMPUTED_VALUE"""),39734.6666666666)</f>
        <v>39734.666666666599</v>
      </c>
      <c r="B953" s="1">
        <f ca="1">IFERROR(__xludf.DUMMYFUNCTION("""COMPUTED_VALUE"""),3.1)</f>
        <v>3.1</v>
      </c>
    </row>
    <row r="954" spans="1:2">
      <c r="A954" s="3">
        <f ca="1">IFERROR(__xludf.DUMMYFUNCTION("""COMPUTED_VALUE"""),39735.6666666666)</f>
        <v>39735.666666666599</v>
      </c>
      <c r="B954" s="1">
        <f ca="1">IFERROR(__xludf.DUMMYFUNCTION("""COMPUTED_VALUE"""),2.79)</f>
        <v>2.79</v>
      </c>
    </row>
    <row r="955" spans="1:2">
      <c r="A955" s="3">
        <f ca="1">IFERROR(__xludf.DUMMYFUNCTION("""COMPUTED_VALUE"""),39736.6666666666)</f>
        <v>39736.666666666599</v>
      </c>
      <c r="B955" s="1">
        <f ca="1">IFERROR(__xludf.DUMMYFUNCTION("""COMPUTED_VALUE"""),2.44)</f>
        <v>2.44</v>
      </c>
    </row>
    <row r="956" spans="1:2">
      <c r="A956" s="3">
        <f ca="1">IFERROR(__xludf.DUMMYFUNCTION("""COMPUTED_VALUE"""),39737.6666666666)</f>
        <v>39737.666666666599</v>
      </c>
      <c r="B956" s="1">
        <f ca="1">IFERROR(__xludf.DUMMYFUNCTION("""COMPUTED_VALUE"""),2.51)</f>
        <v>2.5099999999999998</v>
      </c>
    </row>
    <row r="957" spans="1:2">
      <c r="A957" s="3">
        <f ca="1">IFERROR(__xludf.DUMMYFUNCTION("""COMPUTED_VALUE"""),39738.6666666666)</f>
        <v>39738.666666666599</v>
      </c>
      <c r="B957" s="1">
        <f ca="1">IFERROR(__xludf.DUMMYFUNCTION("""COMPUTED_VALUE"""),2.53)</f>
        <v>2.5299999999999998</v>
      </c>
    </row>
    <row r="958" spans="1:2">
      <c r="A958" s="3">
        <f ca="1">IFERROR(__xludf.DUMMYFUNCTION("""COMPUTED_VALUE"""),39741.6666666666)</f>
        <v>39741.666666666599</v>
      </c>
      <c r="B958" s="1">
        <f ca="1">IFERROR(__xludf.DUMMYFUNCTION("""COMPUTED_VALUE"""),2.65)</f>
        <v>2.65</v>
      </c>
    </row>
    <row r="959" spans="1:2">
      <c r="A959" s="3">
        <f ca="1">IFERROR(__xludf.DUMMYFUNCTION("""COMPUTED_VALUE"""),39742.6666666666)</f>
        <v>39742.666666666599</v>
      </c>
      <c r="B959" s="1">
        <f ca="1">IFERROR(__xludf.DUMMYFUNCTION("""COMPUTED_VALUE"""),2.51)</f>
        <v>2.5099999999999998</v>
      </c>
    </row>
    <row r="960" spans="1:2">
      <c r="A960" s="3">
        <f ca="1">IFERROR(__xludf.DUMMYFUNCTION("""COMPUTED_VALUE"""),39743.6666666666)</f>
        <v>39743.666666666599</v>
      </c>
      <c r="B960" s="1">
        <f ca="1">IFERROR(__xludf.DUMMYFUNCTION("""COMPUTED_VALUE"""),2.5)</f>
        <v>2.5</v>
      </c>
    </row>
    <row r="961" spans="1:2">
      <c r="A961" s="3">
        <f ca="1">IFERROR(__xludf.DUMMYFUNCTION("""COMPUTED_VALUE"""),39744.6666666666)</f>
        <v>39744.666666666599</v>
      </c>
      <c r="B961" s="1">
        <f ca="1">IFERROR(__xludf.DUMMYFUNCTION("""COMPUTED_VALUE"""),2.52)</f>
        <v>2.52</v>
      </c>
    </row>
    <row r="962" spans="1:2">
      <c r="A962" s="3">
        <f ca="1">IFERROR(__xludf.DUMMYFUNCTION("""COMPUTED_VALUE"""),39745.6666666666)</f>
        <v>39745.666666666599</v>
      </c>
      <c r="B962" s="1">
        <f ca="1">IFERROR(__xludf.DUMMYFUNCTION("""COMPUTED_VALUE"""),2.45)</f>
        <v>2.4500000000000002</v>
      </c>
    </row>
    <row r="963" spans="1:2">
      <c r="A963" s="3">
        <f ca="1">IFERROR(__xludf.DUMMYFUNCTION("""COMPUTED_VALUE"""),39748.6666666666)</f>
        <v>39748.666666666599</v>
      </c>
      <c r="B963" s="1">
        <f ca="1">IFERROR(__xludf.DUMMYFUNCTION("""COMPUTED_VALUE"""),2.48)</f>
        <v>2.48</v>
      </c>
    </row>
    <row r="964" spans="1:2">
      <c r="A964" s="3">
        <f ca="1">IFERROR(__xludf.DUMMYFUNCTION("""COMPUTED_VALUE"""),39749.6666666666)</f>
        <v>39749.666666666599</v>
      </c>
      <c r="B964" s="1">
        <f ca="1">IFERROR(__xludf.DUMMYFUNCTION("""COMPUTED_VALUE"""),2.8)</f>
        <v>2.8</v>
      </c>
    </row>
    <row r="965" spans="1:2">
      <c r="A965" s="3">
        <f ca="1">IFERROR(__xludf.DUMMYFUNCTION("""COMPUTED_VALUE"""),39750.6666666666)</f>
        <v>39750.666666666599</v>
      </c>
      <c r="B965" s="1">
        <f ca="1">IFERROR(__xludf.DUMMYFUNCTION("""COMPUTED_VALUE"""),2.84)</f>
        <v>2.84</v>
      </c>
    </row>
    <row r="966" spans="1:2">
      <c r="A966" s="3">
        <f ca="1">IFERROR(__xludf.DUMMYFUNCTION("""COMPUTED_VALUE"""),39751.6666666666)</f>
        <v>39751.666666666599</v>
      </c>
      <c r="B966" s="1">
        <f ca="1">IFERROR(__xludf.DUMMYFUNCTION("""COMPUTED_VALUE"""),2.84)</f>
        <v>2.84</v>
      </c>
    </row>
    <row r="967" spans="1:2">
      <c r="A967" s="3">
        <f ca="1">IFERROR(__xludf.DUMMYFUNCTION("""COMPUTED_VALUE"""),39752.6666666666)</f>
        <v>39752.666666666599</v>
      </c>
      <c r="B967" s="1">
        <f ca="1">IFERROR(__xludf.DUMMYFUNCTION("""COMPUTED_VALUE"""),2.86)</f>
        <v>2.86</v>
      </c>
    </row>
    <row r="968" spans="1:2">
      <c r="A968" s="3">
        <f ca="1">IFERROR(__xludf.DUMMYFUNCTION("""COMPUTED_VALUE"""),39755.6666666666)</f>
        <v>39755.666666666599</v>
      </c>
      <c r="B968" s="1">
        <f ca="1">IFERROR(__xludf.DUMMYFUNCTION("""COMPUTED_VALUE"""),2.79)</f>
        <v>2.79</v>
      </c>
    </row>
    <row r="969" spans="1:2">
      <c r="A969" s="3">
        <f ca="1">IFERROR(__xludf.DUMMYFUNCTION("""COMPUTED_VALUE"""),39756.6666666666)</f>
        <v>39756.666666666599</v>
      </c>
      <c r="B969" s="1">
        <f ca="1">IFERROR(__xludf.DUMMYFUNCTION("""COMPUTED_VALUE"""),2.92)</f>
        <v>2.92</v>
      </c>
    </row>
    <row r="970" spans="1:2">
      <c r="A970" s="3">
        <f ca="1">IFERROR(__xludf.DUMMYFUNCTION("""COMPUTED_VALUE"""),39757.6666666666)</f>
        <v>39757.666666666599</v>
      </c>
      <c r="B970" s="1">
        <f ca="1">IFERROR(__xludf.DUMMYFUNCTION("""COMPUTED_VALUE"""),2.6)</f>
        <v>2.6</v>
      </c>
    </row>
    <row r="971" spans="1:2">
      <c r="A971" s="3">
        <f ca="1">IFERROR(__xludf.DUMMYFUNCTION("""COMPUTED_VALUE"""),39758.6666666666)</f>
        <v>39758.666666666599</v>
      </c>
      <c r="B971" s="1">
        <f ca="1">IFERROR(__xludf.DUMMYFUNCTION("""COMPUTED_VALUE"""),2.36)</f>
        <v>2.36</v>
      </c>
    </row>
    <row r="972" spans="1:2">
      <c r="A972" s="3">
        <f ca="1">IFERROR(__xludf.DUMMYFUNCTION("""COMPUTED_VALUE"""),39759.6666666666)</f>
        <v>39759.666666666599</v>
      </c>
      <c r="B972" s="1">
        <f ca="1">IFERROR(__xludf.DUMMYFUNCTION("""COMPUTED_VALUE"""),2.46)</f>
        <v>2.46</v>
      </c>
    </row>
    <row r="973" spans="1:2">
      <c r="A973" s="3">
        <f ca="1">IFERROR(__xludf.DUMMYFUNCTION("""COMPUTED_VALUE"""),39762.6666666666)</f>
        <v>39762.666666666599</v>
      </c>
      <c r="B973" s="1">
        <f ca="1">IFERROR(__xludf.DUMMYFUNCTION("""COMPUTED_VALUE"""),2.42)</f>
        <v>2.42</v>
      </c>
    </row>
    <row r="974" spans="1:2">
      <c r="A974" s="3">
        <f ca="1">IFERROR(__xludf.DUMMYFUNCTION("""COMPUTED_VALUE"""),39763.6666666666)</f>
        <v>39763.666666666599</v>
      </c>
      <c r="B974" s="1">
        <f ca="1">IFERROR(__xludf.DUMMYFUNCTION("""COMPUTED_VALUE"""),2.32)</f>
        <v>2.3199999999999998</v>
      </c>
    </row>
    <row r="975" spans="1:2">
      <c r="A975" s="3">
        <f ca="1">IFERROR(__xludf.DUMMYFUNCTION("""COMPUTED_VALUE"""),39764.6666666666)</f>
        <v>39764.666666666599</v>
      </c>
      <c r="B975" s="1">
        <f ca="1">IFERROR(__xludf.DUMMYFUNCTION("""COMPUTED_VALUE"""),2.08)</f>
        <v>2.08</v>
      </c>
    </row>
    <row r="976" spans="1:2">
      <c r="A976" s="3">
        <f ca="1">IFERROR(__xludf.DUMMYFUNCTION("""COMPUTED_VALUE"""),39765.6666666666)</f>
        <v>39765.666666666599</v>
      </c>
      <c r="B976" s="1">
        <f ca="1">IFERROR(__xludf.DUMMYFUNCTION("""COMPUTED_VALUE"""),2.25)</f>
        <v>2.25</v>
      </c>
    </row>
    <row r="977" spans="1:2">
      <c r="A977" s="3">
        <f ca="1">IFERROR(__xludf.DUMMYFUNCTION("""COMPUTED_VALUE"""),39766.6666666666)</f>
        <v>39766.666666666599</v>
      </c>
      <c r="B977" s="1">
        <f ca="1">IFERROR(__xludf.DUMMYFUNCTION("""COMPUTED_VALUE"""),2.09)</f>
        <v>2.09</v>
      </c>
    </row>
    <row r="978" spans="1:2">
      <c r="A978" s="3">
        <f ca="1">IFERROR(__xludf.DUMMYFUNCTION("""COMPUTED_VALUE"""),39769.6666666666)</f>
        <v>39769.666666666599</v>
      </c>
      <c r="B978" s="1">
        <f ca="1">IFERROR(__xludf.DUMMYFUNCTION("""COMPUTED_VALUE"""),1.98)</f>
        <v>1.98</v>
      </c>
    </row>
    <row r="979" spans="1:2">
      <c r="A979" s="3">
        <f ca="1">IFERROR(__xludf.DUMMYFUNCTION("""COMPUTED_VALUE"""),39770.6666666666)</f>
        <v>39770.666666666599</v>
      </c>
      <c r="B979" s="1">
        <f ca="1">IFERROR(__xludf.DUMMYFUNCTION("""COMPUTED_VALUE"""),1.92)</f>
        <v>1.92</v>
      </c>
    </row>
    <row r="980" spans="1:2">
      <c r="A980" s="3">
        <f ca="1">IFERROR(__xludf.DUMMYFUNCTION("""COMPUTED_VALUE"""),39771.6666666666)</f>
        <v>39771.666666666599</v>
      </c>
      <c r="B980" s="1">
        <f ca="1">IFERROR(__xludf.DUMMYFUNCTION("""COMPUTED_VALUE"""),1.79)</f>
        <v>1.79</v>
      </c>
    </row>
    <row r="981" spans="1:2">
      <c r="A981" s="3">
        <f ca="1">IFERROR(__xludf.DUMMYFUNCTION("""COMPUTED_VALUE"""),39772.6666666666)</f>
        <v>39772.666666666599</v>
      </c>
      <c r="B981" s="1">
        <f ca="1">IFERROR(__xludf.DUMMYFUNCTION("""COMPUTED_VALUE"""),1.75)</f>
        <v>1.75</v>
      </c>
    </row>
    <row r="982" spans="1:2">
      <c r="A982" s="3">
        <f ca="1">IFERROR(__xludf.DUMMYFUNCTION("""COMPUTED_VALUE"""),39773.6666666666)</f>
        <v>39773.666666666599</v>
      </c>
      <c r="B982" s="1">
        <f ca="1">IFERROR(__xludf.DUMMYFUNCTION("""COMPUTED_VALUE"""),1.89)</f>
        <v>1.89</v>
      </c>
    </row>
    <row r="983" spans="1:2">
      <c r="A983" s="3">
        <f ca="1">IFERROR(__xludf.DUMMYFUNCTION("""COMPUTED_VALUE"""),39776.6666666666)</f>
        <v>39776.666666666599</v>
      </c>
      <c r="B983" s="1">
        <f ca="1">IFERROR(__xludf.DUMMYFUNCTION("""COMPUTED_VALUE"""),2.13)</f>
        <v>2.13</v>
      </c>
    </row>
    <row r="984" spans="1:2">
      <c r="A984" s="3">
        <f ca="1">IFERROR(__xludf.DUMMYFUNCTION("""COMPUTED_VALUE"""),39777.6666666666)</f>
        <v>39777.666666666599</v>
      </c>
      <c r="B984" s="1">
        <f ca="1">IFERROR(__xludf.DUMMYFUNCTION("""COMPUTED_VALUE"""),2.11)</f>
        <v>2.11</v>
      </c>
    </row>
    <row r="985" spans="1:2">
      <c r="A985" s="3">
        <f ca="1">IFERROR(__xludf.DUMMYFUNCTION("""COMPUTED_VALUE"""),39778.6666666666)</f>
        <v>39778.666666666599</v>
      </c>
      <c r="B985" s="1">
        <f ca="1">IFERROR(__xludf.DUMMYFUNCTION("""COMPUTED_VALUE"""),2.2)</f>
        <v>2.2000000000000002</v>
      </c>
    </row>
    <row r="986" spans="1:2">
      <c r="A986" s="3">
        <f ca="1">IFERROR(__xludf.DUMMYFUNCTION("""COMPUTED_VALUE"""),39780.6666666666)</f>
        <v>39780.666666666599</v>
      </c>
      <c r="B986" s="1">
        <f ca="1">IFERROR(__xludf.DUMMYFUNCTION("""COMPUTED_VALUE"""),2.13)</f>
        <v>2.13</v>
      </c>
    </row>
    <row r="987" spans="1:2">
      <c r="A987" s="3">
        <f ca="1">IFERROR(__xludf.DUMMYFUNCTION("""COMPUTED_VALUE"""),39783.6666666666)</f>
        <v>39783.666666666599</v>
      </c>
      <c r="B987" s="1">
        <f ca="1">IFERROR(__xludf.DUMMYFUNCTION("""COMPUTED_VALUE"""),2.02)</f>
        <v>2.02</v>
      </c>
    </row>
    <row r="988" spans="1:2">
      <c r="A988" s="3">
        <f ca="1">IFERROR(__xludf.DUMMYFUNCTION("""COMPUTED_VALUE"""),39784.6666666666)</f>
        <v>39784.666666666599</v>
      </c>
      <c r="B988" s="1">
        <f ca="1">IFERROR(__xludf.DUMMYFUNCTION("""COMPUTED_VALUE"""),2.06)</f>
        <v>2.06</v>
      </c>
    </row>
    <row r="989" spans="1:2">
      <c r="A989" s="3">
        <f ca="1">IFERROR(__xludf.DUMMYFUNCTION("""COMPUTED_VALUE"""),39785.6666666666)</f>
        <v>39785.666666666599</v>
      </c>
      <c r="B989" s="1">
        <f ca="1">IFERROR(__xludf.DUMMYFUNCTION("""COMPUTED_VALUE"""),2.26)</f>
        <v>2.2599999999999998</v>
      </c>
    </row>
    <row r="990" spans="1:2">
      <c r="A990" s="3">
        <f ca="1">IFERROR(__xludf.DUMMYFUNCTION("""COMPUTED_VALUE"""),39786.6666666666)</f>
        <v>39786.666666666599</v>
      </c>
      <c r="B990" s="1">
        <f ca="1">IFERROR(__xludf.DUMMYFUNCTION("""COMPUTED_VALUE"""),2.37)</f>
        <v>2.37</v>
      </c>
    </row>
    <row r="991" spans="1:2">
      <c r="A991" s="3">
        <f ca="1">IFERROR(__xludf.DUMMYFUNCTION("""COMPUTED_VALUE"""),39787.6666666666)</f>
        <v>39787.666666666599</v>
      </c>
      <c r="B991" s="1">
        <f ca="1">IFERROR(__xludf.DUMMYFUNCTION("""COMPUTED_VALUE"""),2.41)</f>
        <v>2.41</v>
      </c>
    </row>
    <row r="992" spans="1:2">
      <c r="A992" s="3">
        <f ca="1">IFERROR(__xludf.DUMMYFUNCTION("""COMPUTED_VALUE"""),39790.6666666666)</f>
        <v>39790.666666666599</v>
      </c>
      <c r="B992" s="1">
        <f ca="1">IFERROR(__xludf.DUMMYFUNCTION("""COMPUTED_VALUE"""),2.57)</f>
        <v>2.57</v>
      </c>
    </row>
    <row r="993" spans="1:2">
      <c r="A993" s="3">
        <f ca="1">IFERROR(__xludf.DUMMYFUNCTION("""COMPUTED_VALUE"""),39791.6666666666)</f>
        <v>39791.666666666599</v>
      </c>
      <c r="B993" s="1">
        <f ca="1">IFERROR(__xludf.DUMMYFUNCTION("""COMPUTED_VALUE"""),2.56)</f>
        <v>2.56</v>
      </c>
    </row>
    <row r="994" spans="1:2">
      <c r="A994" s="3">
        <f ca="1">IFERROR(__xludf.DUMMYFUNCTION("""COMPUTED_VALUE"""),39792.6666666666)</f>
        <v>39792.666666666599</v>
      </c>
      <c r="B994" s="1">
        <f ca="1">IFERROR(__xludf.DUMMYFUNCTION("""COMPUTED_VALUE"""),2.49)</f>
        <v>2.4900000000000002</v>
      </c>
    </row>
    <row r="995" spans="1:2">
      <c r="A995" s="3">
        <f ca="1">IFERROR(__xludf.DUMMYFUNCTION("""COMPUTED_VALUE"""),39793.6666666666)</f>
        <v>39793.666666666599</v>
      </c>
      <c r="B995" s="1">
        <f ca="1">IFERROR(__xludf.DUMMYFUNCTION("""COMPUTED_VALUE"""),2.41)</f>
        <v>2.41</v>
      </c>
    </row>
    <row r="996" spans="1:2">
      <c r="A996" s="3">
        <f ca="1">IFERROR(__xludf.DUMMYFUNCTION("""COMPUTED_VALUE"""),39794.6666666666)</f>
        <v>39794.666666666599</v>
      </c>
      <c r="B996" s="1">
        <f ca="1">IFERROR(__xludf.DUMMYFUNCTION("""COMPUTED_VALUE"""),2.56)</f>
        <v>2.56</v>
      </c>
    </row>
    <row r="997" spans="1:2">
      <c r="A997" s="3">
        <f ca="1">IFERROR(__xludf.DUMMYFUNCTION("""COMPUTED_VALUE"""),39797.6666666666)</f>
        <v>39797.666666666599</v>
      </c>
      <c r="B997" s="1">
        <f ca="1">IFERROR(__xludf.DUMMYFUNCTION("""COMPUTED_VALUE"""),2.44)</f>
        <v>2.44</v>
      </c>
    </row>
    <row r="998" spans="1:2">
      <c r="A998" s="3">
        <f ca="1">IFERROR(__xludf.DUMMYFUNCTION("""COMPUTED_VALUE"""),39798.6666666666)</f>
        <v>39798.666666666599</v>
      </c>
      <c r="B998" s="1">
        <f ca="1">IFERROR(__xludf.DUMMYFUNCTION("""COMPUTED_VALUE"""),2.63)</f>
        <v>2.63</v>
      </c>
    </row>
    <row r="999" spans="1:2">
      <c r="A999" s="3">
        <f ca="1">IFERROR(__xludf.DUMMYFUNCTION("""COMPUTED_VALUE"""),39799.6666666666)</f>
        <v>39799.666666666599</v>
      </c>
      <c r="B999" s="1">
        <f ca="1">IFERROR(__xludf.DUMMYFUNCTION("""COMPUTED_VALUE"""),2.66)</f>
        <v>2.66</v>
      </c>
    </row>
    <row r="1000" spans="1:2">
      <c r="A1000" s="3">
        <f ca="1">IFERROR(__xludf.DUMMYFUNCTION("""COMPUTED_VALUE"""),39800.6666666666)</f>
        <v>39800.666666666599</v>
      </c>
      <c r="B1000" s="1">
        <f ca="1">IFERROR(__xludf.DUMMYFUNCTION("""COMPUTED_VALUE"""),2.6)</f>
        <v>2.6</v>
      </c>
    </row>
    <row r="1001" spans="1:2">
      <c r="A1001" s="3">
        <f ca="1">IFERROR(__xludf.DUMMYFUNCTION("""COMPUTED_VALUE"""),39801.6666666666)</f>
        <v>39801.666666666599</v>
      </c>
      <c r="B1001" s="1">
        <f ca="1">IFERROR(__xludf.DUMMYFUNCTION("""COMPUTED_VALUE"""),2.58)</f>
        <v>2.58</v>
      </c>
    </row>
    <row r="1002" spans="1:2">
      <c r="A1002" s="3">
        <f ca="1">IFERROR(__xludf.DUMMYFUNCTION("""COMPUTED_VALUE"""),39804.6666666666)</f>
        <v>39804.666666666599</v>
      </c>
      <c r="B1002" s="1">
        <f ca="1">IFERROR(__xludf.DUMMYFUNCTION("""COMPUTED_VALUE"""),2.49)</f>
        <v>2.4900000000000002</v>
      </c>
    </row>
    <row r="1003" spans="1:2">
      <c r="A1003" s="3">
        <f ca="1">IFERROR(__xludf.DUMMYFUNCTION("""COMPUTED_VALUE"""),39805.6666666666)</f>
        <v>39805.666666666599</v>
      </c>
      <c r="B1003" s="1">
        <f ca="1">IFERROR(__xludf.DUMMYFUNCTION("""COMPUTED_VALUE"""),2.55)</f>
        <v>2.5499999999999998</v>
      </c>
    </row>
    <row r="1004" spans="1:2">
      <c r="A1004" s="3">
        <f ca="1">IFERROR(__xludf.DUMMYFUNCTION("""COMPUTED_VALUE"""),39806.6666666666)</f>
        <v>39806.666666666599</v>
      </c>
      <c r="B1004" s="1">
        <f ca="1">IFERROR(__xludf.DUMMYFUNCTION("""COMPUTED_VALUE"""),2.57)</f>
        <v>2.57</v>
      </c>
    </row>
    <row r="1005" spans="1:2">
      <c r="A1005" s="3">
        <f ca="1">IFERROR(__xludf.DUMMYFUNCTION("""COMPUTED_VALUE"""),39808.6666666666)</f>
        <v>39808.666666666599</v>
      </c>
      <c r="B1005" s="1">
        <f ca="1">IFERROR(__xludf.DUMMYFUNCTION("""COMPUTED_VALUE"""),2.59)</f>
        <v>2.59</v>
      </c>
    </row>
    <row r="1006" spans="1:2">
      <c r="A1006" s="3">
        <f ca="1">IFERROR(__xludf.DUMMYFUNCTION("""COMPUTED_VALUE"""),39811.6666666666)</f>
        <v>39811.666666666599</v>
      </c>
      <c r="B1006" s="1">
        <f ca="1">IFERROR(__xludf.DUMMYFUNCTION("""COMPUTED_VALUE"""),2.47)</f>
        <v>2.4700000000000002</v>
      </c>
    </row>
    <row r="1007" spans="1:2">
      <c r="A1007" s="3">
        <f ca="1">IFERROR(__xludf.DUMMYFUNCTION("""COMPUTED_VALUE"""),39812.6666666666)</f>
        <v>39812.666666666599</v>
      </c>
      <c r="B1007" s="1">
        <f ca="1">IFERROR(__xludf.DUMMYFUNCTION("""COMPUTED_VALUE"""),2.54)</f>
        <v>2.54</v>
      </c>
    </row>
    <row r="1008" spans="1:2">
      <c r="A1008" s="3">
        <f ca="1">IFERROR(__xludf.DUMMYFUNCTION("""COMPUTED_VALUE"""),39813.6666666666)</f>
        <v>39813.666666666599</v>
      </c>
      <c r="B1008" s="1">
        <f ca="1">IFERROR(__xludf.DUMMYFUNCTION("""COMPUTED_VALUE"""),2.56)</f>
        <v>2.56</v>
      </c>
    </row>
    <row r="1009" spans="1:2">
      <c r="A1009" s="3">
        <f ca="1">IFERROR(__xludf.DUMMYFUNCTION("""COMPUTED_VALUE"""),39815.6666666666)</f>
        <v>39815.666666666599</v>
      </c>
      <c r="B1009" s="1">
        <f ca="1">IFERROR(__xludf.DUMMYFUNCTION("""COMPUTED_VALUE"""),2.72)</f>
        <v>2.72</v>
      </c>
    </row>
    <row r="1010" spans="1:2">
      <c r="A1010" s="3">
        <f ca="1">IFERROR(__xludf.DUMMYFUNCTION("""COMPUTED_VALUE"""),39818.6666666666)</f>
        <v>39818.666666666599</v>
      </c>
      <c r="B1010" s="1">
        <f ca="1">IFERROR(__xludf.DUMMYFUNCTION("""COMPUTED_VALUE"""),2.7)</f>
        <v>2.7</v>
      </c>
    </row>
    <row r="1011" spans="1:2">
      <c r="A1011" s="3">
        <f ca="1">IFERROR(__xludf.DUMMYFUNCTION("""COMPUTED_VALUE"""),39819.6666666666)</f>
        <v>39819.666666666599</v>
      </c>
      <c r="B1011" s="1">
        <f ca="1">IFERROR(__xludf.DUMMYFUNCTION("""COMPUTED_VALUE"""),2.87)</f>
        <v>2.87</v>
      </c>
    </row>
    <row r="1012" spans="1:2">
      <c r="A1012" s="3">
        <f ca="1">IFERROR(__xludf.DUMMYFUNCTION("""COMPUTED_VALUE"""),39820.6666666666)</f>
        <v>39820.666666666599</v>
      </c>
      <c r="B1012" s="1">
        <f ca="1">IFERROR(__xludf.DUMMYFUNCTION("""COMPUTED_VALUE"""),2.81)</f>
        <v>2.81</v>
      </c>
    </row>
    <row r="1013" spans="1:2">
      <c r="A1013" s="3">
        <f ca="1">IFERROR(__xludf.DUMMYFUNCTION("""COMPUTED_VALUE"""),39821.6666666666)</f>
        <v>39821.666666666599</v>
      </c>
      <c r="B1013" s="1">
        <f ca="1">IFERROR(__xludf.DUMMYFUNCTION("""COMPUTED_VALUE"""),2.86)</f>
        <v>2.86</v>
      </c>
    </row>
    <row r="1014" spans="1:2">
      <c r="A1014" s="3">
        <f ca="1">IFERROR(__xludf.DUMMYFUNCTION("""COMPUTED_VALUE"""),39822.6666666666)</f>
        <v>39822.666666666599</v>
      </c>
      <c r="B1014" s="1">
        <f ca="1">IFERROR(__xludf.DUMMYFUNCTION("""COMPUTED_VALUE"""),2.78)</f>
        <v>2.78</v>
      </c>
    </row>
    <row r="1015" spans="1:2">
      <c r="A1015" s="3">
        <f ca="1">IFERROR(__xludf.DUMMYFUNCTION("""COMPUTED_VALUE"""),39825.6666666666)</f>
        <v>39825.666666666599</v>
      </c>
      <c r="B1015" s="1">
        <f ca="1">IFERROR(__xludf.DUMMYFUNCTION("""COMPUTED_VALUE"""),2.6)</f>
        <v>2.6</v>
      </c>
    </row>
    <row r="1016" spans="1:2">
      <c r="A1016" s="3">
        <f ca="1">IFERROR(__xludf.DUMMYFUNCTION("""COMPUTED_VALUE"""),39826.6666666666)</f>
        <v>39826.666666666599</v>
      </c>
      <c r="B1016" s="1">
        <f ca="1">IFERROR(__xludf.DUMMYFUNCTION("""COMPUTED_VALUE"""),2.57)</f>
        <v>2.57</v>
      </c>
    </row>
    <row r="1017" spans="1:2">
      <c r="A1017" s="3">
        <f ca="1">IFERROR(__xludf.DUMMYFUNCTION("""COMPUTED_VALUE"""),39827.6666666666)</f>
        <v>39827.666666666599</v>
      </c>
      <c r="B1017" s="1">
        <f ca="1">IFERROR(__xludf.DUMMYFUNCTION("""COMPUTED_VALUE"""),2.42)</f>
        <v>2.42</v>
      </c>
    </row>
    <row r="1018" spans="1:2">
      <c r="A1018" s="3">
        <f ca="1">IFERROR(__xludf.DUMMYFUNCTION("""COMPUTED_VALUE"""),39828.6666666666)</f>
        <v>39828.666666666599</v>
      </c>
      <c r="B1018" s="1">
        <f ca="1">IFERROR(__xludf.DUMMYFUNCTION("""COMPUTED_VALUE"""),2.57)</f>
        <v>2.57</v>
      </c>
    </row>
    <row r="1019" spans="1:2">
      <c r="A1019" s="3">
        <f ca="1">IFERROR(__xludf.DUMMYFUNCTION("""COMPUTED_VALUE"""),39829.6666666666)</f>
        <v>39829.666666666599</v>
      </c>
      <c r="B1019" s="1">
        <f ca="1">IFERROR(__xludf.DUMMYFUNCTION("""COMPUTED_VALUE"""),2.58)</f>
        <v>2.58</v>
      </c>
    </row>
    <row r="1020" spans="1:2">
      <c r="A1020" s="3">
        <f ca="1">IFERROR(__xludf.DUMMYFUNCTION("""COMPUTED_VALUE"""),39833.6666666666)</f>
        <v>39833.666666666599</v>
      </c>
      <c r="B1020" s="1">
        <f ca="1">IFERROR(__xludf.DUMMYFUNCTION("""COMPUTED_VALUE"""),2.42)</f>
        <v>2.42</v>
      </c>
    </row>
    <row r="1021" spans="1:2">
      <c r="A1021" s="3">
        <f ca="1">IFERROR(__xludf.DUMMYFUNCTION("""COMPUTED_VALUE"""),39834.6666666666)</f>
        <v>39834.666666666599</v>
      </c>
      <c r="B1021" s="1">
        <f ca="1">IFERROR(__xludf.DUMMYFUNCTION("""COMPUTED_VALUE"""),2.53)</f>
        <v>2.5299999999999998</v>
      </c>
    </row>
    <row r="1022" spans="1:2">
      <c r="A1022" s="3">
        <f ca="1">IFERROR(__xludf.DUMMYFUNCTION("""COMPUTED_VALUE"""),39835.6666666666)</f>
        <v>39835.666666666599</v>
      </c>
      <c r="B1022" s="1">
        <f ca="1">IFERROR(__xludf.DUMMYFUNCTION("""COMPUTED_VALUE"""),2.5)</f>
        <v>2.5</v>
      </c>
    </row>
    <row r="1023" spans="1:2">
      <c r="A1023" s="3">
        <f ca="1">IFERROR(__xludf.DUMMYFUNCTION("""COMPUTED_VALUE"""),39836.6666666666)</f>
        <v>39836.666666666599</v>
      </c>
      <c r="B1023" s="1">
        <f ca="1">IFERROR(__xludf.DUMMYFUNCTION("""COMPUTED_VALUE"""),2.53)</f>
        <v>2.5299999999999998</v>
      </c>
    </row>
    <row r="1024" spans="1:2">
      <c r="A1024" s="3">
        <f ca="1">IFERROR(__xludf.DUMMYFUNCTION("""COMPUTED_VALUE"""),39839.6666666666)</f>
        <v>39839.666666666599</v>
      </c>
      <c r="B1024" s="1">
        <f ca="1">IFERROR(__xludf.DUMMYFUNCTION("""COMPUTED_VALUE"""),2.48)</f>
        <v>2.48</v>
      </c>
    </row>
    <row r="1025" spans="1:2">
      <c r="A1025" s="3">
        <f ca="1">IFERROR(__xludf.DUMMYFUNCTION("""COMPUTED_VALUE"""),39840.6666666666)</f>
        <v>39840.666666666599</v>
      </c>
      <c r="B1025" s="1">
        <f ca="1">IFERROR(__xludf.DUMMYFUNCTION("""COMPUTED_VALUE"""),2.42)</f>
        <v>2.42</v>
      </c>
    </row>
    <row r="1026" spans="1:2">
      <c r="A1026" s="3">
        <f ca="1">IFERROR(__xludf.DUMMYFUNCTION("""COMPUTED_VALUE"""),39841.6666666666)</f>
        <v>39841.666666666599</v>
      </c>
      <c r="B1026" s="1">
        <f ca="1">IFERROR(__xludf.DUMMYFUNCTION("""COMPUTED_VALUE"""),2.52)</f>
        <v>2.52</v>
      </c>
    </row>
    <row r="1027" spans="1:2">
      <c r="A1027" s="3">
        <f ca="1">IFERROR(__xludf.DUMMYFUNCTION("""COMPUTED_VALUE"""),39842.6666666666)</f>
        <v>39842.666666666599</v>
      </c>
      <c r="B1027" s="1">
        <f ca="1">IFERROR(__xludf.DUMMYFUNCTION("""COMPUTED_VALUE"""),2.5)</f>
        <v>2.5</v>
      </c>
    </row>
    <row r="1028" spans="1:2">
      <c r="A1028" s="3">
        <f ca="1">IFERROR(__xludf.DUMMYFUNCTION("""COMPUTED_VALUE"""),39843.6666666666)</f>
        <v>39843.666666666599</v>
      </c>
      <c r="B1028" s="1">
        <f ca="1">IFERROR(__xludf.DUMMYFUNCTION("""COMPUTED_VALUE"""),2.94)</f>
        <v>2.94</v>
      </c>
    </row>
    <row r="1029" spans="1:2">
      <c r="A1029" s="3">
        <f ca="1">IFERROR(__xludf.DUMMYFUNCTION("""COMPUTED_VALUE"""),39846.6666666666)</f>
        <v>39846.666666666599</v>
      </c>
      <c r="B1029" s="1">
        <f ca="1">IFERROR(__xludf.DUMMYFUNCTION("""COMPUTED_VALUE"""),3.06)</f>
        <v>3.06</v>
      </c>
    </row>
    <row r="1030" spans="1:2">
      <c r="A1030" s="3">
        <f ca="1">IFERROR(__xludf.DUMMYFUNCTION("""COMPUTED_VALUE"""),39847.6666666666)</f>
        <v>39847.666666666599</v>
      </c>
      <c r="B1030" s="1">
        <f ca="1">IFERROR(__xludf.DUMMYFUNCTION("""COMPUTED_VALUE"""),3.18)</f>
        <v>3.18</v>
      </c>
    </row>
    <row r="1031" spans="1:2">
      <c r="A1031" s="3">
        <f ca="1">IFERROR(__xludf.DUMMYFUNCTION("""COMPUTED_VALUE"""),39848.6666666666)</f>
        <v>39848.666666666599</v>
      </c>
      <c r="B1031" s="1">
        <f ca="1">IFERROR(__xludf.DUMMYFUNCTION("""COMPUTED_VALUE"""),3.05)</f>
        <v>3.05</v>
      </c>
    </row>
    <row r="1032" spans="1:2">
      <c r="A1032" s="3">
        <f ca="1">IFERROR(__xludf.DUMMYFUNCTION("""COMPUTED_VALUE"""),39849.6666666666)</f>
        <v>39849.666666666599</v>
      </c>
      <c r="B1032" s="1">
        <f ca="1">IFERROR(__xludf.DUMMYFUNCTION("""COMPUTED_VALUE"""),3.16)</f>
        <v>3.16</v>
      </c>
    </row>
    <row r="1033" spans="1:2">
      <c r="A1033" s="3">
        <f ca="1">IFERROR(__xludf.DUMMYFUNCTION("""COMPUTED_VALUE"""),39850.6666666666)</f>
        <v>39850.666666666599</v>
      </c>
      <c r="B1033" s="1">
        <f ca="1">IFERROR(__xludf.DUMMYFUNCTION("""COMPUTED_VALUE"""),3.33)</f>
        <v>3.33</v>
      </c>
    </row>
    <row r="1034" spans="1:2">
      <c r="A1034" s="3">
        <f ca="1">IFERROR(__xludf.DUMMYFUNCTION("""COMPUTED_VALUE"""),39853.6666666666)</f>
        <v>39853.666666666599</v>
      </c>
      <c r="B1034" s="1">
        <f ca="1">IFERROR(__xludf.DUMMYFUNCTION("""COMPUTED_VALUE"""),3.34)</f>
        <v>3.34</v>
      </c>
    </row>
    <row r="1035" spans="1:2">
      <c r="A1035" s="3">
        <f ca="1">IFERROR(__xludf.DUMMYFUNCTION("""COMPUTED_VALUE"""),39854.6666666666)</f>
        <v>39854.666666666599</v>
      </c>
      <c r="B1035" s="1">
        <f ca="1">IFERROR(__xludf.DUMMYFUNCTION("""COMPUTED_VALUE"""),3.17)</f>
        <v>3.17</v>
      </c>
    </row>
    <row r="1036" spans="1:2">
      <c r="A1036" s="3">
        <f ca="1">IFERROR(__xludf.DUMMYFUNCTION("""COMPUTED_VALUE"""),39855.6666666666)</f>
        <v>39855.666666666599</v>
      </c>
      <c r="B1036" s="1">
        <f ca="1">IFERROR(__xludf.DUMMYFUNCTION("""COMPUTED_VALUE"""),3.22)</f>
        <v>3.22</v>
      </c>
    </row>
    <row r="1037" spans="1:2">
      <c r="A1037" s="3">
        <f ca="1">IFERROR(__xludf.DUMMYFUNCTION("""COMPUTED_VALUE"""),39856.6666666666)</f>
        <v>39856.666666666599</v>
      </c>
      <c r="B1037" s="1">
        <f ca="1">IFERROR(__xludf.DUMMYFUNCTION("""COMPUTED_VALUE"""),3.2)</f>
        <v>3.2</v>
      </c>
    </row>
    <row r="1038" spans="1:2">
      <c r="A1038" s="3">
        <f ca="1">IFERROR(__xludf.DUMMYFUNCTION("""COMPUTED_VALUE"""),39857.6666666666)</f>
        <v>39857.666666666599</v>
      </c>
      <c r="B1038" s="1">
        <f ca="1">IFERROR(__xludf.DUMMYFUNCTION("""COMPUTED_VALUE"""),3.16)</f>
        <v>3.16</v>
      </c>
    </row>
    <row r="1039" spans="1:2">
      <c r="A1039" s="3">
        <f ca="1">IFERROR(__xludf.DUMMYFUNCTION("""COMPUTED_VALUE"""),39861.6666666666)</f>
        <v>39861.666666666599</v>
      </c>
      <c r="B1039" s="1">
        <f ca="1">IFERROR(__xludf.DUMMYFUNCTION("""COMPUTED_VALUE"""),3.08)</f>
        <v>3.08</v>
      </c>
    </row>
    <row r="1040" spans="1:2">
      <c r="A1040" s="3">
        <f ca="1">IFERROR(__xludf.DUMMYFUNCTION("""COMPUTED_VALUE"""),39862.6666666666)</f>
        <v>39862.666666666599</v>
      </c>
      <c r="B1040" s="1">
        <f ca="1">IFERROR(__xludf.DUMMYFUNCTION("""COMPUTED_VALUE"""),3.12)</f>
        <v>3.12</v>
      </c>
    </row>
    <row r="1041" spans="1:2">
      <c r="A1041" s="3">
        <f ca="1">IFERROR(__xludf.DUMMYFUNCTION("""COMPUTED_VALUE"""),39863.6666666666)</f>
        <v>39863.666666666599</v>
      </c>
      <c r="B1041" s="1">
        <f ca="1">IFERROR(__xludf.DUMMYFUNCTION("""COMPUTED_VALUE"""),3.1)</f>
        <v>3.1</v>
      </c>
    </row>
    <row r="1042" spans="1:2">
      <c r="A1042" s="3">
        <f ca="1">IFERROR(__xludf.DUMMYFUNCTION("""COMPUTED_VALUE"""),39864.6666666666)</f>
        <v>39864.666666666599</v>
      </c>
      <c r="B1042" s="1">
        <f ca="1">IFERROR(__xludf.DUMMYFUNCTION("""COMPUTED_VALUE"""),3.19)</f>
        <v>3.19</v>
      </c>
    </row>
    <row r="1043" spans="1:2">
      <c r="A1043" s="3">
        <f ca="1">IFERROR(__xludf.DUMMYFUNCTION("""COMPUTED_VALUE"""),39867.6666666666)</f>
        <v>39867.666666666599</v>
      </c>
      <c r="B1043" s="1">
        <f ca="1">IFERROR(__xludf.DUMMYFUNCTION("""COMPUTED_VALUE"""),3.09)</f>
        <v>3.09</v>
      </c>
    </row>
    <row r="1044" spans="1:2">
      <c r="A1044" s="3">
        <f ca="1">IFERROR(__xludf.DUMMYFUNCTION("""COMPUTED_VALUE"""),39868.6666666666)</f>
        <v>39868.666666666599</v>
      </c>
      <c r="B1044" s="1">
        <f ca="1">IFERROR(__xludf.DUMMYFUNCTION("""COMPUTED_VALUE"""),3.28)</f>
        <v>3.28</v>
      </c>
    </row>
    <row r="1045" spans="1:2">
      <c r="A1045" s="3">
        <f ca="1">IFERROR(__xludf.DUMMYFUNCTION("""COMPUTED_VALUE"""),39869.6666666666)</f>
        <v>39869.666666666599</v>
      </c>
      <c r="B1045" s="1">
        <f ca="1">IFERROR(__xludf.DUMMYFUNCTION("""COMPUTED_VALUE"""),3.19)</f>
        <v>3.19</v>
      </c>
    </row>
    <row r="1046" spans="1:2">
      <c r="A1046" s="3">
        <f ca="1">IFERROR(__xludf.DUMMYFUNCTION("""COMPUTED_VALUE"""),39870.6666666666)</f>
        <v>39870.666666666599</v>
      </c>
      <c r="B1046" s="1">
        <f ca="1">IFERROR(__xludf.DUMMYFUNCTION("""COMPUTED_VALUE"""),3.12)</f>
        <v>3.12</v>
      </c>
    </row>
    <row r="1047" spans="1:2">
      <c r="A1047" s="3">
        <f ca="1">IFERROR(__xludf.DUMMYFUNCTION("""COMPUTED_VALUE"""),39871.6666666666)</f>
        <v>39871.666666666599</v>
      </c>
      <c r="B1047" s="1">
        <f ca="1">IFERROR(__xludf.DUMMYFUNCTION("""COMPUTED_VALUE"""),3.24)</f>
        <v>3.24</v>
      </c>
    </row>
    <row r="1048" spans="1:2">
      <c r="A1048" s="3">
        <f ca="1">IFERROR(__xludf.DUMMYFUNCTION("""COMPUTED_VALUE"""),39874.6666666666)</f>
        <v>39874.666666666599</v>
      </c>
      <c r="B1048" s="1">
        <f ca="1">IFERROR(__xludf.DUMMYFUNCTION("""COMPUTED_VALUE"""),3.1)</f>
        <v>3.1</v>
      </c>
    </row>
    <row r="1049" spans="1:2">
      <c r="A1049" s="3">
        <f ca="1">IFERROR(__xludf.DUMMYFUNCTION("""COMPUTED_VALUE"""),39875.6666666666)</f>
        <v>39875.666666666599</v>
      </c>
      <c r="B1049" s="1">
        <f ca="1">IFERROR(__xludf.DUMMYFUNCTION("""COMPUTED_VALUE"""),3.09)</f>
        <v>3.09</v>
      </c>
    </row>
    <row r="1050" spans="1:2">
      <c r="A1050" s="3">
        <f ca="1">IFERROR(__xludf.DUMMYFUNCTION("""COMPUTED_VALUE"""),39876.6666666666)</f>
        <v>39876.666666666599</v>
      </c>
      <c r="B1050" s="1">
        <f ca="1">IFERROR(__xludf.DUMMYFUNCTION("""COMPUTED_VALUE"""),3.24)</f>
        <v>3.24</v>
      </c>
    </row>
    <row r="1051" spans="1:2">
      <c r="A1051" s="3">
        <f ca="1">IFERROR(__xludf.DUMMYFUNCTION("""COMPUTED_VALUE"""),39877.6666666666)</f>
        <v>39877.666666666599</v>
      </c>
      <c r="B1051" s="1">
        <f ca="1">IFERROR(__xludf.DUMMYFUNCTION("""COMPUTED_VALUE"""),3.24)</f>
        <v>3.24</v>
      </c>
    </row>
    <row r="1052" spans="1:2">
      <c r="A1052" s="3">
        <f ca="1">IFERROR(__xludf.DUMMYFUNCTION("""COMPUTED_VALUE"""),39878.6666666666)</f>
        <v>39878.666666666599</v>
      </c>
      <c r="B1052" s="1">
        <f ca="1">IFERROR(__xludf.DUMMYFUNCTION("""COMPUTED_VALUE"""),3.08)</f>
        <v>3.08</v>
      </c>
    </row>
    <row r="1053" spans="1:2">
      <c r="A1053" s="3">
        <f ca="1">IFERROR(__xludf.DUMMYFUNCTION("""COMPUTED_VALUE"""),39881.6666666666)</f>
        <v>39881.666666666599</v>
      </c>
      <c r="B1053" s="1">
        <f ca="1">IFERROR(__xludf.DUMMYFUNCTION("""COMPUTED_VALUE"""),3.02)</f>
        <v>3.02</v>
      </c>
    </row>
    <row r="1054" spans="1:2">
      <c r="A1054" s="3">
        <f ca="1">IFERROR(__xludf.DUMMYFUNCTION("""COMPUTED_VALUE"""),39882.6666666666)</f>
        <v>39882.666666666599</v>
      </c>
      <c r="B1054" s="1">
        <f ca="1">IFERROR(__xludf.DUMMYFUNCTION("""COMPUTED_VALUE"""),3.29)</f>
        <v>3.29</v>
      </c>
    </row>
    <row r="1055" spans="1:2">
      <c r="A1055" s="3">
        <f ca="1">IFERROR(__xludf.DUMMYFUNCTION("""COMPUTED_VALUE"""),39883.6666666666)</f>
        <v>39883.666666666599</v>
      </c>
      <c r="B1055" s="1">
        <f ca="1">IFERROR(__xludf.DUMMYFUNCTION("""COMPUTED_VALUE"""),3.43)</f>
        <v>3.43</v>
      </c>
    </row>
    <row r="1056" spans="1:2">
      <c r="A1056" s="3">
        <f ca="1">IFERROR(__xludf.DUMMYFUNCTION("""COMPUTED_VALUE"""),39884.6666666666)</f>
        <v>39884.666666666599</v>
      </c>
      <c r="B1056" s="1">
        <f ca="1">IFERROR(__xludf.DUMMYFUNCTION("""COMPUTED_VALUE"""),3.48)</f>
        <v>3.48</v>
      </c>
    </row>
    <row r="1057" spans="1:2">
      <c r="A1057" s="3">
        <f ca="1">IFERROR(__xludf.DUMMYFUNCTION("""COMPUTED_VALUE"""),39885.6666666666)</f>
        <v>39885.666666666599</v>
      </c>
      <c r="B1057" s="1">
        <f ca="1">IFERROR(__xludf.DUMMYFUNCTION("""COMPUTED_VALUE"""),3.43)</f>
        <v>3.43</v>
      </c>
    </row>
    <row r="1058" spans="1:2">
      <c r="A1058" s="3">
        <f ca="1">IFERROR(__xludf.DUMMYFUNCTION("""COMPUTED_VALUE"""),39888.6666666666)</f>
        <v>39888.666666666599</v>
      </c>
      <c r="B1058" s="1">
        <f ca="1">IFERROR(__xludf.DUMMYFUNCTION("""COMPUTED_VALUE"""),3.35)</f>
        <v>3.35</v>
      </c>
    </row>
    <row r="1059" spans="1:2">
      <c r="A1059" s="3">
        <f ca="1">IFERROR(__xludf.DUMMYFUNCTION("""COMPUTED_VALUE"""),39889.6666666666)</f>
        <v>39889.666666666599</v>
      </c>
      <c r="B1059" s="1">
        <f ca="1">IFERROR(__xludf.DUMMYFUNCTION("""COMPUTED_VALUE"""),3.57)</f>
        <v>3.57</v>
      </c>
    </row>
    <row r="1060" spans="1:2">
      <c r="A1060" s="3">
        <f ca="1">IFERROR(__xludf.DUMMYFUNCTION("""COMPUTED_VALUE"""),39890.6666666666)</f>
        <v>39890.666666666599</v>
      </c>
      <c r="B1060" s="1">
        <f ca="1">IFERROR(__xludf.DUMMYFUNCTION("""COMPUTED_VALUE"""),3.56)</f>
        <v>3.56</v>
      </c>
    </row>
    <row r="1061" spans="1:2">
      <c r="A1061" s="3">
        <f ca="1">IFERROR(__xludf.DUMMYFUNCTION("""COMPUTED_VALUE"""),39891.6666666666)</f>
        <v>39891.666666666599</v>
      </c>
      <c r="B1061" s="1">
        <f ca="1">IFERROR(__xludf.DUMMYFUNCTION("""COMPUTED_VALUE"""),3.51)</f>
        <v>3.51</v>
      </c>
    </row>
    <row r="1062" spans="1:2">
      <c r="A1062" s="3">
        <f ca="1">IFERROR(__xludf.DUMMYFUNCTION("""COMPUTED_VALUE"""),39892.6666666666)</f>
        <v>39892.666666666599</v>
      </c>
      <c r="B1062" s="1">
        <f ca="1">IFERROR(__xludf.DUMMYFUNCTION("""COMPUTED_VALUE"""),3.5)</f>
        <v>3.5</v>
      </c>
    </row>
    <row r="1063" spans="1:2">
      <c r="A1063" s="3">
        <f ca="1">IFERROR(__xludf.DUMMYFUNCTION("""COMPUTED_VALUE"""),39895.6666666666)</f>
        <v>39895.666666666599</v>
      </c>
      <c r="B1063" s="1">
        <f ca="1">IFERROR(__xludf.DUMMYFUNCTION("""COMPUTED_VALUE"""),3.78)</f>
        <v>3.78</v>
      </c>
    </row>
    <row r="1064" spans="1:2">
      <c r="A1064" s="3">
        <f ca="1">IFERROR(__xludf.DUMMYFUNCTION("""COMPUTED_VALUE"""),39896.6666666666)</f>
        <v>39896.666666666599</v>
      </c>
      <c r="B1064" s="1">
        <f ca="1">IFERROR(__xludf.DUMMYFUNCTION("""COMPUTED_VALUE"""),3.64)</f>
        <v>3.64</v>
      </c>
    </row>
    <row r="1065" spans="1:2">
      <c r="A1065" s="3">
        <f ca="1">IFERROR(__xludf.DUMMYFUNCTION("""COMPUTED_VALUE"""),39897.6666666666)</f>
        <v>39897.666666666599</v>
      </c>
      <c r="B1065" s="1">
        <f ca="1">IFERROR(__xludf.DUMMYFUNCTION("""COMPUTED_VALUE"""),3.62)</f>
        <v>3.62</v>
      </c>
    </row>
    <row r="1066" spans="1:2">
      <c r="A1066" s="3">
        <f ca="1">IFERROR(__xludf.DUMMYFUNCTION("""COMPUTED_VALUE"""),39898.6666666666)</f>
        <v>39898.666666666599</v>
      </c>
      <c r="B1066" s="1">
        <f ca="1">IFERROR(__xludf.DUMMYFUNCTION("""COMPUTED_VALUE"""),3.68)</f>
        <v>3.68</v>
      </c>
    </row>
    <row r="1067" spans="1:2">
      <c r="A1067" s="3">
        <f ca="1">IFERROR(__xludf.DUMMYFUNCTION("""COMPUTED_VALUE"""),39899.6666666666)</f>
        <v>39899.666666666599</v>
      </c>
      <c r="B1067" s="1">
        <f ca="1">IFERROR(__xludf.DUMMYFUNCTION("""COMPUTED_VALUE"""),3.53)</f>
        <v>3.53</v>
      </c>
    </row>
    <row r="1068" spans="1:2">
      <c r="A1068" s="3">
        <f ca="1">IFERROR(__xludf.DUMMYFUNCTION("""COMPUTED_VALUE"""),39902.6666666666)</f>
        <v>39902.666666666599</v>
      </c>
      <c r="B1068" s="1">
        <f ca="1">IFERROR(__xludf.DUMMYFUNCTION("""COMPUTED_VALUE"""),3.57)</f>
        <v>3.57</v>
      </c>
    </row>
    <row r="1069" spans="1:2">
      <c r="A1069" s="3">
        <f ca="1">IFERROR(__xludf.DUMMYFUNCTION("""COMPUTED_VALUE"""),39903.6666666666)</f>
        <v>39903.666666666599</v>
      </c>
      <c r="B1069" s="1">
        <f ca="1">IFERROR(__xludf.DUMMYFUNCTION("""COMPUTED_VALUE"""),3.67)</f>
        <v>3.67</v>
      </c>
    </row>
    <row r="1070" spans="1:2">
      <c r="A1070" s="3">
        <f ca="1">IFERROR(__xludf.DUMMYFUNCTION("""COMPUTED_VALUE"""),39904.6666666666)</f>
        <v>39904.666666666599</v>
      </c>
      <c r="B1070" s="1">
        <f ca="1">IFERROR(__xludf.DUMMYFUNCTION("""COMPUTED_VALUE"""),3.68)</f>
        <v>3.68</v>
      </c>
    </row>
    <row r="1071" spans="1:2">
      <c r="A1071" s="3">
        <f ca="1">IFERROR(__xludf.DUMMYFUNCTION("""COMPUTED_VALUE"""),39905.6666666666)</f>
        <v>39905.666666666599</v>
      </c>
      <c r="B1071" s="1">
        <f ca="1">IFERROR(__xludf.DUMMYFUNCTION("""COMPUTED_VALUE"""),3.82)</f>
        <v>3.82</v>
      </c>
    </row>
    <row r="1072" spans="1:2">
      <c r="A1072" s="3">
        <f ca="1">IFERROR(__xludf.DUMMYFUNCTION("""COMPUTED_VALUE"""),39906.6666666666)</f>
        <v>39906.666666666599</v>
      </c>
      <c r="B1072" s="1">
        <f ca="1">IFERROR(__xludf.DUMMYFUNCTION("""COMPUTED_VALUE"""),3.91)</f>
        <v>3.91</v>
      </c>
    </row>
    <row r="1073" spans="1:2">
      <c r="A1073" s="3">
        <f ca="1">IFERROR(__xludf.DUMMYFUNCTION("""COMPUTED_VALUE"""),39909.6666666666)</f>
        <v>39909.666666666599</v>
      </c>
      <c r="B1073" s="1">
        <f ca="1">IFERROR(__xludf.DUMMYFUNCTION("""COMPUTED_VALUE"""),3.9)</f>
        <v>3.9</v>
      </c>
    </row>
    <row r="1074" spans="1:2">
      <c r="A1074" s="3">
        <f ca="1">IFERROR(__xludf.DUMMYFUNCTION("""COMPUTED_VALUE"""),39910.6666666666)</f>
        <v>39910.666666666599</v>
      </c>
      <c r="B1074" s="1">
        <f ca="1">IFERROR(__xludf.DUMMYFUNCTION("""COMPUTED_VALUE"""),3.78)</f>
        <v>3.78</v>
      </c>
    </row>
    <row r="1075" spans="1:2">
      <c r="A1075" s="3">
        <f ca="1">IFERROR(__xludf.DUMMYFUNCTION("""COMPUTED_VALUE"""),39911.6666666666)</f>
        <v>39911.666666666599</v>
      </c>
      <c r="B1075" s="1">
        <f ca="1">IFERROR(__xludf.DUMMYFUNCTION("""COMPUTED_VALUE"""),3.85)</f>
        <v>3.85</v>
      </c>
    </row>
    <row r="1076" spans="1:2">
      <c r="A1076" s="3">
        <f ca="1">IFERROR(__xludf.DUMMYFUNCTION("""COMPUTED_VALUE"""),39912.6666666666)</f>
        <v>39912.666666666599</v>
      </c>
      <c r="B1076" s="1">
        <f ca="1">IFERROR(__xludf.DUMMYFUNCTION("""COMPUTED_VALUE"""),3.99)</f>
        <v>3.99</v>
      </c>
    </row>
    <row r="1077" spans="1:2">
      <c r="A1077" s="3">
        <f ca="1">IFERROR(__xludf.DUMMYFUNCTION("""COMPUTED_VALUE"""),39916.6666666666)</f>
        <v>39916.666666666599</v>
      </c>
      <c r="B1077" s="1">
        <f ca="1">IFERROR(__xludf.DUMMYFUNCTION("""COMPUTED_VALUE"""),3.95)</f>
        <v>3.95</v>
      </c>
    </row>
    <row r="1078" spans="1:2">
      <c r="A1078" s="3">
        <f ca="1">IFERROR(__xludf.DUMMYFUNCTION("""COMPUTED_VALUE"""),39917.6666666666)</f>
        <v>39917.666666666599</v>
      </c>
      <c r="B1078" s="1">
        <f ca="1">IFERROR(__xludf.DUMMYFUNCTION("""COMPUTED_VALUE"""),3.86)</f>
        <v>3.86</v>
      </c>
    </row>
    <row r="1079" spans="1:2">
      <c r="A1079" s="3">
        <f ca="1">IFERROR(__xludf.DUMMYFUNCTION("""COMPUTED_VALUE"""),39918.6666666666)</f>
        <v>39918.666666666599</v>
      </c>
      <c r="B1079" s="1">
        <f ca="1">IFERROR(__xludf.DUMMYFUNCTION("""COMPUTED_VALUE"""),3.74)</f>
        <v>3.74</v>
      </c>
    </row>
    <row r="1080" spans="1:2">
      <c r="A1080" s="3">
        <f ca="1">IFERROR(__xludf.DUMMYFUNCTION("""COMPUTED_VALUE"""),39919.6666666666)</f>
        <v>39919.666666666599</v>
      </c>
      <c r="B1080" s="1">
        <f ca="1">IFERROR(__xludf.DUMMYFUNCTION("""COMPUTED_VALUE"""),3.86)</f>
        <v>3.86</v>
      </c>
    </row>
    <row r="1081" spans="1:2">
      <c r="A1081" s="3">
        <f ca="1">IFERROR(__xludf.DUMMYFUNCTION("""COMPUTED_VALUE"""),39920.6666666666)</f>
        <v>39920.666666666599</v>
      </c>
      <c r="B1081" s="1">
        <f ca="1">IFERROR(__xludf.DUMMYFUNCTION("""COMPUTED_VALUE"""),3.9)</f>
        <v>3.9</v>
      </c>
    </row>
    <row r="1082" spans="1:2">
      <c r="A1082" s="3">
        <f ca="1">IFERROR(__xludf.DUMMYFUNCTION("""COMPUTED_VALUE"""),39923.6666666666)</f>
        <v>39923.666666666599</v>
      </c>
      <c r="B1082" s="1">
        <f ca="1">IFERROR(__xludf.DUMMYFUNCTION("""COMPUTED_VALUE"""),3.88)</f>
        <v>3.88</v>
      </c>
    </row>
    <row r="1083" spans="1:2">
      <c r="A1083" s="3">
        <f ca="1">IFERROR(__xludf.DUMMYFUNCTION("""COMPUTED_VALUE"""),39924.6666666666)</f>
        <v>39924.666666666599</v>
      </c>
      <c r="B1083" s="1">
        <f ca="1">IFERROR(__xludf.DUMMYFUNCTION("""COMPUTED_VALUE"""),3.94)</f>
        <v>3.94</v>
      </c>
    </row>
    <row r="1084" spans="1:2">
      <c r="A1084" s="3">
        <f ca="1">IFERROR(__xludf.DUMMYFUNCTION("""COMPUTED_VALUE"""),39925.6666666666)</f>
        <v>39925.666666666599</v>
      </c>
      <c r="B1084" s="1">
        <f ca="1">IFERROR(__xludf.DUMMYFUNCTION("""COMPUTED_VALUE"""),3.96)</f>
        <v>3.96</v>
      </c>
    </row>
    <row r="1085" spans="1:2">
      <c r="A1085" s="3">
        <f ca="1">IFERROR(__xludf.DUMMYFUNCTION("""COMPUTED_VALUE"""),39926.6666666666)</f>
        <v>39926.666666666599</v>
      </c>
      <c r="B1085" s="1">
        <f ca="1">IFERROR(__xludf.DUMMYFUNCTION("""COMPUTED_VALUE"""),4.03)</f>
        <v>4.03</v>
      </c>
    </row>
    <row r="1086" spans="1:2">
      <c r="A1086" s="3">
        <f ca="1">IFERROR(__xludf.DUMMYFUNCTION("""COMPUTED_VALUE"""),39927.6666666666)</f>
        <v>39927.666666666599</v>
      </c>
      <c r="B1086" s="1">
        <f ca="1">IFERROR(__xludf.DUMMYFUNCTION("""COMPUTED_VALUE"""),4.22)</f>
        <v>4.22</v>
      </c>
    </row>
    <row r="1087" spans="1:2">
      <c r="A1087" s="3">
        <f ca="1">IFERROR(__xludf.DUMMYFUNCTION("""COMPUTED_VALUE"""),39930.6666666666)</f>
        <v>39930.666666666599</v>
      </c>
      <c r="B1087" s="1">
        <f ca="1">IFERROR(__xludf.DUMMYFUNCTION("""COMPUTED_VALUE"""),4.16)</f>
        <v>4.16</v>
      </c>
    </row>
    <row r="1088" spans="1:2">
      <c r="A1088" s="3">
        <f ca="1">IFERROR(__xludf.DUMMYFUNCTION("""COMPUTED_VALUE"""),39931.6666666666)</f>
        <v>39931.666666666599</v>
      </c>
      <c r="B1088" s="1">
        <f ca="1">IFERROR(__xludf.DUMMYFUNCTION("""COMPUTED_VALUE"""),4.12)</f>
        <v>4.12</v>
      </c>
    </row>
    <row r="1089" spans="1:2">
      <c r="A1089" s="3">
        <f ca="1">IFERROR(__xludf.DUMMYFUNCTION("""COMPUTED_VALUE"""),39932.6666666666)</f>
        <v>39932.666666666599</v>
      </c>
      <c r="B1089" s="1">
        <f ca="1">IFERROR(__xludf.DUMMYFUNCTION("""COMPUTED_VALUE"""),3.99)</f>
        <v>3.99</v>
      </c>
    </row>
    <row r="1090" spans="1:2">
      <c r="A1090" s="3">
        <f ca="1">IFERROR(__xludf.DUMMYFUNCTION("""COMPUTED_VALUE"""),39933.6666666666)</f>
        <v>39933.666666666599</v>
      </c>
      <c r="B1090" s="1">
        <f ca="1">IFERROR(__xludf.DUMMYFUNCTION("""COMPUTED_VALUE"""),4.03)</f>
        <v>4.03</v>
      </c>
    </row>
    <row r="1091" spans="1:2">
      <c r="A1091" s="3">
        <f ca="1">IFERROR(__xludf.DUMMYFUNCTION("""COMPUTED_VALUE"""),39934.6666666666)</f>
        <v>39934.666666666599</v>
      </c>
      <c r="B1091" s="1">
        <f ca="1">IFERROR(__xludf.DUMMYFUNCTION("""COMPUTED_VALUE"""),3.95)</f>
        <v>3.95</v>
      </c>
    </row>
    <row r="1092" spans="1:2">
      <c r="A1092" s="3">
        <f ca="1">IFERROR(__xludf.DUMMYFUNCTION("""COMPUTED_VALUE"""),39937.6666666666)</f>
        <v>39937.666666666599</v>
      </c>
      <c r="B1092" s="1">
        <f ca="1">IFERROR(__xludf.DUMMYFUNCTION("""COMPUTED_VALUE"""),3.99)</f>
        <v>3.99</v>
      </c>
    </row>
    <row r="1093" spans="1:2">
      <c r="A1093" s="3">
        <f ca="1">IFERROR(__xludf.DUMMYFUNCTION("""COMPUTED_VALUE"""),39938.6666666666)</f>
        <v>39938.666666666599</v>
      </c>
      <c r="B1093" s="1">
        <f ca="1">IFERROR(__xludf.DUMMYFUNCTION("""COMPUTED_VALUE"""),4.1)</f>
        <v>4.0999999999999996</v>
      </c>
    </row>
    <row r="1094" spans="1:2">
      <c r="A1094" s="3">
        <f ca="1">IFERROR(__xludf.DUMMYFUNCTION("""COMPUTED_VALUE"""),39939.6666666666)</f>
        <v>39939.666666666599</v>
      </c>
      <c r="B1094" s="1">
        <f ca="1">IFERROR(__xludf.DUMMYFUNCTION("""COMPUTED_VALUE"""),4.1)</f>
        <v>4.0999999999999996</v>
      </c>
    </row>
    <row r="1095" spans="1:2">
      <c r="A1095" s="3">
        <f ca="1">IFERROR(__xludf.DUMMYFUNCTION("""COMPUTED_VALUE"""),39940.6666666666)</f>
        <v>39940.666666666599</v>
      </c>
      <c r="B1095" s="1">
        <f ca="1">IFERROR(__xludf.DUMMYFUNCTION("""COMPUTED_VALUE"""),3.96)</f>
        <v>3.96</v>
      </c>
    </row>
    <row r="1096" spans="1:2">
      <c r="A1096" s="3">
        <f ca="1">IFERROR(__xludf.DUMMYFUNCTION("""COMPUTED_VALUE"""),39941.6666666666)</f>
        <v>39941.666666666599</v>
      </c>
      <c r="B1096" s="1">
        <f ca="1">IFERROR(__xludf.DUMMYFUNCTION("""COMPUTED_VALUE"""),3.9)</f>
        <v>3.9</v>
      </c>
    </row>
    <row r="1097" spans="1:2">
      <c r="A1097" s="3">
        <f ca="1">IFERROR(__xludf.DUMMYFUNCTION("""COMPUTED_VALUE"""),39944.6666666666)</f>
        <v>39944.666666666599</v>
      </c>
      <c r="B1097" s="1">
        <f ca="1">IFERROR(__xludf.DUMMYFUNCTION("""COMPUTED_VALUE"""),3.93)</f>
        <v>3.93</v>
      </c>
    </row>
    <row r="1098" spans="1:2">
      <c r="A1098" s="3">
        <f ca="1">IFERROR(__xludf.DUMMYFUNCTION("""COMPUTED_VALUE"""),39945.6666666666)</f>
        <v>39945.666666666599</v>
      </c>
      <c r="B1098" s="1">
        <f ca="1">IFERROR(__xludf.DUMMYFUNCTION("""COMPUTED_VALUE"""),3.9)</f>
        <v>3.9</v>
      </c>
    </row>
    <row r="1099" spans="1:2">
      <c r="A1099" s="3">
        <f ca="1">IFERROR(__xludf.DUMMYFUNCTION("""COMPUTED_VALUE"""),39946.6666666666)</f>
        <v>39946.666666666599</v>
      </c>
      <c r="B1099" s="1">
        <f ca="1">IFERROR(__xludf.DUMMYFUNCTION("""COMPUTED_VALUE"""),3.71)</f>
        <v>3.71</v>
      </c>
    </row>
    <row r="1100" spans="1:2">
      <c r="A1100" s="3">
        <f ca="1">IFERROR(__xludf.DUMMYFUNCTION("""COMPUTED_VALUE"""),39947.6666666666)</f>
        <v>39947.666666666599</v>
      </c>
      <c r="B1100" s="1">
        <f ca="1">IFERROR(__xludf.DUMMYFUNCTION("""COMPUTED_VALUE"""),3.76)</f>
        <v>3.76</v>
      </c>
    </row>
    <row r="1101" spans="1:2">
      <c r="A1101" s="3">
        <f ca="1">IFERROR(__xludf.DUMMYFUNCTION("""COMPUTED_VALUE"""),39948.6666666666)</f>
        <v>39948.666666666599</v>
      </c>
      <c r="B1101" s="1">
        <f ca="1">IFERROR(__xludf.DUMMYFUNCTION("""COMPUTED_VALUE"""),3.68)</f>
        <v>3.68</v>
      </c>
    </row>
    <row r="1102" spans="1:2">
      <c r="A1102" s="3">
        <f ca="1">IFERROR(__xludf.DUMMYFUNCTION("""COMPUTED_VALUE"""),39951.6666666666)</f>
        <v>39951.666666666599</v>
      </c>
      <c r="B1102" s="1">
        <f ca="1">IFERROR(__xludf.DUMMYFUNCTION("""COMPUTED_VALUE"""),3.8)</f>
        <v>3.8</v>
      </c>
    </row>
    <row r="1103" spans="1:2">
      <c r="A1103" s="3">
        <f ca="1">IFERROR(__xludf.DUMMYFUNCTION("""COMPUTED_VALUE"""),39952.6666666666)</f>
        <v>39952.666666666599</v>
      </c>
      <c r="B1103" s="1">
        <f ca="1">IFERROR(__xludf.DUMMYFUNCTION("""COMPUTED_VALUE"""),3.89)</f>
        <v>3.89</v>
      </c>
    </row>
    <row r="1104" spans="1:2">
      <c r="A1104" s="3">
        <f ca="1">IFERROR(__xludf.DUMMYFUNCTION("""COMPUTED_VALUE"""),39953.6666666666)</f>
        <v>39953.666666666599</v>
      </c>
      <c r="B1104" s="1">
        <f ca="1">IFERROR(__xludf.DUMMYFUNCTION("""COMPUTED_VALUE"""),3.9)</f>
        <v>3.9</v>
      </c>
    </row>
    <row r="1105" spans="1:2">
      <c r="A1105" s="3">
        <f ca="1">IFERROR(__xludf.DUMMYFUNCTION("""COMPUTED_VALUE"""),39954.6666666666)</f>
        <v>39954.666666666599</v>
      </c>
      <c r="B1105" s="1">
        <f ca="1">IFERROR(__xludf.DUMMYFUNCTION("""COMPUTED_VALUE"""),3.8)</f>
        <v>3.8</v>
      </c>
    </row>
    <row r="1106" spans="1:2">
      <c r="A1106" s="3">
        <f ca="1">IFERROR(__xludf.DUMMYFUNCTION("""COMPUTED_VALUE"""),39955.6666666666)</f>
        <v>39955.666666666599</v>
      </c>
      <c r="B1106" s="1">
        <f ca="1">IFERROR(__xludf.DUMMYFUNCTION("""COMPUTED_VALUE"""),3.78)</f>
        <v>3.78</v>
      </c>
    </row>
    <row r="1107" spans="1:2">
      <c r="A1107" s="3">
        <f ca="1">IFERROR(__xludf.DUMMYFUNCTION("""COMPUTED_VALUE"""),39959.6666666666)</f>
        <v>39959.666666666599</v>
      </c>
      <c r="B1107" s="1">
        <f ca="1">IFERROR(__xludf.DUMMYFUNCTION("""COMPUTED_VALUE"""),3.92)</f>
        <v>3.92</v>
      </c>
    </row>
    <row r="1108" spans="1:2">
      <c r="A1108" s="3">
        <f ca="1">IFERROR(__xludf.DUMMYFUNCTION("""COMPUTED_VALUE"""),39960.6666666666)</f>
        <v>39960.666666666599</v>
      </c>
      <c r="B1108" s="1">
        <f ca="1">IFERROR(__xludf.DUMMYFUNCTION("""COMPUTED_VALUE"""),3.86)</f>
        <v>3.86</v>
      </c>
    </row>
    <row r="1109" spans="1:2">
      <c r="A1109" s="3">
        <f ca="1">IFERROR(__xludf.DUMMYFUNCTION("""COMPUTED_VALUE"""),39961.6666666666)</f>
        <v>39961.666666666599</v>
      </c>
      <c r="B1109" s="1">
        <f ca="1">IFERROR(__xludf.DUMMYFUNCTION("""COMPUTED_VALUE"""),3.88)</f>
        <v>3.88</v>
      </c>
    </row>
    <row r="1110" spans="1:2">
      <c r="A1110" s="3">
        <f ca="1">IFERROR(__xludf.DUMMYFUNCTION("""COMPUTED_VALUE"""),39962.6666666666)</f>
        <v>39962.666666666599</v>
      </c>
      <c r="B1110" s="1">
        <f ca="1">IFERROR(__xludf.DUMMYFUNCTION("""COMPUTED_VALUE"""),3.9)</f>
        <v>3.9</v>
      </c>
    </row>
    <row r="1111" spans="1:2">
      <c r="A1111" s="3">
        <f ca="1">IFERROR(__xludf.DUMMYFUNCTION("""COMPUTED_VALUE"""),39965.6666666666)</f>
        <v>39965.666666666599</v>
      </c>
      <c r="B1111" s="1">
        <f ca="1">IFERROR(__xludf.DUMMYFUNCTION("""COMPUTED_VALUE"""),4.15)</f>
        <v>4.1500000000000004</v>
      </c>
    </row>
    <row r="1112" spans="1:2">
      <c r="A1112" s="3">
        <f ca="1">IFERROR(__xludf.DUMMYFUNCTION("""COMPUTED_VALUE"""),39966.6666666666)</f>
        <v>39966.666666666599</v>
      </c>
      <c r="B1112" s="1">
        <f ca="1">IFERROR(__xludf.DUMMYFUNCTION("""COMPUTED_VALUE"""),4.25)</f>
        <v>4.25</v>
      </c>
    </row>
    <row r="1113" spans="1:2">
      <c r="A1113" s="3">
        <f ca="1">IFERROR(__xludf.DUMMYFUNCTION("""COMPUTED_VALUE"""),39967.6666666666)</f>
        <v>39967.666666666599</v>
      </c>
      <c r="B1113" s="1">
        <f ca="1">IFERROR(__xludf.DUMMYFUNCTION("""COMPUTED_VALUE"""),4.28)</f>
        <v>4.28</v>
      </c>
    </row>
    <row r="1114" spans="1:2">
      <c r="A1114" s="3">
        <f ca="1">IFERROR(__xludf.DUMMYFUNCTION("""COMPUTED_VALUE"""),39968.6666666666)</f>
        <v>39968.666666666599</v>
      </c>
      <c r="B1114" s="1">
        <f ca="1">IFERROR(__xludf.DUMMYFUNCTION("""COMPUTED_VALUE"""),4.28)</f>
        <v>4.28</v>
      </c>
    </row>
    <row r="1115" spans="1:2">
      <c r="A1115" s="3">
        <f ca="1">IFERROR(__xludf.DUMMYFUNCTION("""COMPUTED_VALUE"""),39969.6666666666)</f>
        <v>39969.666666666599</v>
      </c>
      <c r="B1115" s="1">
        <f ca="1">IFERROR(__xludf.DUMMYFUNCTION("""COMPUTED_VALUE"""),4.38)</f>
        <v>4.38</v>
      </c>
    </row>
    <row r="1116" spans="1:2">
      <c r="A1116" s="3">
        <f ca="1">IFERROR(__xludf.DUMMYFUNCTION("""COMPUTED_VALUE"""),39972.6666666666)</f>
        <v>39972.666666666599</v>
      </c>
      <c r="B1116" s="1">
        <f ca="1">IFERROR(__xludf.DUMMYFUNCTION("""COMPUTED_VALUE"""),4.32)</f>
        <v>4.32</v>
      </c>
    </row>
    <row r="1117" spans="1:2">
      <c r="A1117" s="3">
        <f ca="1">IFERROR(__xludf.DUMMYFUNCTION("""COMPUTED_VALUE"""),39973.6666666666)</f>
        <v>39973.666666666599</v>
      </c>
      <c r="B1117" s="1">
        <f ca="1">IFERROR(__xludf.DUMMYFUNCTION("""COMPUTED_VALUE"""),4.35)</f>
        <v>4.3499999999999996</v>
      </c>
    </row>
    <row r="1118" spans="1:2">
      <c r="A1118" s="3">
        <f ca="1">IFERROR(__xludf.DUMMYFUNCTION("""COMPUTED_VALUE"""),39974.6666666666)</f>
        <v>39974.666666666599</v>
      </c>
      <c r="B1118" s="1">
        <f ca="1">IFERROR(__xludf.DUMMYFUNCTION("""COMPUTED_VALUE"""),4.33)</f>
        <v>4.33</v>
      </c>
    </row>
    <row r="1119" spans="1:2">
      <c r="A1119" s="3">
        <f ca="1">IFERROR(__xludf.DUMMYFUNCTION("""COMPUTED_VALUE"""),39975.6666666666)</f>
        <v>39975.666666666599</v>
      </c>
      <c r="B1119" s="1">
        <f ca="1">IFERROR(__xludf.DUMMYFUNCTION("""COMPUTED_VALUE"""),4.28)</f>
        <v>4.28</v>
      </c>
    </row>
    <row r="1120" spans="1:2">
      <c r="A1120" s="3">
        <f ca="1">IFERROR(__xludf.DUMMYFUNCTION("""COMPUTED_VALUE"""),39976.6666666666)</f>
        <v>39976.666666666599</v>
      </c>
      <c r="B1120" s="1">
        <f ca="1">IFERROR(__xludf.DUMMYFUNCTION("""COMPUTED_VALUE"""),4.2)</f>
        <v>4.2</v>
      </c>
    </row>
    <row r="1121" spans="1:2">
      <c r="A1121" s="3">
        <f ca="1">IFERROR(__xludf.DUMMYFUNCTION("""COMPUTED_VALUE"""),39979.6666666666)</f>
        <v>39979.666666666599</v>
      </c>
      <c r="B1121" s="1">
        <f ca="1">IFERROR(__xludf.DUMMYFUNCTION("""COMPUTED_VALUE"""),4.16)</f>
        <v>4.16</v>
      </c>
    </row>
    <row r="1122" spans="1:2">
      <c r="A1122" s="3">
        <f ca="1">IFERROR(__xludf.DUMMYFUNCTION("""COMPUTED_VALUE"""),39980.6666666666)</f>
        <v>39980.666666666599</v>
      </c>
      <c r="B1122" s="1">
        <f ca="1">IFERROR(__xludf.DUMMYFUNCTION("""COMPUTED_VALUE"""),4.11)</f>
        <v>4.1100000000000003</v>
      </c>
    </row>
    <row r="1123" spans="1:2">
      <c r="A1123" s="3">
        <f ca="1">IFERROR(__xludf.DUMMYFUNCTION("""COMPUTED_VALUE"""),39981.6666666666)</f>
        <v>39981.666666666599</v>
      </c>
      <c r="B1123" s="1">
        <f ca="1">IFERROR(__xludf.DUMMYFUNCTION("""COMPUTED_VALUE"""),4.13)</f>
        <v>4.13</v>
      </c>
    </row>
    <row r="1124" spans="1:2">
      <c r="A1124" s="3">
        <f ca="1">IFERROR(__xludf.DUMMYFUNCTION("""COMPUTED_VALUE"""),39982.6666666666)</f>
        <v>39982.666666666599</v>
      </c>
      <c r="B1124" s="1">
        <f ca="1">IFERROR(__xludf.DUMMYFUNCTION("""COMPUTED_VALUE"""),4.08)</f>
        <v>4.08</v>
      </c>
    </row>
    <row r="1125" spans="1:2">
      <c r="A1125" s="3">
        <f ca="1">IFERROR(__xludf.DUMMYFUNCTION("""COMPUTED_VALUE"""),39983.6666666666)</f>
        <v>39983.666666666599</v>
      </c>
      <c r="B1125" s="1">
        <f ca="1">IFERROR(__xludf.DUMMYFUNCTION("""COMPUTED_VALUE"""),4.15)</f>
        <v>4.1500000000000004</v>
      </c>
    </row>
    <row r="1126" spans="1:2">
      <c r="A1126" s="3">
        <f ca="1">IFERROR(__xludf.DUMMYFUNCTION("""COMPUTED_VALUE"""),39986.6666666666)</f>
        <v>39986.666666666599</v>
      </c>
      <c r="B1126" s="1">
        <f ca="1">IFERROR(__xludf.DUMMYFUNCTION("""COMPUTED_VALUE"""),3.96)</f>
        <v>3.96</v>
      </c>
    </row>
    <row r="1127" spans="1:2">
      <c r="A1127" s="3">
        <f ca="1">IFERROR(__xludf.DUMMYFUNCTION("""COMPUTED_VALUE"""),39987.6666666666)</f>
        <v>39987.666666666599</v>
      </c>
      <c r="B1127" s="1">
        <f ca="1">IFERROR(__xludf.DUMMYFUNCTION("""COMPUTED_VALUE"""),3.88)</f>
        <v>3.88</v>
      </c>
    </row>
    <row r="1128" spans="1:2">
      <c r="A1128" s="3">
        <f ca="1">IFERROR(__xludf.DUMMYFUNCTION("""COMPUTED_VALUE"""),39988.6666666666)</f>
        <v>39988.666666666599</v>
      </c>
      <c r="B1128" s="1">
        <f ca="1">IFERROR(__xludf.DUMMYFUNCTION("""COMPUTED_VALUE"""),3.96)</f>
        <v>3.96</v>
      </c>
    </row>
    <row r="1129" spans="1:2">
      <c r="A1129" s="3">
        <f ca="1">IFERROR(__xludf.DUMMYFUNCTION("""COMPUTED_VALUE"""),39989.6666666666)</f>
        <v>39989.666666666599</v>
      </c>
      <c r="B1129" s="1">
        <f ca="1">IFERROR(__xludf.DUMMYFUNCTION("""COMPUTED_VALUE"""),4.11)</f>
        <v>4.1100000000000003</v>
      </c>
    </row>
    <row r="1130" spans="1:2">
      <c r="A1130" s="3">
        <f ca="1">IFERROR(__xludf.DUMMYFUNCTION("""COMPUTED_VALUE"""),39990.6666666666)</f>
        <v>39990.666666666599</v>
      </c>
      <c r="B1130" s="1">
        <f ca="1">IFERROR(__xludf.DUMMYFUNCTION("""COMPUTED_VALUE"""),4.19)</f>
        <v>4.1900000000000004</v>
      </c>
    </row>
    <row r="1131" spans="1:2">
      <c r="A1131" s="3">
        <f ca="1">IFERROR(__xludf.DUMMYFUNCTION("""COMPUTED_VALUE"""),39993.6666666666)</f>
        <v>39993.666666666599</v>
      </c>
      <c r="B1131" s="1">
        <f ca="1">IFERROR(__xludf.DUMMYFUNCTION("""COMPUTED_VALUE"""),4.15)</f>
        <v>4.1500000000000004</v>
      </c>
    </row>
    <row r="1132" spans="1:2">
      <c r="A1132" s="3">
        <f ca="1">IFERROR(__xludf.DUMMYFUNCTION("""COMPUTED_VALUE"""),39994.6666666666)</f>
        <v>39994.666666666599</v>
      </c>
      <c r="B1132" s="1">
        <f ca="1">IFERROR(__xludf.DUMMYFUNCTION("""COMPUTED_VALUE"""),4.18)</f>
        <v>4.18</v>
      </c>
    </row>
    <row r="1133" spans="1:2">
      <c r="A1133" s="3">
        <f ca="1">IFERROR(__xludf.DUMMYFUNCTION("""COMPUTED_VALUE"""),39995.6666666666)</f>
        <v>39995.666666666599</v>
      </c>
      <c r="B1133" s="1">
        <f ca="1">IFERROR(__xludf.DUMMYFUNCTION("""COMPUTED_VALUE"""),4.08)</f>
        <v>4.08</v>
      </c>
    </row>
    <row r="1134" spans="1:2">
      <c r="A1134" s="3">
        <f ca="1">IFERROR(__xludf.DUMMYFUNCTION("""COMPUTED_VALUE"""),39996.6666666666)</f>
        <v>39996.666666666599</v>
      </c>
      <c r="B1134" s="1">
        <f ca="1">IFERROR(__xludf.DUMMYFUNCTION("""COMPUTED_VALUE"""),3.97)</f>
        <v>3.97</v>
      </c>
    </row>
    <row r="1135" spans="1:2">
      <c r="A1135" s="3">
        <f ca="1">IFERROR(__xludf.DUMMYFUNCTION("""COMPUTED_VALUE"""),40000.6666666666)</f>
        <v>40000.666666666599</v>
      </c>
      <c r="B1135" s="1">
        <f ca="1">IFERROR(__xludf.DUMMYFUNCTION("""COMPUTED_VALUE"""),3.91)</f>
        <v>3.91</v>
      </c>
    </row>
    <row r="1136" spans="1:2">
      <c r="A1136" s="3">
        <f ca="1">IFERROR(__xludf.DUMMYFUNCTION("""COMPUTED_VALUE"""),40001.6666666666)</f>
        <v>40001.666666666599</v>
      </c>
      <c r="B1136" s="1">
        <f ca="1">IFERROR(__xludf.DUMMYFUNCTION("""COMPUTED_VALUE"""),3.78)</f>
        <v>3.78</v>
      </c>
    </row>
    <row r="1137" spans="1:2">
      <c r="A1137" s="3">
        <f ca="1">IFERROR(__xludf.DUMMYFUNCTION("""COMPUTED_VALUE"""),40002.6666666666)</f>
        <v>40002.666666666599</v>
      </c>
      <c r="B1137" s="1">
        <f ca="1">IFERROR(__xludf.DUMMYFUNCTION("""COMPUTED_VALUE"""),3.87)</f>
        <v>3.87</v>
      </c>
    </row>
    <row r="1138" spans="1:2">
      <c r="A1138" s="3">
        <f ca="1">IFERROR(__xludf.DUMMYFUNCTION("""COMPUTED_VALUE"""),40003.6666666666)</f>
        <v>40003.666666666599</v>
      </c>
      <c r="B1138" s="1">
        <f ca="1">IFERROR(__xludf.DUMMYFUNCTION("""COMPUTED_VALUE"""),3.91)</f>
        <v>3.91</v>
      </c>
    </row>
    <row r="1139" spans="1:2">
      <c r="A1139" s="3">
        <f ca="1">IFERROR(__xludf.DUMMYFUNCTION("""COMPUTED_VALUE"""),40004.6666666666)</f>
        <v>40004.666666666599</v>
      </c>
      <c r="B1139" s="1">
        <f ca="1">IFERROR(__xludf.DUMMYFUNCTION("""COMPUTED_VALUE"""),3.88)</f>
        <v>3.88</v>
      </c>
    </row>
    <row r="1140" spans="1:2">
      <c r="A1140" s="3">
        <f ca="1">IFERROR(__xludf.DUMMYFUNCTION("""COMPUTED_VALUE"""),40007.6666666666)</f>
        <v>40007.666666666599</v>
      </c>
      <c r="B1140" s="1">
        <f ca="1">IFERROR(__xludf.DUMMYFUNCTION("""COMPUTED_VALUE"""),4.07)</f>
        <v>4.07</v>
      </c>
    </row>
    <row r="1141" spans="1:2">
      <c r="A1141" s="3">
        <f ca="1">IFERROR(__xludf.DUMMYFUNCTION("""COMPUTED_VALUE"""),40008.6666666666)</f>
        <v>40008.666666666599</v>
      </c>
      <c r="B1141" s="1">
        <f ca="1">IFERROR(__xludf.DUMMYFUNCTION("""COMPUTED_VALUE"""),4.1)</f>
        <v>4.0999999999999996</v>
      </c>
    </row>
    <row r="1142" spans="1:2">
      <c r="A1142" s="3">
        <f ca="1">IFERROR(__xludf.DUMMYFUNCTION("""COMPUTED_VALUE"""),40009.6666666666)</f>
        <v>40009.666666666599</v>
      </c>
      <c r="B1142" s="1">
        <f ca="1">IFERROR(__xludf.DUMMYFUNCTION("""COMPUTED_VALUE"""),4.23)</f>
        <v>4.2300000000000004</v>
      </c>
    </row>
    <row r="1143" spans="1:2">
      <c r="A1143" s="3">
        <f ca="1">IFERROR(__xludf.DUMMYFUNCTION("""COMPUTED_VALUE"""),40010.6666666666)</f>
        <v>40010.666666666599</v>
      </c>
      <c r="B1143" s="1">
        <f ca="1">IFERROR(__xludf.DUMMYFUNCTION("""COMPUTED_VALUE"""),4.31)</f>
        <v>4.3099999999999996</v>
      </c>
    </row>
    <row r="1144" spans="1:2">
      <c r="A1144" s="3">
        <f ca="1">IFERROR(__xludf.DUMMYFUNCTION("""COMPUTED_VALUE"""),40011.6666666666)</f>
        <v>40011.666666666599</v>
      </c>
      <c r="B1144" s="1">
        <f ca="1">IFERROR(__xludf.DUMMYFUNCTION("""COMPUTED_VALUE"""),4.29)</f>
        <v>4.29</v>
      </c>
    </row>
    <row r="1145" spans="1:2">
      <c r="A1145" s="3">
        <f ca="1">IFERROR(__xludf.DUMMYFUNCTION("""COMPUTED_VALUE"""),40014.6666666666)</f>
        <v>40014.666666666599</v>
      </c>
      <c r="B1145" s="1">
        <f ca="1">IFERROR(__xludf.DUMMYFUNCTION("""COMPUTED_VALUE"""),4.41)</f>
        <v>4.41</v>
      </c>
    </row>
    <row r="1146" spans="1:2">
      <c r="A1146" s="3">
        <f ca="1">IFERROR(__xludf.DUMMYFUNCTION("""COMPUTED_VALUE"""),40015.6666666666)</f>
        <v>40015.666666666599</v>
      </c>
      <c r="B1146" s="1">
        <f ca="1">IFERROR(__xludf.DUMMYFUNCTION("""COMPUTED_VALUE"""),4.45)</f>
        <v>4.45</v>
      </c>
    </row>
    <row r="1147" spans="1:2">
      <c r="A1147" s="3">
        <f ca="1">IFERROR(__xludf.DUMMYFUNCTION("""COMPUTED_VALUE"""),40016.6666666666)</f>
        <v>40016.666666666599</v>
      </c>
      <c r="B1147" s="1">
        <f ca="1">IFERROR(__xludf.DUMMYFUNCTION("""COMPUTED_VALUE"""),4.44)</f>
        <v>4.4400000000000004</v>
      </c>
    </row>
    <row r="1148" spans="1:2">
      <c r="A1148" s="3">
        <f ca="1">IFERROR(__xludf.DUMMYFUNCTION("""COMPUTED_VALUE"""),40017.6666666666)</f>
        <v>40017.666666666599</v>
      </c>
      <c r="B1148" s="1">
        <f ca="1">IFERROR(__xludf.DUMMYFUNCTION("""COMPUTED_VALUE"""),4.69)</f>
        <v>4.6900000000000004</v>
      </c>
    </row>
    <row r="1149" spans="1:2">
      <c r="A1149" s="3">
        <f ca="1">IFERROR(__xludf.DUMMYFUNCTION("""COMPUTED_VALUE"""),40018.6666666666)</f>
        <v>40018.666666666599</v>
      </c>
      <c r="B1149" s="1">
        <f ca="1">IFERROR(__xludf.DUMMYFUNCTION("""COMPUTED_VALUE"""),4.32)</f>
        <v>4.32</v>
      </c>
    </row>
    <row r="1150" spans="1:2">
      <c r="A1150" s="3">
        <f ca="1">IFERROR(__xludf.DUMMYFUNCTION("""COMPUTED_VALUE"""),40021.6666666666)</f>
        <v>40021.666666666599</v>
      </c>
      <c r="B1150" s="1">
        <f ca="1">IFERROR(__xludf.DUMMYFUNCTION("""COMPUTED_VALUE"""),4.21)</f>
        <v>4.21</v>
      </c>
    </row>
    <row r="1151" spans="1:2">
      <c r="A1151" s="3">
        <f ca="1">IFERROR(__xludf.DUMMYFUNCTION("""COMPUTED_VALUE"""),40022.6666666666)</f>
        <v>40022.666666666599</v>
      </c>
      <c r="B1151" s="1">
        <f ca="1">IFERROR(__xludf.DUMMYFUNCTION("""COMPUTED_VALUE"""),4.25)</f>
        <v>4.25</v>
      </c>
    </row>
    <row r="1152" spans="1:2">
      <c r="A1152" s="3">
        <f ca="1">IFERROR(__xludf.DUMMYFUNCTION("""COMPUTED_VALUE"""),40023.6666666666)</f>
        <v>40023.666666666599</v>
      </c>
      <c r="B1152" s="1">
        <f ca="1">IFERROR(__xludf.DUMMYFUNCTION("""COMPUTED_VALUE"""),4.22)</f>
        <v>4.22</v>
      </c>
    </row>
    <row r="1153" spans="1:2">
      <c r="A1153" s="3">
        <f ca="1">IFERROR(__xludf.DUMMYFUNCTION("""COMPUTED_VALUE"""),40024.6666666666)</f>
        <v>40024.666666666599</v>
      </c>
      <c r="B1153" s="1">
        <f ca="1">IFERROR(__xludf.DUMMYFUNCTION("""COMPUTED_VALUE"""),4.3)</f>
        <v>4.3</v>
      </c>
    </row>
    <row r="1154" spans="1:2">
      <c r="A1154" s="3">
        <f ca="1">IFERROR(__xludf.DUMMYFUNCTION("""COMPUTED_VALUE"""),40025.6666666666)</f>
        <v>40025.666666666599</v>
      </c>
      <c r="B1154" s="1">
        <f ca="1">IFERROR(__xludf.DUMMYFUNCTION("""COMPUTED_VALUE"""),4.29)</f>
        <v>4.29</v>
      </c>
    </row>
    <row r="1155" spans="1:2">
      <c r="A1155" s="3">
        <f ca="1">IFERROR(__xludf.DUMMYFUNCTION("""COMPUTED_VALUE"""),40028.6666666666)</f>
        <v>40028.666666666599</v>
      </c>
      <c r="B1155" s="1">
        <f ca="1">IFERROR(__xludf.DUMMYFUNCTION("""COMPUTED_VALUE"""),4.37)</f>
        <v>4.37</v>
      </c>
    </row>
    <row r="1156" spans="1:2">
      <c r="A1156" s="3">
        <f ca="1">IFERROR(__xludf.DUMMYFUNCTION("""COMPUTED_VALUE"""),40029.6666666666)</f>
        <v>40029.666666666599</v>
      </c>
      <c r="B1156" s="1">
        <f ca="1">IFERROR(__xludf.DUMMYFUNCTION("""COMPUTED_VALUE"""),4.29)</f>
        <v>4.29</v>
      </c>
    </row>
    <row r="1157" spans="1:2">
      <c r="A1157" s="3">
        <f ca="1">IFERROR(__xludf.DUMMYFUNCTION("""COMPUTED_VALUE"""),40030.6666666666)</f>
        <v>40030.666666666599</v>
      </c>
      <c r="B1157" s="1">
        <f ca="1">IFERROR(__xludf.DUMMYFUNCTION("""COMPUTED_VALUE"""),4.21)</f>
        <v>4.21</v>
      </c>
    </row>
    <row r="1158" spans="1:2">
      <c r="A1158" s="3">
        <f ca="1">IFERROR(__xludf.DUMMYFUNCTION("""COMPUTED_VALUE"""),40031.6666666666)</f>
        <v>40031.666666666599</v>
      </c>
      <c r="B1158" s="1">
        <f ca="1">IFERROR(__xludf.DUMMYFUNCTION("""COMPUTED_VALUE"""),4.22)</f>
        <v>4.22</v>
      </c>
    </row>
    <row r="1159" spans="1:2">
      <c r="A1159" s="3">
        <f ca="1">IFERROR(__xludf.DUMMYFUNCTION("""COMPUTED_VALUE"""),40032.6666666666)</f>
        <v>40032.666666666599</v>
      </c>
      <c r="B1159" s="1">
        <f ca="1">IFERROR(__xludf.DUMMYFUNCTION("""COMPUTED_VALUE"""),4.27)</f>
        <v>4.2699999999999996</v>
      </c>
    </row>
    <row r="1160" spans="1:2">
      <c r="A1160" s="3">
        <f ca="1">IFERROR(__xludf.DUMMYFUNCTION("""COMPUTED_VALUE"""),40035.6666666666)</f>
        <v>40035.666666666599</v>
      </c>
      <c r="B1160" s="1">
        <f ca="1">IFERROR(__xludf.DUMMYFUNCTION("""COMPUTED_VALUE"""),4.22)</f>
        <v>4.22</v>
      </c>
    </row>
    <row r="1161" spans="1:2">
      <c r="A1161" s="3">
        <f ca="1">IFERROR(__xludf.DUMMYFUNCTION("""COMPUTED_VALUE"""),40036.6666666666)</f>
        <v>40036.666666666599</v>
      </c>
      <c r="B1161" s="1">
        <f ca="1">IFERROR(__xludf.DUMMYFUNCTION("""COMPUTED_VALUE"""),4.18)</f>
        <v>4.18</v>
      </c>
    </row>
    <row r="1162" spans="1:2">
      <c r="A1162" s="3">
        <f ca="1">IFERROR(__xludf.DUMMYFUNCTION("""COMPUTED_VALUE"""),40037.6666666666)</f>
        <v>40037.666666666599</v>
      </c>
      <c r="B1162" s="1">
        <f ca="1">IFERROR(__xludf.DUMMYFUNCTION("""COMPUTED_VALUE"""),4.3)</f>
        <v>4.3</v>
      </c>
    </row>
    <row r="1163" spans="1:2">
      <c r="A1163" s="3">
        <f ca="1">IFERROR(__xludf.DUMMYFUNCTION("""COMPUTED_VALUE"""),40038.6666666666)</f>
        <v>40038.666666666599</v>
      </c>
      <c r="B1163" s="1">
        <f ca="1">IFERROR(__xludf.DUMMYFUNCTION("""COMPUTED_VALUE"""),4.23)</f>
        <v>4.2300000000000004</v>
      </c>
    </row>
    <row r="1164" spans="1:2">
      <c r="A1164" s="3">
        <f ca="1">IFERROR(__xludf.DUMMYFUNCTION("""COMPUTED_VALUE"""),40039.6666666666)</f>
        <v>40039.666666666599</v>
      </c>
      <c r="B1164" s="1">
        <f ca="1">IFERROR(__xludf.DUMMYFUNCTION("""COMPUTED_VALUE"""),4.18)</f>
        <v>4.18</v>
      </c>
    </row>
    <row r="1165" spans="1:2">
      <c r="A1165" s="3">
        <f ca="1">IFERROR(__xludf.DUMMYFUNCTION("""COMPUTED_VALUE"""),40042.6666666666)</f>
        <v>40042.666666666599</v>
      </c>
      <c r="B1165" s="1">
        <f ca="1">IFERROR(__xludf.DUMMYFUNCTION("""COMPUTED_VALUE"""),4.05)</f>
        <v>4.05</v>
      </c>
    </row>
    <row r="1166" spans="1:2">
      <c r="A1166" s="3">
        <f ca="1">IFERROR(__xludf.DUMMYFUNCTION("""COMPUTED_VALUE"""),40043.6666666666)</f>
        <v>40043.666666666599</v>
      </c>
      <c r="B1166" s="1">
        <f ca="1">IFERROR(__xludf.DUMMYFUNCTION("""COMPUTED_VALUE"""),4.11)</f>
        <v>4.1100000000000003</v>
      </c>
    </row>
    <row r="1167" spans="1:2">
      <c r="A1167" s="3">
        <f ca="1">IFERROR(__xludf.DUMMYFUNCTION("""COMPUTED_VALUE"""),40044.6666666666)</f>
        <v>40044.666666666599</v>
      </c>
      <c r="B1167" s="1">
        <f ca="1">IFERROR(__xludf.DUMMYFUNCTION("""COMPUTED_VALUE"""),4.15)</f>
        <v>4.1500000000000004</v>
      </c>
    </row>
    <row r="1168" spans="1:2">
      <c r="A1168" s="3">
        <f ca="1">IFERROR(__xludf.DUMMYFUNCTION("""COMPUTED_VALUE"""),40045.6666666666)</f>
        <v>40045.666666666599</v>
      </c>
      <c r="B1168" s="1">
        <f ca="1">IFERROR(__xludf.DUMMYFUNCTION("""COMPUTED_VALUE"""),4.2)</f>
        <v>4.2</v>
      </c>
    </row>
    <row r="1169" spans="1:2">
      <c r="A1169" s="3">
        <f ca="1">IFERROR(__xludf.DUMMYFUNCTION("""COMPUTED_VALUE"""),40046.6666666666)</f>
        <v>40046.666666666599</v>
      </c>
      <c r="B1169" s="1">
        <f ca="1">IFERROR(__xludf.DUMMYFUNCTION("""COMPUTED_VALUE"""),4.25)</f>
        <v>4.25</v>
      </c>
    </row>
    <row r="1170" spans="1:2">
      <c r="A1170" s="3">
        <f ca="1">IFERROR(__xludf.DUMMYFUNCTION("""COMPUTED_VALUE"""),40049.6666666666)</f>
        <v>40049.666666666599</v>
      </c>
      <c r="B1170" s="1">
        <f ca="1">IFERROR(__xludf.DUMMYFUNCTION("""COMPUTED_VALUE"""),4.22)</f>
        <v>4.22</v>
      </c>
    </row>
    <row r="1171" spans="1:2">
      <c r="A1171" s="3">
        <f ca="1">IFERROR(__xludf.DUMMYFUNCTION("""COMPUTED_VALUE"""),40050.6666666666)</f>
        <v>40050.666666666599</v>
      </c>
      <c r="B1171" s="1">
        <f ca="1">IFERROR(__xludf.DUMMYFUNCTION("""COMPUTED_VALUE"""),4.21)</f>
        <v>4.21</v>
      </c>
    </row>
    <row r="1172" spans="1:2">
      <c r="A1172" s="3">
        <f ca="1">IFERROR(__xludf.DUMMYFUNCTION("""COMPUTED_VALUE"""),40051.6666666666)</f>
        <v>40051.666666666599</v>
      </c>
      <c r="B1172" s="1">
        <f ca="1">IFERROR(__xludf.DUMMYFUNCTION("""COMPUTED_VALUE"""),4.2)</f>
        <v>4.2</v>
      </c>
    </row>
    <row r="1173" spans="1:2">
      <c r="A1173" s="3">
        <f ca="1">IFERROR(__xludf.DUMMYFUNCTION("""COMPUTED_VALUE"""),40052.6666666666)</f>
        <v>40052.666666666599</v>
      </c>
      <c r="B1173" s="1">
        <f ca="1">IFERROR(__xludf.DUMMYFUNCTION("""COMPUTED_VALUE"""),4.22)</f>
        <v>4.22</v>
      </c>
    </row>
    <row r="1174" spans="1:2">
      <c r="A1174" s="3">
        <f ca="1">IFERROR(__xludf.DUMMYFUNCTION("""COMPUTED_VALUE"""),40053.6666666666)</f>
        <v>40053.666666666599</v>
      </c>
      <c r="B1174" s="1">
        <f ca="1">IFERROR(__xludf.DUMMYFUNCTION("""COMPUTED_VALUE"""),4.14)</f>
        <v>4.1399999999999997</v>
      </c>
    </row>
    <row r="1175" spans="1:2">
      <c r="A1175" s="3">
        <f ca="1">IFERROR(__xludf.DUMMYFUNCTION("""COMPUTED_VALUE"""),40056.6666666666)</f>
        <v>40056.666666666599</v>
      </c>
      <c r="B1175" s="1">
        <f ca="1">IFERROR(__xludf.DUMMYFUNCTION("""COMPUTED_VALUE"""),4.06)</f>
        <v>4.0599999999999996</v>
      </c>
    </row>
    <row r="1176" spans="1:2">
      <c r="A1176" s="3">
        <f ca="1">IFERROR(__xludf.DUMMYFUNCTION("""COMPUTED_VALUE"""),40057.6666666666)</f>
        <v>40057.666666666599</v>
      </c>
      <c r="B1176" s="1">
        <f ca="1">IFERROR(__xludf.DUMMYFUNCTION("""COMPUTED_VALUE"""),3.96)</f>
        <v>3.96</v>
      </c>
    </row>
    <row r="1177" spans="1:2">
      <c r="A1177" s="3">
        <f ca="1">IFERROR(__xludf.DUMMYFUNCTION("""COMPUTED_VALUE"""),40058.6666666666)</f>
        <v>40058.666666666599</v>
      </c>
      <c r="B1177" s="1">
        <f ca="1">IFERROR(__xludf.DUMMYFUNCTION("""COMPUTED_VALUE"""),3.91)</f>
        <v>3.91</v>
      </c>
    </row>
    <row r="1178" spans="1:2">
      <c r="A1178" s="3">
        <f ca="1">IFERROR(__xludf.DUMMYFUNCTION("""COMPUTED_VALUE"""),40059.6666666666)</f>
        <v>40059.666666666599</v>
      </c>
      <c r="B1178" s="1">
        <f ca="1">IFERROR(__xludf.DUMMYFUNCTION("""COMPUTED_VALUE"""),3.92)</f>
        <v>3.92</v>
      </c>
    </row>
    <row r="1179" spans="1:2">
      <c r="A1179" s="3">
        <f ca="1">IFERROR(__xludf.DUMMYFUNCTION("""COMPUTED_VALUE"""),40060.6666666666)</f>
        <v>40060.666666666599</v>
      </c>
      <c r="B1179" s="1">
        <f ca="1">IFERROR(__xludf.DUMMYFUNCTION("""COMPUTED_VALUE"""),3.94)</f>
        <v>3.94</v>
      </c>
    </row>
    <row r="1180" spans="1:2">
      <c r="A1180" s="3">
        <f ca="1">IFERROR(__xludf.DUMMYFUNCTION("""COMPUTED_VALUE"""),40064.6666666666)</f>
        <v>40064.666666666599</v>
      </c>
      <c r="B1180" s="1">
        <f ca="1">IFERROR(__xludf.DUMMYFUNCTION("""COMPUTED_VALUE"""),4.05)</f>
        <v>4.05</v>
      </c>
    </row>
    <row r="1181" spans="1:2">
      <c r="A1181" s="3">
        <f ca="1">IFERROR(__xludf.DUMMYFUNCTION("""COMPUTED_VALUE"""),40065.6666666666)</f>
        <v>40065.666666666599</v>
      </c>
      <c r="B1181" s="1">
        <f ca="1">IFERROR(__xludf.DUMMYFUNCTION("""COMPUTED_VALUE"""),4.11)</f>
        <v>4.1100000000000003</v>
      </c>
    </row>
    <row r="1182" spans="1:2">
      <c r="A1182" s="3">
        <f ca="1">IFERROR(__xludf.DUMMYFUNCTION("""COMPUTED_VALUE"""),40066.6666666666)</f>
        <v>40066.666666666599</v>
      </c>
      <c r="B1182" s="1">
        <f ca="1">IFERROR(__xludf.DUMMYFUNCTION("""COMPUTED_VALUE"""),4.19)</f>
        <v>4.1900000000000004</v>
      </c>
    </row>
    <row r="1183" spans="1:2">
      <c r="A1183" s="3">
        <f ca="1">IFERROR(__xludf.DUMMYFUNCTION("""COMPUTED_VALUE"""),40067.6666666666)</f>
        <v>40067.666666666599</v>
      </c>
      <c r="B1183" s="1">
        <f ca="1">IFERROR(__xludf.DUMMYFUNCTION("""COMPUTED_VALUE"""),4.23)</f>
        <v>4.2300000000000004</v>
      </c>
    </row>
    <row r="1184" spans="1:2">
      <c r="A1184" s="3">
        <f ca="1">IFERROR(__xludf.DUMMYFUNCTION("""COMPUTED_VALUE"""),40070.6666666666)</f>
        <v>40070.666666666599</v>
      </c>
      <c r="B1184" s="1">
        <f ca="1">IFERROR(__xludf.DUMMYFUNCTION("""COMPUTED_VALUE"""),4.19)</f>
        <v>4.1900000000000004</v>
      </c>
    </row>
    <row r="1185" spans="1:2">
      <c r="A1185" s="3">
        <f ca="1">IFERROR(__xludf.DUMMYFUNCTION("""COMPUTED_VALUE"""),40071.6666666666)</f>
        <v>40071.666666666599</v>
      </c>
      <c r="B1185" s="1">
        <f ca="1">IFERROR(__xludf.DUMMYFUNCTION("""COMPUTED_VALUE"""),4.18)</f>
        <v>4.18</v>
      </c>
    </row>
    <row r="1186" spans="1:2">
      <c r="A1186" s="3">
        <f ca="1">IFERROR(__xludf.DUMMYFUNCTION("""COMPUTED_VALUE"""),40072.6666666666)</f>
        <v>40072.666666666599</v>
      </c>
      <c r="B1186" s="1">
        <f ca="1">IFERROR(__xludf.DUMMYFUNCTION("""COMPUTED_VALUE"""),4.54)</f>
        <v>4.54</v>
      </c>
    </row>
    <row r="1187" spans="1:2">
      <c r="A1187" s="3">
        <f ca="1">IFERROR(__xludf.DUMMYFUNCTION("""COMPUTED_VALUE"""),40073.6666666666)</f>
        <v>40073.666666666599</v>
      </c>
      <c r="B1187" s="1">
        <f ca="1">IFERROR(__xludf.DUMMYFUNCTION("""COMPUTED_VALUE"""),4.52)</f>
        <v>4.5199999999999996</v>
      </c>
    </row>
    <row r="1188" spans="1:2">
      <c r="A1188" s="3">
        <f ca="1">IFERROR(__xludf.DUMMYFUNCTION("""COMPUTED_VALUE"""),40074.6666666666)</f>
        <v>40074.666666666599</v>
      </c>
      <c r="B1188" s="1">
        <f ca="1">IFERROR(__xludf.DUMMYFUNCTION("""COMPUTED_VALUE"""),4.51)</f>
        <v>4.51</v>
      </c>
    </row>
    <row r="1189" spans="1:2">
      <c r="A1189" s="3">
        <f ca="1">IFERROR(__xludf.DUMMYFUNCTION("""COMPUTED_VALUE"""),40077.6666666666)</f>
        <v>40077.666666666599</v>
      </c>
      <c r="B1189" s="1">
        <f ca="1">IFERROR(__xludf.DUMMYFUNCTION("""COMPUTED_VALUE"""),4.53)</f>
        <v>4.53</v>
      </c>
    </row>
    <row r="1190" spans="1:2">
      <c r="A1190" s="3">
        <f ca="1">IFERROR(__xludf.DUMMYFUNCTION("""COMPUTED_VALUE"""),40078.6666666666)</f>
        <v>40078.666666666599</v>
      </c>
      <c r="B1190" s="1">
        <f ca="1">IFERROR(__xludf.DUMMYFUNCTION("""COMPUTED_VALUE"""),4.69)</f>
        <v>4.6900000000000004</v>
      </c>
    </row>
    <row r="1191" spans="1:2">
      <c r="A1191" s="3">
        <f ca="1">IFERROR(__xludf.DUMMYFUNCTION("""COMPUTED_VALUE"""),40079.6666666666)</f>
        <v>40079.666666666599</v>
      </c>
      <c r="B1191" s="1">
        <f ca="1">IFERROR(__xludf.DUMMYFUNCTION("""COMPUTED_VALUE"""),4.62)</f>
        <v>4.62</v>
      </c>
    </row>
    <row r="1192" spans="1:2">
      <c r="A1192" s="3">
        <f ca="1">IFERROR(__xludf.DUMMYFUNCTION("""COMPUTED_VALUE"""),40080.6666666666)</f>
        <v>40080.666666666599</v>
      </c>
      <c r="B1192" s="1">
        <f ca="1">IFERROR(__xludf.DUMMYFUNCTION("""COMPUTED_VALUE"""),4.61)</f>
        <v>4.6100000000000003</v>
      </c>
    </row>
    <row r="1193" spans="1:2">
      <c r="A1193" s="3">
        <f ca="1">IFERROR(__xludf.DUMMYFUNCTION("""COMPUTED_VALUE"""),40081.6666666666)</f>
        <v>40081.666666666599</v>
      </c>
      <c r="B1193" s="1">
        <f ca="1">IFERROR(__xludf.DUMMYFUNCTION("""COMPUTED_VALUE"""),4.53)</f>
        <v>4.53</v>
      </c>
    </row>
    <row r="1194" spans="1:2">
      <c r="A1194" s="3">
        <f ca="1">IFERROR(__xludf.DUMMYFUNCTION("""COMPUTED_VALUE"""),40084.6666666666)</f>
        <v>40084.666666666599</v>
      </c>
      <c r="B1194" s="1">
        <f ca="1">IFERROR(__xludf.DUMMYFUNCTION("""COMPUTED_VALUE"""),4.61)</f>
        <v>4.6100000000000003</v>
      </c>
    </row>
    <row r="1195" spans="1:2">
      <c r="A1195" s="3">
        <f ca="1">IFERROR(__xludf.DUMMYFUNCTION("""COMPUTED_VALUE"""),40085.6666666666)</f>
        <v>40085.666666666599</v>
      </c>
      <c r="B1195" s="1">
        <f ca="1">IFERROR(__xludf.DUMMYFUNCTION("""COMPUTED_VALUE"""),4.59)</f>
        <v>4.59</v>
      </c>
    </row>
    <row r="1196" spans="1:2">
      <c r="A1196" s="3">
        <f ca="1">IFERROR(__xludf.DUMMYFUNCTION("""COMPUTED_VALUE"""),40086.6666666666)</f>
        <v>40086.666666666599</v>
      </c>
      <c r="B1196" s="1">
        <f ca="1">IFERROR(__xludf.DUMMYFUNCTION("""COMPUTED_VALUE"""),4.67)</f>
        <v>4.67</v>
      </c>
    </row>
    <row r="1197" spans="1:2">
      <c r="A1197" s="3">
        <f ca="1">IFERROR(__xludf.DUMMYFUNCTION("""COMPUTED_VALUE"""),40087.6666666666)</f>
        <v>40087.666666666599</v>
      </c>
      <c r="B1197" s="1">
        <f ca="1">IFERROR(__xludf.DUMMYFUNCTION("""COMPUTED_VALUE"""),4.55)</f>
        <v>4.55</v>
      </c>
    </row>
    <row r="1198" spans="1:2">
      <c r="A1198" s="3">
        <f ca="1">IFERROR(__xludf.DUMMYFUNCTION("""COMPUTED_VALUE"""),40088.6666666666)</f>
        <v>40088.666666666599</v>
      </c>
      <c r="B1198" s="1">
        <f ca="1">IFERROR(__xludf.DUMMYFUNCTION("""COMPUTED_VALUE"""),4.49)</f>
        <v>4.49</v>
      </c>
    </row>
    <row r="1199" spans="1:2">
      <c r="A1199" s="3">
        <f ca="1">IFERROR(__xludf.DUMMYFUNCTION("""COMPUTED_VALUE"""),40091.6666666666)</f>
        <v>40091.666666666599</v>
      </c>
      <c r="B1199" s="1">
        <f ca="1">IFERROR(__xludf.DUMMYFUNCTION("""COMPUTED_VALUE"""),4.43)</f>
        <v>4.43</v>
      </c>
    </row>
    <row r="1200" spans="1:2">
      <c r="A1200" s="3">
        <f ca="1">IFERROR(__xludf.DUMMYFUNCTION("""COMPUTED_VALUE"""),40092.6666666666)</f>
        <v>40092.666666666599</v>
      </c>
      <c r="B1200" s="1">
        <f ca="1">IFERROR(__xludf.DUMMYFUNCTION("""COMPUTED_VALUE"""),4.55)</f>
        <v>4.55</v>
      </c>
    </row>
    <row r="1201" spans="1:2">
      <c r="A1201" s="3">
        <f ca="1">IFERROR(__xludf.DUMMYFUNCTION("""COMPUTED_VALUE"""),40093.6666666666)</f>
        <v>40093.666666666599</v>
      </c>
      <c r="B1201" s="1">
        <f ca="1">IFERROR(__xludf.DUMMYFUNCTION("""COMPUTED_VALUE"""),4.7)</f>
        <v>4.7</v>
      </c>
    </row>
    <row r="1202" spans="1:2">
      <c r="A1202" s="3">
        <f ca="1">IFERROR(__xludf.DUMMYFUNCTION("""COMPUTED_VALUE"""),40094.6666666666)</f>
        <v>40094.666666666599</v>
      </c>
      <c r="B1202" s="1">
        <f ca="1">IFERROR(__xludf.DUMMYFUNCTION("""COMPUTED_VALUE"""),4.76)</f>
        <v>4.76</v>
      </c>
    </row>
    <row r="1203" spans="1:2">
      <c r="A1203" s="3">
        <f ca="1">IFERROR(__xludf.DUMMYFUNCTION("""COMPUTED_VALUE"""),40095.6666666666)</f>
        <v>40095.666666666599</v>
      </c>
      <c r="B1203" s="1">
        <f ca="1">IFERROR(__xludf.DUMMYFUNCTION("""COMPUTED_VALUE"""),4.79)</f>
        <v>4.79</v>
      </c>
    </row>
    <row r="1204" spans="1:2">
      <c r="A1204" s="3">
        <f ca="1">IFERROR(__xludf.DUMMYFUNCTION("""COMPUTED_VALUE"""),40098.6666666666)</f>
        <v>40098.666666666599</v>
      </c>
      <c r="B1204" s="1">
        <f ca="1">IFERROR(__xludf.DUMMYFUNCTION("""COMPUTED_VALUE"""),4.68)</f>
        <v>4.68</v>
      </c>
    </row>
    <row r="1205" spans="1:2">
      <c r="A1205" s="3">
        <f ca="1">IFERROR(__xludf.DUMMYFUNCTION("""COMPUTED_VALUE"""),40099.6666666666)</f>
        <v>40099.666666666599</v>
      </c>
      <c r="B1205" s="1">
        <f ca="1">IFERROR(__xludf.DUMMYFUNCTION("""COMPUTED_VALUE"""),4.74)</f>
        <v>4.74</v>
      </c>
    </row>
    <row r="1206" spans="1:2">
      <c r="A1206" s="3">
        <f ca="1">IFERROR(__xludf.DUMMYFUNCTION("""COMPUTED_VALUE"""),40100.6666666666)</f>
        <v>40100.666666666599</v>
      </c>
      <c r="B1206" s="1">
        <f ca="1">IFERROR(__xludf.DUMMYFUNCTION("""COMPUTED_VALUE"""),4.87)</f>
        <v>4.87</v>
      </c>
    </row>
    <row r="1207" spans="1:2">
      <c r="A1207" s="3">
        <f ca="1">IFERROR(__xludf.DUMMYFUNCTION("""COMPUTED_VALUE"""),40101.6666666666)</f>
        <v>40101.666666666599</v>
      </c>
      <c r="B1207" s="1">
        <f ca="1">IFERROR(__xludf.DUMMYFUNCTION("""COMPUTED_VALUE"""),4.8)</f>
        <v>4.8</v>
      </c>
    </row>
    <row r="1208" spans="1:2">
      <c r="A1208" s="3">
        <f ca="1">IFERROR(__xludf.DUMMYFUNCTION("""COMPUTED_VALUE"""),40102.6666666666)</f>
        <v>40102.666666666599</v>
      </c>
      <c r="B1208" s="1">
        <f ca="1">IFERROR(__xludf.DUMMYFUNCTION("""COMPUTED_VALUE"""),4.77)</f>
        <v>4.7699999999999996</v>
      </c>
    </row>
    <row r="1209" spans="1:2">
      <c r="A1209" s="3">
        <f ca="1">IFERROR(__xludf.DUMMYFUNCTION("""COMPUTED_VALUE"""),40105.6666666666)</f>
        <v>40105.666666666599</v>
      </c>
      <c r="B1209" s="1">
        <f ca="1">IFERROR(__xludf.DUMMYFUNCTION("""COMPUTED_VALUE"""),4.73)</f>
        <v>4.7300000000000004</v>
      </c>
    </row>
    <row r="1210" spans="1:2">
      <c r="A1210" s="3">
        <f ca="1">IFERROR(__xludf.DUMMYFUNCTION("""COMPUTED_VALUE"""),40106.6666666666)</f>
        <v>40106.666666666599</v>
      </c>
      <c r="B1210" s="1">
        <f ca="1">IFERROR(__xludf.DUMMYFUNCTION("""COMPUTED_VALUE"""),4.75)</f>
        <v>4.75</v>
      </c>
    </row>
    <row r="1211" spans="1:2">
      <c r="A1211" s="3">
        <f ca="1">IFERROR(__xludf.DUMMYFUNCTION("""COMPUTED_VALUE"""),40107.6666666666)</f>
        <v>40107.666666666599</v>
      </c>
      <c r="B1211" s="1">
        <f ca="1">IFERROR(__xludf.DUMMYFUNCTION("""COMPUTED_VALUE"""),4.67)</f>
        <v>4.67</v>
      </c>
    </row>
    <row r="1212" spans="1:2">
      <c r="A1212" s="3">
        <f ca="1">IFERROR(__xludf.DUMMYFUNCTION("""COMPUTED_VALUE"""),40108.6666666666)</f>
        <v>40108.666666666599</v>
      </c>
      <c r="B1212" s="1">
        <f ca="1">IFERROR(__xludf.DUMMYFUNCTION("""COMPUTED_VALUE"""),4.67)</f>
        <v>4.67</v>
      </c>
    </row>
    <row r="1213" spans="1:2">
      <c r="A1213" s="3">
        <f ca="1">IFERROR(__xludf.DUMMYFUNCTION("""COMPUTED_VALUE"""),40109.6666666666)</f>
        <v>40109.666666666599</v>
      </c>
      <c r="B1213" s="1">
        <f ca="1">IFERROR(__xludf.DUMMYFUNCTION("""COMPUTED_VALUE"""),5.92)</f>
        <v>5.92</v>
      </c>
    </row>
    <row r="1214" spans="1:2">
      <c r="A1214" s="3">
        <f ca="1">IFERROR(__xludf.DUMMYFUNCTION("""COMPUTED_VALUE"""),40112.6666666666)</f>
        <v>40112.666666666599</v>
      </c>
      <c r="B1214" s="1">
        <f ca="1">IFERROR(__xludf.DUMMYFUNCTION("""COMPUTED_VALUE"""),6.23)</f>
        <v>6.23</v>
      </c>
    </row>
    <row r="1215" spans="1:2">
      <c r="A1215" s="3">
        <f ca="1">IFERROR(__xludf.DUMMYFUNCTION("""COMPUTED_VALUE"""),40113.6666666666)</f>
        <v>40113.666666666599</v>
      </c>
      <c r="B1215" s="1">
        <f ca="1">IFERROR(__xludf.DUMMYFUNCTION("""COMPUTED_VALUE"""),6.1)</f>
        <v>6.1</v>
      </c>
    </row>
    <row r="1216" spans="1:2">
      <c r="A1216" s="3">
        <f ca="1">IFERROR(__xludf.DUMMYFUNCTION("""COMPUTED_VALUE"""),40114.6666666666)</f>
        <v>40114.666666666599</v>
      </c>
      <c r="B1216" s="1">
        <f ca="1">IFERROR(__xludf.DUMMYFUNCTION("""COMPUTED_VALUE"""),6.08)</f>
        <v>6.08</v>
      </c>
    </row>
    <row r="1217" spans="1:2">
      <c r="A1217" s="3">
        <f ca="1">IFERROR(__xludf.DUMMYFUNCTION("""COMPUTED_VALUE"""),40115.6666666666)</f>
        <v>40115.666666666599</v>
      </c>
      <c r="B1217" s="1">
        <f ca="1">IFERROR(__xludf.DUMMYFUNCTION("""COMPUTED_VALUE"""),6.13)</f>
        <v>6.13</v>
      </c>
    </row>
    <row r="1218" spans="1:2">
      <c r="A1218" s="3">
        <f ca="1">IFERROR(__xludf.DUMMYFUNCTION("""COMPUTED_VALUE"""),40116.6666666666)</f>
        <v>40116.666666666599</v>
      </c>
      <c r="B1218" s="1">
        <f ca="1">IFERROR(__xludf.DUMMYFUNCTION("""COMPUTED_VALUE"""),5.94)</f>
        <v>5.94</v>
      </c>
    </row>
    <row r="1219" spans="1:2">
      <c r="A1219" s="3">
        <f ca="1">IFERROR(__xludf.DUMMYFUNCTION("""COMPUTED_VALUE"""),40119.6666666666)</f>
        <v>40119.666666666599</v>
      </c>
      <c r="B1219" s="1">
        <f ca="1">IFERROR(__xludf.DUMMYFUNCTION("""COMPUTED_VALUE"""),5.94)</f>
        <v>5.94</v>
      </c>
    </row>
    <row r="1220" spans="1:2">
      <c r="A1220" s="3">
        <f ca="1">IFERROR(__xludf.DUMMYFUNCTION("""COMPUTED_VALUE"""),40120.6666666666)</f>
        <v>40120.666666666599</v>
      </c>
      <c r="B1220" s="1">
        <f ca="1">IFERROR(__xludf.DUMMYFUNCTION("""COMPUTED_VALUE"""),5.92)</f>
        <v>5.92</v>
      </c>
    </row>
    <row r="1221" spans="1:2">
      <c r="A1221" s="3">
        <f ca="1">IFERROR(__xludf.DUMMYFUNCTION("""COMPUTED_VALUE"""),40121.6666666666)</f>
        <v>40121.666666666599</v>
      </c>
      <c r="B1221" s="1">
        <f ca="1">IFERROR(__xludf.DUMMYFUNCTION("""COMPUTED_VALUE"""),5.86)</f>
        <v>5.86</v>
      </c>
    </row>
    <row r="1222" spans="1:2">
      <c r="A1222" s="3">
        <f ca="1">IFERROR(__xludf.DUMMYFUNCTION("""COMPUTED_VALUE"""),40122.6666666666)</f>
        <v>40122.666666666599</v>
      </c>
      <c r="B1222" s="1">
        <f ca="1">IFERROR(__xludf.DUMMYFUNCTION("""COMPUTED_VALUE"""),6.03)</f>
        <v>6.03</v>
      </c>
    </row>
    <row r="1223" spans="1:2">
      <c r="A1223" s="3">
        <f ca="1">IFERROR(__xludf.DUMMYFUNCTION("""COMPUTED_VALUE"""),40123.6666666666)</f>
        <v>40123.666666666599</v>
      </c>
      <c r="B1223" s="1">
        <f ca="1">IFERROR(__xludf.DUMMYFUNCTION("""COMPUTED_VALUE"""),6.31)</f>
        <v>6.31</v>
      </c>
    </row>
    <row r="1224" spans="1:2">
      <c r="A1224" s="3">
        <f ca="1">IFERROR(__xludf.DUMMYFUNCTION("""COMPUTED_VALUE"""),40126.6666666666)</f>
        <v>40126.666666666599</v>
      </c>
      <c r="B1224" s="1">
        <f ca="1">IFERROR(__xludf.DUMMYFUNCTION("""COMPUTED_VALUE"""),6.33)</f>
        <v>6.33</v>
      </c>
    </row>
    <row r="1225" spans="1:2">
      <c r="A1225" s="3">
        <f ca="1">IFERROR(__xludf.DUMMYFUNCTION("""COMPUTED_VALUE"""),40127.6666666666)</f>
        <v>40127.666666666599</v>
      </c>
      <c r="B1225" s="1">
        <f ca="1">IFERROR(__xludf.DUMMYFUNCTION("""COMPUTED_VALUE"""),6.51)</f>
        <v>6.51</v>
      </c>
    </row>
    <row r="1226" spans="1:2">
      <c r="A1226" s="3">
        <f ca="1">IFERROR(__xludf.DUMMYFUNCTION("""COMPUTED_VALUE"""),40128.6666666666)</f>
        <v>40128.666666666599</v>
      </c>
      <c r="B1226" s="1">
        <f ca="1">IFERROR(__xludf.DUMMYFUNCTION("""COMPUTED_VALUE"""),6.5)</f>
        <v>6.5</v>
      </c>
    </row>
    <row r="1227" spans="1:2">
      <c r="A1227" s="3">
        <f ca="1">IFERROR(__xludf.DUMMYFUNCTION("""COMPUTED_VALUE"""),40129.6666666666)</f>
        <v>40129.666666666599</v>
      </c>
      <c r="B1227" s="1">
        <f ca="1">IFERROR(__xludf.DUMMYFUNCTION("""COMPUTED_VALUE"""),6.53)</f>
        <v>6.53</v>
      </c>
    </row>
    <row r="1228" spans="1:2">
      <c r="A1228" s="3">
        <f ca="1">IFERROR(__xludf.DUMMYFUNCTION("""COMPUTED_VALUE"""),40130.6666666666)</f>
        <v>40130.666666666599</v>
      </c>
      <c r="B1228" s="1">
        <f ca="1">IFERROR(__xludf.DUMMYFUNCTION("""COMPUTED_VALUE"""),6.65)</f>
        <v>6.65</v>
      </c>
    </row>
    <row r="1229" spans="1:2">
      <c r="A1229" s="3">
        <f ca="1">IFERROR(__xludf.DUMMYFUNCTION("""COMPUTED_VALUE"""),40133.6666666666)</f>
        <v>40133.666666666599</v>
      </c>
      <c r="B1229" s="1">
        <f ca="1">IFERROR(__xludf.DUMMYFUNCTION("""COMPUTED_VALUE"""),6.58)</f>
        <v>6.58</v>
      </c>
    </row>
    <row r="1230" spans="1:2">
      <c r="A1230" s="3">
        <f ca="1">IFERROR(__xludf.DUMMYFUNCTION("""COMPUTED_VALUE"""),40134.6666666666)</f>
        <v>40134.666666666599</v>
      </c>
      <c r="B1230" s="1">
        <f ca="1">IFERROR(__xludf.DUMMYFUNCTION("""COMPUTED_VALUE"""),6.56)</f>
        <v>6.56</v>
      </c>
    </row>
    <row r="1231" spans="1:2">
      <c r="A1231" s="3">
        <f ca="1">IFERROR(__xludf.DUMMYFUNCTION("""COMPUTED_VALUE"""),40135.6666666666)</f>
        <v>40135.666666666599</v>
      </c>
      <c r="B1231" s="1">
        <f ca="1">IFERROR(__xludf.DUMMYFUNCTION("""COMPUTED_VALUE"""),6.56)</f>
        <v>6.56</v>
      </c>
    </row>
    <row r="1232" spans="1:2">
      <c r="A1232" s="3">
        <f ca="1">IFERROR(__xludf.DUMMYFUNCTION("""COMPUTED_VALUE"""),40136.6666666666)</f>
        <v>40136.666666666599</v>
      </c>
      <c r="B1232" s="1">
        <f ca="1">IFERROR(__xludf.DUMMYFUNCTION("""COMPUTED_VALUE"""),6.45)</f>
        <v>6.45</v>
      </c>
    </row>
    <row r="1233" spans="1:2">
      <c r="A1233" s="3">
        <f ca="1">IFERROR(__xludf.DUMMYFUNCTION("""COMPUTED_VALUE"""),40137.6666666666)</f>
        <v>40137.666666666599</v>
      </c>
      <c r="B1233" s="1">
        <f ca="1">IFERROR(__xludf.DUMMYFUNCTION("""COMPUTED_VALUE"""),6.48)</f>
        <v>6.48</v>
      </c>
    </row>
    <row r="1234" spans="1:2">
      <c r="A1234" s="3">
        <f ca="1">IFERROR(__xludf.DUMMYFUNCTION("""COMPUTED_VALUE"""),40140.6666666666)</f>
        <v>40140.666666666599</v>
      </c>
      <c r="B1234" s="1">
        <f ca="1">IFERROR(__xludf.DUMMYFUNCTION("""COMPUTED_VALUE"""),6.65)</f>
        <v>6.65</v>
      </c>
    </row>
    <row r="1235" spans="1:2">
      <c r="A1235" s="3">
        <f ca="1">IFERROR(__xludf.DUMMYFUNCTION("""COMPUTED_VALUE"""),40141.6666666666)</f>
        <v>40141.666666666599</v>
      </c>
      <c r="B1235" s="1">
        <f ca="1">IFERROR(__xludf.DUMMYFUNCTION("""COMPUTED_VALUE"""),6.65)</f>
        <v>6.65</v>
      </c>
    </row>
    <row r="1236" spans="1:2">
      <c r="A1236" s="3">
        <f ca="1">IFERROR(__xludf.DUMMYFUNCTION("""COMPUTED_VALUE"""),40142.6666666666)</f>
        <v>40142.666666666599</v>
      </c>
      <c r="B1236" s="1">
        <f ca="1">IFERROR(__xludf.DUMMYFUNCTION("""COMPUTED_VALUE"""),6.7)</f>
        <v>6.7</v>
      </c>
    </row>
    <row r="1237" spans="1:2">
      <c r="A1237" s="3">
        <f ca="1">IFERROR(__xludf.DUMMYFUNCTION("""COMPUTED_VALUE"""),40144.6666666666)</f>
        <v>40144.666666666599</v>
      </c>
      <c r="B1237" s="1">
        <f ca="1">IFERROR(__xludf.DUMMYFUNCTION("""COMPUTED_VALUE"""),6.59)</f>
        <v>6.59</v>
      </c>
    </row>
    <row r="1238" spans="1:2">
      <c r="A1238" s="3">
        <f ca="1">IFERROR(__xludf.DUMMYFUNCTION("""COMPUTED_VALUE"""),40147.6666666666)</f>
        <v>40147.666666666599</v>
      </c>
      <c r="B1238" s="1">
        <f ca="1">IFERROR(__xludf.DUMMYFUNCTION("""COMPUTED_VALUE"""),6.8)</f>
        <v>6.8</v>
      </c>
    </row>
    <row r="1239" spans="1:2">
      <c r="A1239" s="3">
        <f ca="1">IFERROR(__xludf.DUMMYFUNCTION("""COMPUTED_VALUE"""),40148.6666666666)</f>
        <v>40148.666666666599</v>
      </c>
      <c r="B1239" s="1">
        <f ca="1">IFERROR(__xludf.DUMMYFUNCTION("""COMPUTED_VALUE"""),6.93)</f>
        <v>6.93</v>
      </c>
    </row>
    <row r="1240" spans="1:2">
      <c r="A1240" s="3">
        <f ca="1">IFERROR(__xludf.DUMMYFUNCTION("""COMPUTED_VALUE"""),40149.6666666666)</f>
        <v>40149.666666666599</v>
      </c>
      <c r="B1240" s="1">
        <f ca="1">IFERROR(__xludf.DUMMYFUNCTION("""COMPUTED_VALUE"""),7.11)</f>
        <v>7.11</v>
      </c>
    </row>
    <row r="1241" spans="1:2">
      <c r="A1241" s="3">
        <f ca="1">IFERROR(__xludf.DUMMYFUNCTION("""COMPUTED_VALUE"""),40150.6666666666)</f>
        <v>40150.666666666599</v>
      </c>
      <c r="B1241" s="1">
        <f ca="1">IFERROR(__xludf.DUMMYFUNCTION("""COMPUTED_VALUE"""),7.06)</f>
        <v>7.06</v>
      </c>
    </row>
    <row r="1242" spans="1:2">
      <c r="A1242" s="3">
        <f ca="1">IFERROR(__xludf.DUMMYFUNCTION("""COMPUTED_VALUE"""),40151.6666666666)</f>
        <v>40151.666666666599</v>
      </c>
      <c r="B1242" s="1">
        <f ca="1">IFERROR(__xludf.DUMMYFUNCTION("""COMPUTED_VALUE"""),6.88)</f>
        <v>6.88</v>
      </c>
    </row>
    <row r="1243" spans="1:2">
      <c r="A1243" s="3">
        <f ca="1">IFERROR(__xludf.DUMMYFUNCTION("""COMPUTED_VALUE"""),40154.6666666666)</f>
        <v>40154.666666666599</v>
      </c>
      <c r="B1243" s="1">
        <f ca="1">IFERROR(__xludf.DUMMYFUNCTION("""COMPUTED_VALUE"""),6.71)</f>
        <v>6.71</v>
      </c>
    </row>
    <row r="1244" spans="1:2">
      <c r="A1244" s="3">
        <f ca="1">IFERROR(__xludf.DUMMYFUNCTION("""COMPUTED_VALUE"""),40155.6666666666)</f>
        <v>40155.666666666599</v>
      </c>
      <c r="B1244" s="1">
        <f ca="1">IFERROR(__xludf.DUMMYFUNCTION("""COMPUTED_VALUE"""),6.71)</f>
        <v>6.71</v>
      </c>
    </row>
    <row r="1245" spans="1:2">
      <c r="A1245" s="3">
        <f ca="1">IFERROR(__xludf.DUMMYFUNCTION("""COMPUTED_VALUE"""),40156.6666666666)</f>
        <v>40156.666666666599</v>
      </c>
      <c r="B1245" s="1">
        <f ca="1">IFERROR(__xludf.DUMMYFUNCTION("""COMPUTED_VALUE"""),6.57)</f>
        <v>6.57</v>
      </c>
    </row>
    <row r="1246" spans="1:2">
      <c r="A1246" s="3">
        <f ca="1">IFERROR(__xludf.DUMMYFUNCTION("""COMPUTED_VALUE"""),40157.6666666666)</f>
        <v>40157.666666666599</v>
      </c>
      <c r="B1246" s="1">
        <f ca="1">IFERROR(__xludf.DUMMYFUNCTION("""COMPUTED_VALUE"""),6.77)</f>
        <v>6.77</v>
      </c>
    </row>
    <row r="1247" spans="1:2">
      <c r="A1247" s="3">
        <f ca="1">IFERROR(__xludf.DUMMYFUNCTION("""COMPUTED_VALUE"""),40158.6666666666)</f>
        <v>40158.666666666599</v>
      </c>
      <c r="B1247" s="1">
        <f ca="1">IFERROR(__xludf.DUMMYFUNCTION("""COMPUTED_VALUE"""),6.71)</f>
        <v>6.71</v>
      </c>
    </row>
    <row r="1248" spans="1:2">
      <c r="A1248" s="3">
        <f ca="1">IFERROR(__xludf.DUMMYFUNCTION("""COMPUTED_VALUE"""),40161.6666666666)</f>
        <v>40161.666666666599</v>
      </c>
      <c r="B1248" s="1">
        <f ca="1">IFERROR(__xludf.DUMMYFUNCTION("""COMPUTED_VALUE"""),6.57)</f>
        <v>6.57</v>
      </c>
    </row>
    <row r="1249" spans="1:2">
      <c r="A1249" s="3">
        <f ca="1">IFERROR(__xludf.DUMMYFUNCTION("""COMPUTED_VALUE"""),40162.6666666666)</f>
        <v>40162.666666666599</v>
      </c>
      <c r="B1249" s="1">
        <f ca="1">IFERROR(__xludf.DUMMYFUNCTION("""COMPUTED_VALUE"""),6.51)</f>
        <v>6.51</v>
      </c>
    </row>
    <row r="1250" spans="1:2">
      <c r="A1250" s="3">
        <f ca="1">IFERROR(__xludf.DUMMYFUNCTION("""COMPUTED_VALUE"""),40163.6666666666)</f>
        <v>40163.666666666599</v>
      </c>
      <c r="B1250" s="1">
        <f ca="1">IFERROR(__xludf.DUMMYFUNCTION("""COMPUTED_VALUE"""),6.42)</f>
        <v>6.42</v>
      </c>
    </row>
    <row r="1251" spans="1:2">
      <c r="A1251" s="3">
        <f ca="1">IFERROR(__xludf.DUMMYFUNCTION("""COMPUTED_VALUE"""),40164.6666666666)</f>
        <v>40164.666666666599</v>
      </c>
      <c r="B1251" s="1">
        <f ca="1">IFERROR(__xludf.DUMMYFUNCTION("""COMPUTED_VALUE"""),6.35)</f>
        <v>6.35</v>
      </c>
    </row>
    <row r="1252" spans="1:2">
      <c r="A1252" s="3">
        <f ca="1">IFERROR(__xludf.DUMMYFUNCTION("""COMPUTED_VALUE"""),40165.6666666666)</f>
        <v>40165.666666666599</v>
      </c>
      <c r="B1252" s="1">
        <f ca="1">IFERROR(__xludf.DUMMYFUNCTION("""COMPUTED_VALUE"""),6.42)</f>
        <v>6.42</v>
      </c>
    </row>
    <row r="1253" spans="1:2">
      <c r="A1253" s="3">
        <f ca="1">IFERROR(__xludf.DUMMYFUNCTION("""COMPUTED_VALUE"""),40168.6666666666)</f>
        <v>40168.666666666599</v>
      </c>
      <c r="B1253" s="1">
        <f ca="1">IFERROR(__xludf.DUMMYFUNCTION("""COMPUTED_VALUE"""),6.64)</f>
        <v>6.64</v>
      </c>
    </row>
    <row r="1254" spans="1:2">
      <c r="A1254" s="3">
        <f ca="1">IFERROR(__xludf.DUMMYFUNCTION("""COMPUTED_VALUE"""),40169.6666666666)</f>
        <v>40169.666666666599</v>
      </c>
      <c r="B1254" s="1">
        <f ca="1">IFERROR(__xludf.DUMMYFUNCTION("""COMPUTED_VALUE"""),6.69)</f>
        <v>6.69</v>
      </c>
    </row>
    <row r="1255" spans="1:2">
      <c r="A1255" s="3">
        <f ca="1">IFERROR(__xludf.DUMMYFUNCTION("""COMPUTED_VALUE"""),40170.6666666666)</f>
        <v>40170.666666666599</v>
      </c>
      <c r="B1255" s="1">
        <f ca="1">IFERROR(__xludf.DUMMYFUNCTION("""COMPUTED_VALUE"""),6.95)</f>
        <v>6.95</v>
      </c>
    </row>
    <row r="1256" spans="1:2">
      <c r="A1256" s="3">
        <f ca="1">IFERROR(__xludf.DUMMYFUNCTION("""COMPUTED_VALUE"""),40171.6666666666)</f>
        <v>40171.666666666599</v>
      </c>
      <c r="B1256" s="1">
        <f ca="1">IFERROR(__xludf.DUMMYFUNCTION("""COMPUTED_VALUE"""),6.92)</f>
        <v>6.92</v>
      </c>
    </row>
    <row r="1257" spans="1:2">
      <c r="A1257" s="3">
        <f ca="1">IFERROR(__xludf.DUMMYFUNCTION("""COMPUTED_VALUE"""),40175.6666666666)</f>
        <v>40175.666666666599</v>
      </c>
      <c r="B1257" s="1">
        <f ca="1">IFERROR(__xludf.DUMMYFUNCTION("""COMPUTED_VALUE"""),6.97)</f>
        <v>6.97</v>
      </c>
    </row>
    <row r="1258" spans="1:2">
      <c r="A1258" s="3">
        <f ca="1">IFERROR(__xludf.DUMMYFUNCTION("""COMPUTED_VALUE"""),40176.6666666666)</f>
        <v>40176.666666666599</v>
      </c>
      <c r="B1258" s="1">
        <f ca="1">IFERROR(__xludf.DUMMYFUNCTION("""COMPUTED_VALUE"""),6.97)</f>
        <v>6.97</v>
      </c>
    </row>
    <row r="1259" spans="1:2">
      <c r="A1259" s="3">
        <f ca="1">IFERROR(__xludf.DUMMYFUNCTION("""COMPUTED_VALUE"""),40177.6666666666)</f>
        <v>40177.666666666599</v>
      </c>
      <c r="B1259" s="1">
        <f ca="1">IFERROR(__xludf.DUMMYFUNCTION("""COMPUTED_VALUE"""),6.82)</f>
        <v>6.82</v>
      </c>
    </row>
    <row r="1260" spans="1:2">
      <c r="A1260" s="3">
        <f ca="1">IFERROR(__xludf.DUMMYFUNCTION("""COMPUTED_VALUE"""),40178.6666666666)</f>
        <v>40178.666666666599</v>
      </c>
      <c r="B1260" s="1">
        <f ca="1">IFERROR(__xludf.DUMMYFUNCTION("""COMPUTED_VALUE"""),6.73)</f>
        <v>6.73</v>
      </c>
    </row>
    <row r="1261" spans="1:2">
      <c r="A1261" s="3">
        <f ca="1">IFERROR(__xludf.DUMMYFUNCTION("""COMPUTED_VALUE"""),40182.6666666666)</f>
        <v>40182.666666666599</v>
      </c>
      <c r="B1261" s="1">
        <f ca="1">IFERROR(__xludf.DUMMYFUNCTION("""COMPUTED_VALUE"""),6.7)</f>
        <v>6.7</v>
      </c>
    </row>
    <row r="1262" spans="1:2">
      <c r="A1262" s="3">
        <f ca="1">IFERROR(__xludf.DUMMYFUNCTION("""COMPUTED_VALUE"""),40183.6666666666)</f>
        <v>40183.666666666599</v>
      </c>
      <c r="B1262" s="1">
        <f ca="1">IFERROR(__xludf.DUMMYFUNCTION("""COMPUTED_VALUE"""),6.73)</f>
        <v>6.73</v>
      </c>
    </row>
    <row r="1263" spans="1:2">
      <c r="A1263" s="3">
        <f ca="1">IFERROR(__xludf.DUMMYFUNCTION("""COMPUTED_VALUE"""),40184.6666666666)</f>
        <v>40184.666666666599</v>
      </c>
      <c r="B1263" s="1">
        <f ca="1">IFERROR(__xludf.DUMMYFUNCTION("""COMPUTED_VALUE"""),6.61)</f>
        <v>6.61</v>
      </c>
    </row>
    <row r="1264" spans="1:2">
      <c r="A1264" s="3">
        <f ca="1">IFERROR(__xludf.DUMMYFUNCTION("""COMPUTED_VALUE"""),40185.6666666666)</f>
        <v>40185.666666666599</v>
      </c>
      <c r="B1264" s="1">
        <f ca="1">IFERROR(__xludf.DUMMYFUNCTION("""COMPUTED_VALUE"""),6.5)</f>
        <v>6.5</v>
      </c>
    </row>
    <row r="1265" spans="1:2">
      <c r="A1265" s="3">
        <f ca="1">IFERROR(__xludf.DUMMYFUNCTION("""COMPUTED_VALUE"""),40186.6666666666)</f>
        <v>40186.666666666599</v>
      </c>
      <c r="B1265" s="1">
        <f ca="1">IFERROR(__xludf.DUMMYFUNCTION("""COMPUTED_VALUE"""),6.68)</f>
        <v>6.68</v>
      </c>
    </row>
    <row r="1266" spans="1:2">
      <c r="A1266" s="3">
        <f ca="1">IFERROR(__xludf.DUMMYFUNCTION("""COMPUTED_VALUE"""),40189.6666666666)</f>
        <v>40189.666666666599</v>
      </c>
      <c r="B1266" s="1">
        <f ca="1">IFERROR(__xludf.DUMMYFUNCTION("""COMPUTED_VALUE"""),6.52)</f>
        <v>6.52</v>
      </c>
    </row>
    <row r="1267" spans="1:2">
      <c r="A1267" s="3">
        <f ca="1">IFERROR(__xludf.DUMMYFUNCTION("""COMPUTED_VALUE"""),40190.6666666666)</f>
        <v>40190.666666666599</v>
      </c>
      <c r="B1267" s="1">
        <f ca="1">IFERROR(__xludf.DUMMYFUNCTION("""COMPUTED_VALUE"""),6.37)</f>
        <v>6.37</v>
      </c>
    </row>
    <row r="1268" spans="1:2">
      <c r="A1268" s="3">
        <f ca="1">IFERROR(__xludf.DUMMYFUNCTION("""COMPUTED_VALUE"""),40191.6666666666)</f>
        <v>40191.666666666599</v>
      </c>
      <c r="B1268" s="1">
        <f ca="1">IFERROR(__xludf.DUMMYFUNCTION("""COMPUTED_VALUE"""),6.46)</f>
        <v>6.46</v>
      </c>
    </row>
    <row r="1269" spans="1:2">
      <c r="A1269" s="3">
        <f ca="1">IFERROR(__xludf.DUMMYFUNCTION("""COMPUTED_VALUE"""),40192.6666666666)</f>
        <v>40192.666666666599</v>
      </c>
      <c r="B1269" s="1">
        <f ca="1">IFERROR(__xludf.DUMMYFUNCTION("""COMPUTED_VALUE"""),6.37)</f>
        <v>6.37</v>
      </c>
    </row>
    <row r="1270" spans="1:2">
      <c r="A1270" s="3">
        <f ca="1">IFERROR(__xludf.DUMMYFUNCTION("""COMPUTED_VALUE"""),40193.6666666666)</f>
        <v>40193.666666666599</v>
      </c>
      <c r="B1270" s="1">
        <f ca="1">IFERROR(__xludf.DUMMYFUNCTION("""COMPUTED_VALUE"""),6.36)</f>
        <v>6.36</v>
      </c>
    </row>
    <row r="1271" spans="1:2">
      <c r="A1271" s="3">
        <f ca="1">IFERROR(__xludf.DUMMYFUNCTION("""COMPUTED_VALUE"""),40197.6666666666)</f>
        <v>40197.666666666599</v>
      </c>
      <c r="B1271" s="1">
        <f ca="1">IFERROR(__xludf.DUMMYFUNCTION("""COMPUTED_VALUE"""),6.38)</f>
        <v>6.38</v>
      </c>
    </row>
    <row r="1272" spans="1:2">
      <c r="A1272" s="3">
        <f ca="1">IFERROR(__xludf.DUMMYFUNCTION("""COMPUTED_VALUE"""),40198.6666666666)</f>
        <v>40198.666666666599</v>
      </c>
      <c r="B1272" s="1">
        <f ca="1">IFERROR(__xludf.DUMMYFUNCTION("""COMPUTED_VALUE"""),6.29)</f>
        <v>6.29</v>
      </c>
    </row>
    <row r="1273" spans="1:2">
      <c r="A1273" s="3">
        <f ca="1">IFERROR(__xludf.DUMMYFUNCTION("""COMPUTED_VALUE"""),40199.6666666666)</f>
        <v>40199.666666666599</v>
      </c>
      <c r="B1273" s="1">
        <f ca="1">IFERROR(__xludf.DUMMYFUNCTION("""COMPUTED_VALUE"""),6.33)</f>
        <v>6.33</v>
      </c>
    </row>
    <row r="1274" spans="1:2">
      <c r="A1274" s="3">
        <f ca="1">IFERROR(__xludf.DUMMYFUNCTION("""COMPUTED_VALUE"""),40200.6666666666)</f>
        <v>40200.666666666599</v>
      </c>
      <c r="B1274" s="1">
        <f ca="1">IFERROR(__xludf.DUMMYFUNCTION("""COMPUTED_VALUE"""),6.07)</f>
        <v>6.07</v>
      </c>
    </row>
    <row r="1275" spans="1:2">
      <c r="A1275" s="3">
        <f ca="1">IFERROR(__xludf.DUMMYFUNCTION("""COMPUTED_VALUE"""),40203.6666666666)</f>
        <v>40203.666666666599</v>
      </c>
      <c r="B1275" s="1">
        <f ca="1">IFERROR(__xludf.DUMMYFUNCTION("""COMPUTED_VALUE"""),6.02)</f>
        <v>6.02</v>
      </c>
    </row>
    <row r="1276" spans="1:2">
      <c r="A1276" s="3">
        <f ca="1">IFERROR(__xludf.DUMMYFUNCTION("""COMPUTED_VALUE"""),40204.6666666666)</f>
        <v>40204.666666666599</v>
      </c>
      <c r="B1276" s="1">
        <f ca="1">IFERROR(__xludf.DUMMYFUNCTION("""COMPUTED_VALUE"""),5.97)</f>
        <v>5.97</v>
      </c>
    </row>
    <row r="1277" spans="1:2">
      <c r="A1277" s="3">
        <f ca="1">IFERROR(__xludf.DUMMYFUNCTION("""COMPUTED_VALUE"""),40205.6666666666)</f>
        <v>40205.666666666599</v>
      </c>
      <c r="B1277" s="1">
        <f ca="1">IFERROR(__xludf.DUMMYFUNCTION("""COMPUTED_VALUE"""),6.14)</f>
        <v>6.14</v>
      </c>
    </row>
    <row r="1278" spans="1:2">
      <c r="A1278" s="3">
        <f ca="1">IFERROR(__xludf.DUMMYFUNCTION("""COMPUTED_VALUE"""),40206.6666666666)</f>
        <v>40206.666666666599</v>
      </c>
      <c r="B1278" s="1">
        <f ca="1">IFERROR(__xludf.DUMMYFUNCTION("""COMPUTED_VALUE"""),6.3)</f>
        <v>6.3</v>
      </c>
    </row>
    <row r="1279" spans="1:2">
      <c r="A1279" s="3">
        <f ca="1">IFERROR(__xludf.DUMMYFUNCTION("""COMPUTED_VALUE"""),40207.6666666666)</f>
        <v>40207.666666666599</v>
      </c>
      <c r="B1279" s="1">
        <f ca="1">IFERROR(__xludf.DUMMYFUNCTION("""COMPUTED_VALUE"""),6.27)</f>
        <v>6.27</v>
      </c>
    </row>
    <row r="1280" spans="1:2">
      <c r="A1280" s="3">
        <f ca="1">IFERROR(__xludf.DUMMYFUNCTION("""COMPUTED_VALUE"""),40210.6666666666)</f>
        <v>40210.666666666599</v>
      </c>
      <c r="B1280" s="1">
        <f ca="1">IFERROR(__xludf.DUMMYFUNCTION("""COMPUTED_VALUE"""),5.94)</f>
        <v>5.94</v>
      </c>
    </row>
    <row r="1281" spans="1:2">
      <c r="A1281" s="3">
        <f ca="1">IFERROR(__xludf.DUMMYFUNCTION("""COMPUTED_VALUE"""),40211.6666666666)</f>
        <v>40211.666666666599</v>
      </c>
      <c r="B1281" s="1">
        <f ca="1">IFERROR(__xludf.DUMMYFUNCTION("""COMPUTED_VALUE"""),5.91)</f>
        <v>5.91</v>
      </c>
    </row>
    <row r="1282" spans="1:2">
      <c r="A1282" s="3">
        <f ca="1">IFERROR(__xludf.DUMMYFUNCTION("""COMPUTED_VALUE"""),40212.6666666666)</f>
        <v>40212.666666666599</v>
      </c>
      <c r="B1282" s="1">
        <f ca="1">IFERROR(__xludf.DUMMYFUNCTION("""COMPUTED_VALUE"""),5.96)</f>
        <v>5.96</v>
      </c>
    </row>
    <row r="1283" spans="1:2">
      <c r="A1283" s="3">
        <f ca="1">IFERROR(__xludf.DUMMYFUNCTION("""COMPUTED_VALUE"""),40213.6666666666)</f>
        <v>40213.666666666599</v>
      </c>
      <c r="B1283" s="1">
        <f ca="1">IFERROR(__xludf.DUMMYFUNCTION("""COMPUTED_VALUE"""),5.8)</f>
        <v>5.8</v>
      </c>
    </row>
    <row r="1284" spans="1:2">
      <c r="A1284" s="3">
        <f ca="1">IFERROR(__xludf.DUMMYFUNCTION("""COMPUTED_VALUE"""),40214.6666666666)</f>
        <v>40214.666666666599</v>
      </c>
      <c r="B1284" s="1">
        <f ca="1">IFERROR(__xludf.DUMMYFUNCTION("""COMPUTED_VALUE"""),5.87)</f>
        <v>5.87</v>
      </c>
    </row>
    <row r="1285" spans="1:2">
      <c r="A1285" s="3">
        <f ca="1">IFERROR(__xludf.DUMMYFUNCTION("""COMPUTED_VALUE"""),40217.6666666666)</f>
        <v>40217.666666666599</v>
      </c>
      <c r="B1285" s="1">
        <f ca="1">IFERROR(__xludf.DUMMYFUNCTION("""COMPUTED_VALUE"""),5.84)</f>
        <v>5.84</v>
      </c>
    </row>
    <row r="1286" spans="1:2">
      <c r="A1286" s="3">
        <f ca="1">IFERROR(__xludf.DUMMYFUNCTION("""COMPUTED_VALUE"""),40218.6666666666)</f>
        <v>40218.666666666599</v>
      </c>
      <c r="B1286" s="1">
        <f ca="1">IFERROR(__xludf.DUMMYFUNCTION("""COMPUTED_VALUE"""),5.9)</f>
        <v>5.9</v>
      </c>
    </row>
    <row r="1287" spans="1:2">
      <c r="A1287" s="3">
        <f ca="1">IFERROR(__xludf.DUMMYFUNCTION("""COMPUTED_VALUE"""),40219.6666666666)</f>
        <v>40219.666666666599</v>
      </c>
      <c r="B1287" s="1">
        <f ca="1">IFERROR(__xludf.DUMMYFUNCTION("""COMPUTED_VALUE"""),5.87)</f>
        <v>5.87</v>
      </c>
    </row>
    <row r="1288" spans="1:2">
      <c r="A1288" s="3">
        <f ca="1">IFERROR(__xludf.DUMMYFUNCTION("""COMPUTED_VALUE"""),40220.6666666666)</f>
        <v>40220.666666666599</v>
      </c>
      <c r="B1288" s="1">
        <f ca="1">IFERROR(__xludf.DUMMYFUNCTION("""COMPUTED_VALUE"""),6)</f>
        <v>6</v>
      </c>
    </row>
    <row r="1289" spans="1:2">
      <c r="A1289" s="3">
        <f ca="1">IFERROR(__xludf.DUMMYFUNCTION("""COMPUTED_VALUE"""),40221.6666666666)</f>
        <v>40221.666666666599</v>
      </c>
      <c r="B1289" s="1">
        <f ca="1">IFERROR(__xludf.DUMMYFUNCTION("""COMPUTED_VALUE"""),5.98)</f>
        <v>5.98</v>
      </c>
    </row>
    <row r="1290" spans="1:2">
      <c r="A1290" s="3">
        <f ca="1">IFERROR(__xludf.DUMMYFUNCTION("""COMPUTED_VALUE"""),40225.6666666666)</f>
        <v>40225.666666666599</v>
      </c>
      <c r="B1290" s="1">
        <f ca="1">IFERROR(__xludf.DUMMYFUNCTION("""COMPUTED_VALUE"""),5.88)</f>
        <v>5.88</v>
      </c>
    </row>
    <row r="1291" spans="1:2">
      <c r="A1291" s="3">
        <f ca="1">IFERROR(__xludf.DUMMYFUNCTION("""COMPUTED_VALUE"""),40226.6666666666)</f>
        <v>40226.666666666599</v>
      </c>
      <c r="B1291" s="1">
        <f ca="1">IFERROR(__xludf.DUMMYFUNCTION("""COMPUTED_VALUE"""),5.82)</f>
        <v>5.82</v>
      </c>
    </row>
    <row r="1292" spans="1:2">
      <c r="A1292" s="3">
        <f ca="1">IFERROR(__xludf.DUMMYFUNCTION("""COMPUTED_VALUE"""),40227.6666666666)</f>
        <v>40227.666666666599</v>
      </c>
      <c r="B1292" s="1">
        <f ca="1">IFERROR(__xludf.DUMMYFUNCTION("""COMPUTED_VALUE"""),5.9)</f>
        <v>5.9</v>
      </c>
    </row>
    <row r="1293" spans="1:2">
      <c r="A1293" s="3">
        <f ca="1">IFERROR(__xludf.DUMMYFUNCTION("""COMPUTED_VALUE"""),40228.6666666666)</f>
        <v>40228.666666666599</v>
      </c>
      <c r="B1293" s="1">
        <f ca="1">IFERROR(__xludf.DUMMYFUNCTION("""COMPUTED_VALUE"""),5.88)</f>
        <v>5.88</v>
      </c>
    </row>
    <row r="1294" spans="1:2">
      <c r="A1294" s="3">
        <f ca="1">IFERROR(__xludf.DUMMYFUNCTION("""COMPUTED_VALUE"""),40231.6666666666)</f>
        <v>40231.666666666599</v>
      </c>
      <c r="B1294" s="1">
        <f ca="1">IFERROR(__xludf.DUMMYFUNCTION("""COMPUTED_VALUE"""),5.9)</f>
        <v>5.9</v>
      </c>
    </row>
    <row r="1295" spans="1:2">
      <c r="A1295" s="3">
        <f ca="1">IFERROR(__xludf.DUMMYFUNCTION("""COMPUTED_VALUE"""),40232.6666666666)</f>
        <v>40232.666666666599</v>
      </c>
      <c r="B1295" s="1">
        <f ca="1">IFERROR(__xludf.DUMMYFUNCTION("""COMPUTED_VALUE"""),5.86)</f>
        <v>5.86</v>
      </c>
    </row>
    <row r="1296" spans="1:2">
      <c r="A1296" s="3">
        <f ca="1">IFERROR(__xludf.DUMMYFUNCTION("""COMPUTED_VALUE"""),40233.6666666666)</f>
        <v>40233.666666666599</v>
      </c>
      <c r="B1296" s="1">
        <f ca="1">IFERROR(__xludf.DUMMYFUNCTION("""COMPUTED_VALUE"""),5.99)</f>
        <v>5.99</v>
      </c>
    </row>
    <row r="1297" spans="1:2">
      <c r="A1297" s="3">
        <f ca="1">IFERROR(__xludf.DUMMYFUNCTION("""COMPUTED_VALUE"""),40234.6666666666)</f>
        <v>40234.666666666599</v>
      </c>
      <c r="B1297" s="1">
        <f ca="1">IFERROR(__xludf.DUMMYFUNCTION("""COMPUTED_VALUE"""),5.91)</f>
        <v>5.91</v>
      </c>
    </row>
    <row r="1298" spans="1:2">
      <c r="A1298" s="3">
        <f ca="1">IFERROR(__xludf.DUMMYFUNCTION("""COMPUTED_VALUE"""),40235.6666666666)</f>
        <v>40235.666666666599</v>
      </c>
      <c r="B1298" s="1">
        <f ca="1">IFERROR(__xludf.DUMMYFUNCTION("""COMPUTED_VALUE"""),5.92)</f>
        <v>5.92</v>
      </c>
    </row>
    <row r="1299" spans="1:2">
      <c r="A1299" s="3">
        <f ca="1">IFERROR(__xludf.DUMMYFUNCTION("""COMPUTED_VALUE"""),40238.6666666666)</f>
        <v>40238.666666666599</v>
      </c>
      <c r="B1299" s="1">
        <f ca="1">IFERROR(__xludf.DUMMYFUNCTION("""COMPUTED_VALUE"""),6.23)</f>
        <v>6.23</v>
      </c>
    </row>
    <row r="1300" spans="1:2">
      <c r="A1300" s="3">
        <f ca="1">IFERROR(__xludf.DUMMYFUNCTION("""COMPUTED_VALUE"""),40239.6666666666)</f>
        <v>40239.666666666599</v>
      </c>
      <c r="B1300" s="1">
        <f ca="1">IFERROR(__xludf.DUMMYFUNCTION("""COMPUTED_VALUE"""),6.28)</f>
        <v>6.28</v>
      </c>
    </row>
    <row r="1301" spans="1:2">
      <c r="A1301" s="3">
        <f ca="1">IFERROR(__xludf.DUMMYFUNCTION("""COMPUTED_VALUE"""),40240.6666666666)</f>
        <v>40240.666666666599</v>
      </c>
      <c r="B1301" s="1">
        <f ca="1">IFERROR(__xludf.DUMMYFUNCTION("""COMPUTED_VALUE"""),6.29)</f>
        <v>6.29</v>
      </c>
    </row>
    <row r="1302" spans="1:2">
      <c r="A1302" s="3">
        <f ca="1">IFERROR(__xludf.DUMMYFUNCTION("""COMPUTED_VALUE"""),40241.6666666666)</f>
        <v>40241.666666666599</v>
      </c>
      <c r="B1302" s="1">
        <f ca="1">IFERROR(__xludf.DUMMYFUNCTION("""COMPUTED_VALUE"""),6.43)</f>
        <v>6.43</v>
      </c>
    </row>
    <row r="1303" spans="1:2">
      <c r="A1303" s="3">
        <f ca="1">IFERROR(__xludf.DUMMYFUNCTION("""COMPUTED_VALUE"""),40242.6666666666)</f>
        <v>40242.666666666599</v>
      </c>
      <c r="B1303" s="1">
        <f ca="1">IFERROR(__xludf.DUMMYFUNCTION("""COMPUTED_VALUE"""),6.45)</f>
        <v>6.45</v>
      </c>
    </row>
    <row r="1304" spans="1:2">
      <c r="A1304" s="3">
        <f ca="1">IFERROR(__xludf.DUMMYFUNCTION("""COMPUTED_VALUE"""),40245.6666666666)</f>
        <v>40245.666666666599</v>
      </c>
      <c r="B1304" s="1">
        <f ca="1">IFERROR(__xludf.DUMMYFUNCTION("""COMPUTED_VALUE"""),6.51)</f>
        <v>6.51</v>
      </c>
    </row>
    <row r="1305" spans="1:2">
      <c r="A1305" s="3">
        <f ca="1">IFERROR(__xludf.DUMMYFUNCTION("""COMPUTED_VALUE"""),40246.6666666666)</f>
        <v>40246.666666666599</v>
      </c>
      <c r="B1305" s="1">
        <f ca="1">IFERROR(__xludf.DUMMYFUNCTION("""COMPUTED_VALUE"""),6.44)</f>
        <v>6.44</v>
      </c>
    </row>
    <row r="1306" spans="1:2">
      <c r="A1306" s="3">
        <f ca="1">IFERROR(__xludf.DUMMYFUNCTION("""COMPUTED_VALUE"""),40247.6666666666)</f>
        <v>40247.666666666599</v>
      </c>
      <c r="B1306" s="1">
        <f ca="1">IFERROR(__xludf.DUMMYFUNCTION("""COMPUTED_VALUE"""),6.53)</f>
        <v>6.53</v>
      </c>
    </row>
    <row r="1307" spans="1:2">
      <c r="A1307" s="3">
        <f ca="1">IFERROR(__xludf.DUMMYFUNCTION("""COMPUTED_VALUE"""),40248.6666666666)</f>
        <v>40248.666666666599</v>
      </c>
      <c r="B1307" s="1">
        <f ca="1">IFERROR(__xludf.DUMMYFUNCTION("""COMPUTED_VALUE"""),6.68)</f>
        <v>6.68</v>
      </c>
    </row>
    <row r="1308" spans="1:2">
      <c r="A1308" s="3">
        <f ca="1">IFERROR(__xludf.DUMMYFUNCTION("""COMPUTED_VALUE"""),40249.6666666666)</f>
        <v>40249.666666666599</v>
      </c>
      <c r="B1308" s="1">
        <f ca="1">IFERROR(__xludf.DUMMYFUNCTION("""COMPUTED_VALUE"""),6.59)</f>
        <v>6.59</v>
      </c>
    </row>
    <row r="1309" spans="1:2">
      <c r="A1309" s="3">
        <f ca="1">IFERROR(__xludf.DUMMYFUNCTION("""COMPUTED_VALUE"""),40252.6666666666)</f>
        <v>40252.666666666599</v>
      </c>
      <c r="B1309" s="1">
        <f ca="1">IFERROR(__xludf.DUMMYFUNCTION("""COMPUTED_VALUE"""),6.56)</f>
        <v>6.56</v>
      </c>
    </row>
    <row r="1310" spans="1:2">
      <c r="A1310" s="3">
        <f ca="1">IFERROR(__xludf.DUMMYFUNCTION("""COMPUTED_VALUE"""),40253.6666666666)</f>
        <v>40253.666666666599</v>
      </c>
      <c r="B1310" s="1">
        <f ca="1">IFERROR(__xludf.DUMMYFUNCTION("""COMPUTED_VALUE"""),6.59)</f>
        <v>6.59</v>
      </c>
    </row>
    <row r="1311" spans="1:2">
      <c r="A1311" s="3">
        <f ca="1">IFERROR(__xludf.DUMMYFUNCTION("""COMPUTED_VALUE"""),40254.6666666666)</f>
        <v>40254.666666666599</v>
      </c>
      <c r="B1311" s="1">
        <f ca="1">IFERROR(__xludf.DUMMYFUNCTION("""COMPUTED_VALUE"""),6.57)</f>
        <v>6.57</v>
      </c>
    </row>
    <row r="1312" spans="1:2">
      <c r="A1312" s="3">
        <f ca="1">IFERROR(__xludf.DUMMYFUNCTION("""COMPUTED_VALUE"""),40255.6666666666)</f>
        <v>40255.666666666599</v>
      </c>
      <c r="B1312" s="1">
        <f ca="1">IFERROR(__xludf.DUMMYFUNCTION("""COMPUTED_VALUE"""),6.64)</f>
        <v>6.64</v>
      </c>
    </row>
    <row r="1313" spans="1:2">
      <c r="A1313" s="3">
        <f ca="1">IFERROR(__xludf.DUMMYFUNCTION("""COMPUTED_VALUE"""),40256.6666666666)</f>
        <v>40256.666666666599</v>
      </c>
      <c r="B1313" s="1">
        <f ca="1">IFERROR(__xludf.DUMMYFUNCTION("""COMPUTED_VALUE"""),6.52)</f>
        <v>6.52</v>
      </c>
    </row>
    <row r="1314" spans="1:2">
      <c r="A1314" s="3">
        <f ca="1">IFERROR(__xludf.DUMMYFUNCTION("""COMPUTED_VALUE"""),40259.6666666666)</f>
        <v>40259.666666666599</v>
      </c>
      <c r="B1314" s="1">
        <f ca="1">IFERROR(__xludf.DUMMYFUNCTION("""COMPUTED_VALUE"""),6.52)</f>
        <v>6.52</v>
      </c>
    </row>
    <row r="1315" spans="1:2">
      <c r="A1315" s="3">
        <f ca="1">IFERROR(__xludf.DUMMYFUNCTION("""COMPUTED_VALUE"""),40260.6666666666)</f>
        <v>40260.666666666599</v>
      </c>
      <c r="B1315" s="1">
        <f ca="1">IFERROR(__xludf.DUMMYFUNCTION("""COMPUTED_VALUE"""),6.46)</f>
        <v>6.46</v>
      </c>
    </row>
    <row r="1316" spans="1:2">
      <c r="A1316" s="3">
        <f ca="1">IFERROR(__xludf.DUMMYFUNCTION("""COMPUTED_VALUE"""),40261.6666666666)</f>
        <v>40261.666666666599</v>
      </c>
      <c r="B1316" s="1">
        <f ca="1">IFERROR(__xludf.DUMMYFUNCTION("""COMPUTED_VALUE"""),6.4)</f>
        <v>6.4</v>
      </c>
    </row>
    <row r="1317" spans="1:2">
      <c r="A1317" s="3">
        <f ca="1">IFERROR(__xludf.DUMMYFUNCTION("""COMPUTED_VALUE"""),40262.6666666666)</f>
        <v>40262.666666666599</v>
      </c>
      <c r="B1317" s="1">
        <f ca="1">IFERROR(__xludf.DUMMYFUNCTION("""COMPUTED_VALUE"""),6.74)</f>
        <v>6.74</v>
      </c>
    </row>
    <row r="1318" spans="1:2">
      <c r="A1318" s="3">
        <f ca="1">IFERROR(__xludf.DUMMYFUNCTION("""COMPUTED_VALUE"""),40263.6666666666)</f>
        <v>40263.666666666599</v>
      </c>
      <c r="B1318" s="1">
        <f ca="1">IFERROR(__xludf.DUMMYFUNCTION("""COMPUTED_VALUE"""),6.75)</f>
        <v>6.75</v>
      </c>
    </row>
    <row r="1319" spans="1:2">
      <c r="A1319" s="3">
        <f ca="1">IFERROR(__xludf.DUMMYFUNCTION("""COMPUTED_VALUE"""),40266.6666666666)</f>
        <v>40266.666666666599</v>
      </c>
      <c r="B1319" s="1">
        <f ca="1">IFERROR(__xludf.DUMMYFUNCTION("""COMPUTED_VALUE"""),6.76)</f>
        <v>6.76</v>
      </c>
    </row>
    <row r="1320" spans="1:2">
      <c r="A1320" s="3">
        <f ca="1">IFERROR(__xludf.DUMMYFUNCTION("""COMPUTED_VALUE"""),40267.6666666666)</f>
        <v>40267.666666666599</v>
      </c>
      <c r="B1320" s="1">
        <f ca="1">IFERROR(__xludf.DUMMYFUNCTION("""COMPUTED_VALUE"""),6.83)</f>
        <v>6.83</v>
      </c>
    </row>
    <row r="1321" spans="1:2">
      <c r="A1321" s="3">
        <f ca="1">IFERROR(__xludf.DUMMYFUNCTION("""COMPUTED_VALUE"""),40268.6666666666)</f>
        <v>40268.666666666599</v>
      </c>
      <c r="B1321" s="1">
        <f ca="1">IFERROR(__xludf.DUMMYFUNCTION("""COMPUTED_VALUE"""),6.79)</f>
        <v>6.79</v>
      </c>
    </row>
    <row r="1322" spans="1:2">
      <c r="A1322" s="3">
        <f ca="1">IFERROR(__xludf.DUMMYFUNCTION("""COMPUTED_VALUE"""),40269.6666666666)</f>
        <v>40269.666666666599</v>
      </c>
      <c r="B1322" s="1">
        <f ca="1">IFERROR(__xludf.DUMMYFUNCTION("""COMPUTED_VALUE"""),6.59)</f>
        <v>6.59</v>
      </c>
    </row>
    <row r="1323" spans="1:2">
      <c r="A1323" s="3">
        <f ca="1">IFERROR(__xludf.DUMMYFUNCTION("""COMPUTED_VALUE"""),40273.6666666666)</f>
        <v>40273.666666666599</v>
      </c>
      <c r="B1323" s="1">
        <f ca="1">IFERROR(__xludf.DUMMYFUNCTION("""COMPUTED_VALUE"""),6.57)</f>
        <v>6.57</v>
      </c>
    </row>
    <row r="1324" spans="1:2">
      <c r="A1324" s="3">
        <f ca="1">IFERROR(__xludf.DUMMYFUNCTION("""COMPUTED_VALUE"""),40274.6666666666)</f>
        <v>40274.666666666599</v>
      </c>
      <c r="B1324" s="1">
        <f ca="1">IFERROR(__xludf.DUMMYFUNCTION("""COMPUTED_VALUE"""),6.78)</f>
        <v>6.78</v>
      </c>
    </row>
    <row r="1325" spans="1:2">
      <c r="A1325" s="3">
        <f ca="1">IFERROR(__xludf.DUMMYFUNCTION("""COMPUTED_VALUE"""),40275.6666666666)</f>
        <v>40275.666666666599</v>
      </c>
      <c r="B1325" s="1">
        <f ca="1">IFERROR(__xludf.DUMMYFUNCTION("""COMPUTED_VALUE"""),6.74)</f>
        <v>6.74</v>
      </c>
    </row>
    <row r="1326" spans="1:2">
      <c r="A1326" s="3">
        <f ca="1">IFERROR(__xludf.DUMMYFUNCTION("""COMPUTED_VALUE"""),40276.6666666666)</f>
        <v>40276.666666666599</v>
      </c>
      <c r="B1326" s="1">
        <f ca="1">IFERROR(__xludf.DUMMYFUNCTION("""COMPUTED_VALUE"""),7.05)</f>
        <v>7.05</v>
      </c>
    </row>
    <row r="1327" spans="1:2">
      <c r="A1327" s="3">
        <f ca="1">IFERROR(__xludf.DUMMYFUNCTION("""COMPUTED_VALUE"""),40277.6666666666)</f>
        <v>40277.666666666599</v>
      </c>
      <c r="B1327" s="1">
        <f ca="1">IFERROR(__xludf.DUMMYFUNCTION("""COMPUTED_VALUE"""),7)</f>
        <v>7</v>
      </c>
    </row>
    <row r="1328" spans="1:2">
      <c r="A1328" s="3">
        <f ca="1">IFERROR(__xludf.DUMMYFUNCTION("""COMPUTED_VALUE"""),40280.6666666666)</f>
        <v>40280.666666666599</v>
      </c>
      <c r="B1328" s="1">
        <f ca="1">IFERROR(__xludf.DUMMYFUNCTION("""COMPUTED_VALUE"""),7.06)</f>
        <v>7.06</v>
      </c>
    </row>
    <row r="1329" spans="1:2">
      <c r="A1329" s="3">
        <f ca="1">IFERROR(__xludf.DUMMYFUNCTION("""COMPUTED_VALUE"""),40281.6666666666)</f>
        <v>40281.666666666599</v>
      </c>
      <c r="B1329" s="1">
        <f ca="1">IFERROR(__xludf.DUMMYFUNCTION("""COMPUTED_VALUE"""),7.01)</f>
        <v>7.01</v>
      </c>
    </row>
    <row r="1330" spans="1:2">
      <c r="A1330" s="3">
        <f ca="1">IFERROR(__xludf.DUMMYFUNCTION("""COMPUTED_VALUE"""),40282.6666666666)</f>
        <v>40282.666666666599</v>
      </c>
      <c r="B1330" s="1">
        <f ca="1">IFERROR(__xludf.DUMMYFUNCTION("""COMPUTED_VALUE"""),7.21)</f>
        <v>7.21</v>
      </c>
    </row>
    <row r="1331" spans="1:2">
      <c r="A1331" s="3">
        <f ca="1">IFERROR(__xludf.DUMMYFUNCTION("""COMPUTED_VALUE"""),40283.6666666666)</f>
        <v>40283.666666666599</v>
      </c>
      <c r="B1331" s="1">
        <f ca="1">IFERROR(__xludf.DUMMYFUNCTION("""COMPUTED_VALUE"""),7.29)</f>
        <v>7.29</v>
      </c>
    </row>
    <row r="1332" spans="1:2">
      <c r="A1332" s="3">
        <f ca="1">IFERROR(__xludf.DUMMYFUNCTION("""COMPUTED_VALUE"""),40284.6666666666)</f>
        <v>40284.666666666599</v>
      </c>
      <c r="B1332" s="1">
        <f ca="1">IFERROR(__xludf.DUMMYFUNCTION("""COMPUTED_VALUE"""),7.11)</f>
        <v>7.11</v>
      </c>
    </row>
    <row r="1333" spans="1:2">
      <c r="A1333" s="3">
        <f ca="1">IFERROR(__xludf.DUMMYFUNCTION("""COMPUTED_VALUE"""),40287.6666666666)</f>
        <v>40287.666666666599</v>
      </c>
      <c r="B1333" s="1">
        <f ca="1">IFERROR(__xludf.DUMMYFUNCTION("""COMPUTED_VALUE"""),7.12)</f>
        <v>7.12</v>
      </c>
    </row>
    <row r="1334" spans="1:2">
      <c r="A1334" s="3">
        <f ca="1">IFERROR(__xludf.DUMMYFUNCTION("""COMPUTED_VALUE"""),40288.6666666666)</f>
        <v>40288.666666666599</v>
      </c>
      <c r="B1334" s="1">
        <f ca="1">IFERROR(__xludf.DUMMYFUNCTION("""COMPUTED_VALUE"""),7.21)</f>
        <v>7.21</v>
      </c>
    </row>
    <row r="1335" spans="1:2">
      <c r="A1335" s="3">
        <f ca="1">IFERROR(__xludf.DUMMYFUNCTION("""COMPUTED_VALUE"""),40289.6666666666)</f>
        <v>40289.666666666599</v>
      </c>
      <c r="B1335" s="1">
        <f ca="1">IFERROR(__xludf.DUMMYFUNCTION("""COMPUTED_VALUE"""),7.32)</f>
        <v>7.32</v>
      </c>
    </row>
    <row r="1336" spans="1:2">
      <c r="A1336" s="3">
        <f ca="1">IFERROR(__xludf.DUMMYFUNCTION("""COMPUTED_VALUE"""),40290.6666666666)</f>
        <v>40290.666666666599</v>
      </c>
      <c r="B1336" s="1">
        <f ca="1">IFERROR(__xludf.DUMMYFUNCTION("""COMPUTED_VALUE"""),7.5)</f>
        <v>7.5</v>
      </c>
    </row>
    <row r="1337" spans="1:2">
      <c r="A1337" s="3">
        <f ca="1">IFERROR(__xludf.DUMMYFUNCTION("""COMPUTED_VALUE"""),40291.6666666666)</f>
        <v>40291.666666666599</v>
      </c>
      <c r="B1337" s="1">
        <f ca="1">IFERROR(__xludf.DUMMYFUNCTION("""COMPUTED_VALUE"""),7.18)</f>
        <v>7.18</v>
      </c>
    </row>
    <row r="1338" spans="1:2">
      <c r="A1338" s="3">
        <f ca="1">IFERROR(__xludf.DUMMYFUNCTION("""COMPUTED_VALUE"""),40294.6666666666)</f>
        <v>40294.666666666599</v>
      </c>
      <c r="B1338" s="1">
        <f ca="1">IFERROR(__xludf.DUMMYFUNCTION("""COMPUTED_VALUE"""),7.36)</f>
        <v>7.36</v>
      </c>
    </row>
    <row r="1339" spans="1:2">
      <c r="A1339" s="3">
        <f ca="1">IFERROR(__xludf.DUMMYFUNCTION("""COMPUTED_VALUE"""),40295.6666666666)</f>
        <v>40295.666666666599</v>
      </c>
      <c r="B1339" s="1">
        <f ca="1">IFERROR(__xludf.DUMMYFUNCTION("""COMPUTED_VALUE"""),7.1)</f>
        <v>7.1</v>
      </c>
    </row>
    <row r="1340" spans="1:2">
      <c r="A1340" s="3">
        <f ca="1">IFERROR(__xludf.DUMMYFUNCTION("""COMPUTED_VALUE"""),40296.6666666666)</f>
        <v>40296.666666666599</v>
      </c>
      <c r="B1340" s="1">
        <f ca="1">IFERROR(__xludf.DUMMYFUNCTION("""COMPUTED_VALUE"""),6.97)</f>
        <v>6.97</v>
      </c>
    </row>
    <row r="1341" spans="1:2">
      <c r="A1341" s="3">
        <f ca="1">IFERROR(__xludf.DUMMYFUNCTION("""COMPUTED_VALUE"""),40297.6666666666)</f>
        <v>40297.666666666599</v>
      </c>
      <c r="B1341" s="1">
        <f ca="1">IFERROR(__xludf.DUMMYFUNCTION("""COMPUTED_VALUE"""),7.09)</f>
        <v>7.09</v>
      </c>
    </row>
    <row r="1342" spans="1:2">
      <c r="A1342" s="3">
        <f ca="1">IFERROR(__xludf.DUMMYFUNCTION("""COMPUTED_VALUE"""),40298.6666666666)</f>
        <v>40298.666666666599</v>
      </c>
      <c r="B1342" s="1">
        <f ca="1">IFERROR(__xludf.DUMMYFUNCTION("""COMPUTED_VALUE"""),6.86)</f>
        <v>6.86</v>
      </c>
    </row>
    <row r="1343" spans="1:2">
      <c r="A1343" s="3">
        <f ca="1">IFERROR(__xludf.DUMMYFUNCTION("""COMPUTED_VALUE"""),40301.6666666666)</f>
        <v>40301.666666666599</v>
      </c>
      <c r="B1343" s="1">
        <f ca="1">IFERROR(__xludf.DUMMYFUNCTION("""COMPUTED_VALUE"""),6.87)</f>
        <v>6.87</v>
      </c>
    </row>
    <row r="1344" spans="1:2">
      <c r="A1344" s="3">
        <f ca="1">IFERROR(__xludf.DUMMYFUNCTION("""COMPUTED_VALUE"""),40302.6666666666)</f>
        <v>40302.666666666599</v>
      </c>
      <c r="B1344" s="1">
        <f ca="1">IFERROR(__xludf.DUMMYFUNCTION("""COMPUTED_VALUE"""),6.49)</f>
        <v>6.49</v>
      </c>
    </row>
    <row r="1345" spans="1:2">
      <c r="A1345" s="3">
        <f ca="1">IFERROR(__xludf.DUMMYFUNCTION("""COMPUTED_VALUE"""),40303.6666666666)</f>
        <v>40303.666666666599</v>
      </c>
      <c r="B1345" s="1">
        <f ca="1">IFERROR(__xludf.DUMMYFUNCTION("""COMPUTED_VALUE"""),6.55)</f>
        <v>6.55</v>
      </c>
    </row>
    <row r="1346" spans="1:2">
      <c r="A1346" s="3">
        <f ca="1">IFERROR(__xludf.DUMMYFUNCTION("""COMPUTED_VALUE"""),40304.6666666666)</f>
        <v>40304.666666666599</v>
      </c>
      <c r="B1346" s="1">
        <f ca="1">IFERROR(__xludf.DUMMYFUNCTION("""COMPUTED_VALUE"""),6.44)</f>
        <v>6.44</v>
      </c>
    </row>
    <row r="1347" spans="1:2">
      <c r="A1347" s="3">
        <f ca="1">IFERROR(__xludf.DUMMYFUNCTION("""COMPUTED_VALUE"""),40305.6666666666)</f>
        <v>40305.666666666599</v>
      </c>
      <c r="B1347" s="1">
        <f ca="1">IFERROR(__xludf.DUMMYFUNCTION("""COMPUTED_VALUE"""),6.25)</f>
        <v>6.25</v>
      </c>
    </row>
    <row r="1348" spans="1:2">
      <c r="A1348" s="3">
        <f ca="1">IFERROR(__xludf.DUMMYFUNCTION("""COMPUTED_VALUE"""),40308.6666666666)</f>
        <v>40308.666666666599</v>
      </c>
      <c r="B1348" s="1">
        <f ca="1">IFERROR(__xludf.DUMMYFUNCTION("""COMPUTED_VALUE"""),6.56)</f>
        <v>6.56</v>
      </c>
    </row>
    <row r="1349" spans="1:2">
      <c r="A1349" s="3">
        <f ca="1">IFERROR(__xludf.DUMMYFUNCTION("""COMPUTED_VALUE"""),40309.6666666666)</f>
        <v>40309.666666666599</v>
      </c>
      <c r="B1349" s="1">
        <f ca="1">IFERROR(__xludf.DUMMYFUNCTION("""COMPUTED_VALUE"""),6.52)</f>
        <v>6.52</v>
      </c>
    </row>
    <row r="1350" spans="1:2">
      <c r="A1350" s="3">
        <f ca="1">IFERROR(__xludf.DUMMYFUNCTION("""COMPUTED_VALUE"""),40310.6666666666)</f>
        <v>40310.666666666599</v>
      </c>
      <c r="B1350" s="1">
        <f ca="1">IFERROR(__xludf.DUMMYFUNCTION("""COMPUTED_VALUE"""),6.69)</f>
        <v>6.69</v>
      </c>
    </row>
    <row r="1351" spans="1:2">
      <c r="A1351" s="3">
        <f ca="1">IFERROR(__xludf.DUMMYFUNCTION("""COMPUTED_VALUE"""),40311.6666666666)</f>
        <v>40311.666666666599</v>
      </c>
      <c r="B1351" s="1">
        <f ca="1">IFERROR(__xludf.DUMMYFUNCTION("""COMPUTED_VALUE"""),6.57)</f>
        <v>6.57</v>
      </c>
    </row>
    <row r="1352" spans="1:2">
      <c r="A1352" s="3">
        <f ca="1">IFERROR(__xludf.DUMMYFUNCTION("""COMPUTED_VALUE"""),40312.6666666666)</f>
        <v>40312.666666666599</v>
      </c>
      <c r="B1352" s="1">
        <f ca="1">IFERROR(__xludf.DUMMYFUNCTION("""COMPUTED_VALUE"""),6.43)</f>
        <v>6.43</v>
      </c>
    </row>
    <row r="1353" spans="1:2">
      <c r="A1353" s="3">
        <f ca="1">IFERROR(__xludf.DUMMYFUNCTION("""COMPUTED_VALUE"""),40315.6666666666)</f>
        <v>40315.666666666599</v>
      </c>
      <c r="B1353" s="1">
        <f ca="1">IFERROR(__xludf.DUMMYFUNCTION("""COMPUTED_VALUE"""),6.45)</f>
        <v>6.45</v>
      </c>
    </row>
    <row r="1354" spans="1:2">
      <c r="A1354" s="3">
        <f ca="1">IFERROR(__xludf.DUMMYFUNCTION("""COMPUTED_VALUE"""),40316.6666666666)</f>
        <v>40316.666666666599</v>
      </c>
      <c r="B1354" s="1">
        <f ca="1">IFERROR(__xludf.DUMMYFUNCTION("""COMPUTED_VALUE"""),6.31)</f>
        <v>6.31</v>
      </c>
    </row>
    <row r="1355" spans="1:2">
      <c r="A1355" s="3">
        <f ca="1">IFERROR(__xludf.DUMMYFUNCTION("""COMPUTED_VALUE"""),40317.6666666666)</f>
        <v>40317.666666666599</v>
      </c>
      <c r="B1355" s="1">
        <f ca="1">IFERROR(__xludf.DUMMYFUNCTION("""COMPUTED_VALUE"""),6.23)</f>
        <v>6.23</v>
      </c>
    </row>
    <row r="1356" spans="1:2">
      <c r="A1356" s="3">
        <f ca="1">IFERROR(__xludf.DUMMYFUNCTION("""COMPUTED_VALUE"""),40318.6666666666)</f>
        <v>40318.666666666599</v>
      </c>
      <c r="B1356" s="1">
        <f ca="1">IFERROR(__xludf.DUMMYFUNCTION("""COMPUTED_VALUE"""),5.99)</f>
        <v>5.99</v>
      </c>
    </row>
    <row r="1357" spans="1:2">
      <c r="A1357" s="3">
        <f ca="1">IFERROR(__xludf.DUMMYFUNCTION("""COMPUTED_VALUE"""),40319.6666666666)</f>
        <v>40319.666666666599</v>
      </c>
      <c r="B1357" s="1">
        <f ca="1">IFERROR(__xludf.DUMMYFUNCTION("""COMPUTED_VALUE"""),6.14)</f>
        <v>6.14</v>
      </c>
    </row>
    <row r="1358" spans="1:2">
      <c r="A1358" s="3">
        <f ca="1">IFERROR(__xludf.DUMMYFUNCTION("""COMPUTED_VALUE"""),40322.6666666666)</f>
        <v>40322.666666666599</v>
      </c>
      <c r="B1358" s="1">
        <f ca="1">IFERROR(__xludf.DUMMYFUNCTION("""COMPUTED_VALUE"""),6.11)</f>
        <v>6.11</v>
      </c>
    </row>
    <row r="1359" spans="1:2">
      <c r="A1359" s="3">
        <f ca="1">IFERROR(__xludf.DUMMYFUNCTION("""COMPUTED_VALUE"""),40323.6666666666)</f>
        <v>40323.666666666599</v>
      </c>
      <c r="B1359" s="1">
        <f ca="1">IFERROR(__xludf.DUMMYFUNCTION("""COMPUTED_VALUE"""),6.24)</f>
        <v>6.24</v>
      </c>
    </row>
    <row r="1360" spans="1:2">
      <c r="A1360" s="3">
        <f ca="1">IFERROR(__xludf.DUMMYFUNCTION("""COMPUTED_VALUE"""),40324.6666666666)</f>
        <v>40324.666666666599</v>
      </c>
      <c r="B1360" s="1">
        <f ca="1">IFERROR(__xludf.DUMMYFUNCTION("""COMPUTED_VALUE"""),6.16)</f>
        <v>6.16</v>
      </c>
    </row>
    <row r="1361" spans="1:2">
      <c r="A1361" s="3">
        <f ca="1">IFERROR(__xludf.DUMMYFUNCTION("""COMPUTED_VALUE"""),40325.6666666666)</f>
        <v>40325.666666666599</v>
      </c>
      <c r="B1361" s="1">
        <f ca="1">IFERROR(__xludf.DUMMYFUNCTION("""COMPUTED_VALUE"""),6.34)</f>
        <v>6.34</v>
      </c>
    </row>
    <row r="1362" spans="1:2">
      <c r="A1362" s="3">
        <f ca="1">IFERROR(__xludf.DUMMYFUNCTION("""COMPUTED_VALUE"""),40326.6666666666)</f>
        <v>40326.666666666599</v>
      </c>
      <c r="B1362" s="1">
        <f ca="1">IFERROR(__xludf.DUMMYFUNCTION("""COMPUTED_VALUE"""),6.27)</f>
        <v>6.27</v>
      </c>
    </row>
    <row r="1363" spans="1:2">
      <c r="A1363" s="3">
        <f ca="1">IFERROR(__xludf.DUMMYFUNCTION("""COMPUTED_VALUE"""),40330.6666666666)</f>
        <v>40330.666666666599</v>
      </c>
      <c r="B1363" s="1">
        <f ca="1">IFERROR(__xludf.DUMMYFUNCTION("""COMPUTED_VALUE"""),6.16)</f>
        <v>6.16</v>
      </c>
    </row>
    <row r="1364" spans="1:2">
      <c r="A1364" s="3">
        <f ca="1">IFERROR(__xludf.DUMMYFUNCTION("""COMPUTED_VALUE"""),40331.6666666666)</f>
        <v>40331.666666666599</v>
      </c>
      <c r="B1364" s="1">
        <f ca="1">IFERROR(__xludf.DUMMYFUNCTION("""COMPUTED_VALUE"""),6.32)</f>
        <v>6.32</v>
      </c>
    </row>
    <row r="1365" spans="1:2">
      <c r="A1365" s="3">
        <f ca="1">IFERROR(__xludf.DUMMYFUNCTION("""COMPUTED_VALUE"""),40332.6666666666)</f>
        <v>40332.666666666599</v>
      </c>
      <c r="B1365" s="1">
        <f ca="1">IFERROR(__xludf.DUMMYFUNCTION("""COMPUTED_VALUE"""),6.44)</f>
        <v>6.44</v>
      </c>
    </row>
    <row r="1366" spans="1:2">
      <c r="A1366" s="3">
        <f ca="1">IFERROR(__xludf.DUMMYFUNCTION("""COMPUTED_VALUE"""),40333.6666666666)</f>
        <v>40333.666666666599</v>
      </c>
      <c r="B1366" s="1">
        <f ca="1">IFERROR(__xludf.DUMMYFUNCTION("""COMPUTED_VALUE"""),6.14)</f>
        <v>6.14</v>
      </c>
    </row>
    <row r="1367" spans="1:2">
      <c r="A1367" s="3">
        <f ca="1">IFERROR(__xludf.DUMMYFUNCTION("""COMPUTED_VALUE"""),40336.6666666666)</f>
        <v>40336.666666666599</v>
      </c>
      <c r="B1367" s="1">
        <f ca="1">IFERROR(__xludf.DUMMYFUNCTION("""COMPUTED_VALUE"""),6.1)</f>
        <v>6.1</v>
      </c>
    </row>
    <row r="1368" spans="1:2">
      <c r="A1368" s="3">
        <f ca="1">IFERROR(__xludf.DUMMYFUNCTION("""COMPUTED_VALUE"""),40337.6666666666)</f>
        <v>40337.666666666599</v>
      </c>
      <c r="B1368" s="1">
        <f ca="1">IFERROR(__xludf.DUMMYFUNCTION("""COMPUTED_VALUE"""),5.94)</f>
        <v>5.94</v>
      </c>
    </row>
    <row r="1369" spans="1:2">
      <c r="A1369" s="3">
        <f ca="1">IFERROR(__xludf.DUMMYFUNCTION("""COMPUTED_VALUE"""),40338.6666666666)</f>
        <v>40338.666666666599</v>
      </c>
      <c r="B1369" s="1">
        <f ca="1">IFERROR(__xludf.DUMMYFUNCTION("""COMPUTED_VALUE"""),5.9)</f>
        <v>5.9</v>
      </c>
    </row>
    <row r="1370" spans="1:2">
      <c r="A1370" s="3">
        <f ca="1">IFERROR(__xludf.DUMMYFUNCTION("""COMPUTED_VALUE"""),40339.6666666666)</f>
        <v>40339.666666666599</v>
      </c>
      <c r="B1370" s="1">
        <f ca="1">IFERROR(__xludf.DUMMYFUNCTION("""COMPUTED_VALUE"""),6.16)</f>
        <v>6.16</v>
      </c>
    </row>
    <row r="1371" spans="1:2">
      <c r="A1371" s="3">
        <f ca="1">IFERROR(__xludf.DUMMYFUNCTION("""COMPUTED_VALUE"""),40340.6666666666)</f>
        <v>40340.666666666599</v>
      </c>
      <c r="B1371" s="1">
        <f ca="1">IFERROR(__xludf.DUMMYFUNCTION("""COMPUTED_VALUE"""),6.15)</f>
        <v>6.15</v>
      </c>
    </row>
    <row r="1372" spans="1:2">
      <c r="A1372" s="3">
        <f ca="1">IFERROR(__xludf.DUMMYFUNCTION("""COMPUTED_VALUE"""),40343.6666666666)</f>
        <v>40343.666666666599</v>
      </c>
      <c r="B1372" s="1">
        <f ca="1">IFERROR(__xludf.DUMMYFUNCTION("""COMPUTED_VALUE"""),6.19)</f>
        <v>6.19</v>
      </c>
    </row>
    <row r="1373" spans="1:2">
      <c r="A1373" s="3">
        <f ca="1">IFERROR(__xludf.DUMMYFUNCTION("""COMPUTED_VALUE"""),40344.6666666666)</f>
        <v>40344.666666666599</v>
      </c>
      <c r="B1373" s="1">
        <f ca="1">IFERROR(__xludf.DUMMYFUNCTION("""COMPUTED_VALUE"""),6.34)</f>
        <v>6.34</v>
      </c>
    </row>
    <row r="1374" spans="1:2">
      <c r="A1374" s="3">
        <f ca="1">IFERROR(__xludf.DUMMYFUNCTION("""COMPUTED_VALUE"""),40345.6666666666)</f>
        <v>40345.666666666599</v>
      </c>
      <c r="B1374" s="1">
        <f ca="1">IFERROR(__xludf.DUMMYFUNCTION("""COMPUTED_VALUE"""),6.35)</f>
        <v>6.35</v>
      </c>
    </row>
    <row r="1375" spans="1:2">
      <c r="A1375" s="3">
        <f ca="1">IFERROR(__xludf.DUMMYFUNCTION("""COMPUTED_VALUE"""),40346.6666666666)</f>
        <v>40346.666666666599</v>
      </c>
      <c r="B1375" s="1">
        <f ca="1">IFERROR(__xludf.DUMMYFUNCTION("""COMPUTED_VALUE"""),6.29)</f>
        <v>6.29</v>
      </c>
    </row>
    <row r="1376" spans="1:2">
      <c r="A1376" s="3">
        <f ca="1">IFERROR(__xludf.DUMMYFUNCTION("""COMPUTED_VALUE"""),40347.6666666666)</f>
        <v>40347.666666666599</v>
      </c>
      <c r="B1376" s="1">
        <f ca="1">IFERROR(__xludf.DUMMYFUNCTION("""COMPUTED_VALUE"""),6.29)</f>
        <v>6.29</v>
      </c>
    </row>
    <row r="1377" spans="1:2">
      <c r="A1377" s="3">
        <f ca="1">IFERROR(__xludf.DUMMYFUNCTION("""COMPUTED_VALUE"""),40350.6666666666)</f>
        <v>40350.666666666599</v>
      </c>
      <c r="B1377" s="1">
        <f ca="1">IFERROR(__xludf.DUMMYFUNCTION("""COMPUTED_VALUE"""),6.13)</f>
        <v>6.13</v>
      </c>
    </row>
    <row r="1378" spans="1:2">
      <c r="A1378" s="3">
        <f ca="1">IFERROR(__xludf.DUMMYFUNCTION("""COMPUTED_VALUE"""),40351.6666666666)</f>
        <v>40351.666666666599</v>
      </c>
      <c r="B1378" s="1">
        <f ca="1">IFERROR(__xludf.DUMMYFUNCTION("""COMPUTED_VALUE"""),6.12)</f>
        <v>6.12</v>
      </c>
    </row>
    <row r="1379" spans="1:2">
      <c r="A1379" s="3">
        <f ca="1">IFERROR(__xludf.DUMMYFUNCTION("""COMPUTED_VALUE"""),40352.6666666666)</f>
        <v>40352.666666666599</v>
      </c>
      <c r="B1379" s="1">
        <f ca="1">IFERROR(__xludf.DUMMYFUNCTION("""COMPUTED_VALUE"""),6.07)</f>
        <v>6.07</v>
      </c>
    </row>
    <row r="1380" spans="1:2">
      <c r="A1380" s="3">
        <f ca="1">IFERROR(__xludf.DUMMYFUNCTION("""COMPUTED_VALUE"""),40353.6666666666)</f>
        <v>40353.666666666599</v>
      </c>
      <c r="B1380" s="1">
        <f ca="1">IFERROR(__xludf.DUMMYFUNCTION("""COMPUTED_VALUE"""),5.92)</f>
        <v>5.92</v>
      </c>
    </row>
    <row r="1381" spans="1:2">
      <c r="A1381" s="3">
        <f ca="1">IFERROR(__xludf.DUMMYFUNCTION("""COMPUTED_VALUE"""),40354.6666666666)</f>
        <v>40354.666666666599</v>
      </c>
      <c r="B1381" s="1">
        <f ca="1">IFERROR(__xludf.DUMMYFUNCTION("""COMPUTED_VALUE"""),6.05)</f>
        <v>6.05</v>
      </c>
    </row>
    <row r="1382" spans="1:2">
      <c r="A1382" s="3">
        <f ca="1">IFERROR(__xludf.DUMMYFUNCTION("""COMPUTED_VALUE"""),40357.6666666666)</f>
        <v>40357.666666666599</v>
      </c>
      <c r="B1382" s="1">
        <f ca="1">IFERROR(__xludf.DUMMYFUNCTION("""COMPUTED_VALUE"""),5.89)</f>
        <v>5.89</v>
      </c>
    </row>
    <row r="1383" spans="1:2">
      <c r="A1383" s="3">
        <f ca="1">IFERROR(__xludf.DUMMYFUNCTION("""COMPUTED_VALUE"""),40358.6666666666)</f>
        <v>40358.666666666599</v>
      </c>
      <c r="B1383" s="1">
        <f ca="1">IFERROR(__xludf.DUMMYFUNCTION("""COMPUTED_VALUE"""),5.43)</f>
        <v>5.43</v>
      </c>
    </row>
    <row r="1384" spans="1:2">
      <c r="A1384" s="3">
        <f ca="1">IFERROR(__xludf.DUMMYFUNCTION("""COMPUTED_VALUE"""),40359.6666666666)</f>
        <v>40359.666666666599</v>
      </c>
      <c r="B1384" s="1">
        <f ca="1">IFERROR(__xludf.DUMMYFUNCTION("""COMPUTED_VALUE"""),5.46)</f>
        <v>5.46</v>
      </c>
    </row>
    <row r="1385" spans="1:2">
      <c r="A1385" s="3">
        <f ca="1">IFERROR(__xludf.DUMMYFUNCTION("""COMPUTED_VALUE"""),40360.6666666666)</f>
        <v>40360.666666666599</v>
      </c>
      <c r="B1385" s="1">
        <f ca="1">IFERROR(__xludf.DUMMYFUNCTION("""COMPUTED_VALUE"""),5.55)</f>
        <v>5.55</v>
      </c>
    </row>
    <row r="1386" spans="1:2">
      <c r="A1386" s="3">
        <f ca="1">IFERROR(__xludf.DUMMYFUNCTION("""COMPUTED_VALUE"""),40361.6666666666)</f>
        <v>40361.666666666599</v>
      </c>
      <c r="B1386" s="1">
        <f ca="1">IFERROR(__xludf.DUMMYFUNCTION("""COMPUTED_VALUE"""),5.46)</f>
        <v>5.46</v>
      </c>
    </row>
    <row r="1387" spans="1:2">
      <c r="A1387" s="3">
        <f ca="1">IFERROR(__xludf.DUMMYFUNCTION("""COMPUTED_VALUE"""),40365.6666666666)</f>
        <v>40365.666666666599</v>
      </c>
      <c r="B1387" s="1">
        <f ca="1">IFERROR(__xludf.DUMMYFUNCTION("""COMPUTED_VALUE"""),5.5)</f>
        <v>5.5</v>
      </c>
    </row>
    <row r="1388" spans="1:2">
      <c r="A1388" s="3">
        <f ca="1">IFERROR(__xludf.DUMMYFUNCTION("""COMPUTED_VALUE"""),40366.6666666666)</f>
        <v>40366.666666666599</v>
      </c>
      <c r="B1388" s="1">
        <f ca="1">IFERROR(__xludf.DUMMYFUNCTION("""COMPUTED_VALUE"""),5.67)</f>
        <v>5.67</v>
      </c>
    </row>
    <row r="1389" spans="1:2">
      <c r="A1389" s="3">
        <f ca="1">IFERROR(__xludf.DUMMYFUNCTION("""COMPUTED_VALUE"""),40367.6666666666)</f>
        <v>40367.666666666599</v>
      </c>
      <c r="B1389" s="1">
        <f ca="1">IFERROR(__xludf.DUMMYFUNCTION("""COMPUTED_VALUE"""),5.81)</f>
        <v>5.81</v>
      </c>
    </row>
    <row r="1390" spans="1:2">
      <c r="A1390" s="3">
        <f ca="1">IFERROR(__xludf.DUMMYFUNCTION("""COMPUTED_VALUE"""),40368.6666666666)</f>
        <v>40368.666666666599</v>
      </c>
      <c r="B1390" s="1">
        <f ca="1">IFERROR(__xludf.DUMMYFUNCTION("""COMPUTED_VALUE"""),5.86)</f>
        <v>5.86</v>
      </c>
    </row>
    <row r="1391" spans="1:2">
      <c r="A1391" s="3">
        <f ca="1">IFERROR(__xludf.DUMMYFUNCTION("""COMPUTED_VALUE"""),40371.6666666666)</f>
        <v>40371.666666666599</v>
      </c>
      <c r="B1391" s="1">
        <f ca="1">IFERROR(__xludf.DUMMYFUNCTION("""COMPUTED_VALUE"""),5.98)</f>
        <v>5.98</v>
      </c>
    </row>
    <row r="1392" spans="1:2">
      <c r="A1392" s="3">
        <f ca="1">IFERROR(__xludf.DUMMYFUNCTION("""COMPUTED_VALUE"""),40372.6666666666)</f>
        <v>40372.666666666599</v>
      </c>
      <c r="B1392" s="1">
        <f ca="1">IFERROR(__xludf.DUMMYFUNCTION("""COMPUTED_VALUE"""),6.18)</f>
        <v>6.18</v>
      </c>
    </row>
    <row r="1393" spans="1:2">
      <c r="A1393" s="3">
        <f ca="1">IFERROR(__xludf.DUMMYFUNCTION("""COMPUTED_VALUE"""),40373.6666666666)</f>
        <v>40373.666666666599</v>
      </c>
      <c r="B1393" s="1">
        <f ca="1">IFERROR(__xludf.DUMMYFUNCTION("""COMPUTED_VALUE"""),6.17)</f>
        <v>6.17</v>
      </c>
    </row>
    <row r="1394" spans="1:2">
      <c r="A1394" s="3">
        <f ca="1">IFERROR(__xludf.DUMMYFUNCTION("""COMPUTED_VALUE"""),40374.6666666666)</f>
        <v>40374.666666666599</v>
      </c>
      <c r="B1394" s="1">
        <f ca="1">IFERROR(__xludf.DUMMYFUNCTION("""COMPUTED_VALUE"""),6.1)</f>
        <v>6.1</v>
      </c>
    </row>
    <row r="1395" spans="1:2">
      <c r="A1395" s="3">
        <f ca="1">IFERROR(__xludf.DUMMYFUNCTION("""COMPUTED_VALUE"""),40375.6666666666)</f>
        <v>40375.666666666599</v>
      </c>
      <c r="B1395" s="1">
        <f ca="1">IFERROR(__xludf.DUMMYFUNCTION("""COMPUTED_VALUE"""),5.92)</f>
        <v>5.92</v>
      </c>
    </row>
    <row r="1396" spans="1:2">
      <c r="A1396" s="3">
        <f ca="1">IFERROR(__xludf.DUMMYFUNCTION("""COMPUTED_VALUE"""),40378.6666666666)</f>
        <v>40378.666666666599</v>
      </c>
      <c r="B1396" s="1">
        <f ca="1">IFERROR(__xludf.DUMMYFUNCTION("""COMPUTED_VALUE"""),6)</f>
        <v>6</v>
      </c>
    </row>
    <row r="1397" spans="1:2">
      <c r="A1397" s="3">
        <f ca="1">IFERROR(__xludf.DUMMYFUNCTION("""COMPUTED_VALUE"""),40379.6666666666)</f>
        <v>40379.666666666599</v>
      </c>
      <c r="B1397" s="1">
        <f ca="1">IFERROR(__xludf.DUMMYFUNCTION("""COMPUTED_VALUE"""),6.01)</f>
        <v>6.01</v>
      </c>
    </row>
    <row r="1398" spans="1:2">
      <c r="A1398" s="3">
        <f ca="1">IFERROR(__xludf.DUMMYFUNCTION("""COMPUTED_VALUE"""),40380.6666666666)</f>
        <v>40380.666666666599</v>
      </c>
      <c r="B1398" s="1">
        <f ca="1">IFERROR(__xludf.DUMMYFUNCTION("""COMPUTED_VALUE"""),5.87)</f>
        <v>5.87</v>
      </c>
    </row>
    <row r="1399" spans="1:2">
      <c r="A1399" s="3">
        <f ca="1">IFERROR(__xludf.DUMMYFUNCTION("""COMPUTED_VALUE"""),40381.6666666666)</f>
        <v>40381.666666666599</v>
      </c>
      <c r="B1399" s="1">
        <f ca="1">IFERROR(__xludf.DUMMYFUNCTION("""COMPUTED_VALUE"""),6)</f>
        <v>6</v>
      </c>
    </row>
    <row r="1400" spans="1:2">
      <c r="A1400" s="3">
        <f ca="1">IFERROR(__xludf.DUMMYFUNCTION("""COMPUTED_VALUE"""),40382.6666666666)</f>
        <v>40382.666666666599</v>
      </c>
      <c r="B1400" s="1">
        <f ca="1">IFERROR(__xludf.DUMMYFUNCTION("""COMPUTED_VALUE"""),5.94)</f>
        <v>5.94</v>
      </c>
    </row>
    <row r="1401" spans="1:2">
      <c r="A1401" s="3">
        <f ca="1">IFERROR(__xludf.DUMMYFUNCTION("""COMPUTED_VALUE"""),40385.6666666666)</f>
        <v>40385.666666666599</v>
      </c>
      <c r="B1401" s="1">
        <f ca="1">IFERROR(__xludf.DUMMYFUNCTION("""COMPUTED_VALUE"""),5.92)</f>
        <v>5.92</v>
      </c>
    </row>
    <row r="1402" spans="1:2">
      <c r="A1402" s="3">
        <f ca="1">IFERROR(__xludf.DUMMYFUNCTION("""COMPUTED_VALUE"""),40386.6666666666)</f>
        <v>40386.666666666599</v>
      </c>
      <c r="B1402" s="1">
        <f ca="1">IFERROR(__xludf.DUMMYFUNCTION("""COMPUTED_VALUE"""),5.86)</f>
        <v>5.86</v>
      </c>
    </row>
    <row r="1403" spans="1:2">
      <c r="A1403" s="3">
        <f ca="1">IFERROR(__xludf.DUMMYFUNCTION("""COMPUTED_VALUE"""),40387.6666666666)</f>
        <v>40387.666666666599</v>
      </c>
      <c r="B1403" s="1">
        <f ca="1">IFERROR(__xludf.DUMMYFUNCTION("""COMPUTED_VALUE"""),5.86)</f>
        <v>5.86</v>
      </c>
    </row>
    <row r="1404" spans="1:2">
      <c r="A1404" s="3">
        <f ca="1">IFERROR(__xludf.DUMMYFUNCTION("""COMPUTED_VALUE"""),40388.6666666666)</f>
        <v>40388.666666666599</v>
      </c>
      <c r="B1404" s="1">
        <f ca="1">IFERROR(__xludf.DUMMYFUNCTION("""COMPUTED_VALUE"""),5.84)</f>
        <v>5.84</v>
      </c>
    </row>
    <row r="1405" spans="1:2">
      <c r="A1405" s="3">
        <f ca="1">IFERROR(__xludf.DUMMYFUNCTION("""COMPUTED_VALUE"""),40389.6666666666)</f>
        <v>40389.666666666599</v>
      </c>
      <c r="B1405" s="1">
        <f ca="1">IFERROR(__xludf.DUMMYFUNCTION("""COMPUTED_VALUE"""),5.89)</f>
        <v>5.89</v>
      </c>
    </row>
    <row r="1406" spans="1:2">
      <c r="A1406" s="3">
        <f ca="1">IFERROR(__xludf.DUMMYFUNCTION("""COMPUTED_VALUE"""),40392.6666666666)</f>
        <v>40392.666666666599</v>
      </c>
      <c r="B1406" s="1">
        <f ca="1">IFERROR(__xludf.DUMMYFUNCTION("""COMPUTED_VALUE"""),6)</f>
        <v>6</v>
      </c>
    </row>
    <row r="1407" spans="1:2">
      <c r="A1407" s="3">
        <f ca="1">IFERROR(__xludf.DUMMYFUNCTION("""COMPUTED_VALUE"""),40393.6666666666)</f>
        <v>40393.666666666599</v>
      </c>
      <c r="B1407" s="1">
        <f ca="1">IFERROR(__xludf.DUMMYFUNCTION("""COMPUTED_VALUE"""),6.12)</f>
        <v>6.12</v>
      </c>
    </row>
    <row r="1408" spans="1:2">
      <c r="A1408" s="3">
        <f ca="1">IFERROR(__xludf.DUMMYFUNCTION("""COMPUTED_VALUE"""),40394.6666666666)</f>
        <v>40394.666666666599</v>
      </c>
      <c r="B1408" s="1">
        <f ca="1">IFERROR(__xludf.DUMMYFUNCTION("""COMPUTED_VALUE"""),6.38)</f>
        <v>6.38</v>
      </c>
    </row>
    <row r="1409" spans="1:2">
      <c r="A1409" s="3">
        <f ca="1">IFERROR(__xludf.DUMMYFUNCTION("""COMPUTED_VALUE"""),40395.6666666666)</f>
        <v>40395.666666666599</v>
      </c>
      <c r="B1409" s="1">
        <f ca="1">IFERROR(__xludf.DUMMYFUNCTION("""COMPUTED_VALUE"""),6.39)</f>
        <v>6.39</v>
      </c>
    </row>
    <row r="1410" spans="1:2">
      <c r="A1410" s="3">
        <f ca="1">IFERROR(__xludf.DUMMYFUNCTION("""COMPUTED_VALUE"""),40396.6666666666)</f>
        <v>40396.666666666599</v>
      </c>
      <c r="B1410" s="1">
        <f ca="1">IFERROR(__xludf.DUMMYFUNCTION("""COMPUTED_VALUE"""),6.42)</f>
        <v>6.42</v>
      </c>
    </row>
    <row r="1411" spans="1:2">
      <c r="A1411" s="3">
        <f ca="1">IFERROR(__xludf.DUMMYFUNCTION("""COMPUTED_VALUE"""),40399.6666666666)</f>
        <v>40399.666666666599</v>
      </c>
      <c r="B1411" s="1">
        <f ca="1">IFERROR(__xludf.DUMMYFUNCTION("""COMPUTED_VALUE"""),6.44)</f>
        <v>6.44</v>
      </c>
    </row>
    <row r="1412" spans="1:2">
      <c r="A1412" s="3">
        <f ca="1">IFERROR(__xludf.DUMMYFUNCTION("""COMPUTED_VALUE"""),40400.6666666666)</f>
        <v>40400.666666666599</v>
      </c>
      <c r="B1412" s="1">
        <f ca="1">IFERROR(__xludf.DUMMYFUNCTION("""COMPUTED_VALUE"""),6.5)</f>
        <v>6.5</v>
      </c>
    </row>
    <row r="1413" spans="1:2">
      <c r="A1413" s="3">
        <f ca="1">IFERROR(__xludf.DUMMYFUNCTION("""COMPUTED_VALUE"""),40401.6666666666)</f>
        <v>40401.666666666599</v>
      </c>
      <c r="B1413" s="1">
        <f ca="1">IFERROR(__xludf.DUMMYFUNCTION("""COMPUTED_VALUE"""),6.29)</f>
        <v>6.29</v>
      </c>
    </row>
    <row r="1414" spans="1:2">
      <c r="A1414" s="3">
        <f ca="1">IFERROR(__xludf.DUMMYFUNCTION("""COMPUTED_VALUE"""),40402.6666666666)</f>
        <v>40402.666666666599</v>
      </c>
      <c r="B1414" s="1">
        <f ca="1">IFERROR(__xludf.DUMMYFUNCTION("""COMPUTED_VALUE"""),6.33)</f>
        <v>6.33</v>
      </c>
    </row>
    <row r="1415" spans="1:2">
      <c r="A1415" s="3">
        <f ca="1">IFERROR(__xludf.DUMMYFUNCTION("""COMPUTED_VALUE"""),40403.6666666666)</f>
        <v>40403.666666666599</v>
      </c>
      <c r="B1415" s="1">
        <f ca="1">IFERROR(__xludf.DUMMYFUNCTION("""COMPUTED_VALUE"""),6.23)</f>
        <v>6.23</v>
      </c>
    </row>
    <row r="1416" spans="1:2">
      <c r="A1416" s="3">
        <f ca="1">IFERROR(__xludf.DUMMYFUNCTION("""COMPUTED_VALUE"""),40406.6666666666)</f>
        <v>40406.666666666599</v>
      </c>
      <c r="B1416" s="1">
        <f ca="1">IFERROR(__xludf.DUMMYFUNCTION("""COMPUTED_VALUE"""),6.3)</f>
        <v>6.3</v>
      </c>
    </row>
    <row r="1417" spans="1:2">
      <c r="A1417" s="3">
        <f ca="1">IFERROR(__xludf.DUMMYFUNCTION("""COMPUTED_VALUE"""),40407.6666666666)</f>
        <v>40407.666666666599</v>
      </c>
      <c r="B1417" s="1">
        <f ca="1">IFERROR(__xludf.DUMMYFUNCTION("""COMPUTED_VALUE"""),6.44)</f>
        <v>6.44</v>
      </c>
    </row>
    <row r="1418" spans="1:2">
      <c r="A1418" s="3">
        <f ca="1">IFERROR(__xludf.DUMMYFUNCTION("""COMPUTED_VALUE"""),40408.6666666666)</f>
        <v>40408.666666666599</v>
      </c>
      <c r="B1418" s="1">
        <f ca="1">IFERROR(__xludf.DUMMYFUNCTION("""COMPUTED_VALUE"""),6.48)</f>
        <v>6.48</v>
      </c>
    </row>
    <row r="1419" spans="1:2">
      <c r="A1419" s="3">
        <f ca="1">IFERROR(__xludf.DUMMYFUNCTION("""COMPUTED_VALUE"""),40409.6666666666)</f>
        <v>40409.666666666599</v>
      </c>
      <c r="B1419" s="1">
        <f ca="1">IFERROR(__xludf.DUMMYFUNCTION("""COMPUTED_VALUE"""),6.38)</f>
        <v>6.38</v>
      </c>
    </row>
    <row r="1420" spans="1:2">
      <c r="A1420" s="3">
        <f ca="1">IFERROR(__xludf.DUMMYFUNCTION("""COMPUTED_VALUE"""),40410.6666666666)</f>
        <v>40410.666666666599</v>
      </c>
      <c r="B1420" s="1">
        <f ca="1">IFERROR(__xludf.DUMMYFUNCTION("""COMPUTED_VALUE"""),6.39)</f>
        <v>6.39</v>
      </c>
    </row>
    <row r="1421" spans="1:2">
      <c r="A1421" s="3">
        <f ca="1">IFERROR(__xludf.DUMMYFUNCTION("""COMPUTED_VALUE"""),40413.6666666666)</f>
        <v>40413.666666666599</v>
      </c>
      <c r="B1421" s="1">
        <f ca="1">IFERROR(__xludf.DUMMYFUNCTION("""COMPUTED_VALUE"""),6.33)</f>
        <v>6.33</v>
      </c>
    </row>
    <row r="1422" spans="1:2">
      <c r="A1422" s="3">
        <f ca="1">IFERROR(__xludf.DUMMYFUNCTION("""COMPUTED_VALUE"""),40414.6666666666)</f>
        <v>40414.666666666599</v>
      </c>
      <c r="B1422" s="1">
        <f ca="1">IFERROR(__xludf.DUMMYFUNCTION("""COMPUTED_VALUE"""),6.23)</f>
        <v>6.23</v>
      </c>
    </row>
    <row r="1423" spans="1:2">
      <c r="A1423" s="3">
        <f ca="1">IFERROR(__xludf.DUMMYFUNCTION("""COMPUTED_VALUE"""),40415.6666666666)</f>
        <v>40415.666666666599</v>
      </c>
      <c r="B1423" s="1">
        <f ca="1">IFERROR(__xludf.DUMMYFUNCTION("""COMPUTED_VALUE"""),6.34)</f>
        <v>6.34</v>
      </c>
    </row>
    <row r="1424" spans="1:2">
      <c r="A1424" s="3">
        <f ca="1">IFERROR(__xludf.DUMMYFUNCTION("""COMPUTED_VALUE"""),40416.6666666666)</f>
        <v>40416.666666666599</v>
      </c>
      <c r="B1424" s="1">
        <f ca="1">IFERROR(__xludf.DUMMYFUNCTION("""COMPUTED_VALUE"""),6.24)</f>
        <v>6.24</v>
      </c>
    </row>
    <row r="1425" spans="1:2">
      <c r="A1425" s="3">
        <f ca="1">IFERROR(__xludf.DUMMYFUNCTION("""COMPUTED_VALUE"""),40417.6666666666)</f>
        <v>40417.666666666599</v>
      </c>
      <c r="B1425" s="1">
        <f ca="1">IFERROR(__xludf.DUMMYFUNCTION("""COMPUTED_VALUE"""),6.33)</f>
        <v>6.33</v>
      </c>
    </row>
    <row r="1426" spans="1:2">
      <c r="A1426" s="3">
        <f ca="1">IFERROR(__xludf.DUMMYFUNCTION("""COMPUTED_VALUE"""),40420.6666666666)</f>
        <v>40420.666666666599</v>
      </c>
      <c r="B1426" s="1">
        <f ca="1">IFERROR(__xludf.DUMMYFUNCTION("""COMPUTED_VALUE"""),6.19)</f>
        <v>6.19</v>
      </c>
    </row>
    <row r="1427" spans="1:2">
      <c r="A1427" s="3">
        <f ca="1">IFERROR(__xludf.DUMMYFUNCTION("""COMPUTED_VALUE"""),40421.6666666666)</f>
        <v>40421.666666666599</v>
      </c>
      <c r="B1427" s="1">
        <f ca="1">IFERROR(__xludf.DUMMYFUNCTION("""COMPUTED_VALUE"""),6.24)</f>
        <v>6.24</v>
      </c>
    </row>
    <row r="1428" spans="1:2">
      <c r="A1428" s="3">
        <f ca="1">IFERROR(__xludf.DUMMYFUNCTION("""COMPUTED_VALUE"""),40422.6666666666)</f>
        <v>40422.666666666599</v>
      </c>
      <c r="B1428" s="1">
        <f ca="1">IFERROR(__xludf.DUMMYFUNCTION("""COMPUTED_VALUE"""),6.62)</f>
        <v>6.62</v>
      </c>
    </row>
    <row r="1429" spans="1:2">
      <c r="A1429" s="3">
        <f ca="1">IFERROR(__xludf.DUMMYFUNCTION("""COMPUTED_VALUE"""),40423.6666666666)</f>
        <v>40423.666666666599</v>
      </c>
      <c r="B1429" s="1">
        <f ca="1">IFERROR(__xludf.DUMMYFUNCTION("""COMPUTED_VALUE"""),6.76)</f>
        <v>6.76</v>
      </c>
    </row>
    <row r="1430" spans="1:2">
      <c r="A1430" s="3">
        <f ca="1">IFERROR(__xludf.DUMMYFUNCTION("""COMPUTED_VALUE"""),40424.6666666666)</f>
        <v>40424.666666666599</v>
      </c>
      <c r="B1430" s="1">
        <f ca="1">IFERROR(__xludf.DUMMYFUNCTION("""COMPUTED_VALUE"""),6.94)</f>
        <v>6.94</v>
      </c>
    </row>
    <row r="1431" spans="1:2">
      <c r="A1431" s="3">
        <f ca="1">IFERROR(__xludf.DUMMYFUNCTION("""COMPUTED_VALUE"""),40428.6666666666)</f>
        <v>40428.666666666599</v>
      </c>
      <c r="B1431" s="1">
        <f ca="1">IFERROR(__xludf.DUMMYFUNCTION("""COMPUTED_VALUE"""),6.86)</f>
        <v>6.86</v>
      </c>
    </row>
    <row r="1432" spans="1:2">
      <c r="A1432" s="3">
        <f ca="1">IFERROR(__xludf.DUMMYFUNCTION("""COMPUTED_VALUE"""),40429.6666666666)</f>
        <v>40429.666666666599</v>
      </c>
      <c r="B1432" s="1">
        <f ca="1">IFERROR(__xludf.DUMMYFUNCTION("""COMPUTED_VALUE"""),6.96)</f>
        <v>6.96</v>
      </c>
    </row>
    <row r="1433" spans="1:2">
      <c r="A1433" s="3">
        <f ca="1">IFERROR(__xludf.DUMMYFUNCTION("""COMPUTED_VALUE"""),40430.6666666666)</f>
        <v>40430.666666666599</v>
      </c>
      <c r="B1433" s="1">
        <f ca="1">IFERROR(__xludf.DUMMYFUNCTION("""COMPUTED_VALUE"""),7.02)</f>
        <v>7.02</v>
      </c>
    </row>
    <row r="1434" spans="1:2">
      <c r="A1434" s="3">
        <f ca="1">IFERROR(__xludf.DUMMYFUNCTION("""COMPUTED_VALUE"""),40431.6666666666)</f>
        <v>40431.666666666599</v>
      </c>
      <c r="B1434" s="1">
        <f ca="1">IFERROR(__xludf.DUMMYFUNCTION("""COMPUTED_VALUE"""),7.12)</f>
        <v>7.12</v>
      </c>
    </row>
    <row r="1435" spans="1:2">
      <c r="A1435" s="3">
        <f ca="1">IFERROR(__xludf.DUMMYFUNCTION("""COMPUTED_VALUE"""),40434.6666666666)</f>
        <v>40434.666666666599</v>
      </c>
      <c r="B1435" s="1">
        <f ca="1">IFERROR(__xludf.DUMMYFUNCTION("""COMPUTED_VALUE"""),7.25)</f>
        <v>7.25</v>
      </c>
    </row>
    <row r="1436" spans="1:2">
      <c r="A1436" s="3">
        <f ca="1">IFERROR(__xludf.DUMMYFUNCTION("""COMPUTED_VALUE"""),40435.6666666666)</f>
        <v>40435.666666666599</v>
      </c>
      <c r="B1436" s="1">
        <f ca="1">IFERROR(__xludf.DUMMYFUNCTION("""COMPUTED_VALUE"""),7.29)</f>
        <v>7.29</v>
      </c>
    </row>
    <row r="1437" spans="1:2">
      <c r="A1437" s="3">
        <f ca="1">IFERROR(__xludf.DUMMYFUNCTION("""COMPUTED_VALUE"""),40436.6666666666)</f>
        <v>40436.666666666599</v>
      </c>
      <c r="B1437" s="1">
        <f ca="1">IFERROR(__xludf.DUMMYFUNCTION("""COMPUTED_VALUE"""),7.27)</f>
        <v>7.27</v>
      </c>
    </row>
    <row r="1438" spans="1:2">
      <c r="A1438" s="3">
        <f ca="1">IFERROR(__xludf.DUMMYFUNCTION("""COMPUTED_VALUE"""),40437.6666666666)</f>
        <v>40437.666666666599</v>
      </c>
      <c r="B1438" s="1">
        <f ca="1">IFERROR(__xludf.DUMMYFUNCTION("""COMPUTED_VALUE"""),7.41)</f>
        <v>7.41</v>
      </c>
    </row>
    <row r="1439" spans="1:2">
      <c r="A1439" s="3">
        <f ca="1">IFERROR(__xludf.DUMMYFUNCTION("""COMPUTED_VALUE"""),40438.6666666666)</f>
        <v>40438.666666666599</v>
      </c>
      <c r="B1439" s="1">
        <f ca="1">IFERROR(__xludf.DUMMYFUNCTION("""COMPUTED_VALUE"""),7.42)</f>
        <v>7.42</v>
      </c>
    </row>
    <row r="1440" spans="1:2">
      <c r="A1440" s="3">
        <f ca="1">IFERROR(__xludf.DUMMYFUNCTION("""COMPUTED_VALUE"""),40441.6666666666)</f>
        <v>40441.666666666599</v>
      </c>
      <c r="B1440" s="1">
        <f ca="1">IFERROR(__xludf.DUMMYFUNCTION("""COMPUTED_VALUE"""),7.57)</f>
        <v>7.57</v>
      </c>
    </row>
    <row r="1441" spans="1:2">
      <c r="A1441" s="3">
        <f ca="1">IFERROR(__xludf.DUMMYFUNCTION("""COMPUTED_VALUE"""),40442.6666666666)</f>
        <v>40442.666666666599</v>
      </c>
      <c r="B1441" s="1">
        <f ca="1">IFERROR(__xludf.DUMMYFUNCTION("""COMPUTED_VALUE"""),7.54)</f>
        <v>7.54</v>
      </c>
    </row>
    <row r="1442" spans="1:2">
      <c r="A1442" s="3">
        <f ca="1">IFERROR(__xludf.DUMMYFUNCTION("""COMPUTED_VALUE"""),40443.6666666666)</f>
        <v>40443.666666666599</v>
      </c>
      <c r="B1442" s="1">
        <f ca="1">IFERROR(__xludf.DUMMYFUNCTION("""COMPUTED_VALUE"""),7.59)</f>
        <v>7.59</v>
      </c>
    </row>
    <row r="1443" spans="1:2">
      <c r="A1443" s="3">
        <f ca="1">IFERROR(__xludf.DUMMYFUNCTION("""COMPUTED_VALUE"""),40444.6666666666)</f>
        <v>40444.666666666599</v>
      </c>
      <c r="B1443" s="1">
        <f ca="1">IFERROR(__xludf.DUMMYFUNCTION("""COMPUTED_VALUE"""),7.64)</f>
        <v>7.64</v>
      </c>
    </row>
    <row r="1444" spans="1:2">
      <c r="A1444" s="3">
        <f ca="1">IFERROR(__xludf.DUMMYFUNCTION("""COMPUTED_VALUE"""),40445.6666666666)</f>
        <v>40445.666666666599</v>
      </c>
      <c r="B1444" s="1">
        <f ca="1">IFERROR(__xludf.DUMMYFUNCTION("""COMPUTED_VALUE"""),8.04)</f>
        <v>8.0399999999999991</v>
      </c>
    </row>
    <row r="1445" spans="1:2">
      <c r="A1445" s="3">
        <f ca="1">IFERROR(__xludf.DUMMYFUNCTION("""COMPUTED_VALUE"""),40448.6666666666)</f>
        <v>40448.666666666599</v>
      </c>
      <c r="B1445" s="1">
        <f ca="1">IFERROR(__xludf.DUMMYFUNCTION("""COMPUTED_VALUE"""),7.97)</f>
        <v>7.97</v>
      </c>
    </row>
    <row r="1446" spans="1:2">
      <c r="A1446" s="3">
        <f ca="1">IFERROR(__xludf.DUMMYFUNCTION("""COMPUTED_VALUE"""),40449.6666666666)</f>
        <v>40449.666666666599</v>
      </c>
      <c r="B1446" s="1">
        <f ca="1">IFERROR(__xludf.DUMMYFUNCTION("""COMPUTED_VALUE"""),7.99)</f>
        <v>7.99</v>
      </c>
    </row>
    <row r="1447" spans="1:2">
      <c r="A1447" s="3">
        <f ca="1">IFERROR(__xludf.DUMMYFUNCTION("""COMPUTED_VALUE"""),40450.6666666666)</f>
        <v>40450.666666666599</v>
      </c>
      <c r="B1447" s="1">
        <f ca="1">IFERROR(__xludf.DUMMYFUNCTION("""COMPUTED_VALUE"""),7.95)</f>
        <v>7.95</v>
      </c>
    </row>
    <row r="1448" spans="1:2">
      <c r="A1448" s="3">
        <f ca="1">IFERROR(__xludf.DUMMYFUNCTION("""COMPUTED_VALUE"""),40451.6666666666)</f>
        <v>40451.666666666599</v>
      </c>
      <c r="B1448" s="1">
        <f ca="1">IFERROR(__xludf.DUMMYFUNCTION("""COMPUTED_VALUE"""),7.85)</f>
        <v>7.85</v>
      </c>
    </row>
    <row r="1449" spans="1:2">
      <c r="A1449" s="3">
        <f ca="1">IFERROR(__xludf.DUMMYFUNCTION("""COMPUTED_VALUE"""),40452.6666666666)</f>
        <v>40452.666666666599</v>
      </c>
      <c r="B1449" s="1">
        <f ca="1">IFERROR(__xludf.DUMMYFUNCTION("""COMPUTED_VALUE"""),7.69)</f>
        <v>7.69</v>
      </c>
    </row>
    <row r="1450" spans="1:2">
      <c r="A1450" s="3">
        <f ca="1">IFERROR(__xludf.DUMMYFUNCTION("""COMPUTED_VALUE"""),40455.6666666666)</f>
        <v>40455.666666666599</v>
      </c>
      <c r="B1450" s="1">
        <f ca="1">IFERROR(__xludf.DUMMYFUNCTION("""COMPUTED_VALUE"""),7.77)</f>
        <v>7.77</v>
      </c>
    </row>
    <row r="1451" spans="1:2">
      <c r="A1451" s="3">
        <f ca="1">IFERROR(__xludf.DUMMYFUNCTION("""COMPUTED_VALUE"""),40456.6666666666)</f>
        <v>40456.666666666599</v>
      </c>
      <c r="B1451" s="1">
        <f ca="1">IFERROR(__xludf.DUMMYFUNCTION("""COMPUTED_VALUE"""),8.04)</f>
        <v>8.0399999999999991</v>
      </c>
    </row>
    <row r="1452" spans="1:2">
      <c r="A1452" s="3">
        <f ca="1">IFERROR(__xludf.DUMMYFUNCTION("""COMPUTED_VALUE"""),40457.6666666666)</f>
        <v>40457.666666666599</v>
      </c>
      <c r="B1452" s="1">
        <f ca="1">IFERROR(__xludf.DUMMYFUNCTION("""COMPUTED_VALUE"""),7.75)</f>
        <v>7.75</v>
      </c>
    </row>
    <row r="1453" spans="1:2">
      <c r="A1453" s="3">
        <f ca="1">IFERROR(__xludf.DUMMYFUNCTION("""COMPUTED_VALUE"""),40458.6666666666)</f>
        <v>40458.666666666599</v>
      </c>
      <c r="B1453" s="1">
        <f ca="1">IFERROR(__xludf.DUMMYFUNCTION("""COMPUTED_VALUE"""),7.81)</f>
        <v>7.81</v>
      </c>
    </row>
    <row r="1454" spans="1:2">
      <c r="A1454" s="3">
        <f ca="1">IFERROR(__xludf.DUMMYFUNCTION("""COMPUTED_VALUE"""),40459.6666666666)</f>
        <v>40459.666666666599</v>
      </c>
      <c r="B1454" s="1">
        <f ca="1">IFERROR(__xludf.DUMMYFUNCTION("""COMPUTED_VALUE"""),7.78)</f>
        <v>7.78</v>
      </c>
    </row>
    <row r="1455" spans="1:2">
      <c r="A1455" s="3">
        <f ca="1">IFERROR(__xludf.DUMMYFUNCTION("""COMPUTED_VALUE"""),40462.6666666666)</f>
        <v>40462.666666666599</v>
      </c>
      <c r="B1455" s="1">
        <f ca="1">IFERROR(__xludf.DUMMYFUNCTION("""COMPUTED_VALUE"""),7.65)</f>
        <v>7.65</v>
      </c>
    </row>
    <row r="1456" spans="1:2">
      <c r="A1456" s="3">
        <f ca="1">IFERROR(__xludf.DUMMYFUNCTION("""COMPUTED_VALUE"""),40463.6666666666)</f>
        <v>40463.666666666599</v>
      </c>
      <c r="B1456" s="1">
        <f ca="1">IFERROR(__xludf.DUMMYFUNCTION("""COMPUTED_VALUE"""),7.82)</f>
        <v>7.82</v>
      </c>
    </row>
    <row r="1457" spans="1:2">
      <c r="A1457" s="3">
        <f ca="1">IFERROR(__xludf.DUMMYFUNCTION("""COMPUTED_VALUE"""),40464.6666666666)</f>
        <v>40464.666666666599</v>
      </c>
      <c r="B1457" s="1">
        <f ca="1">IFERROR(__xludf.DUMMYFUNCTION("""COMPUTED_VALUE"""),7.76)</f>
        <v>7.76</v>
      </c>
    </row>
    <row r="1458" spans="1:2">
      <c r="A1458" s="3">
        <f ca="1">IFERROR(__xludf.DUMMYFUNCTION("""COMPUTED_VALUE"""),40465.6666666666)</f>
        <v>40465.666666666599</v>
      </c>
      <c r="B1458" s="1">
        <f ca="1">IFERROR(__xludf.DUMMYFUNCTION("""COMPUTED_VALUE"""),7.78)</f>
        <v>7.78</v>
      </c>
    </row>
    <row r="1459" spans="1:2">
      <c r="A1459" s="3">
        <f ca="1">IFERROR(__xludf.DUMMYFUNCTION("""COMPUTED_VALUE"""),40466.6666666666)</f>
        <v>40466.666666666599</v>
      </c>
      <c r="B1459" s="1">
        <f ca="1">IFERROR(__xludf.DUMMYFUNCTION("""COMPUTED_VALUE"""),8.23)</f>
        <v>8.23</v>
      </c>
    </row>
    <row r="1460" spans="1:2">
      <c r="A1460" s="3">
        <f ca="1">IFERROR(__xludf.DUMMYFUNCTION("""COMPUTED_VALUE"""),40469.6666666666)</f>
        <v>40469.666666666599</v>
      </c>
      <c r="B1460" s="1">
        <f ca="1">IFERROR(__xludf.DUMMYFUNCTION("""COMPUTED_VALUE"""),8.18)</f>
        <v>8.18</v>
      </c>
    </row>
    <row r="1461" spans="1:2">
      <c r="A1461" s="3">
        <f ca="1">IFERROR(__xludf.DUMMYFUNCTION("""COMPUTED_VALUE"""),40470.6666666666)</f>
        <v>40470.666666666599</v>
      </c>
      <c r="B1461" s="1">
        <f ca="1">IFERROR(__xludf.DUMMYFUNCTION("""COMPUTED_VALUE"""),7.93)</f>
        <v>7.93</v>
      </c>
    </row>
    <row r="1462" spans="1:2">
      <c r="A1462" s="3">
        <f ca="1">IFERROR(__xludf.DUMMYFUNCTION("""COMPUTED_VALUE"""),40471.6666666666)</f>
        <v>40471.666666666599</v>
      </c>
      <c r="B1462" s="1">
        <f ca="1">IFERROR(__xludf.DUMMYFUNCTION("""COMPUTED_VALUE"""),7.93)</f>
        <v>7.93</v>
      </c>
    </row>
    <row r="1463" spans="1:2">
      <c r="A1463" s="3">
        <f ca="1">IFERROR(__xludf.DUMMYFUNCTION("""COMPUTED_VALUE"""),40472.6666666666)</f>
        <v>40472.666666666599</v>
      </c>
      <c r="B1463" s="1">
        <f ca="1">IFERROR(__xludf.DUMMYFUNCTION("""COMPUTED_VALUE"""),8.25)</f>
        <v>8.25</v>
      </c>
    </row>
    <row r="1464" spans="1:2">
      <c r="A1464" s="3">
        <f ca="1">IFERROR(__xludf.DUMMYFUNCTION("""COMPUTED_VALUE"""),40473.6666666666)</f>
        <v>40473.666666666599</v>
      </c>
      <c r="B1464" s="1">
        <f ca="1">IFERROR(__xludf.DUMMYFUNCTION("""COMPUTED_VALUE"""),8.46)</f>
        <v>8.4600000000000009</v>
      </c>
    </row>
    <row r="1465" spans="1:2">
      <c r="A1465" s="3">
        <f ca="1">IFERROR(__xludf.DUMMYFUNCTION("""COMPUTED_VALUE"""),40476.6666666666)</f>
        <v>40476.666666666599</v>
      </c>
      <c r="B1465" s="1">
        <f ca="1">IFERROR(__xludf.DUMMYFUNCTION("""COMPUTED_VALUE"""),8.45)</f>
        <v>8.4499999999999993</v>
      </c>
    </row>
    <row r="1466" spans="1:2">
      <c r="A1466" s="3">
        <f ca="1">IFERROR(__xludf.DUMMYFUNCTION("""COMPUTED_VALUE"""),40477.6666666666)</f>
        <v>40477.666666666599</v>
      </c>
      <c r="B1466" s="1">
        <f ca="1">IFERROR(__xludf.DUMMYFUNCTION("""COMPUTED_VALUE"""),8.5)</f>
        <v>8.5</v>
      </c>
    </row>
    <row r="1467" spans="1:2">
      <c r="A1467" s="3">
        <f ca="1">IFERROR(__xludf.DUMMYFUNCTION("""COMPUTED_VALUE"""),40478.6666666666)</f>
        <v>40478.666666666599</v>
      </c>
      <c r="B1467" s="1">
        <f ca="1">IFERROR(__xludf.DUMMYFUNCTION("""COMPUTED_VALUE"""),8.38)</f>
        <v>8.3800000000000008</v>
      </c>
    </row>
    <row r="1468" spans="1:2">
      <c r="A1468" s="3">
        <f ca="1">IFERROR(__xludf.DUMMYFUNCTION("""COMPUTED_VALUE"""),40479.6666666666)</f>
        <v>40479.666666666599</v>
      </c>
      <c r="B1468" s="1">
        <f ca="1">IFERROR(__xludf.DUMMYFUNCTION("""COMPUTED_VALUE"""),8.34)</f>
        <v>8.34</v>
      </c>
    </row>
    <row r="1469" spans="1:2">
      <c r="A1469" s="3">
        <f ca="1">IFERROR(__xludf.DUMMYFUNCTION("""COMPUTED_VALUE"""),40480.6666666666)</f>
        <v>40480.666666666599</v>
      </c>
      <c r="B1469" s="1">
        <f ca="1">IFERROR(__xludf.DUMMYFUNCTION("""COMPUTED_VALUE"""),8.26)</f>
        <v>8.26</v>
      </c>
    </row>
    <row r="1470" spans="1:2">
      <c r="A1470" s="3">
        <f ca="1">IFERROR(__xludf.DUMMYFUNCTION("""COMPUTED_VALUE"""),40483.6666666666)</f>
        <v>40483.666666666599</v>
      </c>
      <c r="B1470" s="1">
        <f ca="1">IFERROR(__xludf.DUMMYFUNCTION("""COMPUTED_VALUE"""),8.13)</f>
        <v>8.1300000000000008</v>
      </c>
    </row>
    <row r="1471" spans="1:2">
      <c r="A1471" s="3">
        <f ca="1">IFERROR(__xludf.DUMMYFUNCTION("""COMPUTED_VALUE"""),40484.6666666666)</f>
        <v>40484.666666666599</v>
      </c>
      <c r="B1471" s="1">
        <f ca="1">IFERROR(__xludf.DUMMYFUNCTION("""COMPUTED_VALUE"""),8.23)</f>
        <v>8.23</v>
      </c>
    </row>
    <row r="1472" spans="1:2">
      <c r="A1472" s="3">
        <f ca="1">IFERROR(__xludf.DUMMYFUNCTION("""COMPUTED_VALUE"""),40485.6666666666)</f>
        <v>40485.666666666599</v>
      </c>
      <c r="B1472" s="1">
        <f ca="1">IFERROR(__xludf.DUMMYFUNCTION("""COMPUTED_VALUE"""),8.42)</f>
        <v>8.42</v>
      </c>
    </row>
    <row r="1473" spans="1:2">
      <c r="A1473" s="3">
        <f ca="1">IFERROR(__xludf.DUMMYFUNCTION("""COMPUTED_VALUE"""),40486.6666666666)</f>
        <v>40486.666666666599</v>
      </c>
      <c r="B1473" s="1">
        <f ca="1">IFERROR(__xludf.DUMMYFUNCTION("""COMPUTED_VALUE"""),8.45)</f>
        <v>8.4499999999999993</v>
      </c>
    </row>
    <row r="1474" spans="1:2">
      <c r="A1474" s="3">
        <f ca="1">IFERROR(__xludf.DUMMYFUNCTION("""COMPUTED_VALUE"""),40487.6666666666)</f>
        <v>40487.666666666599</v>
      </c>
      <c r="B1474" s="1">
        <f ca="1">IFERROR(__xludf.DUMMYFUNCTION("""COMPUTED_VALUE"""),8.54)</f>
        <v>8.5399999999999991</v>
      </c>
    </row>
    <row r="1475" spans="1:2">
      <c r="A1475" s="3">
        <f ca="1">IFERROR(__xludf.DUMMYFUNCTION("""COMPUTED_VALUE"""),40490.6666666666)</f>
        <v>40490.666666666599</v>
      </c>
      <c r="B1475" s="1">
        <f ca="1">IFERROR(__xludf.DUMMYFUNCTION("""COMPUTED_VALUE"""),8.6)</f>
        <v>8.6</v>
      </c>
    </row>
    <row r="1476" spans="1:2">
      <c r="A1476" s="3">
        <f ca="1">IFERROR(__xludf.DUMMYFUNCTION("""COMPUTED_VALUE"""),40491.6666666666)</f>
        <v>40491.666666666599</v>
      </c>
      <c r="B1476" s="1">
        <f ca="1">IFERROR(__xludf.DUMMYFUNCTION("""COMPUTED_VALUE"""),8.51)</f>
        <v>8.51</v>
      </c>
    </row>
    <row r="1477" spans="1:2">
      <c r="A1477" s="3">
        <f ca="1">IFERROR(__xludf.DUMMYFUNCTION("""COMPUTED_VALUE"""),40492.6666666666)</f>
        <v>40492.666666666599</v>
      </c>
      <c r="B1477" s="1">
        <f ca="1">IFERROR(__xludf.DUMMYFUNCTION("""COMPUTED_VALUE"""),8.67)</f>
        <v>8.67</v>
      </c>
    </row>
    <row r="1478" spans="1:2">
      <c r="A1478" s="3">
        <f ca="1">IFERROR(__xludf.DUMMYFUNCTION("""COMPUTED_VALUE"""),40493.6666666666)</f>
        <v>40493.666666666599</v>
      </c>
      <c r="B1478" s="1">
        <f ca="1">IFERROR(__xludf.DUMMYFUNCTION("""COMPUTED_VALUE"""),8.52)</f>
        <v>8.52</v>
      </c>
    </row>
    <row r="1479" spans="1:2">
      <c r="A1479" s="3">
        <f ca="1">IFERROR(__xludf.DUMMYFUNCTION("""COMPUTED_VALUE"""),40494.6666666666)</f>
        <v>40494.666666666599</v>
      </c>
      <c r="B1479" s="1">
        <f ca="1">IFERROR(__xludf.DUMMYFUNCTION("""COMPUTED_VALUE"""),8.28)</f>
        <v>8.2799999999999994</v>
      </c>
    </row>
    <row r="1480" spans="1:2">
      <c r="A1480" s="3">
        <f ca="1">IFERROR(__xludf.DUMMYFUNCTION("""COMPUTED_VALUE"""),40497.6666666666)</f>
        <v>40497.666666666599</v>
      </c>
      <c r="B1480" s="1">
        <f ca="1">IFERROR(__xludf.DUMMYFUNCTION("""COMPUTED_VALUE"""),7.95)</f>
        <v>7.95</v>
      </c>
    </row>
    <row r="1481" spans="1:2">
      <c r="A1481" s="3">
        <f ca="1">IFERROR(__xludf.DUMMYFUNCTION("""COMPUTED_VALUE"""),40498.6666666666)</f>
        <v>40498.666666666599</v>
      </c>
      <c r="B1481" s="1">
        <f ca="1">IFERROR(__xludf.DUMMYFUNCTION("""COMPUTED_VALUE"""),7.89)</f>
        <v>7.89</v>
      </c>
    </row>
    <row r="1482" spans="1:2">
      <c r="A1482" s="3">
        <f ca="1">IFERROR(__xludf.DUMMYFUNCTION("""COMPUTED_VALUE"""),40499.6666666666)</f>
        <v>40499.666666666599</v>
      </c>
      <c r="B1482" s="1">
        <f ca="1">IFERROR(__xludf.DUMMYFUNCTION("""COMPUTED_VALUE"""),7.92)</f>
        <v>7.92</v>
      </c>
    </row>
    <row r="1483" spans="1:2">
      <c r="A1483" s="3">
        <f ca="1">IFERROR(__xludf.DUMMYFUNCTION("""COMPUTED_VALUE"""),40500.6666666666)</f>
        <v>40500.666666666599</v>
      </c>
      <c r="B1483" s="1">
        <f ca="1">IFERROR(__xludf.DUMMYFUNCTION("""COMPUTED_VALUE"""),8.21)</f>
        <v>8.2100000000000009</v>
      </c>
    </row>
    <row r="1484" spans="1:2">
      <c r="A1484" s="3">
        <f ca="1">IFERROR(__xludf.DUMMYFUNCTION("""COMPUTED_VALUE"""),40501.6666666666)</f>
        <v>40501.666666666599</v>
      </c>
      <c r="B1484" s="1">
        <f ca="1">IFERROR(__xludf.DUMMYFUNCTION("""COMPUTED_VALUE"""),8.24)</f>
        <v>8.24</v>
      </c>
    </row>
    <row r="1485" spans="1:2">
      <c r="A1485" s="3">
        <f ca="1">IFERROR(__xludf.DUMMYFUNCTION("""COMPUTED_VALUE"""),40504.6666666666)</f>
        <v>40504.666666666599</v>
      </c>
      <c r="B1485" s="1">
        <f ca="1">IFERROR(__xludf.DUMMYFUNCTION("""COMPUTED_VALUE"""),8.52)</f>
        <v>8.52</v>
      </c>
    </row>
    <row r="1486" spans="1:2">
      <c r="A1486" s="3">
        <f ca="1">IFERROR(__xludf.DUMMYFUNCTION("""COMPUTED_VALUE"""),40505.6666666666)</f>
        <v>40505.666666666599</v>
      </c>
      <c r="B1486" s="1">
        <f ca="1">IFERROR(__xludf.DUMMYFUNCTION("""COMPUTED_VALUE"""),8.41)</f>
        <v>8.41</v>
      </c>
    </row>
    <row r="1487" spans="1:2">
      <c r="A1487" s="3">
        <f ca="1">IFERROR(__xludf.DUMMYFUNCTION("""COMPUTED_VALUE"""),40506.6666666666)</f>
        <v>40506.666666666599</v>
      </c>
      <c r="B1487" s="1">
        <f ca="1">IFERROR(__xludf.DUMMYFUNCTION("""COMPUTED_VALUE"""),8.86)</f>
        <v>8.86</v>
      </c>
    </row>
    <row r="1488" spans="1:2">
      <c r="A1488" s="3">
        <f ca="1">IFERROR(__xludf.DUMMYFUNCTION("""COMPUTED_VALUE"""),40508.6666666666)</f>
        <v>40508.666666666599</v>
      </c>
      <c r="B1488" s="1">
        <f ca="1">IFERROR(__xludf.DUMMYFUNCTION("""COMPUTED_VALUE"""),8.86)</f>
        <v>8.86</v>
      </c>
    </row>
    <row r="1489" spans="1:2">
      <c r="A1489" s="3">
        <f ca="1">IFERROR(__xludf.DUMMYFUNCTION("""COMPUTED_VALUE"""),40511.6666666666)</f>
        <v>40511.666666666599</v>
      </c>
      <c r="B1489" s="1">
        <f ca="1">IFERROR(__xludf.DUMMYFUNCTION("""COMPUTED_VALUE"""),8.97)</f>
        <v>8.9700000000000006</v>
      </c>
    </row>
    <row r="1490" spans="1:2">
      <c r="A1490" s="3">
        <f ca="1">IFERROR(__xludf.DUMMYFUNCTION("""COMPUTED_VALUE"""),40512.6666666666)</f>
        <v>40512.666666666599</v>
      </c>
      <c r="B1490" s="1">
        <f ca="1">IFERROR(__xludf.DUMMYFUNCTION("""COMPUTED_VALUE"""),8.77)</f>
        <v>8.77</v>
      </c>
    </row>
    <row r="1491" spans="1:2">
      <c r="A1491" s="3">
        <f ca="1">IFERROR(__xludf.DUMMYFUNCTION("""COMPUTED_VALUE"""),40513.6666666666)</f>
        <v>40513.666666666599</v>
      </c>
      <c r="B1491" s="1">
        <f ca="1">IFERROR(__xludf.DUMMYFUNCTION("""COMPUTED_VALUE"""),8.83)</f>
        <v>8.83</v>
      </c>
    </row>
    <row r="1492" spans="1:2">
      <c r="A1492" s="3">
        <f ca="1">IFERROR(__xludf.DUMMYFUNCTION("""COMPUTED_VALUE"""),40514.6666666666)</f>
        <v>40514.666666666599</v>
      </c>
      <c r="B1492" s="1">
        <f ca="1">IFERROR(__xludf.DUMMYFUNCTION("""COMPUTED_VALUE"""),8.83)</f>
        <v>8.83</v>
      </c>
    </row>
    <row r="1493" spans="1:2">
      <c r="A1493" s="3">
        <f ca="1">IFERROR(__xludf.DUMMYFUNCTION("""COMPUTED_VALUE"""),40515.6666666666)</f>
        <v>40515.666666666599</v>
      </c>
      <c r="B1493" s="1">
        <f ca="1">IFERROR(__xludf.DUMMYFUNCTION("""COMPUTED_VALUE"""),8.78)</f>
        <v>8.7799999999999994</v>
      </c>
    </row>
    <row r="1494" spans="1:2">
      <c r="A1494" s="3">
        <f ca="1">IFERROR(__xludf.DUMMYFUNCTION("""COMPUTED_VALUE"""),40518.6666666666)</f>
        <v>40518.666666666599</v>
      </c>
      <c r="B1494" s="1">
        <f ca="1">IFERROR(__xludf.DUMMYFUNCTION("""COMPUTED_VALUE"""),8.9)</f>
        <v>8.9</v>
      </c>
    </row>
    <row r="1495" spans="1:2">
      <c r="A1495" s="3">
        <f ca="1">IFERROR(__xludf.DUMMYFUNCTION("""COMPUTED_VALUE"""),40519.6666666666)</f>
        <v>40519.666666666599</v>
      </c>
      <c r="B1495" s="1">
        <f ca="1">IFERROR(__xludf.DUMMYFUNCTION("""COMPUTED_VALUE"""),8.84)</f>
        <v>8.84</v>
      </c>
    </row>
    <row r="1496" spans="1:2">
      <c r="A1496" s="3">
        <f ca="1">IFERROR(__xludf.DUMMYFUNCTION("""COMPUTED_VALUE"""),40520.6666666666)</f>
        <v>40520.666666666599</v>
      </c>
      <c r="B1496" s="1">
        <f ca="1">IFERROR(__xludf.DUMMYFUNCTION("""COMPUTED_VALUE"""),8.81)</f>
        <v>8.81</v>
      </c>
    </row>
    <row r="1497" spans="1:2">
      <c r="A1497" s="3">
        <f ca="1">IFERROR(__xludf.DUMMYFUNCTION("""COMPUTED_VALUE"""),40521.6666666666)</f>
        <v>40521.666666666599</v>
      </c>
      <c r="B1497" s="1">
        <f ca="1">IFERROR(__xludf.DUMMYFUNCTION("""COMPUTED_VALUE"""),8.74)</f>
        <v>8.74</v>
      </c>
    </row>
    <row r="1498" spans="1:2">
      <c r="A1498" s="3">
        <f ca="1">IFERROR(__xludf.DUMMYFUNCTION("""COMPUTED_VALUE"""),40522.6666666666)</f>
        <v>40522.666666666599</v>
      </c>
      <c r="B1498" s="1">
        <f ca="1">IFERROR(__xludf.DUMMYFUNCTION("""COMPUTED_VALUE"""),8.78)</f>
        <v>8.7799999999999994</v>
      </c>
    </row>
    <row r="1499" spans="1:2">
      <c r="A1499" s="3">
        <f ca="1">IFERROR(__xludf.DUMMYFUNCTION("""COMPUTED_VALUE"""),40525.6666666666)</f>
        <v>40525.666666666599</v>
      </c>
      <c r="B1499" s="1">
        <f ca="1">IFERROR(__xludf.DUMMYFUNCTION("""COMPUTED_VALUE"""),8.71)</f>
        <v>8.7100000000000009</v>
      </c>
    </row>
    <row r="1500" spans="1:2">
      <c r="A1500" s="3">
        <f ca="1">IFERROR(__xludf.DUMMYFUNCTION("""COMPUTED_VALUE"""),40526.6666666666)</f>
        <v>40526.666666666599</v>
      </c>
      <c r="B1500" s="1">
        <f ca="1">IFERROR(__xludf.DUMMYFUNCTION("""COMPUTED_VALUE"""),8.7)</f>
        <v>8.6999999999999993</v>
      </c>
    </row>
    <row r="1501" spans="1:2">
      <c r="A1501" s="3">
        <f ca="1">IFERROR(__xludf.DUMMYFUNCTION("""COMPUTED_VALUE"""),40527.6666666666)</f>
        <v>40527.666666666599</v>
      </c>
      <c r="B1501" s="1">
        <f ca="1">IFERROR(__xludf.DUMMYFUNCTION("""COMPUTED_VALUE"""),8.78)</f>
        <v>8.7799999999999994</v>
      </c>
    </row>
    <row r="1502" spans="1:2">
      <c r="A1502" s="3">
        <f ca="1">IFERROR(__xludf.DUMMYFUNCTION("""COMPUTED_VALUE"""),40528.6666666666)</f>
        <v>40528.666666666599</v>
      </c>
      <c r="B1502" s="1">
        <f ca="1">IFERROR(__xludf.DUMMYFUNCTION("""COMPUTED_VALUE"""),8.9)</f>
        <v>8.9</v>
      </c>
    </row>
    <row r="1503" spans="1:2">
      <c r="A1503" s="3">
        <f ca="1">IFERROR(__xludf.DUMMYFUNCTION("""COMPUTED_VALUE"""),40529.6666666666)</f>
        <v>40529.666666666599</v>
      </c>
      <c r="B1503" s="1">
        <f ca="1">IFERROR(__xludf.DUMMYFUNCTION("""COMPUTED_VALUE"""),8.88)</f>
        <v>8.8800000000000008</v>
      </c>
    </row>
    <row r="1504" spans="1:2">
      <c r="A1504" s="3">
        <f ca="1">IFERROR(__xludf.DUMMYFUNCTION("""COMPUTED_VALUE"""),40532.6666666666)</f>
        <v>40532.666666666599</v>
      </c>
      <c r="B1504" s="1">
        <f ca="1">IFERROR(__xludf.DUMMYFUNCTION("""COMPUTED_VALUE"""),9.16)</f>
        <v>9.16</v>
      </c>
    </row>
    <row r="1505" spans="1:2">
      <c r="A1505" s="3">
        <f ca="1">IFERROR(__xludf.DUMMYFUNCTION("""COMPUTED_VALUE"""),40533.6666666666)</f>
        <v>40533.666666666599</v>
      </c>
      <c r="B1505" s="1">
        <f ca="1">IFERROR(__xludf.DUMMYFUNCTION("""COMPUTED_VALUE"""),9.24)</f>
        <v>9.24</v>
      </c>
    </row>
    <row r="1506" spans="1:2">
      <c r="A1506" s="3">
        <f ca="1">IFERROR(__xludf.DUMMYFUNCTION("""COMPUTED_VALUE"""),40534.6666666666)</f>
        <v>40534.666666666599</v>
      </c>
      <c r="B1506" s="1">
        <f ca="1">IFERROR(__xludf.DUMMYFUNCTION("""COMPUTED_VALUE"""),9.24)</f>
        <v>9.24</v>
      </c>
    </row>
    <row r="1507" spans="1:2">
      <c r="A1507" s="3">
        <f ca="1">IFERROR(__xludf.DUMMYFUNCTION("""COMPUTED_VALUE"""),40535.6666666666)</f>
        <v>40535.666666666599</v>
      </c>
      <c r="B1507" s="1">
        <f ca="1">IFERROR(__xludf.DUMMYFUNCTION("""COMPUTED_VALUE"""),9.13)</f>
        <v>9.1300000000000008</v>
      </c>
    </row>
    <row r="1508" spans="1:2">
      <c r="A1508" s="3">
        <f ca="1">IFERROR(__xludf.DUMMYFUNCTION("""COMPUTED_VALUE"""),40539.6666666666)</f>
        <v>40539.666666666599</v>
      </c>
      <c r="B1508" s="1">
        <f ca="1">IFERROR(__xludf.DUMMYFUNCTION("""COMPUTED_VALUE"""),9.11)</f>
        <v>9.11</v>
      </c>
    </row>
    <row r="1509" spans="1:2">
      <c r="A1509" s="3">
        <f ca="1">IFERROR(__xludf.DUMMYFUNCTION("""COMPUTED_VALUE"""),40540.6666666666)</f>
        <v>40540.666666666599</v>
      </c>
      <c r="B1509" s="1">
        <f ca="1">IFERROR(__xludf.DUMMYFUNCTION("""COMPUTED_VALUE"""),9.05)</f>
        <v>9.0500000000000007</v>
      </c>
    </row>
    <row r="1510" spans="1:2">
      <c r="A1510" s="3">
        <f ca="1">IFERROR(__xludf.DUMMYFUNCTION("""COMPUTED_VALUE"""),40541.6666666666)</f>
        <v>40541.666666666599</v>
      </c>
      <c r="B1510" s="1">
        <f ca="1">IFERROR(__xludf.DUMMYFUNCTION("""COMPUTED_VALUE"""),9.17)</f>
        <v>9.17</v>
      </c>
    </row>
    <row r="1511" spans="1:2">
      <c r="A1511" s="3">
        <f ca="1">IFERROR(__xludf.DUMMYFUNCTION("""COMPUTED_VALUE"""),40542.6666666666)</f>
        <v>40542.666666666599</v>
      </c>
      <c r="B1511" s="1">
        <f ca="1">IFERROR(__xludf.DUMMYFUNCTION("""COMPUTED_VALUE"""),9.14)</f>
        <v>9.14</v>
      </c>
    </row>
    <row r="1512" spans="1:2">
      <c r="A1512" s="3">
        <f ca="1">IFERROR(__xludf.DUMMYFUNCTION("""COMPUTED_VALUE"""),40543.6666666666)</f>
        <v>40543.666666666599</v>
      </c>
      <c r="B1512" s="1">
        <f ca="1">IFERROR(__xludf.DUMMYFUNCTION("""COMPUTED_VALUE"""),9)</f>
        <v>9</v>
      </c>
    </row>
    <row r="1513" spans="1:2">
      <c r="A1513" s="3">
        <f ca="1">IFERROR(__xludf.DUMMYFUNCTION("""COMPUTED_VALUE"""),40546.6666666666)</f>
        <v>40546.666666666599</v>
      </c>
      <c r="B1513" s="1">
        <f ca="1">IFERROR(__xludf.DUMMYFUNCTION("""COMPUTED_VALUE"""),9.21)</f>
        <v>9.2100000000000009</v>
      </c>
    </row>
    <row r="1514" spans="1:2">
      <c r="A1514" s="3">
        <f ca="1">IFERROR(__xludf.DUMMYFUNCTION("""COMPUTED_VALUE"""),40547.6666666666)</f>
        <v>40547.666666666599</v>
      </c>
      <c r="B1514" s="1">
        <f ca="1">IFERROR(__xludf.DUMMYFUNCTION("""COMPUTED_VALUE"""),9.25)</f>
        <v>9.25</v>
      </c>
    </row>
    <row r="1515" spans="1:2">
      <c r="A1515" s="3">
        <f ca="1">IFERROR(__xludf.DUMMYFUNCTION("""COMPUTED_VALUE"""),40548.6666666666)</f>
        <v>40548.666666666599</v>
      </c>
      <c r="B1515" s="1">
        <f ca="1">IFERROR(__xludf.DUMMYFUNCTION("""COMPUTED_VALUE"""),9.37)</f>
        <v>9.3699999999999992</v>
      </c>
    </row>
    <row r="1516" spans="1:2">
      <c r="A1516" s="3">
        <f ca="1">IFERROR(__xludf.DUMMYFUNCTION("""COMPUTED_VALUE"""),40549.6666666666)</f>
        <v>40549.666666666599</v>
      </c>
      <c r="B1516" s="1">
        <f ca="1">IFERROR(__xludf.DUMMYFUNCTION("""COMPUTED_VALUE"""),9.29)</f>
        <v>9.2899999999999991</v>
      </c>
    </row>
    <row r="1517" spans="1:2">
      <c r="A1517" s="3">
        <f ca="1">IFERROR(__xludf.DUMMYFUNCTION("""COMPUTED_VALUE"""),40550.6666666666)</f>
        <v>40550.666666666599</v>
      </c>
      <c r="B1517" s="1">
        <f ca="1">IFERROR(__xludf.DUMMYFUNCTION("""COMPUTED_VALUE"""),9.27)</f>
        <v>9.27</v>
      </c>
    </row>
    <row r="1518" spans="1:2">
      <c r="A1518" s="3">
        <f ca="1">IFERROR(__xludf.DUMMYFUNCTION("""COMPUTED_VALUE"""),40553.6666666666)</f>
        <v>40553.666666666599</v>
      </c>
      <c r="B1518" s="1">
        <f ca="1">IFERROR(__xludf.DUMMYFUNCTION("""COMPUTED_VALUE"""),9.23)</f>
        <v>9.23</v>
      </c>
    </row>
    <row r="1519" spans="1:2">
      <c r="A1519" s="3">
        <f ca="1">IFERROR(__xludf.DUMMYFUNCTION("""COMPUTED_VALUE"""),40554.6666666666)</f>
        <v>40554.666666666599</v>
      </c>
      <c r="B1519" s="1">
        <f ca="1">IFERROR(__xludf.DUMMYFUNCTION("""COMPUTED_VALUE"""),9.22)</f>
        <v>9.2200000000000006</v>
      </c>
    </row>
    <row r="1520" spans="1:2">
      <c r="A1520" s="3">
        <f ca="1">IFERROR(__xludf.DUMMYFUNCTION("""COMPUTED_VALUE"""),40555.6666666666)</f>
        <v>40555.666666666599</v>
      </c>
      <c r="B1520" s="1">
        <f ca="1">IFERROR(__xludf.DUMMYFUNCTION("""COMPUTED_VALUE"""),9.2)</f>
        <v>9.1999999999999993</v>
      </c>
    </row>
    <row r="1521" spans="1:2">
      <c r="A1521" s="3">
        <f ca="1">IFERROR(__xludf.DUMMYFUNCTION("""COMPUTED_VALUE"""),40556.6666666666)</f>
        <v>40556.666666666599</v>
      </c>
      <c r="B1521" s="1">
        <f ca="1">IFERROR(__xludf.DUMMYFUNCTION("""COMPUTED_VALUE"""),9.28)</f>
        <v>9.2799999999999994</v>
      </c>
    </row>
    <row r="1522" spans="1:2">
      <c r="A1522" s="3">
        <f ca="1">IFERROR(__xludf.DUMMYFUNCTION("""COMPUTED_VALUE"""),40557.6666666666)</f>
        <v>40557.666666666599</v>
      </c>
      <c r="B1522" s="1">
        <f ca="1">IFERROR(__xludf.DUMMYFUNCTION("""COMPUTED_VALUE"""),9.44)</f>
        <v>9.44</v>
      </c>
    </row>
    <row r="1523" spans="1:2">
      <c r="A1523" s="3">
        <f ca="1">IFERROR(__xludf.DUMMYFUNCTION("""COMPUTED_VALUE"""),40561.6666666666)</f>
        <v>40561.666666666599</v>
      </c>
      <c r="B1523" s="1">
        <f ca="1">IFERROR(__xludf.DUMMYFUNCTION("""COMPUTED_VALUE"""),9.56)</f>
        <v>9.56</v>
      </c>
    </row>
    <row r="1524" spans="1:2">
      <c r="A1524" s="3">
        <f ca="1">IFERROR(__xludf.DUMMYFUNCTION("""COMPUTED_VALUE"""),40562.6666666666)</f>
        <v>40562.666666666599</v>
      </c>
      <c r="B1524" s="1">
        <f ca="1">IFERROR(__xludf.DUMMYFUNCTION("""COMPUTED_VALUE"""),9.34)</f>
        <v>9.34</v>
      </c>
    </row>
    <row r="1525" spans="1:2">
      <c r="A1525" s="3">
        <f ca="1">IFERROR(__xludf.DUMMYFUNCTION("""COMPUTED_VALUE"""),40563.6666666666)</f>
        <v>40563.666666666599</v>
      </c>
      <c r="B1525" s="1">
        <f ca="1">IFERROR(__xludf.DUMMYFUNCTION("""COMPUTED_VALUE"""),9.1)</f>
        <v>9.1</v>
      </c>
    </row>
    <row r="1526" spans="1:2">
      <c r="A1526" s="3">
        <f ca="1">IFERROR(__xludf.DUMMYFUNCTION("""COMPUTED_VALUE"""),40564.6666666666)</f>
        <v>40564.666666666599</v>
      </c>
      <c r="B1526" s="1">
        <f ca="1">IFERROR(__xludf.DUMMYFUNCTION("""COMPUTED_VALUE"""),8.87)</f>
        <v>8.8699999999999992</v>
      </c>
    </row>
    <row r="1527" spans="1:2">
      <c r="A1527" s="3">
        <f ca="1">IFERROR(__xludf.DUMMYFUNCTION("""COMPUTED_VALUE"""),40567.6666666666)</f>
        <v>40567.666666666599</v>
      </c>
      <c r="B1527" s="1">
        <f ca="1">IFERROR(__xludf.DUMMYFUNCTION("""COMPUTED_VALUE"""),8.84)</f>
        <v>8.84</v>
      </c>
    </row>
    <row r="1528" spans="1:2">
      <c r="A1528" s="3">
        <f ca="1">IFERROR(__xludf.DUMMYFUNCTION("""COMPUTED_VALUE"""),40568.6666666666)</f>
        <v>40568.666666666599</v>
      </c>
      <c r="B1528" s="1">
        <f ca="1">IFERROR(__xludf.DUMMYFUNCTION("""COMPUTED_VALUE"""),8.84)</f>
        <v>8.84</v>
      </c>
    </row>
    <row r="1529" spans="1:2">
      <c r="A1529" s="3">
        <f ca="1">IFERROR(__xludf.DUMMYFUNCTION("""COMPUTED_VALUE"""),40569.6666666666)</f>
        <v>40569.666666666599</v>
      </c>
      <c r="B1529" s="1">
        <f ca="1">IFERROR(__xludf.DUMMYFUNCTION("""COMPUTED_VALUE"""),8.77)</f>
        <v>8.77</v>
      </c>
    </row>
    <row r="1530" spans="1:2">
      <c r="A1530" s="3">
        <f ca="1">IFERROR(__xludf.DUMMYFUNCTION("""COMPUTED_VALUE"""),40570.6666666666)</f>
        <v>40570.666666666599</v>
      </c>
      <c r="B1530" s="1">
        <f ca="1">IFERROR(__xludf.DUMMYFUNCTION("""COMPUTED_VALUE"""),9.22)</f>
        <v>9.2200000000000006</v>
      </c>
    </row>
    <row r="1531" spans="1:2">
      <c r="A1531" s="3">
        <f ca="1">IFERROR(__xludf.DUMMYFUNCTION("""COMPUTED_VALUE"""),40571.6666666666)</f>
        <v>40571.666666666599</v>
      </c>
      <c r="B1531" s="1">
        <f ca="1">IFERROR(__xludf.DUMMYFUNCTION("""COMPUTED_VALUE"""),8.56)</f>
        <v>8.56</v>
      </c>
    </row>
    <row r="1532" spans="1:2">
      <c r="A1532" s="3">
        <f ca="1">IFERROR(__xludf.DUMMYFUNCTION("""COMPUTED_VALUE"""),40574.6666666666)</f>
        <v>40574.666666666599</v>
      </c>
      <c r="B1532" s="1">
        <f ca="1">IFERROR(__xludf.DUMMYFUNCTION("""COMPUTED_VALUE"""),8.48)</f>
        <v>8.48</v>
      </c>
    </row>
    <row r="1533" spans="1:2">
      <c r="A1533" s="3">
        <f ca="1">IFERROR(__xludf.DUMMYFUNCTION("""COMPUTED_VALUE"""),40575.6666666666)</f>
        <v>40575.666666666599</v>
      </c>
      <c r="B1533" s="1">
        <f ca="1">IFERROR(__xludf.DUMMYFUNCTION("""COMPUTED_VALUE"""),8.61)</f>
        <v>8.61</v>
      </c>
    </row>
    <row r="1534" spans="1:2">
      <c r="A1534" s="3">
        <f ca="1">IFERROR(__xludf.DUMMYFUNCTION("""COMPUTED_VALUE"""),40576.6666666666)</f>
        <v>40576.666666666599</v>
      </c>
      <c r="B1534" s="1">
        <f ca="1">IFERROR(__xludf.DUMMYFUNCTION("""COMPUTED_VALUE"""),8.68)</f>
        <v>8.68</v>
      </c>
    </row>
    <row r="1535" spans="1:2">
      <c r="A1535" s="3">
        <f ca="1">IFERROR(__xludf.DUMMYFUNCTION("""COMPUTED_VALUE"""),40577.6666666666)</f>
        <v>40577.666666666599</v>
      </c>
      <c r="B1535" s="1">
        <f ca="1">IFERROR(__xludf.DUMMYFUNCTION("""COMPUTED_VALUE"""),8.69)</f>
        <v>8.69</v>
      </c>
    </row>
    <row r="1536" spans="1:2">
      <c r="A1536" s="3">
        <f ca="1">IFERROR(__xludf.DUMMYFUNCTION("""COMPUTED_VALUE"""),40578.6666666666)</f>
        <v>40578.666666666599</v>
      </c>
      <c r="B1536" s="1">
        <f ca="1">IFERROR(__xludf.DUMMYFUNCTION("""COMPUTED_VALUE"""),8.8)</f>
        <v>8.8000000000000007</v>
      </c>
    </row>
    <row r="1537" spans="1:2">
      <c r="A1537" s="3">
        <f ca="1">IFERROR(__xludf.DUMMYFUNCTION("""COMPUTED_VALUE"""),40581.6666666666)</f>
        <v>40581.666666666599</v>
      </c>
      <c r="B1537" s="1">
        <f ca="1">IFERROR(__xludf.DUMMYFUNCTION("""COMPUTED_VALUE"""),8.82)</f>
        <v>8.82</v>
      </c>
    </row>
    <row r="1538" spans="1:2">
      <c r="A1538" s="3">
        <f ca="1">IFERROR(__xludf.DUMMYFUNCTION("""COMPUTED_VALUE"""),40582.6666666666)</f>
        <v>40582.666666666599</v>
      </c>
      <c r="B1538" s="1">
        <f ca="1">IFERROR(__xludf.DUMMYFUNCTION("""COMPUTED_VALUE"""),9.15)</f>
        <v>9.15</v>
      </c>
    </row>
    <row r="1539" spans="1:2">
      <c r="A1539" s="3">
        <f ca="1">IFERROR(__xludf.DUMMYFUNCTION("""COMPUTED_VALUE"""),40583.6666666666)</f>
        <v>40583.666666666599</v>
      </c>
      <c r="B1539" s="1">
        <f ca="1">IFERROR(__xludf.DUMMYFUNCTION("""COMPUTED_VALUE"""),9.27)</f>
        <v>9.27</v>
      </c>
    </row>
    <row r="1540" spans="1:2">
      <c r="A1540" s="3">
        <f ca="1">IFERROR(__xludf.DUMMYFUNCTION("""COMPUTED_VALUE"""),40584.6666666666)</f>
        <v>40584.666666666599</v>
      </c>
      <c r="B1540" s="1">
        <f ca="1">IFERROR(__xludf.DUMMYFUNCTION("""COMPUTED_VALUE"""),9.31)</f>
        <v>9.31</v>
      </c>
    </row>
    <row r="1541" spans="1:2">
      <c r="A1541" s="3">
        <f ca="1">IFERROR(__xludf.DUMMYFUNCTION("""COMPUTED_VALUE"""),40585.6666666666)</f>
        <v>40585.666666666599</v>
      </c>
      <c r="B1541" s="1">
        <f ca="1">IFERROR(__xludf.DUMMYFUNCTION("""COMPUTED_VALUE"""),9.46)</f>
        <v>9.4600000000000009</v>
      </c>
    </row>
    <row r="1542" spans="1:2">
      <c r="A1542" s="3">
        <f ca="1">IFERROR(__xludf.DUMMYFUNCTION("""COMPUTED_VALUE"""),40588.6666666666)</f>
        <v>40588.666666666599</v>
      </c>
      <c r="B1542" s="1">
        <f ca="1">IFERROR(__xludf.DUMMYFUNCTION("""COMPUTED_VALUE"""),9.52)</f>
        <v>9.52</v>
      </c>
    </row>
    <row r="1543" spans="1:2">
      <c r="A1543" s="3">
        <f ca="1">IFERROR(__xludf.DUMMYFUNCTION("""COMPUTED_VALUE"""),40589.6666666666)</f>
        <v>40589.666666666599</v>
      </c>
      <c r="B1543" s="1">
        <f ca="1">IFERROR(__xludf.DUMMYFUNCTION("""COMPUTED_VALUE"""),9.45)</f>
        <v>9.4499999999999993</v>
      </c>
    </row>
    <row r="1544" spans="1:2">
      <c r="A1544" s="3">
        <f ca="1">IFERROR(__xludf.DUMMYFUNCTION("""COMPUTED_VALUE"""),40590.6666666666)</f>
        <v>40590.666666666599</v>
      </c>
      <c r="B1544" s="1">
        <f ca="1">IFERROR(__xludf.DUMMYFUNCTION("""COMPUTED_VALUE"""),9.33)</f>
        <v>9.33</v>
      </c>
    </row>
    <row r="1545" spans="1:2">
      <c r="A1545" s="3">
        <f ca="1">IFERROR(__xludf.DUMMYFUNCTION("""COMPUTED_VALUE"""),40591.6666666666)</f>
        <v>40591.666666666599</v>
      </c>
      <c r="B1545" s="1">
        <f ca="1">IFERROR(__xludf.DUMMYFUNCTION("""COMPUTED_VALUE"""),9.39)</f>
        <v>9.39</v>
      </c>
    </row>
    <row r="1546" spans="1:2">
      <c r="A1546" s="3">
        <f ca="1">IFERROR(__xludf.DUMMYFUNCTION("""COMPUTED_VALUE"""),40592.6666666666)</f>
        <v>40592.666666666599</v>
      </c>
      <c r="B1546" s="1">
        <f ca="1">IFERROR(__xludf.DUMMYFUNCTION("""COMPUTED_VALUE"""),9.32)</f>
        <v>9.32</v>
      </c>
    </row>
    <row r="1547" spans="1:2">
      <c r="A1547" s="3">
        <f ca="1">IFERROR(__xludf.DUMMYFUNCTION("""COMPUTED_VALUE"""),40596.6666666666)</f>
        <v>40596.666666666599</v>
      </c>
      <c r="B1547" s="1">
        <f ca="1">IFERROR(__xludf.DUMMYFUNCTION("""COMPUTED_VALUE"""),9.02)</f>
        <v>9.02</v>
      </c>
    </row>
    <row r="1548" spans="1:2">
      <c r="A1548" s="3">
        <f ca="1">IFERROR(__xludf.DUMMYFUNCTION("""COMPUTED_VALUE"""),40597.6666666666)</f>
        <v>40597.666666666599</v>
      </c>
      <c r="B1548" s="1">
        <f ca="1">IFERROR(__xludf.DUMMYFUNCTION("""COMPUTED_VALUE"""),8.83)</f>
        <v>8.83</v>
      </c>
    </row>
    <row r="1549" spans="1:2">
      <c r="A1549" s="3">
        <f ca="1">IFERROR(__xludf.DUMMYFUNCTION("""COMPUTED_VALUE"""),40598.6666666666)</f>
        <v>40598.666666666599</v>
      </c>
      <c r="B1549" s="1">
        <f ca="1">IFERROR(__xludf.DUMMYFUNCTION("""COMPUTED_VALUE"""),8.89)</f>
        <v>8.89</v>
      </c>
    </row>
    <row r="1550" spans="1:2">
      <c r="A1550" s="3">
        <f ca="1">IFERROR(__xludf.DUMMYFUNCTION("""COMPUTED_VALUE"""),40599.6666666666)</f>
        <v>40599.666666666599</v>
      </c>
      <c r="B1550" s="1">
        <f ca="1">IFERROR(__xludf.DUMMYFUNCTION("""COMPUTED_VALUE"""),8.86)</f>
        <v>8.86</v>
      </c>
    </row>
    <row r="1551" spans="1:2">
      <c r="A1551" s="3">
        <f ca="1">IFERROR(__xludf.DUMMYFUNCTION("""COMPUTED_VALUE"""),40602.6666666666)</f>
        <v>40602.666666666599</v>
      </c>
      <c r="B1551" s="1">
        <f ca="1">IFERROR(__xludf.DUMMYFUNCTION("""COMPUTED_VALUE"""),8.66)</f>
        <v>8.66</v>
      </c>
    </row>
    <row r="1552" spans="1:2">
      <c r="A1552" s="3">
        <f ca="1">IFERROR(__xludf.DUMMYFUNCTION("""COMPUTED_VALUE"""),40603.6666666666)</f>
        <v>40603.666666666599</v>
      </c>
      <c r="B1552" s="1">
        <f ca="1">IFERROR(__xludf.DUMMYFUNCTION("""COMPUTED_VALUE"""),8.47)</f>
        <v>8.4700000000000006</v>
      </c>
    </row>
    <row r="1553" spans="1:2">
      <c r="A1553" s="3">
        <f ca="1">IFERROR(__xludf.DUMMYFUNCTION("""COMPUTED_VALUE"""),40604.6666666666)</f>
        <v>40604.666666666599</v>
      </c>
      <c r="B1553" s="1">
        <f ca="1">IFERROR(__xludf.DUMMYFUNCTION("""COMPUTED_VALUE"""),8.6)</f>
        <v>8.6</v>
      </c>
    </row>
    <row r="1554" spans="1:2">
      <c r="A1554" s="3">
        <f ca="1">IFERROR(__xludf.DUMMYFUNCTION("""COMPUTED_VALUE"""),40605.6666666666)</f>
        <v>40605.666666666599</v>
      </c>
      <c r="B1554" s="1">
        <f ca="1">IFERROR(__xludf.DUMMYFUNCTION("""COMPUTED_VALUE"""),8.64)</f>
        <v>8.64</v>
      </c>
    </row>
    <row r="1555" spans="1:2">
      <c r="A1555" s="3">
        <f ca="1">IFERROR(__xludf.DUMMYFUNCTION("""COMPUTED_VALUE"""),40606.6666666666)</f>
        <v>40606.666666666599</v>
      </c>
      <c r="B1555" s="1">
        <f ca="1">IFERROR(__xludf.DUMMYFUNCTION("""COMPUTED_VALUE"""),8.58)</f>
        <v>8.58</v>
      </c>
    </row>
    <row r="1556" spans="1:2">
      <c r="A1556" s="3">
        <f ca="1">IFERROR(__xludf.DUMMYFUNCTION("""COMPUTED_VALUE"""),40609.6666666666)</f>
        <v>40609.666666666599</v>
      </c>
      <c r="B1556" s="1">
        <f ca="1">IFERROR(__xludf.DUMMYFUNCTION("""COMPUTED_VALUE"""),8.45)</f>
        <v>8.4499999999999993</v>
      </c>
    </row>
    <row r="1557" spans="1:2">
      <c r="A1557" s="3">
        <f ca="1">IFERROR(__xludf.DUMMYFUNCTION("""COMPUTED_VALUE"""),40610.6666666666)</f>
        <v>40610.666666666599</v>
      </c>
      <c r="B1557" s="1">
        <f ca="1">IFERROR(__xludf.DUMMYFUNCTION("""COMPUTED_VALUE"""),8.34)</f>
        <v>8.34</v>
      </c>
    </row>
    <row r="1558" spans="1:2">
      <c r="A1558" s="3">
        <f ca="1">IFERROR(__xludf.DUMMYFUNCTION("""COMPUTED_VALUE"""),40611.6666666666)</f>
        <v>40611.666666666599</v>
      </c>
      <c r="B1558" s="1">
        <f ca="1">IFERROR(__xludf.DUMMYFUNCTION("""COMPUTED_VALUE"""),8.45)</f>
        <v>8.4499999999999993</v>
      </c>
    </row>
    <row r="1559" spans="1:2">
      <c r="A1559" s="3">
        <f ca="1">IFERROR(__xludf.DUMMYFUNCTION("""COMPUTED_VALUE"""),40612.6666666666)</f>
        <v>40612.666666666599</v>
      </c>
      <c r="B1559" s="1">
        <f ca="1">IFERROR(__xludf.DUMMYFUNCTION("""COMPUTED_VALUE"""),8.31)</f>
        <v>8.31</v>
      </c>
    </row>
    <row r="1560" spans="1:2">
      <c r="A1560" s="3">
        <f ca="1">IFERROR(__xludf.DUMMYFUNCTION("""COMPUTED_VALUE"""),40613.6666666666)</f>
        <v>40613.666666666599</v>
      </c>
      <c r="B1560" s="1">
        <f ca="1">IFERROR(__xludf.DUMMYFUNCTION("""COMPUTED_VALUE"""),8.4)</f>
        <v>8.4</v>
      </c>
    </row>
    <row r="1561" spans="1:2">
      <c r="A1561" s="3">
        <f ca="1">IFERROR(__xludf.DUMMYFUNCTION("""COMPUTED_VALUE"""),40616.6666666666)</f>
        <v>40616.666666666599</v>
      </c>
      <c r="B1561" s="1">
        <f ca="1">IFERROR(__xludf.DUMMYFUNCTION("""COMPUTED_VALUE"""),8.34)</f>
        <v>8.34</v>
      </c>
    </row>
    <row r="1562" spans="1:2">
      <c r="A1562" s="3">
        <f ca="1">IFERROR(__xludf.DUMMYFUNCTION("""COMPUTED_VALUE"""),40617.6666666666)</f>
        <v>40617.666666666599</v>
      </c>
      <c r="B1562" s="1">
        <f ca="1">IFERROR(__xludf.DUMMYFUNCTION("""COMPUTED_VALUE"""),8.25)</f>
        <v>8.25</v>
      </c>
    </row>
    <row r="1563" spans="1:2">
      <c r="A1563" s="3">
        <f ca="1">IFERROR(__xludf.DUMMYFUNCTION("""COMPUTED_VALUE"""),40618.6666666666)</f>
        <v>40618.666666666599</v>
      </c>
      <c r="B1563" s="1">
        <f ca="1">IFERROR(__xludf.DUMMYFUNCTION("""COMPUTED_VALUE"""),8.24)</f>
        <v>8.24</v>
      </c>
    </row>
    <row r="1564" spans="1:2">
      <c r="A1564" s="3">
        <f ca="1">IFERROR(__xludf.DUMMYFUNCTION("""COMPUTED_VALUE"""),40619.6666666666)</f>
        <v>40619.666666666599</v>
      </c>
      <c r="B1564" s="1">
        <f ca="1">IFERROR(__xludf.DUMMYFUNCTION("""COMPUTED_VALUE"""),8.05)</f>
        <v>8.0500000000000007</v>
      </c>
    </row>
    <row r="1565" spans="1:2">
      <c r="A1565" s="3">
        <f ca="1">IFERROR(__xludf.DUMMYFUNCTION("""COMPUTED_VALUE"""),40620.6666666666)</f>
        <v>40620.666666666599</v>
      </c>
      <c r="B1565" s="1">
        <f ca="1">IFERROR(__xludf.DUMMYFUNCTION("""COMPUTED_VALUE"""),8.09)</f>
        <v>8.09</v>
      </c>
    </row>
    <row r="1566" spans="1:2">
      <c r="A1566" s="3">
        <f ca="1">IFERROR(__xludf.DUMMYFUNCTION("""COMPUTED_VALUE"""),40623.6666666666)</f>
        <v>40623.666666666599</v>
      </c>
      <c r="B1566" s="1">
        <f ca="1">IFERROR(__xludf.DUMMYFUNCTION("""COMPUTED_VALUE"""),8.23)</f>
        <v>8.23</v>
      </c>
    </row>
    <row r="1567" spans="1:2">
      <c r="A1567" s="3">
        <f ca="1">IFERROR(__xludf.DUMMYFUNCTION("""COMPUTED_VALUE"""),40624.6666666666)</f>
        <v>40624.666666666599</v>
      </c>
      <c r="B1567" s="1">
        <f ca="1">IFERROR(__xludf.DUMMYFUNCTION("""COMPUTED_VALUE"""),8.13)</f>
        <v>8.1300000000000008</v>
      </c>
    </row>
    <row r="1568" spans="1:2">
      <c r="A1568" s="3">
        <f ca="1">IFERROR(__xludf.DUMMYFUNCTION("""COMPUTED_VALUE"""),40625.6666666666)</f>
        <v>40625.666666666599</v>
      </c>
      <c r="B1568" s="1">
        <f ca="1">IFERROR(__xludf.DUMMYFUNCTION("""COMPUTED_VALUE"""),8.27)</f>
        <v>8.27</v>
      </c>
    </row>
    <row r="1569" spans="1:2">
      <c r="A1569" s="3">
        <f ca="1">IFERROR(__xludf.DUMMYFUNCTION("""COMPUTED_VALUE"""),40626.6666666666)</f>
        <v>40626.666666666599</v>
      </c>
      <c r="B1569" s="1">
        <f ca="1">IFERROR(__xludf.DUMMYFUNCTION("""COMPUTED_VALUE"""),8.56)</f>
        <v>8.56</v>
      </c>
    </row>
    <row r="1570" spans="1:2">
      <c r="A1570" s="3">
        <f ca="1">IFERROR(__xludf.DUMMYFUNCTION("""COMPUTED_VALUE"""),40627.6666666666)</f>
        <v>40627.666666666599</v>
      </c>
      <c r="B1570" s="1">
        <f ca="1">IFERROR(__xludf.DUMMYFUNCTION("""COMPUTED_VALUE"""),8.55)</f>
        <v>8.5500000000000007</v>
      </c>
    </row>
    <row r="1571" spans="1:2">
      <c r="A1571" s="3">
        <f ca="1">IFERROR(__xludf.DUMMYFUNCTION("""COMPUTED_VALUE"""),40630.6666666666)</f>
        <v>40630.666666666599</v>
      </c>
      <c r="B1571" s="1">
        <f ca="1">IFERROR(__xludf.DUMMYFUNCTION("""COMPUTED_VALUE"""),8.47)</f>
        <v>8.4700000000000006</v>
      </c>
    </row>
    <row r="1572" spans="1:2">
      <c r="A1572" s="3">
        <f ca="1">IFERROR(__xludf.DUMMYFUNCTION("""COMPUTED_VALUE"""),40631.6666666666)</f>
        <v>40631.666666666599</v>
      </c>
      <c r="B1572" s="1">
        <f ca="1">IFERROR(__xludf.DUMMYFUNCTION("""COMPUTED_VALUE"""),8.73)</f>
        <v>8.73</v>
      </c>
    </row>
    <row r="1573" spans="1:2">
      <c r="A1573" s="3">
        <f ca="1">IFERROR(__xludf.DUMMYFUNCTION("""COMPUTED_VALUE"""),40632.6666666666)</f>
        <v>40632.666666666599</v>
      </c>
      <c r="B1573" s="1">
        <f ca="1">IFERROR(__xludf.DUMMYFUNCTION("""COMPUTED_VALUE"""),8.97)</f>
        <v>8.9700000000000006</v>
      </c>
    </row>
    <row r="1574" spans="1:2">
      <c r="A1574" s="3">
        <f ca="1">IFERROR(__xludf.DUMMYFUNCTION("""COMPUTED_VALUE"""),40633.6666666666)</f>
        <v>40633.666666666599</v>
      </c>
      <c r="B1574" s="1">
        <f ca="1">IFERROR(__xludf.DUMMYFUNCTION("""COMPUTED_VALUE"""),9.01)</f>
        <v>9.01</v>
      </c>
    </row>
    <row r="1575" spans="1:2">
      <c r="A1575" s="3">
        <f ca="1">IFERROR(__xludf.DUMMYFUNCTION("""COMPUTED_VALUE"""),40634.6666666666)</f>
        <v>40634.666666666599</v>
      </c>
      <c r="B1575" s="1">
        <f ca="1">IFERROR(__xludf.DUMMYFUNCTION("""COMPUTED_VALUE"""),9.01)</f>
        <v>9.01</v>
      </c>
    </row>
    <row r="1576" spans="1:2">
      <c r="A1576" s="3">
        <f ca="1">IFERROR(__xludf.DUMMYFUNCTION("""COMPUTED_VALUE"""),40637.6666666666)</f>
        <v>40637.666666666599</v>
      </c>
      <c r="B1576" s="1">
        <f ca="1">IFERROR(__xludf.DUMMYFUNCTION("""COMPUTED_VALUE"""),9.15)</f>
        <v>9.15</v>
      </c>
    </row>
    <row r="1577" spans="1:2">
      <c r="A1577" s="3">
        <f ca="1">IFERROR(__xludf.DUMMYFUNCTION("""COMPUTED_VALUE"""),40638.6666666666)</f>
        <v>40638.666666666599</v>
      </c>
      <c r="B1577" s="1">
        <f ca="1">IFERROR(__xludf.DUMMYFUNCTION("""COMPUTED_VALUE"""),9.26)</f>
        <v>9.26</v>
      </c>
    </row>
    <row r="1578" spans="1:2">
      <c r="A1578" s="3">
        <f ca="1">IFERROR(__xludf.DUMMYFUNCTION("""COMPUTED_VALUE"""),40639.6666666666)</f>
        <v>40639.666666666599</v>
      </c>
      <c r="B1578" s="1">
        <f ca="1">IFERROR(__xludf.DUMMYFUNCTION("""COMPUTED_VALUE"""),9.14)</f>
        <v>9.14</v>
      </c>
    </row>
    <row r="1579" spans="1:2">
      <c r="A1579" s="3">
        <f ca="1">IFERROR(__xludf.DUMMYFUNCTION("""COMPUTED_VALUE"""),40640.6666666666)</f>
        <v>40640.666666666599</v>
      </c>
      <c r="B1579" s="1">
        <f ca="1">IFERROR(__xludf.DUMMYFUNCTION("""COMPUTED_VALUE"""),9.25)</f>
        <v>9.25</v>
      </c>
    </row>
    <row r="1580" spans="1:2">
      <c r="A1580" s="3">
        <f ca="1">IFERROR(__xludf.DUMMYFUNCTION("""COMPUTED_VALUE"""),40641.6666666666)</f>
        <v>40641.666666666599</v>
      </c>
      <c r="B1580" s="1">
        <f ca="1">IFERROR(__xludf.DUMMYFUNCTION("""COMPUTED_VALUE"""),9.24)</f>
        <v>9.24</v>
      </c>
    </row>
    <row r="1581" spans="1:2">
      <c r="A1581" s="3">
        <f ca="1">IFERROR(__xludf.DUMMYFUNCTION("""COMPUTED_VALUE"""),40644.6666666666)</f>
        <v>40644.666666666599</v>
      </c>
      <c r="B1581" s="1">
        <f ca="1">IFERROR(__xludf.DUMMYFUNCTION("""COMPUTED_VALUE"""),9.2)</f>
        <v>9.1999999999999993</v>
      </c>
    </row>
    <row r="1582" spans="1:2">
      <c r="A1582" s="3">
        <f ca="1">IFERROR(__xludf.DUMMYFUNCTION("""COMPUTED_VALUE"""),40645.6666666666)</f>
        <v>40645.666666666599</v>
      </c>
      <c r="B1582" s="1">
        <f ca="1">IFERROR(__xludf.DUMMYFUNCTION("""COMPUTED_VALUE"""),9.02)</f>
        <v>9.02</v>
      </c>
    </row>
    <row r="1583" spans="1:2">
      <c r="A1583" s="3">
        <f ca="1">IFERROR(__xludf.DUMMYFUNCTION("""COMPUTED_VALUE"""),40646.6666666666)</f>
        <v>40646.666666666599</v>
      </c>
      <c r="B1583" s="1">
        <f ca="1">IFERROR(__xludf.DUMMYFUNCTION("""COMPUTED_VALUE"""),9.11)</f>
        <v>9.11</v>
      </c>
    </row>
    <row r="1584" spans="1:2">
      <c r="A1584" s="3">
        <f ca="1">IFERROR(__xludf.DUMMYFUNCTION("""COMPUTED_VALUE"""),40647.6666666666)</f>
        <v>40647.666666666599</v>
      </c>
      <c r="B1584" s="1">
        <f ca="1">IFERROR(__xludf.DUMMYFUNCTION("""COMPUTED_VALUE"""),9.09)</f>
        <v>9.09</v>
      </c>
    </row>
    <row r="1585" spans="1:2">
      <c r="A1585" s="3">
        <f ca="1">IFERROR(__xludf.DUMMYFUNCTION("""COMPUTED_VALUE"""),40648.6666666666)</f>
        <v>40648.666666666599</v>
      </c>
      <c r="B1585" s="1">
        <f ca="1">IFERROR(__xludf.DUMMYFUNCTION("""COMPUTED_VALUE"""),9)</f>
        <v>9</v>
      </c>
    </row>
    <row r="1586" spans="1:2">
      <c r="A1586" s="3">
        <f ca="1">IFERROR(__xludf.DUMMYFUNCTION("""COMPUTED_VALUE"""),40651.6666666666)</f>
        <v>40651.666666666599</v>
      </c>
      <c r="B1586" s="1">
        <f ca="1">IFERROR(__xludf.DUMMYFUNCTION("""COMPUTED_VALUE"""),8.92)</f>
        <v>8.92</v>
      </c>
    </row>
    <row r="1587" spans="1:2">
      <c r="A1587" s="3">
        <f ca="1">IFERROR(__xludf.DUMMYFUNCTION("""COMPUTED_VALUE"""),40652.6666666666)</f>
        <v>40652.666666666599</v>
      </c>
      <c r="B1587" s="1">
        <f ca="1">IFERROR(__xludf.DUMMYFUNCTION("""COMPUTED_VALUE"""),8.94)</f>
        <v>8.94</v>
      </c>
    </row>
    <row r="1588" spans="1:2">
      <c r="A1588" s="3">
        <f ca="1">IFERROR(__xludf.DUMMYFUNCTION("""COMPUTED_VALUE"""),40653.6666666666)</f>
        <v>40653.666666666599</v>
      </c>
      <c r="B1588" s="1">
        <f ca="1">IFERROR(__xludf.DUMMYFUNCTION("""COMPUTED_VALUE"""),9.19)</f>
        <v>9.19</v>
      </c>
    </row>
    <row r="1589" spans="1:2">
      <c r="A1589" s="3">
        <f ca="1">IFERROR(__xludf.DUMMYFUNCTION("""COMPUTED_VALUE"""),40654.6666666666)</f>
        <v>40654.666666666599</v>
      </c>
      <c r="B1589" s="1">
        <f ca="1">IFERROR(__xludf.DUMMYFUNCTION("""COMPUTED_VALUE"""),9.29)</f>
        <v>9.2899999999999991</v>
      </c>
    </row>
    <row r="1590" spans="1:2">
      <c r="A1590" s="3">
        <f ca="1">IFERROR(__xludf.DUMMYFUNCTION("""COMPUTED_VALUE"""),40658.6666666666)</f>
        <v>40658.666666666599</v>
      </c>
      <c r="B1590" s="1">
        <f ca="1">IFERROR(__xludf.DUMMYFUNCTION("""COMPUTED_VALUE"""),9.27)</f>
        <v>9.27</v>
      </c>
    </row>
    <row r="1591" spans="1:2">
      <c r="A1591" s="3">
        <f ca="1">IFERROR(__xludf.DUMMYFUNCTION("""COMPUTED_VALUE"""),40659.6666666666)</f>
        <v>40659.666666666599</v>
      </c>
      <c r="B1591" s="1">
        <f ca="1">IFERROR(__xludf.DUMMYFUNCTION("""COMPUTED_VALUE"""),9.12)</f>
        <v>9.1199999999999992</v>
      </c>
    </row>
    <row r="1592" spans="1:2">
      <c r="A1592" s="3">
        <f ca="1">IFERROR(__xludf.DUMMYFUNCTION("""COMPUTED_VALUE"""),40660.6666666666)</f>
        <v>40660.666666666599</v>
      </c>
      <c r="B1592" s="1">
        <f ca="1">IFERROR(__xludf.DUMMYFUNCTION("""COMPUTED_VALUE"""),9.83)</f>
        <v>9.83</v>
      </c>
    </row>
    <row r="1593" spans="1:2">
      <c r="A1593" s="3">
        <f ca="1">IFERROR(__xludf.DUMMYFUNCTION("""COMPUTED_VALUE"""),40661.6666666666)</f>
        <v>40661.666666666599</v>
      </c>
      <c r="B1593" s="1">
        <f ca="1">IFERROR(__xludf.DUMMYFUNCTION("""COMPUTED_VALUE"""),9.75)</f>
        <v>9.75</v>
      </c>
    </row>
    <row r="1594" spans="1:2">
      <c r="A1594" s="3">
        <f ca="1">IFERROR(__xludf.DUMMYFUNCTION("""COMPUTED_VALUE"""),40662.6666666666)</f>
        <v>40662.666666666599</v>
      </c>
      <c r="B1594" s="1">
        <f ca="1">IFERROR(__xludf.DUMMYFUNCTION("""COMPUTED_VALUE"""),9.79)</f>
        <v>9.7899999999999991</v>
      </c>
    </row>
    <row r="1595" spans="1:2">
      <c r="A1595" s="3">
        <f ca="1">IFERROR(__xludf.DUMMYFUNCTION("""COMPUTED_VALUE"""),40665.6666666666)</f>
        <v>40665.666666666599</v>
      </c>
      <c r="B1595" s="1">
        <f ca="1">IFERROR(__xludf.DUMMYFUNCTION("""COMPUTED_VALUE"""),10.06)</f>
        <v>10.06</v>
      </c>
    </row>
    <row r="1596" spans="1:2">
      <c r="A1596" s="3">
        <f ca="1">IFERROR(__xludf.DUMMYFUNCTION("""COMPUTED_VALUE"""),40666.6666666666)</f>
        <v>40666.666666666599</v>
      </c>
      <c r="B1596" s="1">
        <f ca="1">IFERROR(__xludf.DUMMYFUNCTION("""COMPUTED_VALUE"""),9.92)</f>
        <v>9.92</v>
      </c>
    </row>
    <row r="1597" spans="1:2">
      <c r="A1597" s="3">
        <f ca="1">IFERROR(__xludf.DUMMYFUNCTION("""COMPUTED_VALUE"""),40667.6666666666)</f>
        <v>40667.666666666599</v>
      </c>
      <c r="B1597" s="1">
        <f ca="1">IFERROR(__xludf.DUMMYFUNCTION("""COMPUTED_VALUE"""),10)</f>
        <v>10</v>
      </c>
    </row>
    <row r="1598" spans="1:2">
      <c r="A1598" s="3">
        <f ca="1">IFERROR(__xludf.DUMMYFUNCTION("""COMPUTED_VALUE"""),40668.6666666666)</f>
        <v>40668.666666666599</v>
      </c>
      <c r="B1598" s="1">
        <f ca="1">IFERROR(__xludf.DUMMYFUNCTION("""COMPUTED_VALUE"""),9.86)</f>
        <v>9.86</v>
      </c>
    </row>
    <row r="1599" spans="1:2">
      <c r="A1599" s="3">
        <f ca="1">IFERROR(__xludf.DUMMYFUNCTION("""COMPUTED_VALUE"""),40669.6666666666)</f>
        <v>40669.666666666599</v>
      </c>
      <c r="B1599" s="1">
        <f ca="1">IFERROR(__xludf.DUMMYFUNCTION("""COMPUTED_VALUE"""),9.88)</f>
        <v>9.8800000000000008</v>
      </c>
    </row>
    <row r="1600" spans="1:2">
      <c r="A1600" s="3">
        <f ca="1">IFERROR(__xludf.DUMMYFUNCTION("""COMPUTED_VALUE"""),40672.6666666666)</f>
        <v>40672.666666666599</v>
      </c>
      <c r="B1600" s="1">
        <f ca="1">IFERROR(__xludf.DUMMYFUNCTION("""COMPUTED_VALUE"""),10.04)</f>
        <v>10.039999999999999</v>
      </c>
    </row>
    <row r="1601" spans="1:2">
      <c r="A1601" s="3">
        <f ca="1">IFERROR(__xludf.DUMMYFUNCTION("""COMPUTED_VALUE"""),40673.6666666666)</f>
        <v>40673.666666666599</v>
      </c>
      <c r="B1601" s="1">
        <f ca="1">IFERROR(__xludf.DUMMYFUNCTION("""COMPUTED_VALUE"""),10.2)</f>
        <v>10.199999999999999</v>
      </c>
    </row>
    <row r="1602" spans="1:2">
      <c r="A1602" s="3">
        <f ca="1">IFERROR(__xludf.DUMMYFUNCTION("""COMPUTED_VALUE"""),40674.6666666666)</f>
        <v>40674.666666666599</v>
      </c>
      <c r="B1602" s="1">
        <f ca="1">IFERROR(__xludf.DUMMYFUNCTION("""COMPUTED_VALUE"""),10.22)</f>
        <v>10.220000000000001</v>
      </c>
    </row>
    <row r="1603" spans="1:2">
      <c r="A1603" s="3">
        <f ca="1">IFERROR(__xludf.DUMMYFUNCTION("""COMPUTED_VALUE"""),40675.6666666666)</f>
        <v>40675.666666666599</v>
      </c>
      <c r="B1603" s="1">
        <f ca="1">IFERROR(__xludf.DUMMYFUNCTION("""COMPUTED_VALUE"""),10.3)</f>
        <v>10.3</v>
      </c>
    </row>
    <row r="1604" spans="1:2">
      <c r="A1604" s="3">
        <f ca="1">IFERROR(__xludf.DUMMYFUNCTION("""COMPUTED_VALUE"""),40676.6666666666)</f>
        <v>40676.666666666599</v>
      </c>
      <c r="B1604" s="1">
        <f ca="1">IFERROR(__xludf.DUMMYFUNCTION("""COMPUTED_VALUE"""),10.13)</f>
        <v>10.130000000000001</v>
      </c>
    </row>
    <row r="1605" spans="1:2">
      <c r="A1605" s="3">
        <f ca="1">IFERROR(__xludf.DUMMYFUNCTION("""COMPUTED_VALUE"""),40679.6666666666)</f>
        <v>40679.666666666599</v>
      </c>
      <c r="B1605" s="1">
        <f ca="1">IFERROR(__xludf.DUMMYFUNCTION("""COMPUTED_VALUE"""),9.63)</f>
        <v>9.6300000000000008</v>
      </c>
    </row>
    <row r="1606" spans="1:2">
      <c r="A1606" s="3">
        <f ca="1">IFERROR(__xludf.DUMMYFUNCTION("""COMPUTED_VALUE"""),40680.6666666666)</f>
        <v>40680.666666666599</v>
      </c>
      <c r="B1606" s="1">
        <f ca="1">IFERROR(__xludf.DUMMYFUNCTION("""COMPUTED_VALUE"""),9.74)</f>
        <v>9.74</v>
      </c>
    </row>
    <row r="1607" spans="1:2">
      <c r="A1607" s="3">
        <f ca="1">IFERROR(__xludf.DUMMYFUNCTION("""COMPUTED_VALUE"""),40681.6666666666)</f>
        <v>40681.666666666599</v>
      </c>
      <c r="B1607" s="1">
        <f ca="1">IFERROR(__xludf.DUMMYFUNCTION("""COMPUTED_VALUE"""),9.85)</f>
        <v>9.85</v>
      </c>
    </row>
    <row r="1608" spans="1:2">
      <c r="A1608" s="3">
        <f ca="1">IFERROR(__xludf.DUMMYFUNCTION("""COMPUTED_VALUE"""),40682.6666666666)</f>
        <v>40682.666666666599</v>
      </c>
      <c r="B1608" s="1">
        <f ca="1">IFERROR(__xludf.DUMMYFUNCTION("""COMPUTED_VALUE"""),9.94)</f>
        <v>9.94</v>
      </c>
    </row>
    <row r="1609" spans="1:2">
      <c r="A1609" s="3">
        <f ca="1">IFERROR(__xludf.DUMMYFUNCTION("""COMPUTED_VALUE"""),40683.6666666666)</f>
        <v>40683.666666666599</v>
      </c>
      <c r="B1609" s="1">
        <f ca="1">IFERROR(__xludf.DUMMYFUNCTION("""COMPUTED_VALUE"""),9.93)</f>
        <v>9.93</v>
      </c>
    </row>
    <row r="1610" spans="1:2">
      <c r="A1610" s="3">
        <f ca="1">IFERROR(__xludf.DUMMYFUNCTION("""COMPUTED_VALUE"""),40686.6666666666)</f>
        <v>40686.666666666599</v>
      </c>
      <c r="B1610" s="1">
        <f ca="1">IFERROR(__xludf.DUMMYFUNCTION("""COMPUTED_VALUE"""),9.81)</f>
        <v>9.81</v>
      </c>
    </row>
    <row r="1611" spans="1:2">
      <c r="A1611" s="3">
        <f ca="1">IFERROR(__xludf.DUMMYFUNCTION("""COMPUTED_VALUE"""),40687.6666666666)</f>
        <v>40687.666666666599</v>
      </c>
      <c r="B1611" s="1">
        <f ca="1">IFERROR(__xludf.DUMMYFUNCTION("""COMPUTED_VALUE"""),9.66)</f>
        <v>9.66</v>
      </c>
    </row>
    <row r="1612" spans="1:2">
      <c r="A1612" s="3">
        <f ca="1">IFERROR(__xludf.DUMMYFUNCTION("""COMPUTED_VALUE"""),40688.6666666666)</f>
        <v>40688.666666666599</v>
      </c>
      <c r="B1612" s="1">
        <f ca="1">IFERROR(__xludf.DUMMYFUNCTION("""COMPUTED_VALUE"""),9.61)</f>
        <v>9.61</v>
      </c>
    </row>
    <row r="1613" spans="1:2">
      <c r="A1613" s="3">
        <f ca="1">IFERROR(__xludf.DUMMYFUNCTION("""COMPUTED_VALUE"""),40689.6666666666)</f>
        <v>40689.666666666599</v>
      </c>
      <c r="B1613" s="1">
        <f ca="1">IFERROR(__xludf.DUMMYFUNCTION("""COMPUTED_VALUE"""),9.75)</f>
        <v>9.75</v>
      </c>
    </row>
    <row r="1614" spans="1:2">
      <c r="A1614" s="3">
        <f ca="1">IFERROR(__xludf.DUMMYFUNCTION("""COMPUTED_VALUE"""),40690.6666666666)</f>
        <v>40690.666666666599</v>
      </c>
      <c r="B1614" s="1">
        <f ca="1">IFERROR(__xludf.DUMMYFUNCTION("""COMPUTED_VALUE"""),9.71)</f>
        <v>9.7100000000000009</v>
      </c>
    </row>
    <row r="1615" spans="1:2">
      <c r="A1615" s="3">
        <f ca="1">IFERROR(__xludf.DUMMYFUNCTION("""COMPUTED_VALUE"""),40694.6666666666)</f>
        <v>40694.666666666599</v>
      </c>
      <c r="B1615" s="1">
        <f ca="1">IFERROR(__xludf.DUMMYFUNCTION("""COMPUTED_VALUE"""),9.83)</f>
        <v>9.83</v>
      </c>
    </row>
    <row r="1616" spans="1:2">
      <c r="A1616" s="3">
        <f ca="1">IFERROR(__xludf.DUMMYFUNCTION("""COMPUTED_VALUE"""),40695.6666666666)</f>
        <v>40695.666666666599</v>
      </c>
      <c r="B1616" s="1">
        <f ca="1">IFERROR(__xludf.DUMMYFUNCTION("""COMPUTED_VALUE"""),9.62)</f>
        <v>9.6199999999999992</v>
      </c>
    </row>
    <row r="1617" spans="1:2">
      <c r="A1617" s="3">
        <f ca="1">IFERROR(__xludf.DUMMYFUNCTION("""COMPUTED_VALUE"""),40696.6666666666)</f>
        <v>40696.666666666599</v>
      </c>
      <c r="B1617" s="1">
        <f ca="1">IFERROR(__xludf.DUMMYFUNCTION("""COMPUTED_VALUE"""),9.68)</f>
        <v>9.68</v>
      </c>
    </row>
    <row r="1618" spans="1:2">
      <c r="A1618" s="3">
        <f ca="1">IFERROR(__xludf.DUMMYFUNCTION("""COMPUTED_VALUE"""),40697.6666666666)</f>
        <v>40697.666666666599</v>
      </c>
      <c r="B1618" s="1">
        <f ca="1">IFERROR(__xludf.DUMMYFUNCTION("""COMPUTED_VALUE"""),9.42)</f>
        <v>9.42</v>
      </c>
    </row>
    <row r="1619" spans="1:2">
      <c r="A1619" s="3">
        <f ca="1">IFERROR(__xludf.DUMMYFUNCTION("""COMPUTED_VALUE"""),40700.6666666666)</f>
        <v>40700.666666666599</v>
      </c>
      <c r="B1619" s="1">
        <f ca="1">IFERROR(__xludf.DUMMYFUNCTION("""COMPUTED_VALUE"""),9.28)</f>
        <v>9.2799999999999994</v>
      </c>
    </row>
    <row r="1620" spans="1:2">
      <c r="A1620" s="3">
        <f ca="1">IFERROR(__xludf.DUMMYFUNCTION("""COMPUTED_VALUE"""),40701.6666666666)</f>
        <v>40701.666666666599</v>
      </c>
      <c r="B1620" s="1">
        <f ca="1">IFERROR(__xludf.DUMMYFUNCTION("""COMPUTED_VALUE"""),9.38)</f>
        <v>9.3800000000000008</v>
      </c>
    </row>
    <row r="1621" spans="1:2">
      <c r="A1621" s="3">
        <f ca="1">IFERROR(__xludf.DUMMYFUNCTION("""COMPUTED_VALUE"""),40702.6666666666)</f>
        <v>40702.666666666599</v>
      </c>
      <c r="B1621" s="1">
        <f ca="1">IFERROR(__xludf.DUMMYFUNCTION("""COMPUTED_VALUE"""),9.4)</f>
        <v>9.4</v>
      </c>
    </row>
    <row r="1622" spans="1:2">
      <c r="A1622" s="3">
        <f ca="1">IFERROR(__xludf.DUMMYFUNCTION("""COMPUTED_VALUE"""),40703.6666666666)</f>
        <v>40703.666666666599</v>
      </c>
      <c r="B1622" s="1">
        <f ca="1">IFERROR(__xludf.DUMMYFUNCTION("""COMPUTED_VALUE"""),9.48)</f>
        <v>9.48</v>
      </c>
    </row>
    <row r="1623" spans="1:2">
      <c r="A1623" s="3">
        <f ca="1">IFERROR(__xludf.DUMMYFUNCTION("""COMPUTED_VALUE"""),40704.6666666666)</f>
        <v>40704.666666666599</v>
      </c>
      <c r="B1623" s="1">
        <f ca="1">IFERROR(__xludf.DUMMYFUNCTION("""COMPUTED_VALUE"""),9.33)</f>
        <v>9.33</v>
      </c>
    </row>
    <row r="1624" spans="1:2">
      <c r="A1624" s="3">
        <f ca="1">IFERROR(__xludf.DUMMYFUNCTION("""COMPUTED_VALUE"""),40707.6666666666)</f>
        <v>40707.666666666599</v>
      </c>
      <c r="B1624" s="1">
        <f ca="1">IFERROR(__xludf.DUMMYFUNCTION("""COMPUTED_VALUE"""),9.31)</f>
        <v>9.31</v>
      </c>
    </row>
    <row r="1625" spans="1:2">
      <c r="A1625" s="3">
        <f ca="1">IFERROR(__xludf.DUMMYFUNCTION("""COMPUTED_VALUE"""),40708.6666666666)</f>
        <v>40708.666666666599</v>
      </c>
      <c r="B1625" s="1">
        <f ca="1">IFERROR(__xludf.DUMMYFUNCTION("""COMPUTED_VALUE"""),9.5)</f>
        <v>9.5</v>
      </c>
    </row>
    <row r="1626" spans="1:2">
      <c r="A1626" s="3">
        <f ca="1">IFERROR(__xludf.DUMMYFUNCTION("""COMPUTED_VALUE"""),40709.6666666666)</f>
        <v>40709.666666666599</v>
      </c>
      <c r="B1626" s="1">
        <f ca="1">IFERROR(__xludf.DUMMYFUNCTION("""COMPUTED_VALUE"""),9.3)</f>
        <v>9.3000000000000007</v>
      </c>
    </row>
    <row r="1627" spans="1:2">
      <c r="A1627" s="3">
        <f ca="1">IFERROR(__xludf.DUMMYFUNCTION("""COMPUTED_VALUE"""),40710.6666666666)</f>
        <v>40710.666666666599</v>
      </c>
      <c r="B1627" s="1">
        <f ca="1">IFERROR(__xludf.DUMMYFUNCTION("""COMPUTED_VALUE"""),9.18)</f>
        <v>9.18</v>
      </c>
    </row>
    <row r="1628" spans="1:2">
      <c r="A1628" s="3">
        <f ca="1">IFERROR(__xludf.DUMMYFUNCTION("""COMPUTED_VALUE"""),40711.6666666666)</f>
        <v>40711.666666666599</v>
      </c>
      <c r="B1628" s="1">
        <f ca="1">IFERROR(__xludf.DUMMYFUNCTION("""COMPUTED_VALUE"""),9.32)</f>
        <v>9.32</v>
      </c>
    </row>
    <row r="1629" spans="1:2">
      <c r="A1629" s="3">
        <f ca="1">IFERROR(__xludf.DUMMYFUNCTION("""COMPUTED_VALUE"""),40714.6666666666)</f>
        <v>40714.666666666599</v>
      </c>
      <c r="B1629" s="1">
        <f ca="1">IFERROR(__xludf.DUMMYFUNCTION("""COMPUTED_VALUE"""),9.39)</f>
        <v>9.39</v>
      </c>
    </row>
    <row r="1630" spans="1:2">
      <c r="A1630" s="3">
        <f ca="1">IFERROR(__xludf.DUMMYFUNCTION("""COMPUTED_VALUE"""),40715.6666666666)</f>
        <v>40715.666666666599</v>
      </c>
      <c r="B1630" s="1">
        <f ca="1">IFERROR(__xludf.DUMMYFUNCTION("""COMPUTED_VALUE"""),9.71)</f>
        <v>9.7100000000000009</v>
      </c>
    </row>
    <row r="1631" spans="1:2">
      <c r="A1631" s="3">
        <f ca="1">IFERROR(__xludf.DUMMYFUNCTION("""COMPUTED_VALUE"""),40716.6666666666)</f>
        <v>40716.666666666599</v>
      </c>
      <c r="B1631" s="1">
        <f ca="1">IFERROR(__xludf.DUMMYFUNCTION("""COMPUTED_VALUE"""),9.58)</f>
        <v>9.58</v>
      </c>
    </row>
    <row r="1632" spans="1:2">
      <c r="A1632" s="3">
        <f ca="1">IFERROR(__xludf.DUMMYFUNCTION("""COMPUTED_VALUE"""),40717.6666666666)</f>
        <v>40717.666666666599</v>
      </c>
      <c r="B1632" s="1">
        <f ca="1">IFERROR(__xludf.DUMMYFUNCTION("""COMPUTED_VALUE"""),9.71)</f>
        <v>9.7100000000000009</v>
      </c>
    </row>
    <row r="1633" spans="1:2">
      <c r="A1633" s="3">
        <f ca="1">IFERROR(__xludf.DUMMYFUNCTION("""COMPUTED_VALUE"""),40718.6666666666)</f>
        <v>40718.666666666599</v>
      </c>
      <c r="B1633" s="1">
        <f ca="1">IFERROR(__xludf.DUMMYFUNCTION("""COMPUTED_VALUE"""),9.63)</f>
        <v>9.6300000000000008</v>
      </c>
    </row>
    <row r="1634" spans="1:2">
      <c r="A1634" s="3">
        <f ca="1">IFERROR(__xludf.DUMMYFUNCTION("""COMPUTED_VALUE"""),40721.6666666666)</f>
        <v>40721.666666666599</v>
      </c>
      <c r="B1634" s="1">
        <f ca="1">IFERROR(__xludf.DUMMYFUNCTION("""COMPUTED_VALUE"""),10.06)</f>
        <v>10.06</v>
      </c>
    </row>
    <row r="1635" spans="1:2">
      <c r="A1635" s="3">
        <f ca="1">IFERROR(__xludf.DUMMYFUNCTION("""COMPUTED_VALUE"""),40722.6666666666)</f>
        <v>40722.666666666599</v>
      </c>
      <c r="B1635" s="1">
        <f ca="1">IFERROR(__xludf.DUMMYFUNCTION("""COMPUTED_VALUE"""),10.12)</f>
        <v>10.119999999999999</v>
      </c>
    </row>
    <row r="1636" spans="1:2">
      <c r="A1636" s="3">
        <f ca="1">IFERROR(__xludf.DUMMYFUNCTION("""COMPUTED_VALUE"""),40723.6666666666)</f>
        <v>40723.666666666599</v>
      </c>
      <c r="B1636" s="1">
        <f ca="1">IFERROR(__xludf.DUMMYFUNCTION("""COMPUTED_VALUE"""),10.21)</f>
        <v>10.210000000000001</v>
      </c>
    </row>
    <row r="1637" spans="1:2">
      <c r="A1637" s="3">
        <f ca="1">IFERROR(__xludf.DUMMYFUNCTION("""COMPUTED_VALUE"""),40724.6666666666)</f>
        <v>40724.666666666599</v>
      </c>
      <c r="B1637" s="1">
        <f ca="1">IFERROR(__xludf.DUMMYFUNCTION("""COMPUTED_VALUE"""),10.22)</f>
        <v>10.220000000000001</v>
      </c>
    </row>
    <row r="1638" spans="1:2">
      <c r="A1638" s="3">
        <f ca="1">IFERROR(__xludf.DUMMYFUNCTION("""COMPUTED_VALUE"""),40725.6666666666)</f>
        <v>40725.666666666599</v>
      </c>
      <c r="B1638" s="1">
        <f ca="1">IFERROR(__xludf.DUMMYFUNCTION("""COMPUTED_VALUE"""),10.47)</f>
        <v>10.47</v>
      </c>
    </row>
    <row r="1639" spans="1:2">
      <c r="A1639" s="3">
        <f ca="1">IFERROR(__xludf.DUMMYFUNCTION("""COMPUTED_VALUE"""),40729.6666666666)</f>
        <v>40729.666666666599</v>
      </c>
      <c r="B1639" s="1">
        <f ca="1">IFERROR(__xludf.DUMMYFUNCTION("""COMPUTED_VALUE"""),10.66)</f>
        <v>10.66</v>
      </c>
    </row>
    <row r="1640" spans="1:2">
      <c r="A1640" s="3">
        <f ca="1">IFERROR(__xludf.DUMMYFUNCTION("""COMPUTED_VALUE"""),40730.6666666666)</f>
        <v>40730.666666666599</v>
      </c>
      <c r="B1640" s="1">
        <f ca="1">IFERROR(__xludf.DUMMYFUNCTION("""COMPUTED_VALUE"""),10.71)</f>
        <v>10.71</v>
      </c>
    </row>
    <row r="1641" spans="1:2">
      <c r="A1641" s="3">
        <f ca="1">IFERROR(__xludf.DUMMYFUNCTION("""COMPUTED_VALUE"""),40731.6666666666)</f>
        <v>40731.666666666599</v>
      </c>
      <c r="B1641" s="1">
        <f ca="1">IFERROR(__xludf.DUMMYFUNCTION("""COMPUTED_VALUE"""),10.84)</f>
        <v>10.84</v>
      </c>
    </row>
    <row r="1642" spans="1:2">
      <c r="A1642" s="3">
        <f ca="1">IFERROR(__xludf.DUMMYFUNCTION("""COMPUTED_VALUE"""),40732.6666666666)</f>
        <v>40732.666666666599</v>
      </c>
      <c r="B1642" s="1">
        <f ca="1">IFERROR(__xludf.DUMMYFUNCTION("""COMPUTED_VALUE"""),10.91)</f>
        <v>10.91</v>
      </c>
    </row>
    <row r="1643" spans="1:2">
      <c r="A1643" s="3">
        <f ca="1">IFERROR(__xludf.DUMMYFUNCTION("""COMPUTED_VALUE"""),40735.6666666666)</f>
        <v>40735.666666666599</v>
      </c>
      <c r="B1643" s="1">
        <f ca="1">IFERROR(__xludf.DUMMYFUNCTION("""COMPUTED_VALUE"""),10.63)</f>
        <v>10.63</v>
      </c>
    </row>
    <row r="1644" spans="1:2">
      <c r="A1644" s="3">
        <f ca="1">IFERROR(__xludf.DUMMYFUNCTION("""COMPUTED_VALUE"""),40736.6666666666)</f>
        <v>40736.666666666599</v>
      </c>
      <c r="B1644" s="1">
        <f ca="1">IFERROR(__xludf.DUMMYFUNCTION("""COMPUTED_VALUE"""),10.56)</f>
        <v>10.56</v>
      </c>
    </row>
    <row r="1645" spans="1:2">
      <c r="A1645" s="3">
        <f ca="1">IFERROR(__xludf.DUMMYFUNCTION("""COMPUTED_VALUE"""),40737.6666666666)</f>
        <v>40737.666666666599</v>
      </c>
      <c r="B1645" s="1">
        <f ca="1">IFERROR(__xludf.DUMMYFUNCTION("""COMPUTED_VALUE"""),10.68)</f>
        <v>10.68</v>
      </c>
    </row>
    <row r="1646" spans="1:2">
      <c r="A1646" s="3">
        <f ca="1">IFERROR(__xludf.DUMMYFUNCTION("""COMPUTED_VALUE"""),40738.6666666666)</f>
        <v>40738.666666666599</v>
      </c>
      <c r="B1646" s="1">
        <f ca="1">IFERROR(__xludf.DUMMYFUNCTION("""COMPUTED_VALUE"""),10.52)</f>
        <v>10.52</v>
      </c>
    </row>
    <row r="1647" spans="1:2">
      <c r="A1647" s="3">
        <f ca="1">IFERROR(__xludf.DUMMYFUNCTION("""COMPUTED_VALUE"""),40739.6666666666)</f>
        <v>40739.666666666599</v>
      </c>
      <c r="B1647" s="1">
        <f ca="1">IFERROR(__xludf.DUMMYFUNCTION("""COMPUTED_VALUE"""),10.64)</f>
        <v>10.64</v>
      </c>
    </row>
    <row r="1648" spans="1:2">
      <c r="A1648" s="3">
        <f ca="1">IFERROR(__xludf.DUMMYFUNCTION("""COMPUTED_VALUE"""),40742.6666666666)</f>
        <v>40742.666666666599</v>
      </c>
      <c r="B1648" s="1">
        <f ca="1">IFERROR(__xludf.DUMMYFUNCTION("""COMPUTED_VALUE"""),10.58)</f>
        <v>10.58</v>
      </c>
    </row>
    <row r="1649" spans="1:2">
      <c r="A1649" s="3">
        <f ca="1">IFERROR(__xludf.DUMMYFUNCTION("""COMPUTED_VALUE"""),40743.6666666666)</f>
        <v>40743.666666666599</v>
      </c>
      <c r="B1649" s="1">
        <f ca="1">IFERROR(__xludf.DUMMYFUNCTION("""COMPUTED_VALUE"""),10.9)</f>
        <v>10.9</v>
      </c>
    </row>
    <row r="1650" spans="1:2">
      <c r="A1650" s="3">
        <f ca="1">IFERROR(__xludf.DUMMYFUNCTION("""COMPUTED_VALUE"""),40744.6666666666)</f>
        <v>40744.666666666599</v>
      </c>
      <c r="B1650" s="1">
        <f ca="1">IFERROR(__xludf.DUMMYFUNCTION("""COMPUTED_VALUE"""),10.78)</f>
        <v>10.78</v>
      </c>
    </row>
    <row r="1651" spans="1:2">
      <c r="A1651" s="3">
        <f ca="1">IFERROR(__xludf.DUMMYFUNCTION("""COMPUTED_VALUE"""),40745.6666666666)</f>
        <v>40745.666666666599</v>
      </c>
      <c r="B1651" s="1">
        <f ca="1">IFERROR(__xludf.DUMMYFUNCTION("""COMPUTED_VALUE"""),10.66)</f>
        <v>10.66</v>
      </c>
    </row>
    <row r="1652" spans="1:2">
      <c r="A1652" s="3">
        <f ca="1">IFERROR(__xludf.DUMMYFUNCTION("""COMPUTED_VALUE"""),40746.6666666666)</f>
        <v>40746.666666666599</v>
      </c>
      <c r="B1652" s="1">
        <f ca="1">IFERROR(__xludf.DUMMYFUNCTION("""COMPUTED_VALUE"""),10.83)</f>
        <v>10.83</v>
      </c>
    </row>
    <row r="1653" spans="1:2">
      <c r="A1653" s="3">
        <f ca="1">IFERROR(__xludf.DUMMYFUNCTION("""COMPUTED_VALUE"""),40749.6666666666)</f>
        <v>40749.666666666599</v>
      </c>
      <c r="B1653" s="1">
        <f ca="1">IFERROR(__xludf.DUMMYFUNCTION("""COMPUTED_VALUE"""),10.67)</f>
        <v>10.67</v>
      </c>
    </row>
    <row r="1654" spans="1:2">
      <c r="A1654" s="3">
        <f ca="1">IFERROR(__xludf.DUMMYFUNCTION("""COMPUTED_VALUE"""),40750.6666666666)</f>
        <v>40750.666666666599</v>
      </c>
      <c r="B1654" s="1">
        <f ca="1">IFERROR(__xludf.DUMMYFUNCTION("""COMPUTED_VALUE"""),10.71)</f>
        <v>10.71</v>
      </c>
    </row>
    <row r="1655" spans="1:2">
      <c r="A1655" s="3">
        <f ca="1">IFERROR(__xludf.DUMMYFUNCTION("""COMPUTED_VALUE"""),40751.6666666666)</f>
        <v>40751.666666666599</v>
      </c>
      <c r="B1655" s="1">
        <f ca="1">IFERROR(__xludf.DUMMYFUNCTION("""COMPUTED_VALUE"""),11.13)</f>
        <v>11.13</v>
      </c>
    </row>
    <row r="1656" spans="1:2">
      <c r="A1656" s="3">
        <f ca="1">IFERROR(__xludf.DUMMYFUNCTION("""COMPUTED_VALUE"""),40752.6666666666)</f>
        <v>40752.666666666599</v>
      </c>
      <c r="B1656" s="1">
        <f ca="1">IFERROR(__xludf.DUMMYFUNCTION("""COMPUTED_VALUE"""),11.2)</f>
        <v>11.2</v>
      </c>
    </row>
    <row r="1657" spans="1:2">
      <c r="A1657" s="3">
        <f ca="1">IFERROR(__xludf.DUMMYFUNCTION("""COMPUTED_VALUE"""),40753.6666666666)</f>
        <v>40753.666666666599</v>
      </c>
      <c r="B1657" s="1">
        <f ca="1">IFERROR(__xludf.DUMMYFUNCTION("""COMPUTED_VALUE"""),11.13)</f>
        <v>11.13</v>
      </c>
    </row>
    <row r="1658" spans="1:2">
      <c r="A1658" s="3">
        <f ca="1">IFERROR(__xludf.DUMMYFUNCTION("""COMPUTED_VALUE"""),40756.6666666666)</f>
        <v>40756.666666666599</v>
      </c>
      <c r="B1658" s="1">
        <f ca="1">IFERROR(__xludf.DUMMYFUNCTION("""COMPUTED_VALUE"""),11.07)</f>
        <v>11.07</v>
      </c>
    </row>
    <row r="1659" spans="1:2">
      <c r="A1659" s="3">
        <f ca="1">IFERROR(__xludf.DUMMYFUNCTION("""COMPUTED_VALUE"""),40757.6666666666)</f>
        <v>40757.666666666599</v>
      </c>
      <c r="B1659" s="1">
        <f ca="1">IFERROR(__xludf.DUMMYFUNCTION("""COMPUTED_VALUE"""),10.59)</f>
        <v>10.59</v>
      </c>
    </row>
    <row r="1660" spans="1:2">
      <c r="A1660" s="3">
        <f ca="1">IFERROR(__xludf.DUMMYFUNCTION("""COMPUTED_VALUE"""),40758.6666666666)</f>
        <v>40758.666666666599</v>
      </c>
      <c r="B1660" s="1">
        <f ca="1">IFERROR(__xludf.DUMMYFUNCTION("""COMPUTED_VALUE"""),10.5)</f>
        <v>10.5</v>
      </c>
    </row>
    <row r="1661" spans="1:2">
      <c r="A1661" s="3">
        <f ca="1">IFERROR(__xludf.DUMMYFUNCTION("""COMPUTED_VALUE"""),40759.6666666666)</f>
        <v>40759.666666666599</v>
      </c>
      <c r="B1661" s="1">
        <f ca="1">IFERROR(__xludf.DUMMYFUNCTION("""COMPUTED_VALUE"""),10.07)</f>
        <v>10.07</v>
      </c>
    </row>
    <row r="1662" spans="1:2">
      <c r="A1662" s="3">
        <f ca="1">IFERROR(__xludf.DUMMYFUNCTION("""COMPUTED_VALUE"""),40760.6666666666)</f>
        <v>40760.666666666599</v>
      </c>
      <c r="B1662" s="1">
        <f ca="1">IFERROR(__xludf.DUMMYFUNCTION("""COMPUTED_VALUE"""),10.14)</f>
        <v>10.14</v>
      </c>
    </row>
    <row r="1663" spans="1:2">
      <c r="A1663" s="3">
        <f ca="1">IFERROR(__xludf.DUMMYFUNCTION("""COMPUTED_VALUE"""),40763.6666666666)</f>
        <v>40763.666666666599</v>
      </c>
      <c r="B1663" s="1">
        <f ca="1">IFERROR(__xludf.DUMMYFUNCTION("""COMPUTED_VALUE"""),9.69)</f>
        <v>9.69</v>
      </c>
    </row>
    <row r="1664" spans="1:2">
      <c r="A1664" s="3">
        <f ca="1">IFERROR(__xludf.DUMMYFUNCTION("""COMPUTED_VALUE"""),40764.6666666666)</f>
        <v>40764.666666666599</v>
      </c>
      <c r="B1664" s="1">
        <f ca="1">IFERROR(__xludf.DUMMYFUNCTION("""COMPUTED_VALUE"""),10.25)</f>
        <v>10.25</v>
      </c>
    </row>
    <row r="1665" spans="1:2">
      <c r="A1665" s="3">
        <f ca="1">IFERROR(__xludf.DUMMYFUNCTION("""COMPUTED_VALUE"""),40765.6666666666)</f>
        <v>40765.666666666599</v>
      </c>
      <c r="B1665" s="1">
        <f ca="1">IFERROR(__xludf.DUMMYFUNCTION("""COMPUTED_VALUE"""),9.71)</f>
        <v>9.7100000000000009</v>
      </c>
    </row>
    <row r="1666" spans="1:2">
      <c r="A1666" s="3">
        <f ca="1">IFERROR(__xludf.DUMMYFUNCTION("""COMPUTED_VALUE"""),40766.6666666666)</f>
        <v>40766.666666666599</v>
      </c>
      <c r="B1666" s="1">
        <f ca="1">IFERROR(__xludf.DUMMYFUNCTION("""COMPUTED_VALUE"""),9.92)</f>
        <v>9.92</v>
      </c>
    </row>
    <row r="1667" spans="1:2">
      <c r="A1667" s="3">
        <f ca="1">IFERROR(__xludf.DUMMYFUNCTION("""COMPUTED_VALUE"""),40767.6666666666)</f>
        <v>40767.666666666599</v>
      </c>
      <c r="B1667" s="1">
        <f ca="1">IFERROR(__xludf.DUMMYFUNCTION("""COMPUTED_VALUE"""),10.12)</f>
        <v>10.119999999999999</v>
      </c>
    </row>
    <row r="1668" spans="1:2">
      <c r="A1668" s="3">
        <f ca="1">IFERROR(__xludf.DUMMYFUNCTION("""COMPUTED_VALUE"""),40770.6666666666)</f>
        <v>40770.666666666599</v>
      </c>
      <c r="B1668" s="1">
        <f ca="1">IFERROR(__xludf.DUMMYFUNCTION("""COMPUTED_VALUE"""),10.15)</f>
        <v>10.15</v>
      </c>
    </row>
    <row r="1669" spans="1:2">
      <c r="A1669" s="3">
        <f ca="1">IFERROR(__xludf.DUMMYFUNCTION("""COMPUTED_VALUE"""),40771.6666666666)</f>
        <v>40771.666666666599</v>
      </c>
      <c r="B1669" s="1">
        <f ca="1">IFERROR(__xludf.DUMMYFUNCTION("""COMPUTED_VALUE"""),9.88)</f>
        <v>9.8800000000000008</v>
      </c>
    </row>
    <row r="1670" spans="1:2">
      <c r="A1670" s="3">
        <f ca="1">IFERROR(__xludf.DUMMYFUNCTION("""COMPUTED_VALUE"""),40772.6666666666)</f>
        <v>40772.666666666599</v>
      </c>
      <c r="B1670" s="1">
        <f ca="1">IFERROR(__xludf.DUMMYFUNCTION("""COMPUTED_VALUE"""),9.8)</f>
        <v>9.8000000000000007</v>
      </c>
    </row>
    <row r="1671" spans="1:2">
      <c r="A1671" s="3">
        <f ca="1">IFERROR(__xludf.DUMMYFUNCTION("""COMPUTED_VALUE"""),40773.6666666666)</f>
        <v>40773.666666666599</v>
      </c>
      <c r="B1671" s="1">
        <f ca="1">IFERROR(__xludf.DUMMYFUNCTION("""COMPUTED_VALUE"""),9.13)</f>
        <v>9.1300000000000008</v>
      </c>
    </row>
    <row r="1672" spans="1:2">
      <c r="A1672" s="3">
        <f ca="1">IFERROR(__xludf.DUMMYFUNCTION("""COMPUTED_VALUE"""),40774.6666666666)</f>
        <v>40774.666666666599</v>
      </c>
      <c r="B1672" s="1">
        <f ca="1">IFERROR(__xludf.DUMMYFUNCTION("""COMPUTED_VALUE"""),8.95)</f>
        <v>8.9499999999999993</v>
      </c>
    </row>
    <row r="1673" spans="1:2">
      <c r="A1673" s="3">
        <f ca="1">IFERROR(__xludf.DUMMYFUNCTION("""COMPUTED_VALUE"""),40777.6666666666)</f>
        <v>40777.666666666599</v>
      </c>
      <c r="B1673" s="1">
        <f ca="1">IFERROR(__xludf.DUMMYFUNCTION("""COMPUTED_VALUE"""),8.88)</f>
        <v>8.8800000000000008</v>
      </c>
    </row>
    <row r="1674" spans="1:2">
      <c r="A1674" s="3">
        <f ca="1">IFERROR(__xludf.DUMMYFUNCTION("""COMPUTED_VALUE"""),40778.6666666666)</f>
        <v>40778.666666666599</v>
      </c>
      <c r="B1674" s="1">
        <f ca="1">IFERROR(__xludf.DUMMYFUNCTION("""COMPUTED_VALUE"""),9.68)</f>
        <v>9.68</v>
      </c>
    </row>
    <row r="1675" spans="1:2">
      <c r="A1675" s="3">
        <f ca="1">IFERROR(__xludf.DUMMYFUNCTION("""COMPUTED_VALUE"""),40779.6666666666)</f>
        <v>40779.666666666599</v>
      </c>
      <c r="B1675" s="1">
        <f ca="1">IFERROR(__xludf.DUMMYFUNCTION("""COMPUTED_VALUE"""),9.69)</f>
        <v>9.69</v>
      </c>
    </row>
    <row r="1676" spans="1:2">
      <c r="A1676" s="3">
        <f ca="1">IFERROR(__xludf.DUMMYFUNCTION("""COMPUTED_VALUE"""),40780.6666666666)</f>
        <v>40780.666666666599</v>
      </c>
      <c r="B1676" s="1">
        <f ca="1">IFERROR(__xludf.DUMMYFUNCTION("""COMPUTED_VALUE"""),9.6)</f>
        <v>9.6</v>
      </c>
    </row>
    <row r="1677" spans="1:2">
      <c r="A1677" s="3">
        <f ca="1">IFERROR(__xludf.DUMMYFUNCTION("""COMPUTED_VALUE"""),40781.6666666666)</f>
        <v>40781.666666666599</v>
      </c>
      <c r="B1677" s="1">
        <f ca="1">IFERROR(__xludf.DUMMYFUNCTION("""COMPUTED_VALUE"""),9.96)</f>
        <v>9.9600000000000009</v>
      </c>
    </row>
    <row r="1678" spans="1:2">
      <c r="A1678" s="3">
        <f ca="1">IFERROR(__xludf.DUMMYFUNCTION("""COMPUTED_VALUE"""),40784.6666666666)</f>
        <v>40784.666666666599</v>
      </c>
      <c r="B1678" s="1">
        <f ca="1">IFERROR(__xludf.DUMMYFUNCTION("""COMPUTED_VALUE"""),10.33)</f>
        <v>10.33</v>
      </c>
    </row>
    <row r="1679" spans="1:2">
      <c r="A1679" s="3">
        <f ca="1">IFERROR(__xludf.DUMMYFUNCTION("""COMPUTED_VALUE"""),40785.6666666666)</f>
        <v>40785.666666666599</v>
      </c>
      <c r="B1679" s="1">
        <f ca="1">IFERROR(__xludf.DUMMYFUNCTION("""COMPUTED_VALUE"""),10.55)</f>
        <v>10.55</v>
      </c>
    </row>
    <row r="1680" spans="1:2">
      <c r="A1680" s="3">
        <f ca="1">IFERROR(__xludf.DUMMYFUNCTION("""COMPUTED_VALUE"""),40786.6666666666)</f>
        <v>40786.666666666599</v>
      </c>
      <c r="B1680" s="1">
        <f ca="1">IFERROR(__xludf.DUMMYFUNCTION("""COMPUTED_VALUE"""),10.76)</f>
        <v>10.76</v>
      </c>
    </row>
    <row r="1681" spans="1:2">
      <c r="A1681" s="3">
        <f ca="1">IFERROR(__xludf.DUMMYFUNCTION("""COMPUTED_VALUE"""),40787.6666666666)</f>
        <v>40787.666666666599</v>
      </c>
      <c r="B1681" s="1">
        <f ca="1">IFERROR(__xludf.DUMMYFUNCTION("""COMPUTED_VALUE"""),10.63)</f>
        <v>10.63</v>
      </c>
    </row>
    <row r="1682" spans="1:2">
      <c r="A1682" s="3">
        <f ca="1">IFERROR(__xludf.DUMMYFUNCTION("""COMPUTED_VALUE"""),40788.6666666666)</f>
        <v>40788.666666666599</v>
      </c>
      <c r="B1682" s="1">
        <f ca="1">IFERROR(__xludf.DUMMYFUNCTION("""COMPUTED_VALUE"""),10.5)</f>
        <v>10.5</v>
      </c>
    </row>
    <row r="1683" spans="1:2">
      <c r="A1683" s="3">
        <f ca="1">IFERROR(__xludf.DUMMYFUNCTION("""COMPUTED_VALUE"""),40792.6666666666)</f>
        <v>40792.666666666599</v>
      </c>
      <c r="B1683" s="1">
        <f ca="1">IFERROR(__xludf.DUMMYFUNCTION("""COMPUTED_VALUE"""),10.81)</f>
        <v>10.81</v>
      </c>
    </row>
    <row r="1684" spans="1:2">
      <c r="A1684" s="3">
        <f ca="1">IFERROR(__xludf.DUMMYFUNCTION("""COMPUTED_VALUE"""),40793.6666666666)</f>
        <v>40793.666666666599</v>
      </c>
      <c r="B1684" s="1">
        <f ca="1">IFERROR(__xludf.DUMMYFUNCTION("""COMPUTED_VALUE"""),11)</f>
        <v>11</v>
      </c>
    </row>
    <row r="1685" spans="1:2">
      <c r="A1685" s="3">
        <f ca="1">IFERROR(__xludf.DUMMYFUNCTION("""COMPUTED_VALUE"""),40794.6666666666)</f>
        <v>40794.666666666599</v>
      </c>
      <c r="B1685" s="1">
        <f ca="1">IFERROR(__xludf.DUMMYFUNCTION("""COMPUTED_VALUE"""),10.86)</f>
        <v>10.86</v>
      </c>
    </row>
    <row r="1686" spans="1:2">
      <c r="A1686" s="3">
        <f ca="1">IFERROR(__xludf.DUMMYFUNCTION("""COMPUTED_VALUE"""),40795.6666666666)</f>
        <v>40795.666666666599</v>
      </c>
      <c r="B1686" s="1">
        <f ca="1">IFERROR(__xludf.DUMMYFUNCTION("""COMPUTED_VALUE"""),10.57)</f>
        <v>10.57</v>
      </c>
    </row>
    <row r="1687" spans="1:2">
      <c r="A1687" s="3">
        <f ca="1">IFERROR(__xludf.DUMMYFUNCTION("""COMPUTED_VALUE"""),40798.6666666666)</f>
        <v>40798.666666666599</v>
      </c>
      <c r="B1687" s="1">
        <f ca="1">IFERROR(__xludf.DUMMYFUNCTION("""COMPUTED_VALUE"""),10.83)</f>
        <v>10.83</v>
      </c>
    </row>
    <row r="1688" spans="1:2">
      <c r="A1688" s="3">
        <f ca="1">IFERROR(__xludf.DUMMYFUNCTION("""COMPUTED_VALUE"""),40799.6666666666)</f>
        <v>40799.666666666599</v>
      </c>
      <c r="B1688" s="1">
        <f ca="1">IFERROR(__xludf.DUMMYFUNCTION("""COMPUTED_VALUE"""),10.98)</f>
        <v>10.98</v>
      </c>
    </row>
    <row r="1689" spans="1:2">
      <c r="A1689" s="3">
        <f ca="1">IFERROR(__xludf.DUMMYFUNCTION("""COMPUTED_VALUE"""),40800.6666666666)</f>
        <v>40800.666666666599</v>
      </c>
      <c r="B1689" s="1">
        <f ca="1">IFERROR(__xludf.DUMMYFUNCTION("""COMPUTED_VALUE"""),11.13)</f>
        <v>11.13</v>
      </c>
    </row>
    <row r="1690" spans="1:2">
      <c r="A1690" s="3">
        <f ca="1">IFERROR(__xludf.DUMMYFUNCTION("""COMPUTED_VALUE"""),40801.6666666666)</f>
        <v>40801.666666666599</v>
      </c>
      <c r="B1690" s="1">
        <f ca="1">IFERROR(__xludf.DUMMYFUNCTION("""COMPUTED_VALUE"""),11.34)</f>
        <v>11.34</v>
      </c>
    </row>
    <row r="1691" spans="1:2">
      <c r="A1691" s="3">
        <f ca="1">IFERROR(__xludf.DUMMYFUNCTION("""COMPUTED_VALUE"""),40802.6666666666)</f>
        <v>40802.666666666599</v>
      </c>
      <c r="B1691" s="1">
        <f ca="1">IFERROR(__xludf.DUMMYFUNCTION("""COMPUTED_VALUE"""),11.97)</f>
        <v>11.97</v>
      </c>
    </row>
    <row r="1692" spans="1:2">
      <c r="A1692" s="3">
        <f ca="1">IFERROR(__xludf.DUMMYFUNCTION("""COMPUTED_VALUE"""),40805.6666666666)</f>
        <v>40805.666666666599</v>
      </c>
      <c r="B1692" s="1">
        <f ca="1">IFERROR(__xludf.DUMMYFUNCTION("""COMPUTED_VALUE"""),12.08)</f>
        <v>12.08</v>
      </c>
    </row>
    <row r="1693" spans="1:2">
      <c r="A1693" s="3">
        <f ca="1">IFERROR(__xludf.DUMMYFUNCTION("""COMPUTED_VALUE"""),40806.6666666666)</f>
        <v>40806.666666666599</v>
      </c>
      <c r="B1693" s="1">
        <f ca="1">IFERROR(__xludf.DUMMYFUNCTION("""COMPUTED_VALUE"""),11.66)</f>
        <v>11.66</v>
      </c>
    </row>
    <row r="1694" spans="1:2">
      <c r="A1694" s="3">
        <f ca="1">IFERROR(__xludf.DUMMYFUNCTION("""COMPUTED_VALUE"""),40807.6666666666)</f>
        <v>40807.666666666599</v>
      </c>
      <c r="B1694" s="1">
        <f ca="1">IFERROR(__xludf.DUMMYFUNCTION("""COMPUTED_VALUE"""),11.59)</f>
        <v>11.59</v>
      </c>
    </row>
    <row r="1695" spans="1:2">
      <c r="A1695" s="3">
        <f ca="1">IFERROR(__xludf.DUMMYFUNCTION("""COMPUTED_VALUE"""),40808.6666666666)</f>
        <v>40808.666666666599</v>
      </c>
      <c r="B1695" s="1">
        <f ca="1">IFERROR(__xludf.DUMMYFUNCTION("""COMPUTED_VALUE"""),11.16)</f>
        <v>11.16</v>
      </c>
    </row>
    <row r="1696" spans="1:2">
      <c r="A1696" s="3">
        <f ca="1">IFERROR(__xludf.DUMMYFUNCTION("""COMPUTED_VALUE"""),40809.6666666666)</f>
        <v>40809.666666666599</v>
      </c>
      <c r="B1696" s="1">
        <f ca="1">IFERROR(__xludf.DUMMYFUNCTION("""COMPUTED_VALUE"""),11.18)</f>
        <v>11.18</v>
      </c>
    </row>
    <row r="1697" spans="1:2">
      <c r="A1697" s="3">
        <f ca="1">IFERROR(__xludf.DUMMYFUNCTION("""COMPUTED_VALUE"""),40812.6666666666)</f>
        <v>40812.666666666599</v>
      </c>
      <c r="B1697" s="1">
        <f ca="1">IFERROR(__xludf.DUMMYFUNCTION("""COMPUTED_VALUE"""),11.49)</f>
        <v>11.49</v>
      </c>
    </row>
    <row r="1698" spans="1:2">
      <c r="A1698" s="3">
        <f ca="1">IFERROR(__xludf.DUMMYFUNCTION("""COMPUTED_VALUE"""),40813.6666666666)</f>
        <v>40813.666666666599</v>
      </c>
      <c r="B1698" s="1">
        <f ca="1">IFERROR(__xludf.DUMMYFUNCTION("""COMPUTED_VALUE"""),11.21)</f>
        <v>11.21</v>
      </c>
    </row>
    <row r="1699" spans="1:2">
      <c r="A1699" s="3">
        <f ca="1">IFERROR(__xludf.DUMMYFUNCTION("""COMPUTED_VALUE"""),40814.6666666666)</f>
        <v>40814.666666666599</v>
      </c>
      <c r="B1699" s="1">
        <f ca="1">IFERROR(__xludf.DUMMYFUNCTION("""COMPUTED_VALUE"""),11.49)</f>
        <v>11.49</v>
      </c>
    </row>
    <row r="1700" spans="1:2">
      <c r="A1700" s="3">
        <f ca="1">IFERROR(__xludf.DUMMYFUNCTION("""COMPUTED_VALUE"""),40815.6666666666)</f>
        <v>40815.666666666599</v>
      </c>
      <c r="B1700" s="1">
        <f ca="1">IFERROR(__xludf.DUMMYFUNCTION("""COMPUTED_VALUE"""),11.12)</f>
        <v>11.12</v>
      </c>
    </row>
    <row r="1701" spans="1:2">
      <c r="A1701" s="3">
        <f ca="1">IFERROR(__xludf.DUMMYFUNCTION("""COMPUTED_VALUE"""),40816.6666666666)</f>
        <v>40816.666666666599</v>
      </c>
      <c r="B1701" s="1">
        <f ca="1">IFERROR(__xludf.DUMMYFUNCTION("""COMPUTED_VALUE"""),10.81)</f>
        <v>10.81</v>
      </c>
    </row>
    <row r="1702" spans="1:2">
      <c r="A1702" s="3">
        <f ca="1">IFERROR(__xludf.DUMMYFUNCTION("""COMPUTED_VALUE"""),40819.6666666666)</f>
        <v>40819.666666666599</v>
      </c>
      <c r="B1702" s="1">
        <f ca="1">IFERROR(__xludf.DUMMYFUNCTION("""COMPUTED_VALUE"""),10.6)</f>
        <v>10.6</v>
      </c>
    </row>
    <row r="1703" spans="1:2">
      <c r="A1703" s="3">
        <f ca="1">IFERROR(__xludf.DUMMYFUNCTION("""COMPUTED_VALUE"""),40820.6666666666)</f>
        <v>40820.666666666599</v>
      </c>
      <c r="B1703" s="1">
        <f ca="1">IFERROR(__xludf.DUMMYFUNCTION("""COMPUTED_VALUE"""),10.63)</f>
        <v>10.63</v>
      </c>
    </row>
    <row r="1704" spans="1:2">
      <c r="A1704" s="3">
        <f ca="1">IFERROR(__xludf.DUMMYFUNCTION("""COMPUTED_VALUE"""),40821.6666666666)</f>
        <v>40821.666666666599</v>
      </c>
      <c r="B1704" s="1">
        <f ca="1">IFERROR(__xludf.DUMMYFUNCTION("""COMPUTED_VALUE"""),10.97)</f>
        <v>10.97</v>
      </c>
    </row>
    <row r="1705" spans="1:2">
      <c r="A1705" s="3">
        <f ca="1">IFERROR(__xludf.DUMMYFUNCTION("""COMPUTED_VALUE"""),40822.6666666666)</f>
        <v>40822.666666666599</v>
      </c>
      <c r="B1705" s="1">
        <f ca="1">IFERROR(__xludf.DUMMYFUNCTION("""COMPUTED_VALUE"""),11.08)</f>
        <v>11.08</v>
      </c>
    </row>
    <row r="1706" spans="1:2">
      <c r="A1706" s="3">
        <f ca="1">IFERROR(__xludf.DUMMYFUNCTION("""COMPUTED_VALUE"""),40823.6666666666)</f>
        <v>40823.666666666599</v>
      </c>
      <c r="B1706" s="1">
        <f ca="1">IFERROR(__xludf.DUMMYFUNCTION("""COMPUTED_VALUE"""),11.24)</f>
        <v>11.24</v>
      </c>
    </row>
    <row r="1707" spans="1:2">
      <c r="A1707" s="3">
        <f ca="1">IFERROR(__xludf.DUMMYFUNCTION("""COMPUTED_VALUE"""),40826.6666666666)</f>
        <v>40826.666666666599</v>
      </c>
      <c r="B1707" s="1">
        <f ca="1">IFERROR(__xludf.DUMMYFUNCTION("""COMPUTED_VALUE"""),11.57)</f>
        <v>11.57</v>
      </c>
    </row>
    <row r="1708" spans="1:2">
      <c r="A1708" s="3">
        <f ca="1">IFERROR(__xludf.DUMMYFUNCTION("""COMPUTED_VALUE"""),40827.6666666666)</f>
        <v>40827.666666666599</v>
      </c>
      <c r="B1708" s="1">
        <f ca="1">IFERROR(__xludf.DUMMYFUNCTION("""COMPUTED_VALUE"""),11.77)</f>
        <v>11.77</v>
      </c>
    </row>
    <row r="1709" spans="1:2">
      <c r="A1709" s="3">
        <f ca="1">IFERROR(__xludf.DUMMYFUNCTION("""COMPUTED_VALUE"""),40828.6666666666)</f>
        <v>40828.666666666599</v>
      </c>
      <c r="B1709" s="1">
        <f ca="1">IFERROR(__xludf.DUMMYFUNCTION("""COMPUTED_VALUE"""),11.84)</f>
        <v>11.84</v>
      </c>
    </row>
    <row r="1710" spans="1:2">
      <c r="A1710" s="3">
        <f ca="1">IFERROR(__xludf.DUMMYFUNCTION("""COMPUTED_VALUE"""),40829.6666666666)</f>
        <v>40829.666666666599</v>
      </c>
      <c r="B1710" s="1">
        <f ca="1">IFERROR(__xludf.DUMMYFUNCTION("""COMPUTED_VALUE"""),11.81)</f>
        <v>11.81</v>
      </c>
    </row>
    <row r="1711" spans="1:2">
      <c r="A1711" s="3">
        <f ca="1">IFERROR(__xludf.DUMMYFUNCTION("""COMPUTED_VALUE"""),40830.6666666666)</f>
        <v>40830.666666666599</v>
      </c>
      <c r="B1711" s="1">
        <f ca="1">IFERROR(__xludf.DUMMYFUNCTION("""COMPUTED_VALUE"""),12.34)</f>
        <v>12.34</v>
      </c>
    </row>
    <row r="1712" spans="1:2">
      <c r="A1712" s="3">
        <f ca="1">IFERROR(__xludf.DUMMYFUNCTION("""COMPUTED_VALUE"""),40833.6666666666)</f>
        <v>40833.666666666599</v>
      </c>
      <c r="B1712" s="1">
        <f ca="1">IFERROR(__xludf.DUMMYFUNCTION("""COMPUTED_VALUE"""),12.12)</f>
        <v>12.12</v>
      </c>
    </row>
    <row r="1713" spans="1:2">
      <c r="A1713" s="3">
        <f ca="1">IFERROR(__xludf.DUMMYFUNCTION("""COMPUTED_VALUE"""),40834.6666666666)</f>
        <v>40834.666666666599</v>
      </c>
      <c r="B1713" s="1">
        <f ca="1">IFERROR(__xludf.DUMMYFUNCTION("""COMPUTED_VALUE"""),12.19)</f>
        <v>12.19</v>
      </c>
    </row>
    <row r="1714" spans="1:2">
      <c r="A1714" s="3">
        <f ca="1">IFERROR(__xludf.DUMMYFUNCTION("""COMPUTED_VALUE"""),40835.6666666666)</f>
        <v>40835.666666666599</v>
      </c>
      <c r="B1714" s="1">
        <f ca="1">IFERROR(__xludf.DUMMYFUNCTION("""COMPUTED_VALUE"""),11.58)</f>
        <v>11.58</v>
      </c>
    </row>
    <row r="1715" spans="1:2">
      <c r="A1715" s="3">
        <f ca="1">IFERROR(__xludf.DUMMYFUNCTION("""COMPUTED_VALUE"""),40836.6666666666)</f>
        <v>40836.666666666599</v>
      </c>
      <c r="B1715" s="1">
        <f ca="1">IFERROR(__xludf.DUMMYFUNCTION("""COMPUTED_VALUE"""),11.68)</f>
        <v>11.68</v>
      </c>
    </row>
    <row r="1716" spans="1:2">
      <c r="A1716" s="3">
        <f ca="1">IFERROR(__xludf.DUMMYFUNCTION("""COMPUTED_VALUE"""),40837.6666666666)</f>
        <v>40837.666666666599</v>
      </c>
      <c r="B1716" s="1">
        <f ca="1">IFERROR(__xludf.DUMMYFUNCTION("""COMPUTED_VALUE"""),11.74)</f>
        <v>11.74</v>
      </c>
    </row>
    <row r="1717" spans="1:2">
      <c r="A1717" s="3">
        <f ca="1">IFERROR(__xludf.DUMMYFUNCTION("""COMPUTED_VALUE"""),40840.6666666666)</f>
        <v>40840.666666666599</v>
      </c>
      <c r="B1717" s="1">
        <f ca="1">IFERROR(__xludf.DUMMYFUNCTION("""COMPUTED_VALUE"""),11.88)</f>
        <v>11.88</v>
      </c>
    </row>
    <row r="1718" spans="1:2">
      <c r="A1718" s="3">
        <f ca="1">IFERROR(__xludf.DUMMYFUNCTION("""COMPUTED_VALUE"""),40841.6666666666)</f>
        <v>40841.666666666599</v>
      </c>
      <c r="B1718" s="1">
        <f ca="1">IFERROR(__xludf.DUMMYFUNCTION("""COMPUTED_VALUE"""),11.36)</f>
        <v>11.36</v>
      </c>
    </row>
    <row r="1719" spans="1:2">
      <c r="A1719" s="3">
        <f ca="1">IFERROR(__xludf.DUMMYFUNCTION("""COMPUTED_VALUE"""),40842.6666666666)</f>
        <v>40842.666666666599</v>
      </c>
      <c r="B1719" s="1">
        <f ca="1">IFERROR(__xludf.DUMMYFUNCTION("""COMPUTED_VALUE"""),9.92)</f>
        <v>9.92</v>
      </c>
    </row>
    <row r="1720" spans="1:2">
      <c r="A1720" s="3">
        <f ca="1">IFERROR(__xludf.DUMMYFUNCTION("""COMPUTED_VALUE"""),40843.6666666666)</f>
        <v>40843.666666666599</v>
      </c>
      <c r="B1720" s="1">
        <f ca="1">IFERROR(__xludf.DUMMYFUNCTION("""COMPUTED_VALUE"""),10.34)</f>
        <v>10.34</v>
      </c>
    </row>
    <row r="1721" spans="1:2">
      <c r="A1721" s="3">
        <f ca="1">IFERROR(__xludf.DUMMYFUNCTION("""COMPUTED_VALUE"""),40844.6666666666)</f>
        <v>40844.666666666599</v>
      </c>
      <c r="B1721" s="1">
        <f ca="1">IFERROR(__xludf.DUMMYFUNCTION("""COMPUTED_VALUE"""),10.87)</f>
        <v>10.87</v>
      </c>
    </row>
    <row r="1722" spans="1:2">
      <c r="A1722" s="3">
        <f ca="1">IFERROR(__xludf.DUMMYFUNCTION("""COMPUTED_VALUE"""),40847.6666666666)</f>
        <v>40847.666666666599</v>
      </c>
      <c r="B1722" s="1">
        <f ca="1">IFERROR(__xludf.DUMMYFUNCTION("""COMPUTED_VALUE"""),10.68)</f>
        <v>10.68</v>
      </c>
    </row>
    <row r="1723" spans="1:2">
      <c r="A1723" s="3">
        <f ca="1">IFERROR(__xludf.DUMMYFUNCTION("""COMPUTED_VALUE"""),40848.6666666666)</f>
        <v>40848.666666666599</v>
      </c>
      <c r="B1723" s="1">
        <f ca="1">IFERROR(__xludf.DUMMYFUNCTION("""COMPUTED_VALUE"""),10.61)</f>
        <v>10.61</v>
      </c>
    </row>
    <row r="1724" spans="1:2">
      <c r="A1724" s="3">
        <f ca="1">IFERROR(__xludf.DUMMYFUNCTION("""COMPUTED_VALUE"""),40849.6666666666)</f>
        <v>40849.666666666599</v>
      </c>
      <c r="B1724" s="1">
        <f ca="1">IFERROR(__xludf.DUMMYFUNCTION("""COMPUTED_VALUE"""),10.78)</f>
        <v>10.78</v>
      </c>
    </row>
    <row r="1725" spans="1:2">
      <c r="A1725" s="3">
        <f ca="1">IFERROR(__xludf.DUMMYFUNCTION("""COMPUTED_VALUE"""),40850.6666666666)</f>
        <v>40850.666666666599</v>
      </c>
      <c r="B1725" s="1">
        <f ca="1">IFERROR(__xludf.DUMMYFUNCTION("""COMPUTED_VALUE"""),10.91)</f>
        <v>10.91</v>
      </c>
    </row>
    <row r="1726" spans="1:2">
      <c r="A1726" s="3">
        <f ca="1">IFERROR(__xludf.DUMMYFUNCTION("""COMPUTED_VALUE"""),40851.6666666666)</f>
        <v>40851.666666666599</v>
      </c>
      <c r="B1726" s="1">
        <f ca="1">IFERROR(__xludf.DUMMYFUNCTION("""COMPUTED_VALUE"""),10.82)</f>
        <v>10.82</v>
      </c>
    </row>
    <row r="1727" spans="1:2">
      <c r="A1727" s="3">
        <f ca="1">IFERROR(__xludf.DUMMYFUNCTION("""COMPUTED_VALUE"""),40854.6666666666)</f>
        <v>40854.666666666599</v>
      </c>
      <c r="B1727" s="1">
        <f ca="1">IFERROR(__xludf.DUMMYFUNCTION("""COMPUTED_VALUE"""),10.85)</f>
        <v>10.85</v>
      </c>
    </row>
    <row r="1728" spans="1:2">
      <c r="A1728" s="3">
        <f ca="1">IFERROR(__xludf.DUMMYFUNCTION("""COMPUTED_VALUE"""),40855.6666666666)</f>
        <v>40855.666666666599</v>
      </c>
      <c r="B1728" s="1">
        <f ca="1">IFERROR(__xludf.DUMMYFUNCTION("""COMPUTED_VALUE"""),10.9)</f>
        <v>10.9</v>
      </c>
    </row>
    <row r="1729" spans="1:2">
      <c r="A1729" s="3">
        <f ca="1">IFERROR(__xludf.DUMMYFUNCTION("""COMPUTED_VALUE"""),40856.6666666666)</f>
        <v>40856.666666666599</v>
      </c>
      <c r="B1729" s="1">
        <f ca="1">IFERROR(__xludf.DUMMYFUNCTION("""COMPUTED_VALUE"""),10.56)</f>
        <v>10.56</v>
      </c>
    </row>
    <row r="1730" spans="1:2">
      <c r="A1730" s="3">
        <f ca="1">IFERROR(__xludf.DUMMYFUNCTION("""COMPUTED_VALUE"""),40857.6666666666)</f>
        <v>40857.666666666599</v>
      </c>
      <c r="B1730" s="1">
        <f ca="1">IFERROR(__xludf.DUMMYFUNCTION("""COMPUTED_VALUE"""),10.54)</f>
        <v>10.54</v>
      </c>
    </row>
    <row r="1731" spans="1:2">
      <c r="A1731" s="3">
        <f ca="1">IFERROR(__xludf.DUMMYFUNCTION("""COMPUTED_VALUE"""),40858.6666666666)</f>
        <v>40858.666666666599</v>
      </c>
      <c r="B1731" s="1">
        <f ca="1">IFERROR(__xludf.DUMMYFUNCTION("""COMPUTED_VALUE"""),10.87)</f>
        <v>10.87</v>
      </c>
    </row>
    <row r="1732" spans="1:2">
      <c r="A1732" s="3">
        <f ca="1">IFERROR(__xludf.DUMMYFUNCTION("""COMPUTED_VALUE"""),40861.6666666666)</f>
        <v>40861.666666666599</v>
      </c>
      <c r="B1732" s="1">
        <f ca="1">IFERROR(__xludf.DUMMYFUNCTION("""COMPUTED_VALUE"""),10.95)</f>
        <v>10.95</v>
      </c>
    </row>
    <row r="1733" spans="1:2">
      <c r="A1733" s="3">
        <f ca="1">IFERROR(__xludf.DUMMYFUNCTION("""COMPUTED_VALUE"""),40862.6666666666)</f>
        <v>40862.666666666599</v>
      </c>
      <c r="B1733" s="1">
        <f ca="1">IFERROR(__xludf.DUMMYFUNCTION("""COMPUTED_VALUE"""),10.89)</f>
        <v>10.89</v>
      </c>
    </row>
    <row r="1734" spans="1:2">
      <c r="A1734" s="3">
        <f ca="1">IFERROR(__xludf.DUMMYFUNCTION("""COMPUTED_VALUE"""),40863.6666666666)</f>
        <v>40863.666666666599</v>
      </c>
      <c r="B1734" s="1">
        <f ca="1">IFERROR(__xludf.DUMMYFUNCTION("""COMPUTED_VALUE"""),10.6)</f>
        <v>10.6</v>
      </c>
    </row>
    <row r="1735" spans="1:2">
      <c r="A1735" s="3">
        <f ca="1">IFERROR(__xludf.DUMMYFUNCTION("""COMPUTED_VALUE"""),40864.6666666666)</f>
        <v>40864.666666666599</v>
      </c>
      <c r="B1735" s="1">
        <f ca="1">IFERROR(__xludf.DUMMYFUNCTION("""COMPUTED_VALUE"""),10.23)</f>
        <v>10.23</v>
      </c>
    </row>
    <row r="1736" spans="1:2">
      <c r="A1736" s="3">
        <f ca="1">IFERROR(__xludf.DUMMYFUNCTION("""COMPUTED_VALUE"""),40865.6666666666)</f>
        <v>40865.666666666599</v>
      </c>
      <c r="B1736" s="1">
        <f ca="1">IFERROR(__xludf.DUMMYFUNCTION("""COMPUTED_VALUE"""),9.86)</f>
        <v>9.86</v>
      </c>
    </row>
    <row r="1737" spans="1:2">
      <c r="A1737" s="3">
        <f ca="1">IFERROR(__xludf.DUMMYFUNCTION("""COMPUTED_VALUE"""),40868.6666666666)</f>
        <v>40868.666666666599</v>
      </c>
      <c r="B1737" s="1">
        <f ca="1">IFERROR(__xludf.DUMMYFUNCTION("""COMPUTED_VALUE"""),9.46)</f>
        <v>9.4600000000000009</v>
      </c>
    </row>
    <row r="1738" spans="1:2">
      <c r="A1738" s="3">
        <f ca="1">IFERROR(__xludf.DUMMYFUNCTION("""COMPUTED_VALUE"""),40869.6666666666)</f>
        <v>40869.666666666599</v>
      </c>
      <c r="B1738" s="1">
        <f ca="1">IFERROR(__xludf.DUMMYFUNCTION("""COMPUTED_VALUE"""),9.62)</f>
        <v>9.6199999999999992</v>
      </c>
    </row>
    <row r="1739" spans="1:2">
      <c r="A1739" s="3">
        <f ca="1">IFERROR(__xludf.DUMMYFUNCTION("""COMPUTED_VALUE"""),40870.6666666666)</f>
        <v>40870.666666666599</v>
      </c>
      <c r="B1739" s="1">
        <f ca="1">IFERROR(__xludf.DUMMYFUNCTION("""COMPUTED_VALUE"""),9.45)</f>
        <v>9.4499999999999993</v>
      </c>
    </row>
    <row r="1740" spans="1:2">
      <c r="A1740" s="3">
        <f ca="1">IFERROR(__xludf.DUMMYFUNCTION("""COMPUTED_VALUE"""),40872.6666666666)</f>
        <v>40872.666666666599</v>
      </c>
      <c r="B1740" s="1">
        <f ca="1">IFERROR(__xludf.DUMMYFUNCTION("""COMPUTED_VALUE"""),9.12)</f>
        <v>9.1199999999999992</v>
      </c>
    </row>
    <row r="1741" spans="1:2">
      <c r="A1741" s="3">
        <f ca="1">IFERROR(__xludf.DUMMYFUNCTION("""COMPUTED_VALUE"""),40875.6666666666)</f>
        <v>40875.666666666599</v>
      </c>
      <c r="B1741" s="1">
        <f ca="1">IFERROR(__xludf.DUMMYFUNCTION("""COMPUTED_VALUE"""),9.71)</f>
        <v>9.7100000000000009</v>
      </c>
    </row>
    <row r="1742" spans="1:2">
      <c r="A1742" s="3">
        <f ca="1">IFERROR(__xludf.DUMMYFUNCTION("""COMPUTED_VALUE"""),40876.6666666666)</f>
        <v>40876.666666666599</v>
      </c>
      <c r="B1742" s="1">
        <f ca="1">IFERROR(__xludf.DUMMYFUNCTION("""COMPUTED_VALUE"""),9.42)</f>
        <v>9.42</v>
      </c>
    </row>
    <row r="1743" spans="1:2">
      <c r="A1743" s="3">
        <f ca="1">IFERROR(__xludf.DUMMYFUNCTION("""COMPUTED_VALUE"""),40877.6666666666)</f>
        <v>40877.666666666599</v>
      </c>
      <c r="B1743" s="1">
        <f ca="1">IFERROR(__xludf.DUMMYFUNCTION("""COMPUTED_VALUE"""),9.61)</f>
        <v>9.61</v>
      </c>
    </row>
    <row r="1744" spans="1:2">
      <c r="A1744" s="3">
        <f ca="1">IFERROR(__xludf.DUMMYFUNCTION("""COMPUTED_VALUE"""),40878.6666666666)</f>
        <v>40878.666666666599</v>
      </c>
      <c r="B1744" s="1">
        <f ca="1">IFERROR(__xludf.DUMMYFUNCTION("""COMPUTED_VALUE"""),9.86)</f>
        <v>9.86</v>
      </c>
    </row>
    <row r="1745" spans="1:2">
      <c r="A1745" s="3">
        <f ca="1">IFERROR(__xludf.DUMMYFUNCTION("""COMPUTED_VALUE"""),40879.6666666666)</f>
        <v>40879.666666666599</v>
      </c>
      <c r="B1745" s="1">
        <f ca="1">IFERROR(__xludf.DUMMYFUNCTION("""COMPUTED_VALUE"""),9.8)</f>
        <v>9.8000000000000007</v>
      </c>
    </row>
    <row r="1746" spans="1:2">
      <c r="A1746" s="3">
        <f ca="1">IFERROR(__xludf.DUMMYFUNCTION("""COMPUTED_VALUE"""),40882.6666666666)</f>
        <v>40882.666666666599</v>
      </c>
      <c r="B1746" s="1">
        <f ca="1">IFERROR(__xludf.DUMMYFUNCTION("""COMPUTED_VALUE"""),9.81)</f>
        <v>9.81</v>
      </c>
    </row>
    <row r="1747" spans="1:2">
      <c r="A1747" s="3">
        <f ca="1">IFERROR(__xludf.DUMMYFUNCTION("""COMPUTED_VALUE"""),40883.6666666666)</f>
        <v>40883.666666666599</v>
      </c>
      <c r="B1747" s="1">
        <f ca="1">IFERROR(__xludf.DUMMYFUNCTION("""COMPUTED_VALUE"""),9.6)</f>
        <v>9.6</v>
      </c>
    </row>
    <row r="1748" spans="1:2">
      <c r="A1748" s="3">
        <f ca="1">IFERROR(__xludf.DUMMYFUNCTION("""COMPUTED_VALUE"""),40884.6666666666)</f>
        <v>40884.666666666599</v>
      </c>
      <c r="B1748" s="1">
        <f ca="1">IFERROR(__xludf.DUMMYFUNCTION("""COMPUTED_VALUE"""),9.77)</f>
        <v>9.77</v>
      </c>
    </row>
    <row r="1749" spans="1:2">
      <c r="A1749" s="3">
        <f ca="1">IFERROR(__xludf.DUMMYFUNCTION("""COMPUTED_VALUE"""),40885.6666666666)</f>
        <v>40885.666666666599</v>
      </c>
      <c r="B1749" s="1">
        <f ca="1">IFERROR(__xludf.DUMMYFUNCTION("""COMPUTED_VALUE"""),9.52)</f>
        <v>9.52</v>
      </c>
    </row>
    <row r="1750" spans="1:2">
      <c r="A1750" s="3">
        <f ca="1">IFERROR(__xludf.DUMMYFUNCTION("""COMPUTED_VALUE"""),40886.6666666666)</f>
        <v>40886.666666666599</v>
      </c>
      <c r="B1750" s="1">
        <f ca="1">IFERROR(__xludf.DUMMYFUNCTION("""COMPUTED_VALUE"""),9.65)</f>
        <v>9.65</v>
      </c>
    </row>
    <row r="1751" spans="1:2">
      <c r="A1751" s="3">
        <f ca="1">IFERROR(__xludf.DUMMYFUNCTION("""COMPUTED_VALUE"""),40889.6666666666)</f>
        <v>40889.666666666599</v>
      </c>
      <c r="B1751" s="1">
        <f ca="1">IFERROR(__xludf.DUMMYFUNCTION("""COMPUTED_VALUE"""),9.48)</f>
        <v>9.48</v>
      </c>
    </row>
    <row r="1752" spans="1:2">
      <c r="A1752" s="3">
        <f ca="1">IFERROR(__xludf.DUMMYFUNCTION("""COMPUTED_VALUE"""),40890.6666666666)</f>
        <v>40890.666666666599</v>
      </c>
      <c r="B1752" s="1">
        <f ca="1">IFERROR(__xludf.DUMMYFUNCTION("""COMPUTED_VALUE"""),9.03)</f>
        <v>9.0299999999999994</v>
      </c>
    </row>
    <row r="1753" spans="1:2">
      <c r="A1753" s="3">
        <f ca="1">IFERROR(__xludf.DUMMYFUNCTION("""COMPUTED_VALUE"""),40891.6666666666)</f>
        <v>40891.666666666599</v>
      </c>
      <c r="B1753" s="1">
        <f ca="1">IFERROR(__xludf.DUMMYFUNCTION("""COMPUTED_VALUE"""),9.01)</f>
        <v>9.01</v>
      </c>
    </row>
    <row r="1754" spans="1:2">
      <c r="A1754" s="3">
        <f ca="1">IFERROR(__xludf.DUMMYFUNCTION("""COMPUTED_VALUE"""),40892.6666666666)</f>
        <v>40892.666666666599</v>
      </c>
      <c r="B1754" s="1">
        <f ca="1">IFERROR(__xludf.DUMMYFUNCTION("""COMPUTED_VALUE"""),9.06)</f>
        <v>9.06</v>
      </c>
    </row>
    <row r="1755" spans="1:2">
      <c r="A1755" s="3">
        <f ca="1">IFERROR(__xludf.DUMMYFUNCTION("""COMPUTED_VALUE"""),40893.6666666666)</f>
        <v>40893.666666666599</v>
      </c>
      <c r="B1755" s="1">
        <f ca="1">IFERROR(__xludf.DUMMYFUNCTION("""COMPUTED_VALUE"""),9.06)</f>
        <v>9.06</v>
      </c>
    </row>
    <row r="1756" spans="1:2">
      <c r="A1756" s="3">
        <f ca="1">IFERROR(__xludf.DUMMYFUNCTION("""COMPUTED_VALUE"""),40896.6666666666)</f>
        <v>40896.666666666599</v>
      </c>
      <c r="B1756" s="1">
        <f ca="1">IFERROR(__xludf.DUMMYFUNCTION("""COMPUTED_VALUE"""),8.97)</f>
        <v>8.9700000000000006</v>
      </c>
    </row>
    <row r="1757" spans="1:2">
      <c r="A1757" s="3">
        <f ca="1">IFERROR(__xludf.DUMMYFUNCTION("""COMPUTED_VALUE"""),40897.6666666666)</f>
        <v>40897.666666666599</v>
      </c>
      <c r="B1757" s="1">
        <f ca="1">IFERROR(__xludf.DUMMYFUNCTION("""COMPUTED_VALUE"""),9.13)</f>
        <v>9.1300000000000008</v>
      </c>
    </row>
    <row r="1758" spans="1:2">
      <c r="A1758" s="3">
        <f ca="1">IFERROR(__xludf.DUMMYFUNCTION("""COMPUTED_VALUE"""),40898.6666666666)</f>
        <v>40898.666666666599</v>
      </c>
      <c r="B1758" s="1">
        <f ca="1">IFERROR(__xludf.DUMMYFUNCTION("""COMPUTED_VALUE"""),8.72)</f>
        <v>8.7200000000000006</v>
      </c>
    </row>
    <row r="1759" spans="1:2">
      <c r="A1759" s="3">
        <f ca="1">IFERROR(__xludf.DUMMYFUNCTION("""COMPUTED_VALUE"""),40899.6666666666)</f>
        <v>40899.666666666599</v>
      </c>
      <c r="B1759" s="1">
        <f ca="1">IFERROR(__xludf.DUMMYFUNCTION("""COMPUTED_VALUE"""),8.95)</f>
        <v>8.9499999999999993</v>
      </c>
    </row>
    <row r="1760" spans="1:2">
      <c r="A1760" s="3">
        <f ca="1">IFERROR(__xludf.DUMMYFUNCTION("""COMPUTED_VALUE"""),40900.6666666666)</f>
        <v>40900.666666666599</v>
      </c>
      <c r="B1760" s="1">
        <f ca="1">IFERROR(__xludf.DUMMYFUNCTION("""COMPUTED_VALUE"""),8.86)</f>
        <v>8.86</v>
      </c>
    </row>
    <row r="1761" spans="1:2">
      <c r="A1761" s="3">
        <f ca="1">IFERROR(__xludf.DUMMYFUNCTION("""COMPUTED_VALUE"""),40904.6666666666)</f>
        <v>40904.666666666599</v>
      </c>
      <c r="B1761" s="1">
        <f ca="1">IFERROR(__xludf.DUMMYFUNCTION("""COMPUTED_VALUE"""),8.81)</f>
        <v>8.81</v>
      </c>
    </row>
    <row r="1762" spans="1:2">
      <c r="A1762" s="3">
        <f ca="1">IFERROR(__xludf.DUMMYFUNCTION("""COMPUTED_VALUE"""),40905.6666666666)</f>
        <v>40905.666666666599</v>
      </c>
      <c r="B1762" s="1">
        <f ca="1">IFERROR(__xludf.DUMMYFUNCTION("""COMPUTED_VALUE"""),8.69)</f>
        <v>8.69</v>
      </c>
    </row>
    <row r="1763" spans="1:2">
      <c r="A1763" s="3">
        <f ca="1">IFERROR(__xludf.DUMMYFUNCTION("""COMPUTED_VALUE"""),40906.6666666666)</f>
        <v>40906.666666666599</v>
      </c>
      <c r="B1763" s="1">
        <f ca="1">IFERROR(__xludf.DUMMYFUNCTION("""COMPUTED_VALUE"""),8.69)</f>
        <v>8.69</v>
      </c>
    </row>
    <row r="1764" spans="1:2">
      <c r="A1764" s="3">
        <f ca="1">IFERROR(__xludf.DUMMYFUNCTION("""COMPUTED_VALUE"""),40907.6666666666)</f>
        <v>40907.666666666599</v>
      </c>
      <c r="B1764" s="1">
        <f ca="1">IFERROR(__xludf.DUMMYFUNCTION("""COMPUTED_VALUE"""),8.65)</f>
        <v>8.65</v>
      </c>
    </row>
    <row r="1765" spans="1:2">
      <c r="A1765" s="3">
        <f ca="1">IFERROR(__xludf.DUMMYFUNCTION("""COMPUTED_VALUE"""),40911.6666666666)</f>
        <v>40911.666666666599</v>
      </c>
      <c r="B1765" s="1">
        <f ca="1">IFERROR(__xludf.DUMMYFUNCTION("""COMPUTED_VALUE"""),8.95)</f>
        <v>8.9499999999999993</v>
      </c>
    </row>
    <row r="1766" spans="1:2">
      <c r="A1766" s="3">
        <f ca="1">IFERROR(__xludf.DUMMYFUNCTION("""COMPUTED_VALUE"""),40912.6666666666)</f>
        <v>40912.666666666599</v>
      </c>
      <c r="B1766" s="1">
        <f ca="1">IFERROR(__xludf.DUMMYFUNCTION("""COMPUTED_VALUE"""),8.88)</f>
        <v>8.8800000000000008</v>
      </c>
    </row>
    <row r="1767" spans="1:2">
      <c r="A1767" s="3">
        <f ca="1">IFERROR(__xludf.DUMMYFUNCTION("""COMPUTED_VALUE"""),40913.6666666666)</f>
        <v>40913.666666666599</v>
      </c>
      <c r="B1767" s="1">
        <f ca="1">IFERROR(__xludf.DUMMYFUNCTION("""COMPUTED_VALUE"""),8.88)</f>
        <v>8.8800000000000008</v>
      </c>
    </row>
    <row r="1768" spans="1:2">
      <c r="A1768" s="3">
        <f ca="1">IFERROR(__xludf.DUMMYFUNCTION("""COMPUTED_VALUE"""),40914.6666666666)</f>
        <v>40914.666666666599</v>
      </c>
      <c r="B1768" s="1">
        <f ca="1">IFERROR(__xludf.DUMMYFUNCTION("""COMPUTED_VALUE"""),9.13)</f>
        <v>9.1300000000000008</v>
      </c>
    </row>
    <row r="1769" spans="1:2">
      <c r="A1769" s="3">
        <f ca="1">IFERROR(__xludf.DUMMYFUNCTION("""COMPUTED_VALUE"""),40917.6666666666)</f>
        <v>40917.666666666599</v>
      </c>
      <c r="B1769" s="1">
        <f ca="1">IFERROR(__xludf.DUMMYFUNCTION("""COMPUTED_VALUE"""),8.93)</f>
        <v>8.93</v>
      </c>
    </row>
    <row r="1770" spans="1:2">
      <c r="A1770" s="3">
        <f ca="1">IFERROR(__xludf.DUMMYFUNCTION("""COMPUTED_VALUE"""),40918.6666666666)</f>
        <v>40918.666666666599</v>
      </c>
      <c r="B1770" s="1">
        <f ca="1">IFERROR(__xludf.DUMMYFUNCTION("""COMPUTED_VALUE"""),8.97)</f>
        <v>8.9700000000000006</v>
      </c>
    </row>
    <row r="1771" spans="1:2">
      <c r="A1771" s="3">
        <f ca="1">IFERROR(__xludf.DUMMYFUNCTION("""COMPUTED_VALUE"""),40919.6666666666)</f>
        <v>40919.666666666599</v>
      </c>
      <c r="B1771" s="1">
        <f ca="1">IFERROR(__xludf.DUMMYFUNCTION("""COMPUTED_VALUE"""),8.95)</f>
        <v>8.9499999999999993</v>
      </c>
    </row>
    <row r="1772" spans="1:2">
      <c r="A1772" s="3">
        <f ca="1">IFERROR(__xludf.DUMMYFUNCTION("""COMPUTED_VALUE"""),40920.6666666666)</f>
        <v>40920.666666666599</v>
      </c>
      <c r="B1772" s="1">
        <f ca="1">IFERROR(__xludf.DUMMYFUNCTION("""COMPUTED_VALUE"""),8.8)</f>
        <v>8.8000000000000007</v>
      </c>
    </row>
    <row r="1773" spans="1:2">
      <c r="A1773" s="3">
        <f ca="1">IFERROR(__xludf.DUMMYFUNCTION("""COMPUTED_VALUE"""),40921.6666666666)</f>
        <v>40921.666666666599</v>
      </c>
      <c r="B1773" s="1">
        <f ca="1">IFERROR(__xludf.DUMMYFUNCTION("""COMPUTED_VALUE"""),8.92)</f>
        <v>8.92</v>
      </c>
    </row>
    <row r="1774" spans="1:2">
      <c r="A1774" s="3">
        <f ca="1">IFERROR(__xludf.DUMMYFUNCTION("""COMPUTED_VALUE"""),40925.6666666666)</f>
        <v>40925.666666666599</v>
      </c>
      <c r="B1774" s="1">
        <f ca="1">IFERROR(__xludf.DUMMYFUNCTION("""COMPUTED_VALUE"""),9.08)</f>
        <v>9.08</v>
      </c>
    </row>
    <row r="1775" spans="1:2">
      <c r="A1775" s="3">
        <f ca="1">IFERROR(__xludf.DUMMYFUNCTION("""COMPUTED_VALUE"""),40926.6666666666)</f>
        <v>40926.666666666599</v>
      </c>
      <c r="B1775" s="1">
        <f ca="1">IFERROR(__xludf.DUMMYFUNCTION("""COMPUTED_VALUE"""),9.47)</f>
        <v>9.4700000000000006</v>
      </c>
    </row>
    <row r="1776" spans="1:2">
      <c r="A1776" s="3">
        <f ca="1">IFERROR(__xludf.DUMMYFUNCTION("""COMPUTED_VALUE"""),40927.6666666666)</f>
        <v>40927.666666666599</v>
      </c>
      <c r="B1776" s="1">
        <f ca="1">IFERROR(__xludf.DUMMYFUNCTION("""COMPUTED_VALUE"""),9.72)</f>
        <v>9.7200000000000006</v>
      </c>
    </row>
    <row r="1777" spans="1:2">
      <c r="A1777" s="3">
        <f ca="1">IFERROR(__xludf.DUMMYFUNCTION("""COMPUTED_VALUE"""),40928.6666666666)</f>
        <v>40928.666666666599</v>
      </c>
      <c r="B1777" s="1">
        <f ca="1">IFERROR(__xludf.DUMMYFUNCTION("""COMPUTED_VALUE"""),9.55)</f>
        <v>9.5500000000000007</v>
      </c>
    </row>
    <row r="1778" spans="1:2">
      <c r="A1778" s="3">
        <f ca="1">IFERROR(__xludf.DUMMYFUNCTION("""COMPUTED_VALUE"""),40931.6666666666)</f>
        <v>40931.666666666599</v>
      </c>
      <c r="B1778" s="1">
        <f ca="1">IFERROR(__xludf.DUMMYFUNCTION("""COMPUTED_VALUE"""),9.3)</f>
        <v>9.3000000000000007</v>
      </c>
    </row>
    <row r="1779" spans="1:2">
      <c r="A1779" s="3">
        <f ca="1">IFERROR(__xludf.DUMMYFUNCTION("""COMPUTED_VALUE"""),40932.6666666666)</f>
        <v>40932.666666666599</v>
      </c>
      <c r="B1779" s="1">
        <f ca="1">IFERROR(__xludf.DUMMYFUNCTION("""COMPUTED_VALUE"""),9.35)</f>
        <v>9.35</v>
      </c>
    </row>
    <row r="1780" spans="1:2">
      <c r="A1780" s="3">
        <f ca="1">IFERROR(__xludf.DUMMYFUNCTION("""COMPUTED_VALUE"""),40933.6666666666)</f>
        <v>40933.666666666599</v>
      </c>
      <c r="B1780" s="1">
        <f ca="1">IFERROR(__xludf.DUMMYFUNCTION("""COMPUTED_VALUE"""),9.39)</f>
        <v>9.39</v>
      </c>
    </row>
    <row r="1781" spans="1:2">
      <c r="A1781" s="3">
        <f ca="1">IFERROR(__xludf.DUMMYFUNCTION("""COMPUTED_VALUE"""),40934.6666666666)</f>
        <v>40934.666666666599</v>
      </c>
      <c r="B1781" s="1">
        <f ca="1">IFERROR(__xludf.DUMMYFUNCTION("""COMPUTED_VALUE"""),9.67)</f>
        <v>9.67</v>
      </c>
    </row>
    <row r="1782" spans="1:2">
      <c r="A1782" s="3">
        <f ca="1">IFERROR(__xludf.DUMMYFUNCTION("""COMPUTED_VALUE"""),40935.6666666666)</f>
        <v>40935.666666666599</v>
      </c>
      <c r="B1782" s="1">
        <f ca="1">IFERROR(__xludf.DUMMYFUNCTION("""COMPUTED_VALUE"""),9.77)</f>
        <v>9.77</v>
      </c>
    </row>
    <row r="1783" spans="1:2">
      <c r="A1783" s="3">
        <f ca="1">IFERROR(__xludf.DUMMYFUNCTION("""COMPUTED_VALUE"""),40938.6666666666)</f>
        <v>40938.666666666599</v>
      </c>
      <c r="B1783" s="1">
        <f ca="1">IFERROR(__xludf.DUMMYFUNCTION("""COMPUTED_VALUE"""),9.61)</f>
        <v>9.61</v>
      </c>
    </row>
    <row r="1784" spans="1:2">
      <c r="A1784" s="3">
        <f ca="1">IFERROR(__xludf.DUMMYFUNCTION("""COMPUTED_VALUE"""),40939.6666666666)</f>
        <v>40939.666666666599</v>
      </c>
      <c r="B1784" s="1">
        <f ca="1">IFERROR(__xludf.DUMMYFUNCTION("""COMPUTED_VALUE"""),9.72)</f>
        <v>9.7200000000000006</v>
      </c>
    </row>
    <row r="1785" spans="1:2">
      <c r="A1785" s="3">
        <f ca="1">IFERROR(__xludf.DUMMYFUNCTION("""COMPUTED_VALUE"""),40940.6666666666)</f>
        <v>40940.666666666599</v>
      </c>
      <c r="B1785" s="1">
        <f ca="1">IFERROR(__xludf.DUMMYFUNCTION("""COMPUTED_VALUE"""),8.97)</f>
        <v>8.9700000000000006</v>
      </c>
    </row>
    <row r="1786" spans="1:2">
      <c r="A1786" s="3">
        <f ca="1">IFERROR(__xludf.DUMMYFUNCTION("""COMPUTED_VALUE"""),40941.6666666666)</f>
        <v>40941.666666666599</v>
      </c>
      <c r="B1786" s="1">
        <f ca="1">IFERROR(__xludf.DUMMYFUNCTION("""COMPUTED_VALUE"""),9.09)</f>
        <v>9.09</v>
      </c>
    </row>
    <row r="1787" spans="1:2">
      <c r="A1787" s="3">
        <f ca="1">IFERROR(__xludf.DUMMYFUNCTION("""COMPUTED_VALUE"""),40942.6666666666)</f>
        <v>40942.666666666599</v>
      </c>
      <c r="B1787" s="1">
        <f ca="1">IFERROR(__xludf.DUMMYFUNCTION("""COMPUTED_VALUE"""),9.38)</f>
        <v>9.3800000000000008</v>
      </c>
    </row>
    <row r="1788" spans="1:2">
      <c r="A1788" s="3">
        <f ca="1">IFERROR(__xludf.DUMMYFUNCTION("""COMPUTED_VALUE"""),40945.6666666666)</f>
        <v>40945.666666666599</v>
      </c>
      <c r="B1788" s="1">
        <f ca="1">IFERROR(__xludf.DUMMYFUNCTION("""COMPUTED_VALUE"""),9.16)</f>
        <v>9.16</v>
      </c>
    </row>
    <row r="1789" spans="1:2">
      <c r="A1789" s="3">
        <f ca="1">IFERROR(__xludf.DUMMYFUNCTION("""COMPUTED_VALUE"""),40946.6666666666)</f>
        <v>40946.666666666599</v>
      </c>
      <c r="B1789" s="1">
        <f ca="1">IFERROR(__xludf.DUMMYFUNCTION("""COMPUTED_VALUE"""),9.21)</f>
        <v>9.2100000000000009</v>
      </c>
    </row>
    <row r="1790" spans="1:2">
      <c r="A1790" s="3">
        <f ca="1">IFERROR(__xludf.DUMMYFUNCTION("""COMPUTED_VALUE"""),40947.6666666666)</f>
        <v>40947.666666666599</v>
      </c>
      <c r="B1790" s="1">
        <f ca="1">IFERROR(__xludf.DUMMYFUNCTION("""COMPUTED_VALUE"""),9.27)</f>
        <v>9.27</v>
      </c>
    </row>
    <row r="1791" spans="1:2">
      <c r="A1791" s="3">
        <f ca="1">IFERROR(__xludf.DUMMYFUNCTION("""COMPUTED_VALUE"""),40948.6666666666)</f>
        <v>40948.666666666599</v>
      </c>
      <c r="B1791" s="1">
        <f ca="1">IFERROR(__xludf.DUMMYFUNCTION("""COMPUTED_VALUE"""),9.25)</f>
        <v>9.25</v>
      </c>
    </row>
    <row r="1792" spans="1:2">
      <c r="A1792" s="3">
        <f ca="1">IFERROR(__xludf.DUMMYFUNCTION("""COMPUTED_VALUE"""),40949.6666666666)</f>
        <v>40949.666666666599</v>
      </c>
      <c r="B1792" s="1">
        <f ca="1">IFERROR(__xludf.DUMMYFUNCTION("""COMPUTED_VALUE"""),9.28)</f>
        <v>9.2799999999999994</v>
      </c>
    </row>
    <row r="1793" spans="1:2">
      <c r="A1793" s="3">
        <f ca="1">IFERROR(__xludf.DUMMYFUNCTION("""COMPUTED_VALUE"""),40952.6666666666)</f>
        <v>40952.666666666599</v>
      </c>
      <c r="B1793" s="1">
        <f ca="1">IFERROR(__xludf.DUMMYFUNCTION("""COMPUTED_VALUE"""),9.58)</f>
        <v>9.58</v>
      </c>
    </row>
    <row r="1794" spans="1:2">
      <c r="A1794" s="3">
        <f ca="1">IFERROR(__xludf.DUMMYFUNCTION("""COMPUTED_VALUE"""),40953.6666666666)</f>
        <v>40953.666666666599</v>
      </c>
      <c r="B1794" s="1">
        <f ca="1">IFERROR(__xludf.DUMMYFUNCTION("""COMPUTED_VALUE"""),9.57)</f>
        <v>9.57</v>
      </c>
    </row>
    <row r="1795" spans="1:2">
      <c r="A1795" s="3">
        <f ca="1">IFERROR(__xludf.DUMMYFUNCTION("""COMPUTED_VALUE"""),40954.6666666666)</f>
        <v>40954.666666666599</v>
      </c>
      <c r="B1795" s="1">
        <f ca="1">IFERROR(__xludf.DUMMYFUNCTION("""COMPUTED_VALUE"""),9.22)</f>
        <v>9.2200000000000006</v>
      </c>
    </row>
    <row r="1796" spans="1:2">
      <c r="A1796" s="3">
        <f ca="1">IFERROR(__xludf.DUMMYFUNCTION("""COMPUTED_VALUE"""),40955.6666666666)</f>
        <v>40955.666666666599</v>
      </c>
      <c r="B1796" s="1">
        <f ca="1">IFERROR(__xludf.DUMMYFUNCTION("""COMPUTED_VALUE"""),9)</f>
        <v>9</v>
      </c>
    </row>
    <row r="1797" spans="1:2">
      <c r="A1797" s="3">
        <f ca="1">IFERROR(__xludf.DUMMYFUNCTION("""COMPUTED_VALUE"""),40956.6666666666)</f>
        <v>40956.666666666599</v>
      </c>
      <c r="B1797" s="1">
        <f ca="1">IFERROR(__xludf.DUMMYFUNCTION("""COMPUTED_VALUE"""),9.13)</f>
        <v>9.1300000000000008</v>
      </c>
    </row>
    <row r="1798" spans="1:2">
      <c r="A1798" s="3">
        <f ca="1">IFERROR(__xludf.DUMMYFUNCTION("""COMPUTED_VALUE"""),40960.6666666666)</f>
        <v>40960.666666666599</v>
      </c>
      <c r="B1798" s="1">
        <f ca="1">IFERROR(__xludf.DUMMYFUNCTION("""COMPUTED_VALUE"""),9.11)</f>
        <v>9.11</v>
      </c>
    </row>
    <row r="1799" spans="1:2">
      <c r="A1799" s="3">
        <f ca="1">IFERROR(__xludf.DUMMYFUNCTION("""COMPUTED_VALUE"""),40961.6666666666)</f>
        <v>40961.666666666599</v>
      </c>
      <c r="B1799" s="1">
        <f ca="1">IFERROR(__xludf.DUMMYFUNCTION("""COMPUTED_VALUE"""),9.03)</f>
        <v>9.0299999999999994</v>
      </c>
    </row>
    <row r="1800" spans="1:2">
      <c r="A1800" s="3">
        <f ca="1">IFERROR(__xludf.DUMMYFUNCTION("""COMPUTED_VALUE"""),40962.6666666666)</f>
        <v>40962.666666666599</v>
      </c>
      <c r="B1800" s="1">
        <f ca="1">IFERROR(__xludf.DUMMYFUNCTION("""COMPUTED_VALUE"""),8.94)</f>
        <v>8.94</v>
      </c>
    </row>
    <row r="1801" spans="1:2">
      <c r="A1801" s="3">
        <f ca="1">IFERROR(__xludf.DUMMYFUNCTION("""COMPUTED_VALUE"""),40963.6666666666)</f>
        <v>40963.666666666599</v>
      </c>
      <c r="B1801" s="1">
        <f ca="1">IFERROR(__xludf.DUMMYFUNCTION("""COMPUTED_VALUE"""),8.96)</f>
        <v>8.9600000000000009</v>
      </c>
    </row>
    <row r="1802" spans="1:2">
      <c r="A1802" s="3">
        <f ca="1">IFERROR(__xludf.DUMMYFUNCTION("""COMPUTED_VALUE"""),40966.6666666666)</f>
        <v>40966.666666666599</v>
      </c>
      <c r="B1802" s="1">
        <f ca="1">IFERROR(__xludf.DUMMYFUNCTION("""COMPUTED_VALUE"""),8.93)</f>
        <v>8.93</v>
      </c>
    </row>
    <row r="1803" spans="1:2">
      <c r="A1803" s="3">
        <f ca="1">IFERROR(__xludf.DUMMYFUNCTION("""COMPUTED_VALUE"""),40967.6666666666)</f>
        <v>40967.666666666599</v>
      </c>
      <c r="B1803" s="1">
        <f ca="1">IFERROR(__xludf.DUMMYFUNCTION("""COMPUTED_VALUE"""),9.19)</f>
        <v>9.19</v>
      </c>
    </row>
    <row r="1804" spans="1:2">
      <c r="A1804" s="3">
        <f ca="1">IFERROR(__xludf.DUMMYFUNCTION("""COMPUTED_VALUE"""),40968.6666666666)</f>
        <v>40968.666666666599</v>
      </c>
      <c r="B1804" s="1">
        <f ca="1">IFERROR(__xludf.DUMMYFUNCTION("""COMPUTED_VALUE"""),8.98)</f>
        <v>8.98</v>
      </c>
    </row>
    <row r="1805" spans="1:2">
      <c r="A1805" s="3">
        <f ca="1">IFERROR(__xludf.DUMMYFUNCTION("""COMPUTED_VALUE"""),40969.6666666666)</f>
        <v>40969.666666666599</v>
      </c>
      <c r="B1805" s="1">
        <f ca="1">IFERROR(__xludf.DUMMYFUNCTION("""COMPUTED_VALUE"""),9)</f>
        <v>9</v>
      </c>
    </row>
    <row r="1806" spans="1:2">
      <c r="A1806" s="3">
        <f ca="1">IFERROR(__xludf.DUMMYFUNCTION("""COMPUTED_VALUE"""),40970.6666666666)</f>
        <v>40970.666666666599</v>
      </c>
      <c r="B1806" s="1">
        <f ca="1">IFERROR(__xludf.DUMMYFUNCTION("""COMPUTED_VALUE"""),8.97)</f>
        <v>8.9700000000000006</v>
      </c>
    </row>
    <row r="1807" spans="1:2">
      <c r="A1807" s="3">
        <f ca="1">IFERROR(__xludf.DUMMYFUNCTION("""COMPUTED_VALUE"""),40973.6666666666)</f>
        <v>40973.666666666599</v>
      </c>
      <c r="B1807" s="1">
        <f ca="1">IFERROR(__xludf.DUMMYFUNCTION("""COMPUTED_VALUE"""),9.01)</f>
        <v>9.01</v>
      </c>
    </row>
    <row r="1808" spans="1:2">
      <c r="A1808" s="3">
        <f ca="1">IFERROR(__xludf.DUMMYFUNCTION("""COMPUTED_VALUE"""),40974.6666666666)</f>
        <v>40974.666666666599</v>
      </c>
      <c r="B1808" s="1">
        <f ca="1">IFERROR(__xludf.DUMMYFUNCTION("""COMPUTED_VALUE"""),9.05)</f>
        <v>9.0500000000000007</v>
      </c>
    </row>
    <row r="1809" spans="1:2">
      <c r="A1809" s="3">
        <f ca="1">IFERROR(__xludf.DUMMYFUNCTION("""COMPUTED_VALUE"""),40975.6666666666)</f>
        <v>40975.666666666599</v>
      </c>
      <c r="B1809" s="1">
        <f ca="1">IFERROR(__xludf.DUMMYFUNCTION("""COMPUTED_VALUE"""),9.19)</f>
        <v>9.19</v>
      </c>
    </row>
    <row r="1810" spans="1:2">
      <c r="A1810" s="3">
        <f ca="1">IFERROR(__xludf.DUMMYFUNCTION("""COMPUTED_VALUE"""),40976.6666666666)</f>
        <v>40976.666666666599</v>
      </c>
      <c r="B1810" s="1">
        <f ca="1">IFERROR(__xludf.DUMMYFUNCTION("""COMPUTED_VALUE"""),9.38)</f>
        <v>9.3800000000000008</v>
      </c>
    </row>
    <row r="1811" spans="1:2">
      <c r="A1811" s="3">
        <f ca="1">IFERROR(__xludf.DUMMYFUNCTION("""COMPUTED_VALUE"""),40977.6666666666)</f>
        <v>40977.666666666599</v>
      </c>
      <c r="B1811" s="1">
        <f ca="1">IFERROR(__xludf.DUMMYFUNCTION("""COMPUTED_VALUE"""),9.22)</f>
        <v>9.2200000000000006</v>
      </c>
    </row>
    <row r="1812" spans="1:2">
      <c r="A1812" s="3">
        <f ca="1">IFERROR(__xludf.DUMMYFUNCTION("""COMPUTED_VALUE"""),40980.6666666666)</f>
        <v>40980.666666666599</v>
      </c>
      <c r="B1812" s="1">
        <f ca="1">IFERROR(__xludf.DUMMYFUNCTION("""COMPUTED_VALUE"""),9.17)</f>
        <v>9.17</v>
      </c>
    </row>
    <row r="1813" spans="1:2">
      <c r="A1813" s="3">
        <f ca="1">IFERROR(__xludf.DUMMYFUNCTION("""COMPUTED_VALUE"""),40981.6666666666)</f>
        <v>40981.666666666599</v>
      </c>
      <c r="B1813" s="1">
        <f ca="1">IFERROR(__xludf.DUMMYFUNCTION("""COMPUTED_VALUE"""),9.23)</f>
        <v>9.23</v>
      </c>
    </row>
    <row r="1814" spans="1:2">
      <c r="A1814" s="3">
        <f ca="1">IFERROR(__xludf.DUMMYFUNCTION("""COMPUTED_VALUE"""),40982.6666666666)</f>
        <v>40982.666666666599</v>
      </c>
      <c r="B1814" s="1">
        <f ca="1">IFERROR(__xludf.DUMMYFUNCTION("""COMPUTED_VALUE"""),9.11)</f>
        <v>9.11</v>
      </c>
    </row>
    <row r="1815" spans="1:2">
      <c r="A1815" s="3">
        <f ca="1">IFERROR(__xludf.DUMMYFUNCTION("""COMPUTED_VALUE"""),40983.6666666666)</f>
        <v>40983.666666666599</v>
      </c>
      <c r="B1815" s="1">
        <f ca="1">IFERROR(__xludf.DUMMYFUNCTION("""COMPUTED_VALUE"""),9.22)</f>
        <v>9.2200000000000006</v>
      </c>
    </row>
    <row r="1816" spans="1:2">
      <c r="A1816" s="3">
        <f ca="1">IFERROR(__xludf.DUMMYFUNCTION("""COMPUTED_VALUE"""),40984.6666666666)</f>
        <v>40984.666666666599</v>
      </c>
      <c r="B1816" s="1">
        <f ca="1">IFERROR(__xludf.DUMMYFUNCTION("""COMPUTED_VALUE"""),9.25)</f>
        <v>9.25</v>
      </c>
    </row>
    <row r="1817" spans="1:2">
      <c r="A1817" s="3">
        <f ca="1">IFERROR(__xludf.DUMMYFUNCTION("""COMPUTED_VALUE"""),40987.6666666666)</f>
        <v>40987.666666666599</v>
      </c>
      <c r="B1817" s="1">
        <f ca="1">IFERROR(__xludf.DUMMYFUNCTION("""COMPUTED_VALUE"""),9.28)</f>
        <v>9.2799999999999994</v>
      </c>
    </row>
    <row r="1818" spans="1:2">
      <c r="A1818" s="3">
        <f ca="1">IFERROR(__xludf.DUMMYFUNCTION("""COMPUTED_VALUE"""),40988.6666666666)</f>
        <v>40988.666666666599</v>
      </c>
      <c r="B1818" s="1">
        <f ca="1">IFERROR(__xludf.DUMMYFUNCTION("""COMPUTED_VALUE"""),9.62)</f>
        <v>9.6199999999999992</v>
      </c>
    </row>
    <row r="1819" spans="1:2">
      <c r="A1819" s="3">
        <f ca="1">IFERROR(__xludf.DUMMYFUNCTION("""COMPUTED_VALUE"""),40989.6666666666)</f>
        <v>40989.666666666599</v>
      </c>
      <c r="B1819" s="1">
        <f ca="1">IFERROR(__xludf.DUMMYFUNCTION("""COMPUTED_VALUE"""),9.59)</f>
        <v>9.59</v>
      </c>
    </row>
    <row r="1820" spans="1:2">
      <c r="A1820" s="3">
        <f ca="1">IFERROR(__xludf.DUMMYFUNCTION("""COMPUTED_VALUE"""),40990.6666666666)</f>
        <v>40990.666666666599</v>
      </c>
      <c r="B1820" s="1">
        <f ca="1">IFERROR(__xludf.DUMMYFUNCTION("""COMPUTED_VALUE"""),9.62)</f>
        <v>9.6199999999999992</v>
      </c>
    </row>
    <row r="1821" spans="1:2">
      <c r="A1821" s="3">
        <f ca="1">IFERROR(__xludf.DUMMYFUNCTION("""COMPUTED_VALUE"""),40991.6666666666)</f>
        <v>40991.666666666599</v>
      </c>
      <c r="B1821" s="1">
        <f ca="1">IFERROR(__xludf.DUMMYFUNCTION("""COMPUTED_VALUE"""),9.75)</f>
        <v>9.75</v>
      </c>
    </row>
    <row r="1822" spans="1:2">
      <c r="A1822" s="3">
        <f ca="1">IFERROR(__xludf.DUMMYFUNCTION("""COMPUTED_VALUE"""),40994.6666666666)</f>
        <v>40994.666666666599</v>
      </c>
      <c r="B1822" s="1">
        <f ca="1">IFERROR(__xludf.DUMMYFUNCTION("""COMPUTED_VALUE"""),10.14)</f>
        <v>10.14</v>
      </c>
    </row>
    <row r="1823" spans="1:2">
      <c r="A1823" s="3">
        <f ca="1">IFERROR(__xludf.DUMMYFUNCTION("""COMPUTED_VALUE"""),40995.6666666666)</f>
        <v>40995.666666666599</v>
      </c>
      <c r="B1823" s="1">
        <f ca="1">IFERROR(__xludf.DUMMYFUNCTION("""COMPUTED_VALUE"""),10.27)</f>
        <v>10.27</v>
      </c>
    </row>
    <row r="1824" spans="1:2">
      <c r="A1824" s="3">
        <f ca="1">IFERROR(__xludf.DUMMYFUNCTION("""COMPUTED_VALUE"""),40996.6666666666)</f>
        <v>40996.666666666599</v>
      </c>
      <c r="B1824" s="1">
        <f ca="1">IFERROR(__xludf.DUMMYFUNCTION("""COMPUTED_VALUE"""),10.06)</f>
        <v>10.06</v>
      </c>
    </row>
    <row r="1825" spans="1:2">
      <c r="A1825" s="3">
        <f ca="1">IFERROR(__xludf.DUMMYFUNCTION("""COMPUTED_VALUE"""),40997.6666666666)</f>
        <v>40997.666666666599</v>
      </c>
      <c r="B1825" s="1">
        <f ca="1">IFERROR(__xludf.DUMMYFUNCTION("""COMPUTED_VALUE"""),10.23)</f>
        <v>10.23</v>
      </c>
    </row>
    <row r="1826" spans="1:2">
      <c r="A1826" s="3">
        <f ca="1">IFERROR(__xludf.DUMMYFUNCTION("""COMPUTED_VALUE"""),40998.6666666666)</f>
        <v>40998.666666666599</v>
      </c>
      <c r="B1826" s="1">
        <f ca="1">IFERROR(__xludf.DUMMYFUNCTION("""COMPUTED_VALUE"""),10.13)</f>
        <v>10.130000000000001</v>
      </c>
    </row>
    <row r="1827" spans="1:2">
      <c r="A1827" s="3">
        <f ca="1">IFERROR(__xludf.DUMMYFUNCTION("""COMPUTED_VALUE"""),41001.6666666666)</f>
        <v>41001.666666666599</v>
      </c>
      <c r="B1827" s="1">
        <f ca="1">IFERROR(__xludf.DUMMYFUNCTION("""COMPUTED_VALUE"""),9.9)</f>
        <v>9.9</v>
      </c>
    </row>
    <row r="1828" spans="1:2">
      <c r="A1828" s="3">
        <f ca="1">IFERROR(__xludf.DUMMYFUNCTION("""COMPUTED_VALUE"""),41002.6666666666)</f>
        <v>41002.666666666599</v>
      </c>
      <c r="B1828" s="1">
        <f ca="1">IFERROR(__xludf.DUMMYFUNCTION("""COMPUTED_VALUE"""),9.98)</f>
        <v>9.98</v>
      </c>
    </row>
    <row r="1829" spans="1:2">
      <c r="A1829" s="3">
        <f ca="1">IFERROR(__xludf.DUMMYFUNCTION("""COMPUTED_VALUE"""),41003.6666666666)</f>
        <v>41003.666666666599</v>
      </c>
      <c r="B1829" s="1">
        <f ca="1">IFERROR(__xludf.DUMMYFUNCTION("""COMPUTED_VALUE"""),9.7)</f>
        <v>9.6999999999999993</v>
      </c>
    </row>
    <row r="1830" spans="1:2">
      <c r="A1830" s="3">
        <f ca="1">IFERROR(__xludf.DUMMYFUNCTION("""COMPUTED_VALUE"""),41004.6666666666)</f>
        <v>41004.666666666599</v>
      </c>
      <c r="B1830" s="1">
        <f ca="1">IFERROR(__xludf.DUMMYFUNCTION("""COMPUTED_VALUE"""),9.72)</f>
        <v>9.7200000000000006</v>
      </c>
    </row>
    <row r="1831" spans="1:2">
      <c r="A1831" s="3">
        <f ca="1">IFERROR(__xludf.DUMMYFUNCTION("""COMPUTED_VALUE"""),41008.6666666666)</f>
        <v>41008.666666666599</v>
      </c>
      <c r="B1831" s="1">
        <f ca="1">IFERROR(__xludf.DUMMYFUNCTION("""COMPUTED_VALUE"""),9.59)</f>
        <v>9.59</v>
      </c>
    </row>
    <row r="1832" spans="1:2">
      <c r="A1832" s="3">
        <f ca="1">IFERROR(__xludf.DUMMYFUNCTION("""COMPUTED_VALUE"""),41009.6666666666)</f>
        <v>41009.666666666599</v>
      </c>
      <c r="B1832" s="1">
        <f ca="1">IFERROR(__xludf.DUMMYFUNCTION("""COMPUTED_VALUE"""),9.35)</f>
        <v>9.35</v>
      </c>
    </row>
    <row r="1833" spans="1:2">
      <c r="A1833" s="3">
        <f ca="1">IFERROR(__xludf.DUMMYFUNCTION("""COMPUTED_VALUE"""),41010.6666666666)</f>
        <v>41010.666666666599</v>
      </c>
      <c r="B1833" s="1">
        <f ca="1">IFERROR(__xludf.DUMMYFUNCTION("""COMPUTED_VALUE"""),9.4)</f>
        <v>9.4</v>
      </c>
    </row>
    <row r="1834" spans="1:2">
      <c r="A1834" s="3">
        <f ca="1">IFERROR(__xludf.DUMMYFUNCTION("""COMPUTED_VALUE"""),41011.6666666666)</f>
        <v>41011.666666666599</v>
      </c>
      <c r="B1834" s="1">
        <f ca="1">IFERROR(__xludf.DUMMYFUNCTION("""COMPUTED_VALUE"""),9.53)</f>
        <v>9.5299999999999994</v>
      </c>
    </row>
    <row r="1835" spans="1:2">
      <c r="A1835" s="3">
        <f ca="1">IFERROR(__xludf.DUMMYFUNCTION("""COMPUTED_VALUE"""),41012.6666666666)</f>
        <v>41012.666666666599</v>
      </c>
      <c r="B1835" s="1">
        <f ca="1">IFERROR(__xludf.DUMMYFUNCTION("""COMPUTED_VALUE"""),9.42)</f>
        <v>9.42</v>
      </c>
    </row>
    <row r="1836" spans="1:2">
      <c r="A1836" s="3">
        <f ca="1">IFERROR(__xludf.DUMMYFUNCTION("""COMPUTED_VALUE"""),41015.6666666666)</f>
        <v>41015.666666666599</v>
      </c>
      <c r="B1836" s="1">
        <f ca="1">IFERROR(__xludf.DUMMYFUNCTION("""COMPUTED_VALUE"""),9.28)</f>
        <v>9.2799999999999994</v>
      </c>
    </row>
    <row r="1837" spans="1:2">
      <c r="A1837" s="3">
        <f ca="1">IFERROR(__xludf.DUMMYFUNCTION("""COMPUTED_VALUE"""),41016.6666666666)</f>
        <v>41016.666666666599</v>
      </c>
      <c r="B1837" s="1">
        <f ca="1">IFERROR(__xludf.DUMMYFUNCTION("""COMPUTED_VALUE"""),9.42)</f>
        <v>9.42</v>
      </c>
    </row>
    <row r="1838" spans="1:2">
      <c r="A1838" s="3">
        <f ca="1">IFERROR(__xludf.DUMMYFUNCTION("""COMPUTED_VALUE"""),41017.6666666666)</f>
        <v>41017.666666666599</v>
      </c>
      <c r="B1838" s="1">
        <f ca="1">IFERROR(__xludf.DUMMYFUNCTION("""COMPUTED_VALUE"""),9.55)</f>
        <v>9.5500000000000007</v>
      </c>
    </row>
    <row r="1839" spans="1:2">
      <c r="A1839" s="3">
        <f ca="1">IFERROR(__xludf.DUMMYFUNCTION("""COMPUTED_VALUE"""),41018.6666666666)</f>
        <v>41018.666666666599</v>
      </c>
      <c r="B1839" s="1">
        <f ca="1">IFERROR(__xludf.DUMMYFUNCTION("""COMPUTED_VALUE"""),9.56)</f>
        <v>9.56</v>
      </c>
    </row>
    <row r="1840" spans="1:2">
      <c r="A1840" s="3">
        <f ca="1">IFERROR(__xludf.DUMMYFUNCTION("""COMPUTED_VALUE"""),41019.6666666666)</f>
        <v>41019.666666666599</v>
      </c>
      <c r="B1840" s="1">
        <f ca="1">IFERROR(__xludf.DUMMYFUNCTION("""COMPUTED_VALUE"""),9.5)</f>
        <v>9.5</v>
      </c>
    </row>
    <row r="1841" spans="1:2">
      <c r="A1841" s="3">
        <f ca="1">IFERROR(__xludf.DUMMYFUNCTION("""COMPUTED_VALUE"""),41022.6666666666)</f>
        <v>41022.666666666599</v>
      </c>
      <c r="B1841" s="1">
        <f ca="1">IFERROR(__xludf.DUMMYFUNCTION("""COMPUTED_VALUE"""),9.41)</f>
        <v>9.41</v>
      </c>
    </row>
    <row r="1842" spans="1:2">
      <c r="A1842" s="3">
        <f ca="1">IFERROR(__xludf.DUMMYFUNCTION("""COMPUTED_VALUE"""),41023.6666666666)</f>
        <v>41023.666666666599</v>
      </c>
      <c r="B1842" s="1">
        <f ca="1">IFERROR(__xludf.DUMMYFUNCTION("""COMPUTED_VALUE"""),9.52)</f>
        <v>9.52</v>
      </c>
    </row>
    <row r="1843" spans="1:2">
      <c r="A1843" s="3">
        <f ca="1">IFERROR(__xludf.DUMMYFUNCTION("""COMPUTED_VALUE"""),41024.6666666666)</f>
        <v>41024.666666666599</v>
      </c>
      <c r="B1843" s="1">
        <f ca="1">IFERROR(__xludf.DUMMYFUNCTION("""COMPUTED_VALUE"""),9.72)</f>
        <v>9.7200000000000006</v>
      </c>
    </row>
    <row r="1844" spans="1:2">
      <c r="A1844" s="3">
        <f ca="1">IFERROR(__xludf.DUMMYFUNCTION("""COMPUTED_VALUE"""),41025.6666666666)</f>
        <v>41025.666666666599</v>
      </c>
      <c r="B1844" s="1">
        <f ca="1">IFERROR(__xludf.DUMMYFUNCTION("""COMPUTED_VALUE"""),9.8)</f>
        <v>9.8000000000000007</v>
      </c>
    </row>
    <row r="1845" spans="1:2">
      <c r="A1845" s="3">
        <f ca="1">IFERROR(__xludf.DUMMYFUNCTION("""COMPUTED_VALUE"""),41026.6666666666)</f>
        <v>41026.666666666599</v>
      </c>
      <c r="B1845" s="1">
        <f ca="1">IFERROR(__xludf.DUMMYFUNCTION("""COMPUTED_VALUE"""),11.34)</f>
        <v>11.34</v>
      </c>
    </row>
    <row r="1846" spans="1:2">
      <c r="A1846" s="3">
        <f ca="1">IFERROR(__xludf.DUMMYFUNCTION("""COMPUTED_VALUE"""),41029.6666666666)</f>
        <v>41029.666666666599</v>
      </c>
      <c r="B1846" s="1">
        <f ca="1">IFERROR(__xludf.DUMMYFUNCTION("""COMPUTED_VALUE"""),11.6)</f>
        <v>11.6</v>
      </c>
    </row>
    <row r="1847" spans="1:2">
      <c r="A1847" s="3">
        <f ca="1">IFERROR(__xludf.DUMMYFUNCTION("""COMPUTED_VALUE"""),41030.6666666666)</f>
        <v>41030.666666666599</v>
      </c>
      <c r="B1847" s="1">
        <f ca="1">IFERROR(__xludf.DUMMYFUNCTION("""COMPUTED_VALUE"""),11.5)</f>
        <v>11.5</v>
      </c>
    </row>
    <row r="1848" spans="1:2">
      <c r="A1848" s="3">
        <f ca="1">IFERROR(__xludf.DUMMYFUNCTION("""COMPUTED_VALUE"""),41031.6666666666)</f>
        <v>41031.666666666599</v>
      </c>
      <c r="B1848" s="1">
        <f ca="1">IFERROR(__xludf.DUMMYFUNCTION("""COMPUTED_VALUE"""),11.51)</f>
        <v>11.51</v>
      </c>
    </row>
    <row r="1849" spans="1:2">
      <c r="A1849" s="3">
        <f ca="1">IFERROR(__xludf.DUMMYFUNCTION("""COMPUTED_VALUE"""),41032.6666666666)</f>
        <v>41032.666666666599</v>
      </c>
      <c r="B1849" s="1">
        <f ca="1">IFERROR(__xludf.DUMMYFUNCTION("""COMPUTED_VALUE"""),11.47)</f>
        <v>11.47</v>
      </c>
    </row>
    <row r="1850" spans="1:2">
      <c r="A1850" s="3">
        <f ca="1">IFERROR(__xludf.DUMMYFUNCTION("""COMPUTED_VALUE"""),41033.6666666666)</f>
        <v>41033.666666666599</v>
      </c>
      <c r="B1850" s="1">
        <f ca="1">IFERROR(__xludf.DUMMYFUNCTION("""COMPUTED_VALUE"""),11.2)</f>
        <v>11.2</v>
      </c>
    </row>
    <row r="1851" spans="1:2">
      <c r="A1851" s="3">
        <f ca="1">IFERROR(__xludf.DUMMYFUNCTION("""COMPUTED_VALUE"""),41036.6666666666)</f>
        <v>41036.666666666599</v>
      </c>
      <c r="B1851" s="1">
        <f ca="1">IFERROR(__xludf.DUMMYFUNCTION("""COMPUTED_VALUE"""),11.26)</f>
        <v>11.26</v>
      </c>
    </row>
    <row r="1852" spans="1:2">
      <c r="A1852" s="3">
        <f ca="1">IFERROR(__xludf.DUMMYFUNCTION("""COMPUTED_VALUE"""),41037.6666666666)</f>
        <v>41037.666666666599</v>
      </c>
      <c r="B1852" s="1">
        <f ca="1">IFERROR(__xludf.DUMMYFUNCTION("""COMPUTED_VALUE"""),11.2)</f>
        <v>11.2</v>
      </c>
    </row>
    <row r="1853" spans="1:2">
      <c r="A1853" s="3">
        <f ca="1">IFERROR(__xludf.DUMMYFUNCTION("""COMPUTED_VALUE"""),41038.6666666666)</f>
        <v>41038.666666666599</v>
      </c>
      <c r="B1853" s="1">
        <f ca="1">IFERROR(__xludf.DUMMYFUNCTION("""COMPUTED_VALUE"""),11.15)</f>
        <v>11.15</v>
      </c>
    </row>
    <row r="1854" spans="1:2">
      <c r="A1854" s="3">
        <f ca="1">IFERROR(__xludf.DUMMYFUNCTION("""COMPUTED_VALUE"""),41039.6666666666)</f>
        <v>41039.666666666599</v>
      </c>
      <c r="B1854" s="1">
        <f ca="1">IFERROR(__xludf.DUMMYFUNCTION("""COMPUTED_VALUE"""),11.33)</f>
        <v>11.33</v>
      </c>
    </row>
    <row r="1855" spans="1:2">
      <c r="A1855" s="3">
        <f ca="1">IFERROR(__xludf.DUMMYFUNCTION("""COMPUTED_VALUE"""),41040.6666666666)</f>
        <v>41040.666666666599</v>
      </c>
      <c r="B1855" s="1">
        <f ca="1">IFERROR(__xludf.DUMMYFUNCTION("""COMPUTED_VALUE"""),11.38)</f>
        <v>11.38</v>
      </c>
    </row>
    <row r="1856" spans="1:2">
      <c r="A1856" s="3">
        <f ca="1">IFERROR(__xludf.DUMMYFUNCTION("""COMPUTED_VALUE"""),41043.6666666666)</f>
        <v>41043.666666666599</v>
      </c>
      <c r="B1856" s="1">
        <f ca="1">IFERROR(__xludf.DUMMYFUNCTION("""COMPUTED_VALUE"""),11.15)</f>
        <v>11.15</v>
      </c>
    </row>
    <row r="1857" spans="1:2">
      <c r="A1857" s="3">
        <f ca="1">IFERROR(__xludf.DUMMYFUNCTION("""COMPUTED_VALUE"""),41044.6666666666)</f>
        <v>41044.666666666599</v>
      </c>
      <c r="B1857" s="1">
        <f ca="1">IFERROR(__xludf.DUMMYFUNCTION("""COMPUTED_VALUE"""),11.22)</f>
        <v>11.22</v>
      </c>
    </row>
    <row r="1858" spans="1:2">
      <c r="A1858" s="3">
        <f ca="1">IFERROR(__xludf.DUMMYFUNCTION("""COMPUTED_VALUE"""),41045.6666666666)</f>
        <v>41045.666666666599</v>
      </c>
      <c r="B1858" s="1">
        <f ca="1">IFERROR(__xludf.DUMMYFUNCTION("""COMPUTED_VALUE"""),11.2)</f>
        <v>11.2</v>
      </c>
    </row>
    <row r="1859" spans="1:2">
      <c r="A1859" s="3">
        <f ca="1">IFERROR(__xludf.DUMMYFUNCTION("""COMPUTED_VALUE"""),41046.6666666666)</f>
        <v>41046.666666666599</v>
      </c>
      <c r="B1859" s="1">
        <f ca="1">IFERROR(__xludf.DUMMYFUNCTION("""COMPUTED_VALUE"""),10.92)</f>
        <v>10.92</v>
      </c>
    </row>
    <row r="1860" spans="1:2">
      <c r="A1860" s="3">
        <f ca="1">IFERROR(__xludf.DUMMYFUNCTION("""COMPUTED_VALUE"""),41047.6666666666)</f>
        <v>41047.666666666599</v>
      </c>
      <c r="B1860" s="1">
        <f ca="1">IFERROR(__xludf.DUMMYFUNCTION("""COMPUTED_VALUE"""),10.69)</f>
        <v>10.69</v>
      </c>
    </row>
    <row r="1861" spans="1:2">
      <c r="A1861" s="3">
        <f ca="1">IFERROR(__xludf.DUMMYFUNCTION("""COMPUTED_VALUE"""),41050.6666666666)</f>
        <v>41050.666666666599</v>
      </c>
      <c r="B1861" s="1">
        <f ca="1">IFERROR(__xludf.DUMMYFUNCTION("""COMPUTED_VALUE"""),10.91)</f>
        <v>10.91</v>
      </c>
    </row>
    <row r="1862" spans="1:2">
      <c r="A1862" s="3">
        <f ca="1">IFERROR(__xludf.DUMMYFUNCTION("""COMPUTED_VALUE"""),41051.6666666666)</f>
        <v>41051.666666666599</v>
      </c>
      <c r="B1862" s="1">
        <f ca="1">IFERROR(__xludf.DUMMYFUNCTION("""COMPUTED_VALUE"""),10.77)</f>
        <v>10.77</v>
      </c>
    </row>
    <row r="1863" spans="1:2">
      <c r="A1863" s="3">
        <f ca="1">IFERROR(__xludf.DUMMYFUNCTION("""COMPUTED_VALUE"""),41052.6666666666)</f>
        <v>41052.666666666599</v>
      </c>
      <c r="B1863" s="1">
        <f ca="1">IFERROR(__xludf.DUMMYFUNCTION("""COMPUTED_VALUE"""),10.86)</f>
        <v>10.86</v>
      </c>
    </row>
    <row r="1864" spans="1:2">
      <c r="A1864" s="3">
        <f ca="1">IFERROR(__xludf.DUMMYFUNCTION("""COMPUTED_VALUE"""),41053.6666666666)</f>
        <v>41053.666666666599</v>
      </c>
      <c r="B1864" s="1">
        <f ca="1">IFERROR(__xludf.DUMMYFUNCTION("""COMPUTED_VALUE"""),10.76)</f>
        <v>10.76</v>
      </c>
    </row>
    <row r="1865" spans="1:2">
      <c r="A1865" s="3">
        <f ca="1">IFERROR(__xludf.DUMMYFUNCTION("""COMPUTED_VALUE"""),41054.6666666666)</f>
        <v>41054.666666666599</v>
      </c>
      <c r="B1865" s="1">
        <f ca="1">IFERROR(__xludf.DUMMYFUNCTION("""COMPUTED_VALUE"""),10.64)</f>
        <v>10.64</v>
      </c>
    </row>
    <row r="1866" spans="1:2">
      <c r="A1866" s="3">
        <f ca="1">IFERROR(__xludf.DUMMYFUNCTION("""COMPUTED_VALUE"""),41058.6666666666)</f>
        <v>41058.666666666599</v>
      </c>
      <c r="B1866" s="1">
        <f ca="1">IFERROR(__xludf.DUMMYFUNCTION("""COMPUTED_VALUE"""),10.74)</f>
        <v>10.74</v>
      </c>
    </row>
    <row r="1867" spans="1:2">
      <c r="A1867" s="3">
        <f ca="1">IFERROR(__xludf.DUMMYFUNCTION("""COMPUTED_VALUE"""),41059.6666666666)</f>
        <v>41059.666666666599</v>
      </c>
      <c r="B1867" s="1">
        <f ca="1">IFERROR(__xludf.DUMMYFUNCTION("""COMPUTED_VALUE"""),10.46)</f>
        <v>10.46</v>
      </c>
    </row>
    <row r="1868" spans="1:2">
      <c r="A1868" s="3">
        <f ca="1">IFERROR(__xludf.DUMMYFUNCTION("""COMPUTED_VALUE"""),41060.6666666666)</f>
        <v>41060.666666666599</v>
      </c>
      <c r="B1868" s="1">
        <f ca="1">IFERROR(__xludf.DUMMYFUNCTION("""COMPUTED_VALUE"""),10.65)</f>
        <v>10.65</v>
      </c>
    </row>
    <row r="1869" spans="1:2">
      <c r="A1869" s="3">
        <f ca="1">IFERROR(__xludf.DUMMYFUNCTION("""COMPUTED_VALUE"""),41061.6666666666)</f>
        <v>41061.666666666599</v>
      </c>
      <c r="B1869" s="1">
        <f ca="1">IFERROR(__xludf.DUMMYFUNCTION("""COMPUTED_VALUE"""),10.41)</f>
        <v>10.41</v>
      </c>
    </row>
    <row r="1870" spans="1:2">
      <c r="A1870" s="3">
        <f ca="1">IFERROR(__xludf.DUMMYFUNCTION("""COMPUTED_VALUE"""),41064.6666666666)</f>
        <v>41064.666666666599</v>
      </c>
      <c r="B1870" s="1">
        <f ca="1">IFERROR(__xludf.DUMMYFUNCTION("""COMPUTED_VALUE"""),10.73)</f>
        <v>10.73</v>
      </c>
    </row>
    <row r="1871" spans="1:2">
      <c r="A1871" s="3">
        <f ca="1">IFERROR(__xludf.DUMMYFUNCTION("""COMPUTED_VALUE"""),41065.6666666666)</f>
        <v>41065.666666666599</v>
      </c>
      <c r="B1871" s="1">
        <f ca="1">IFERROR(__xludf.DUMMYFUNCTION("""COMPUTED_VALUE"""),10.66)</f>
        <v>10.66</v>
      </c>
    </row>
    <row r="1872" spans="1:2">
      <c r="A1872" s="3">
        <f ca="1">IFERROR(__xludf.DUMMYFUNCTION("""COMPUTED_VALUE"""),41066.6666666666)</f>
        <v>41066.666666666599</v>
      </c>
      <c r="B1872" s="1">
        <f ca="1">IFERROR(__xludf.DUMMYFUNCTION("""COMPUTED_VALUE"""),10.88)</f>
        <v>10.88</v>
      </c>
    </row>
    <row r="1873" spans="1:2">
      <c r="A1873" s="3">
        <f ca="1">IFERROR(__xludf.DUMMYFUNCTION("""COMPUTED_VALUE"""),41067.6666666666)</f>
        <v>41067.666666666599</v>
      </c>
      <c r="B1873" s="1">
        <f ca="1">IFERROR(__xludf.DUMMYFUNCTION("""COMPUTED_VALUE"""),10.94)</f>
        <v>10.94</v>
      </c>
    </row>
    <row r="1874" spans="1:2">
      <c r="A1874" s="3">
        <f ca="1">IFERROR(__xludf.DUMMYFUNCTION("""COMPUTED_VALUE"""),41068.6666666666)</f>
        <v>41068.666666666599</v>
      </c>
      <c r="B1874" s="1">
        <f ca="1">IFERROR(__xludf.DUMMYFUNCTION("""COMPUTED_VALUE"""),10.92)</f>
        <v>10.92</v>
      </c>
    </row>
    <row r="1875" spans="1:2">
      <c r="A1875" s="3">
        <f ca="1">IFERROR(__xludf.DUMMYFUNCTION("""COMPUTED_VALUE"""),41071.6666666666)</f>
        <v>41071.666666666599</v>
      </c>
      <c r="B1875" s="1">
        <f ca="1">IFERROR(__xludf.DUMMYFUNCTION("""COMPUTED_VALUE"""),10.83)</f>
        <v>10.83</v>
      </c>
    </row>
    <row r="1876" spans="1:2">
      <c r="A1876" s="3">
        <f ca="1">IFERROR(__xludf.DUMMYFUNCTION("""COMPUTED_VALUE"""),41072.6666666666)</f>
        <v>41072.666666666599</v>
      </c>
      <c r="B1876" s="1">
        <f ca="1">IFERROR(__xludf.DUMMYFUNCTION("""COMPUTED_VALUE"""),10.82)</f>
        <v>10.82</v>
      </c>
    </row>
    <row r="1877" spans="1:2">
      <c r="A1877" s="3">
        <f ca="1">IFERROR(__xludf.DUMMYFUNCTION("""COMPUTED_VALUE"""),41073.6666666666)</f>
        <v>41073.666666666599</v>
      </c>
      <c r="B1877" s="1">
        <f ca="1">IFERROR(__xludf.DUMMYFUNCTION("""COMPUTED_VALUE"""),10.74)</f>
        <v>10.74</v>
      </c>
    </row>
    <row r="1878" spans="1:2">
      <c r="A1878" s="3">
        <f ca="1">IFERROR(__xludf.DUMMYFUNCTION("""COMPUTED_VALUE"""),41074.6666666666)</f>
        <v>41074.666666666599</v>
      </c>
      <c r="B1878" s="1">
        <f ca="1">IFERROR(__xludf.DUMMYFUNCTION("""COMPUTED_VALUE"""),10.72)</f>
        <v>10.72</v>
      </c>
    </row>
    <row r="1879" spans="1:2">
      <c r="A1879" s="3">
        <f ca="1">IFERROR(__xludf.DUMMYFUNCTION("""COMPUTED_VALUE"""),41075.6666666666)</f>
        <v>41075.666666666599</v>
      </c>
      <c r="B1879" s="1">
        <f ca="1">IFERROR(__xludf.DUMMYFUNCTION("""COMPUTED_VALUE"""),10.92)</f>
        <v>10.92</v>
      </c>
    </row>
    <row r="1880" spans="1:2">
      <c r="A1880" s="3">
        <f ca="1">IFERROR(__xludf.DUMMYFUNCTION("""COMPUTED_VALUE"""),41078.6666666666)</f>
        <v>41078.666666666599</v>
      </c>
      <c r="B1880" s="1">
        <f ca="1">IFERROR(__xludf.DUMMYFUNCTION("""COMPUTED_VALUE"""),11.13)</f>
        <v>11.13</v>
      </c>
    </row>
    <row r="1881" spans="1:2">
      <c r="A1881" s="3">
        <f ca="1">IFERROR(__xludf.DUMMYFUNCTION("""COMPUTED_VALUE"""),41079.6666666666)</f>
        <v>41079.666666666599</v>
      </c>
      <c r="B1881" s="1">
        <f ca="1">IFERROR(__xludf.DUMMYFUNCTION("""COMPUTED_VALUE"""),11.2)</f>
        <v>11.2</v>
      </c>
    </row>
    <row r="1882" spans="1:2">
      <c r="A1882" s="3">
        <f ca="1">IFERROR(__xludf.DUMMYFUNCTION("""COMPUTED_VALUE"""),41080.6666666666)</f>
        <v>41080.666666666599</v>
      </c>
      <c r="B1882" s="1">
        <f ca="1">IFERROR(__xludf.DUMMYFUNCTION("""COMPUTED_VALUE"""),11.15)</f>
        <v>11.15</v>
      </c>
    </row>
    <row r="1883" spans="1:2">
      <c r="A1883" s="3">
        <f ca="1">IFERROR(__xludf.DUMMYFUNCTION("""COMPUTED_VALUE"""),41081.6666666666)</f>
        <v>41081.666666666599</v>
      </c>
      <c r="B1883" s="1">
        <f ca="1">IFERROR(__xludf.DUMMYFUNCTION("""COMPUTED_VALUE"""),11.03)</f>
        <v>11.03</v>
      </c>
    </row>
    <row r="1884" spans="1:2">
      <c r="A1884" s="3">
        <f ca="1">IFERROR(__xludf.DUMMYFUNCTION("""COMPUTED_VALUE"""),41082.6666666666)</f>
        <v>41082.666666666599</v>
      </c>
      <c r="B1884" s="1">
        <f ca="1">IFERROR(__xludf.DUMMYFUNCTION("""COMPUTED_VALUE"""),11.11)</f>
        <v>11.11</v>
      </c>
    </row>
    <row r="1885" spans="1:2">
      <c r="A1885" s="3">
        <f ca="1">IFERROR(__xludf.DUMMYFUNCTION("""COMPUTED_VALUE"""),41085.6666666666)</f>
        <v>41085.666666666599</v>
      </c>
      <c r="B1885" s="1">
        <f ca="1">IFERROR(__xludf.DUMMYFUNCTION("""COMPUTED_VALUE"""),11)</f>
        <v>11</v>
      </c>
    </row>
    <row r="1886" spans="1:2">
      <c r="A1886" s="3">
        <f ca="1">IFERROR(__xludf.DUMMYFUNCTION("""COMPUTED_VALUE"""),41086.6666666666)</f>
        <v>41086.666666666599</v>
      </c>
      <c r="B1886" s="1">
        <f ca="1">IFERROR(__xludf.DUMMYFUNCTION("""COMPUTED_VALUE"""),11.28)</f>
        <v>11.28</v>
      </c>
    </row>
    <row r="1887" spans="1:2">
      <c r="A1887" s="3">
        <f ca="1">IFERROR(__xludf.DUMMYFUNCTION("""COMPUTED_VALUE"""),41087.6666666666)</f>
        <v>41087.666666666599</v>
      </c>
      <c r="B1887" s="1">
        <f ca="1">IFERROR(__xludf.DUMMYFUNCTION("""COMPUTED_VALUE"""),11.28)</f>
        <v>11.28</v>
      </c>
    </row>
    <row r="1888" spans="1:2">
      <c r="A1888" s="3">
        <f ca="1">IFERROR(__xludf.DUMMYFUNCTION("""COMPUTED_VALUE"""),41088.6666666666)</f>
        <v>41088.666666666599</v>
      </c>
      <c r="B1888" s="1">
        <f ca="1">IFERROR(__xludf.DUMMYFUNCTION("""COMPUTED_VALUE"""),11.07)</f>
        <v>11.07</v>
      </c>
    </row>
    <row r="1889" spans="1:2">
      <c r="A1889" s="3">
        <f ca="1">IFERROR(__xludf.DUMMYFUNCTION("""COMPUTED_VALUE"""),41089.6666666666)</f>
        <v>41089.666666666599</v>
      </c>
      <c r="B1889" s="1">
        <f ca="1">IFERROR(__xludf.DUMMYFUNCTION("""COMPUTED_VALUE"""),11.42)</f>
        <v>11.42</v>
      </c>
    </row>
    <row r="1890" spans="1:2">
      <c r="A1890" s="3">
        <f ca="1">IFERROR(__xludf.DUMMYFUNCTION("""COMPUTED_VALUE"""),41092.6666666666)</f>
        <v>41092.666666666599</v>
      </c>
      <c r="B1890" s="1">
        <f ca="1">IFERROR(__xludf.DUMMYFUNCTION("""COMPUTED_VALUE"""),11.47)</f>
        <v>11.47</v>
      </c>
    </row>
    <row r="1891" spans="1:2">
      <c r="A1891" s="3">
        <f ca="1">IFERROR(__xludf.DUMMYFUNCTION("""COMPUTED_VALUE"""),41093.6666666666)</f>
        <v>41093.666666666599</v>
      </c>
      <c r="B1891" s="1">
        <f ca="1">IFERROR(__xludf.DUMMYFUNCTION("""COMPUTED_VALUE"""),11.48)</f>
        <v>11.48</v>
      </c>
    </row>
    <row r="1892" spans="1:2">
      <c r="A1892" s="3">
        <f ca="1">IFERROR(__xludf.DUMMYFUNCTION("""COMPUTED_VALUE"""),41095.6666666666)</f>
        <v>41095.666666666599</v>
      </c>
      <c r="B1892" s="1">
        <f ca="1">IFERROR(__xludf.DUMMYFUNCTION("""COMPUTED_VALUE"""),11.35)</f>
        <v>11.35</v>
      </c>
    </row>
    <row r="1893" spans="1:2">
      <c r="A1893" s="3">
        <f ca="1">IFERROR(__xludf.DUMMYFUNCTION("""COMPUTED_VALUE"""),41096.6666666666)</f>
        <v>41096.666666666599</v>
      </c>
      <c r="B1893" s="1">
        <f ca="1">IFERROR(__xludf.DUMMYFUNCTION("""COMPUTED_VALUE"""),11.25)</f>
        <v>11.25</v>
      </c>
    </row>
    <row r="1894" spans="1:2">
      <c r="A1894" s="3">
        <f ca="1">IFERROR(__xludf.DUMMYFUNCTION("""COMPUTED_VALUE"""),41099.6666666666)</f>
        <v>41099.666666666599</v>
      </c>
      <c r="B1894" s="1">
        <f ca="1">IFERROR(__xludf.DUMMYFUNCTION("""COMPUTED_VALUE"""),11.25)</f>
        <v>11.25</v>
      </c>
    </row>
    <row r="1895" spans="1:2">
      <c r="A1895" s="3">
        <f ca="1">IFERROR(__xludf.DUMMYFUNCTION("""COMPUTED_VALUE"""),41100.6666666666)</f>
        <v>41100.666666666599</v>
      </c>
      <c r="B1895" s="1">
        <f ca="1">IFERROR(__xludf.DUMMYFUNCTION("""COMPUTED_VALUE"""),10.98)</f>
        <v>10.98</v>
      </c>
    </row>
    <row r="1896" spans="1:2">
      <c r="A1896" s="3">
        <f ca="1">IFERROR(__xludf.DUMMYFUNCTION("""COMPUTED_VALUE"""),41101.6666666666)</f>
        <v>41101.666666666599</v>
      </c>
      <c r="B1896" s="1">
        <f ca="1">IFERROR(__xludf.DUMMYFUNCTION("""COMPUTED_VALUE"""),10.92)</f>
        <v>10.92</v>
      </c>
    </row>
    <row r="1897" spans="1:2">
      <c r="A1897" s="3">
        <f ca="1">IFERROR(__xludf.DUMMYFUNCTION("""COMPUTED_VALUE"""),41102.6666666666)</f>
        <v>41102.666666666599</v>
      </c>
      <c r="B1897" s="1">
        <f ca="1">IFERROR(__xludf.DUMMYFUNCTION("""COMPUTED_VALUE"""),10.77)</f>
        <v>10.77</v>
      </c>
    </row>
    <row r="1898" spans="1:2">
      <c r="A1898" s="3">
        <f ca="1">IFERROR(__xludf.DUMMYFUNCTION("""COMPUTED_VALUE"""),41103.6666666666)</f>
        <v>41103.666666666599</v>
      </c>
      <c r="B1898" s="1">
        <f ca="1">IFERROR(__xludf.DUMMYFUNCTION("""COMPUTED_VALUE"""),10.92)</f>
        <v>10.92</v>
      </c>
    </row>
    <row r="1899" spans="1:2">
      <c r="A1899" s="3">
        <f ca="1">IFERROR(__xludf.DUMMYFUNCTION("""COMPUTED_VALUE"""),41106.6666666666)</f>
        <v>41106.666666666599</v>
      </c>
      <c r="B1899" s="1">
        <f ca="1">IFERROR(__xludf.DUMMYFUNCTION("""COMPUTED_VALUE"""),10.8)</f>
        <v>10.8</v>
      </c>
    </row>
    <row r="1900" spans="1:2">
      <c r="A1900" s="3">
        <f ca="1">IFERROR(__xludf.DUMMYFUNCTION("""COMPUTED_VALUE"""),41107.6666666666)</f>
        <v>41107.666666666599</v>
      </c>
      <c r="B1900" s="1">
        <f ca="1">IFERROR(__xludf.DUMMYFUNCTION("""COMPUTED_VALUE"""),10.85)</f>
        <v>10.85</v>
      </c>
    </row>
    <row r="1901" spans="1:2">
      <c r="A1901" s="3">
        <f ca="1">IFERROR(__xludf.DUMMYFUNCTION("""COMPUTED_VALUE"""),41108.6666666666)</f>
        <v>41108.666666666599</v>
      </c>
      <c r="B1901" s="1">
        <f ca="1">IFERROR(__xludf.DUMMYFUNCTION("""COMPUTED_VALUE"""),10.87)</f>
        <v>10.87</v>
      </c>
    </row>
    <row r="1902" spans="1:2">
      <c r="A1902" s="3">
        <f ca="1">IFERROR(__xludf.DUMMYFUNCTION("""COMPUTED_VALUE"""),41109.6666666666)</f>
        <v>41109.666666666599</v>
      </c>
      <c r="B1902" s="1">
        <f ca="1">IFERROR(__xludf.DUMMYFUNCTION("""COMPUTED_VALUE"""),11.31)</f>
        <v>11.31</v>
      </c>
    </row>
    <row r="1903" spans="1:2">
      <c r="A1903" s="3">
        <f ca="1">IFERROR(__xludf.DUMMYFUNCTION("""COMPUTED_VALUE"""),41110.6666666666)</f>
        <v>41110.666666666599</v>
      </c>
      <c r="B1903" s="1">
        <f ca="1">IFERROR(__xludf.DUMMYFUNCTION("""COMPUTED_VALUE"""),11.41)</f>
        <v>11.41</v>
      </c>
    </row>
    <row r="1904" spans="1:2">
      <c r="A1904" s="3">
        <f ca="1">IFERROR(__xludf.DUMMYFUNCTION("""COMPUTED_VALUE"""),41113.6666666666)</f>
        <v>41113.666666666599</v>
      </c>
      <c r="B1904" s="1">
        <f ca="1">IFERROR(__xludf.DUMMYFUNCTION("""COMPUTED_VALUE"""),11.3)</f>
        <v>11.3</v>
      </c>
    </row>
    <row r="1905" spans="1:2">
      <c r="A1905" s="3">
        <f ca="1">IFERROR(__xludf.DUMMYFUNCTION("""COMPUTED_VALUE"""),41114.6666666666)</f>
        <v>41114.666666666599</v>
      </c>
      <c r="B1905" s="1">
        <f ca="1">IFERROR(__xludf.DUMMYFUNCTION("""COMPUTED_VALUE"""),11.15)</f>
        <v>11.15</v>
      </c>
    </row>
    <row r="1906" spans="1:2">
      <c r="A1906" s="3">
        <f ca="1">IFERROR(__xludf.DUMMYFUNCTION("""COMPUTED_VALUE"""),41115.6666666666)</f>
        <v>41115.666666666599</v>
      </c>
      <c r="B1906" s="1">
        <f ca="1">IFERROR(__xludf.DUMMYFUNCTION("""COMPUTED_VALUE"""),10.85)</f>
        <v>10.85</v>
      </c>
    </row>
    <row r="1907" spans="1:2">
      <c r="A1907" s="3">
        <f ca="1">IFERROR(__xludf.DUMMYFUNCTION("""COMPUTED_VALUE"""),41116.6666666666)</f>
        <v>41116.666666666599</v>
      </c>
      <c r="B1907" s="1">
        <f ca="1">IFERROR(__xludf.DUMMYFUNCTION("""COMPUTED_VALUE"""),11)</f>
        <v>11</v>
      </c>
    </row>
    <row r="1908" spans="1:2">
      <c r="A1908" s="3">
        <f ca="1">IFERROR(__xludf.DUMMYFUNCTION("""COMPUTED_VALUE"""),41117.6666666666)</f>
        <v>41117.666666666599</v>
      </c>
      <c r="B1908" s="1">
        <f ca="1">IFERROR(__xludf.DUMMYFUNCTION("""COMPUTED_VALUE"""),11.87)</f>
        <v>11.87</v>
      </c>
    </row>
    <row r="1909" spans="1:2">
      <c r="A1909" s="3">
        <f ca="1">IFERROR(__xludf.DUMMYFUNCTION("""COMPUTED_VALUE"""),41120.6666666666)</f>
        <v>41120.666666666599</v>
      </c>
      <c r="B1909" s="1">
        <f ca="1">IFERROR(__xludf.DUMMYFUNCTION("""COMPUTED_VALUE"""),11.8)</f>
        <v>11.8</v>
      </c>
    </row>
    <row r="1910" spans="1:2">
      <c r="A1910" s="3">
        <f ca="1">IFERROR(__xludf.DUMMYFUNCTION("""COMPUTED_VALUE"""),41121.6666666666)</f>
        <v>41121.666666666599</v>
      </c>
      <c r="B1910" s="1">
        <f ca="1">IFERROR(__xludf.DUMMYFUNCTION("""COMPUTED_VALUE"""),11.67)</f>
        <v>11.67</v>
      </c>
    </row>
    <row r="1911" spans="1:2">
      <c r="A1911" s="3">
        <f ca="1">IFERROR(__xludf.DUMMYFUNCTION("""COMPUTED_VALUE"""),41122.6666666666)</f>
        <v>41122.666666666599</v>
      </c>
      <c r="B1911" s="1">
        <f ca="1">IFERROR(__xludf.DUMMYFUNCTION("""COMPUTED_VALUE"""),11.6)</f>
        <v>11.6</v>
      </c>
    </row>
    <row r="1912" spans="1:2">
      <c r="A1912" s="3">
        <f ca="1">IFERROR(__xludf.DUMMYFUNCTION("""COMPUTED_VALUE"""),41123.6666666666)</f>
        <v>41123.666666666599</v>
      </c>
      <c r="B1912" s="1">
        <f ca="1">IFERROR(__xludf.DUMMYFUNCTION("""COMPUTED_VALUE"""),11.54)</f>
        <v>11.54</v>
      </c>
    </row>
    <row r="1913" spans="1:2">
      <c r="A1913" s="3">
        <f ca="1">IFERROR(__xludf.DUMMYFUNCTION("""COMPUTED_VALUE"""),41124.6666666666)</f>
        <v>41124.666666666599</v>
      </c>
      <c r="B1913" s="1">
        <f ca="1">IFERROR(__xludf.DUMMYFUNCTION("""COMPUTED_VALUE"""),11.75)</f>
        <v>11.75</v>
      </c>
    </row>
    <row r="1914" spans="1:2">
      <c r="A1914" s="3">
        <f ca="1">IFERROR(__xludf.DUMMYFUNCTION("""COMPUTED_VALUE"""),41127.6666666666)</f>
        <v>41127.666666666599</v>
      </c>
      <c r="B1914" s="1">
        <f ca="1">IFERROR(__xludf.DUMMYFUNCTION("""COMPUTED_VALUE"""),11.7)</f>
        <v>11.7</v>
      </c>
    </row>
    <row r="1915" spans="1:2">
      <c r="A1915" s="3">
        <f ca="1">IFERROR(__xludf.DUMMYFUNCTION("""COMPUTED_VALUE"""),41128.6666666666)</f>
        <v>41128.666666666599</v>
      </c>
      <c r="B1915" s="1">
        <f ca="1">IFERROR(__xludf.DUMMYFUNCTION("""COMPUTED_VALUE"""),11.83)</f>
        <v>11.83</v>
      </c>
    </row>
    <row r="1916" spans="1:2">
      <c r="A1916" s="3">
        <f ca="1">IFERROR(__xludf.DUMMYFUNCTION("""COMPUTED_VALUE"""),41129.6666666666)</f>
        <v>41129.666666666599</v>
      </c>
      <c r="B1916" s="1">
        <f ca="1">IFERROR(__xludf.DUMMYFUNCTION("""COMPUTED_VALUE"""),11.72)</f>
        <v>11.72</v>
      </c>
    </row>
    <row r="1917" spans="1:2">
      <c r="A1917" s="3">
        <f ca="1">IFERROR(__xludf.DUMMYFUNCTION("""COMPUTED_VALUE"""),41130.6666666666)</f>
        <v>41130.666666666599</v>
      </c>
      <c r="B1917" s="1">
        <f ca="1">IFERROR(__xludf.DUMMYFUNCTION("""COMPUTED_VALUE"""),11.7)</f>
        <v>11.7</v>
      </c>
    </row>
    <row r="1918" spans="1:2">
      <c r="A1918" s="3">
        <f ca="1">IFERROR(__xludf.DUMMYFUNCTION("""COMPUTED_VALUE"""),41131.6666666666)</f>
        <v>41131.666666666599</v>
      </c>
      <c r="B1918" s="1">
        <f ca="1">IFERROR(__xludf.DUMMYFUNCTION("""COMPUTED_VALUE"""),11.64)</f>
        <v>11.64</v>
      </c>
    </row>
    <row r="1919" spans="1:2">
      <c r="A1919" s="3">
        <f ca="1">IFERROR(__xludf.DUMMYFUNCTION("""COMPUTED_VALUE"""),41134.6666666666)</f>
        <v>41134.666666666599</v>
      </c>
      <c r="B1919" s="1">
        <f ca="1">IFERROR(__xludf.DUMMYFUNCTION("""COMPUTED_VALUE"""),11.62)</f>
        <v>11.62</v>
      </c>
    </row>
    <row r="1920" spans="1:2">
      <c r="A1920" s="3">
        <f ca="1">IFERROR(__xludf.DUMMYFUNCTION("""COMPUTED_VALUE"""),41135.6666666666)</f>
        <v>41135.666666666599</v>
      </c>
      <c r="B1920" s="1">
        <f ca="1">IFERROR(__xludf.DUMMYFUNCTION("""COMPUTED_VALUE"""),11.66)</f>
        <v>11.66</v>
      </c>
    </row>
    <row r="1921" spans="1:2">
      <c r="A1921" s="3">
        <f ca="1">IFERROR(__xludf.DUMMYFUNCTION("""COMPUTED_VALUE"""),41136.6666666666)</f>
        <v>41136.666666666599</v>
      </c>
      <c r="B1921" s="1">
        <f ca="1">IFERROR(__xludf.DUMMYFUNCTION("""COMPUTED_VALUE"""),11.87)</f>
        <v>11.87</v>
      </c>
    </row>
    <row r="1922" spans="1:2">
      <c r="A1922" s="3">
        <f ca="1">IFERROR(__xludf.DUMMYFUNCTION("""COMPUTED_VALUE"""),41137.6666666666)</f>
        <v>41137.666666666599</v>
      </c>
      <c r="B1922" s="1">
        <f ca="1">IFERROR(__xludf.DUMMYFUNCTION("""COMPUTED_VALUE"""),12.08)</f>
        <v>12.08</v>
      </c>
    </row>
    <row r="1923" spans="1:2">
      <c r="A1923" s="3">
        <f ca="1">IFERROR(__xludf.DUMMYFUNCTION("""COMPUTED_VALUE"""),41138.6666666666)</f>
        <v>41138.666666666599</v>
      </c>
      <c r="B1923" s="1">
        <f ca="1">IFERROR(__xludf.DUMMYFUNCTION("""COMPUTED_VALUE"""),12.06)</f>
        <v>12.06</v>
      </c>
    </row>
    <row r="1924" spans="1:2">
      <c r="A1924" s="3">
        <f ca="1">IFERROR(__xludf.DUMMYFUNCTION("""COMPUTED_VALUE"""),41141.6666666666)</f>
        <v>41141.666666666599</v>
      </c>
      <c r="B1924" s="1">
        <f ca="1">IFERROR(__xludf.DUMMYFUNCTION("""COMPUTED_VALUE"""),12.02)</f>
        <v>12.02</v>
      </c>
    </row>
    <row r="1925" spans="1:2">
      <c r="A1925" s="3">
        <f ca="1">IFERROR(__xludf.DUMMYFUNCTION("""COMPUTED_VALUE"""),41142.6666666666)</f>
        <v>41142.666666666599</v>
      </c>
      <c r="B1925" s="1">
        <f ca="1">IFERROR(__xludf.DUMMYFUNCTION("""COMPUTED_VALUE"""),11.97)</f>
        <v>11.97</v>
      </c>
    </row>
    <row r="1926" spans="1:2">
      <c r="A1926" s="3">
        <f ca="1">IFERROR(__xludf.DUMMYFUNCTION("""COMPUTED_VALUE"""),41143.6666666666)</f>
        <v>41143.666666666599</v>
      </c>
      <c r="B1926" s="1">
        <f ca="1">IFERROR(__xludf.DUMMYFUNCTION("""COMPUTED_VALUE"""),12.16)</f>
        <v>12.16</v>
      </c>
    </row>
    <row r="1927" spans="1:2">
      <c r="A1927" s="3">
        <f ca="1">IFERROR(__xludf.DUMMYFUNCTION("""COMPUTED_VALUE"""),41144.6666666666)</f>
        <v>41144.666666666599</v>
      </c>
      <c r="B1927" s="1">
        <f ca="1">IFERROR(__xludf.DUMMYFUNCTION("""COMPUTED_VALUE"""),12.06)</f>
        <v>12.06</v>
      </c>
    </row>
    <row r="1928" spans="1:2">
      <c r="A1928" s="3">
        <f ca="1">IFERROR(__xludf.DUMMYFUNCTION("""COMPUTED_VALUE"""),41145.6666666666)</f>
        <v>41145.666666666599</v>
      </c>
      <c r="B1928" s="1">
        <f ca="1">IFERROR(__xludf.DUMMYFUNCTION("""COMPUTED_VALUE"""),12.29)</f>
        <v>12.29</v>
      </c>
    </row>
    <row r="1929" spans="1:2">
      <c r="A1929" s="3">
        <f ca="1">IFERROR(__xludf.DUMMYFUNCTION("""COMPUTED_VALUE"""),41148.6666666666)</f>
        <v>41148.666666666599</v>
      </c>
      <c r="B1929" s="1">
        <f ca="1">IFERROR(__xludf.DUMMYFUNCTION("""COMPUTED_VALUE"""),12.2)</f>
        <v>12.2</v>
      </c>
    </row>
    <row r="1930" spans="1:2">
      <c r="A1930" s="3">
        <f ca="1">IFERROR(__xludf.DUMMYFUNCTION("""COMPUTED_VALUE"""),41149.6666666666)</f>
        <v>41149.666666666599</v>
      </c>
      <c r="B1930" s="1">
        <f ca="1">IFERROR(__xludf.DUMMYFUNCTION("""COMPUTED_VALUE"""),12.31)</f>
        <v>12.31</v>
      </c>
    </row>
    <row r="1931" spans="1:2">
      <c r="A1931" s="3">
        <f ca="1">IFERROR(__xludf.DUMMYFUNCTION("""COMPUTED_VALUE"""),41150.6666666666)</f>
        <v>41150.666666666599</v>
      </c>
      <c r="B1931" s="1">
        <f ca="1">IFERROR(__xludf.DUMMYFUNCTION("""COMPUTED_VALUE"""),12.36)</f>
        <v>12.36</v>
      </c>
    </row>
    <row r="1932" spans="1:2">
      <c r="A1932" s="3">
        <f ca="1">IFERROR(__xludf.DUMMYFUNCTION("""COMPUTED_VALUE"""),41151.6666666666)</f>
        <v>41151.666666666599</v>
      </c>
      <c r="B1932" s="1">
        <f ca="1">IFERROR(__xludf.DUMMYFUNCTION("""COMPUTED_VALUE"""),12.31)</f>
        <v>12.31</v>
      </c>
    </row>
    <row r="1933" spans="1:2">
      <c r="A1933" s="3">
        <f ca="1">IFERROR(__xludf.DUMMYFUNCTION("""COMPUTED_VALUE"""),41152.6666666666)</f>
        <v>41152.666666666599</v>
      </c>
      <c r="B1933" s="1">
        <f ca="1">IFERROR(__xludf.DUMMYFUNCTION("""COMPUTED_VALUE"""),12.41)</f>
        <v>12.41</v>
      </c>
    </row>
    <row r="1934" spans="1:2">
      <c r="A1934" s="3">
        <f ca="1">IFERROR(__xludf.DUMMYFUNCTION("""COMPUTED_VALUE"""),41156.6666666666)</f>
        <v>41156.666666666599</v>
      </c>
      <c r="B1934" s="1">
        <f ca="1">IFERROR(__xludf.DUMMYFUNCTION("""COMPUTED_VALUE"""),12.39)</f>
        <v>12.39</v>
      </c>
    </row>
    <row r="1935" spans="1:2">
      <c r="A1935" s="3">
        <f ca="1">IFERROR(__xludf.DUMMYFUNCTION("""COMPUTED_VALUE"""),41157.6666666666)</f>
        <v>41157.666666666599</v>
      </c>
      <c r="B1935" s="1">
        <f ca="1">IFERROR(__xludf.DUMMYFUNCTION("""COMPUTED_VALUE"""),12.31)</f>
        <v>12.31</v>
      </c>
    </row>
    <row r="1936" spans="1:2">
      <c r="A1936" s="3">
        <f ca="1">IFERROR(__xludf.DUMMYFUNCTION("""COMPUTED_VALUE"""),41158.6666666666)</f>
        <v>41158.666666666599</v>
      </c>
      <c r="B1936" s="1">
        <f ca="1">IFERROR(__xludf.DUMMYFUNCTION("""COMPUTED_VALUE"""),12.57)</f>
        <v>12.57</v>
      </c>
    </row>
    <row r="1937" spans="1:2">
      <c r="A1937" s="3">
        <f ca="1">IFERROR(__xludf.DUMMYFUNCTION("""COMPUTED_VALUE"""),41159.6666666666)</f>
        <v>41159.666666666599</v>
      </c>
      <c r="B1937" s="1">
        <f ca="1">IFERROR(__xludf.DUMMYFUNCTION("""COMPUTED_VALUE"""),12.96)</f>
        <v>12.96</v>
      </c>
    </row>
    <row r="1938" spans="1:2">
      <c r="A1938" s="3">
        <f ca="1">IFERROR(__xludf.DUMMYFUNCTION("""COMPUTED_VALUE"""),41162.6666666666)</f>
        <v>41162.666666666599</v>
      </c>
      <c r="B1938" s="1">
        <f ca="1">IFERROR(__xludf.DUMMYFUNCTION("""COMPUTED_VALUE"""),12.85)</f>
        <v>12.85</v>
      </c>
    </row>
    <row r="1939" spans="1:2">
      <c r="A1939" s="3">
        <f ca="1">IFERROR(__xludf.DUMMYFUNCTION("""COMPUTED_VALUE"""),41163.6666666666)</f>
        <v>41163.666666666599</v>
      </c>
      <c r="B1939" s="1">
        <f ca="1">IFERROR(__xludf.DUMMYFUNCTION("""COMPUTED_VALUE"""),12.78)</f>
        <v>12.78</v>
      </c>
    </row>
    <row r="1940" spans="1:2">
      <c r="A1940" s="3">
        <f ca="1">IFERROR(__xludf.DUMMYFUNCTION("""COMPUTED_VALUE"""),41164.6666666666)</f>
        <v>41164.666666666599</v>
      </c>
      <c r="B1940" s="1">
        <f ca="1">IFERROR(__xludf.DUMMYFUNCTION("""COMPUTED_VALUE"""),12.78)</f>
        <v>12.78</v>
      </c>
    </row>
    <row r="1941" spans="1:2">
      <c r="A1941" s="3">
        <f ca="1">IFERROR(__xludf.DUMMYFUNCTION("""COMPUTED_VALUE"""),41165.6666666666)</f>
        <v>41165.666666666599</v>
      </c>
      <c r="B1941" s="1">
        <f ca="1">IFERROR(__xludf.DUMMYFUNCTION("""COMPUTED_VALUE"""),13.01)</f>
        <v>13.01</v>
      </c>
    </row>
    <row r="1942" spans="1:2">
      <c r="A1942" s="3">
        <f ca="1">IFERROR(__xludf.DUMMYFUNCTION("""COMPUTED_VALUE"""),41166.6666666666)</f>
        <v>41166.666666666599</v>
      </c>
      <c r="B1942" s="1">
        <f ca="1">IFERROR(__xludf.DUMMYFUNCTION("""COMPUTED_VALUE"""),13.06)</f>
        <v>13.06</v>
      </c>
    </row>
    <row r="1943" spans="1:2">
      <c r="A1943" s="3">
        <f ca="1">IFERROR(__xludf.DUMMYFUNCTION("""COMPUTED_VALUE"""),41169.6666666666)</f>
        <v>41169.666666666599</v>
      </c>
      <c r="B1943" s="1">
        <f ca="1">IFERROR(__xludf.DUMMYFUNCTION("""COMPUTED_VALUE"""),12.9)</f>
        <v>12.9</v>
      </c>
    </row>
    <row r="1944" spans="1:2">
      <c r="A1944" s="3">
        <f ca="1">IFERROR(__xludf.DUMMYFUNCTION("""COMPUTED_VALUE"""),41170.6666666666)</f>
        <v>41170.666666666599</v>
      </c>
      <c r="B1944" s="1">
        <f ca="1">IFERROR(__xludf.DUMMYFUNCTION("""COMPUTED_VALUE"""),12.94)</f>
        <v>12.94</v>
      </c>
    </row>
    <row r="1945" spans="1:2">
      <c r="A1945" s="3">
        <f ca="1">IFERROR(__xludf.DUMMYFUNCTION("""COMPUTED_VALUE"""),41171.6666666666)</f>
        <v>41171.666666666599</v>
      </c>
      <c r="B1945" s="1">
        <f ca="1">IFERROR(__xludf.DUMMYFUNCTION("""COMPUTED_VALUE"""),13.08)</f>
        <v>13.08</v>
      </c>
    </row>
    <row r="1946" spans="1:2">
      <c r="A1946" s="3">
        <f ca="1">IFERROR(__xludf.DUMMYFUNCTION("""COMPUTED_VALUE"""),41172.6666666666)</f>
        <v>41172.666666666599</v>
      </c>
      <c r="B1946" s="1">
        <f ca="1">IFERROR(__xludf.DUMMYFUNCTION("""COMPUTED_VALUE"""),13.04)</f>
        <v>13.04</v>
      </c>
    </row>
    <row r="1947" spans="1:2">
      <c r="A1947" s="3">
        <f ca="1">IFERROR(__xludf.DUMMYFUNCTION("""COMPUTED_VALUE"""),41173.6666666666)</f>
        <v>41173.666666666599</v>
      </c>
      <c r="B1947" s="1">
        <f ca="1">IFERROR(__xludf.DUMMYFUNCTION("""COMPUTED_VALUE"""),12.87)</f>
        <v>12.87</v>
      </c>
    </row>
    <row r="1948" spans="1:2">
      <c r="A1948" s="3">
        <f ca="1">IFERROR(__xludf.DUMMYFUNCTION("""COMPUTED_VALUE"""),41176.6666666666)</f>
        <v>41176.666666666599</v>
      </c>
      <c r="B1948" s="1">
        <f ca="1">IFERROR(__xludf.DUMMYFUNCTION("""COMPUTED_VALUE"""),12.74)</f>
        <v>12.74</v>
      </c>
    </row>
    <row r="1949" spans="1:2">
      <c r="A1949" s="3">
        <f ca="1">IFERROR(__xludf.DUMMYFUNCTION("""COMPUTED_VALUE"""),41177.6666666666)</f>
        <v>41177.666666666599</v>
      </c>
      <c r="B1949" s="1">
        <f ca="1">IFERROR(__xludf.DUMMYFUNCTION("""COMPUTED_VALUE"""),12.62)</f>
        <v>12.62</v>
      </c>
    </row>
    <row r="1950" spans="1:2">
      <c r="A1950" s="3">
        <f ca="1">IFERROR(__xludf.DUMMYFUNCTION("""COMPUTED_VALUE"""),41178.6666666666)</f>
        <v>41178.666666666599</v>
      </c>
      <c r="B1950" s="1">
        <f ca="1">IFERROR(__xludf.DUMMYFUNCTION("""COMPUTED_VALUE"""),12.48)</f>
        <v>12.48</v>
      </c>
    </row>
    <row r="1951" spans="1:2">
      <c r="A1951" s="3">
        <f ca="1">IFERROR(__xludf.DUMMYFUNCTION("""COMPUTED_VALUE"""),41179.6666666666)</f>
        <v>41179.666666666599</v>
      </c>
      <c r="B1951" s="1">
        <f ca="1">IFERROR(__xludf.DUMMYFUNCTION("""COMPUTED_VALUE"""),12.83)</f>
        <v>12.83</v>
      </c>
    </row>
    <row r="1952" spans="1:2">
      <c r="A1952" s="3">
        <f ca="1">IFERROR(__xludf.DUMMYFUNCTION("""COMPUTED_VALUE"""),41180.6666666666)</f>
        <v>41180.666666666599</v>
      </c>
      <c r="B1952" s="1">
        <f ca="1">IFERROR(__xludf.DUMMYFUNCTION("""COMPUTED_VALUE"""),12.72)</f>
        <v>12.72</v>
      </c>
    </row>
    <row r="1953" spans="1:2">
      <c r="A1953" s="3">
        <f ca="1">IFERROR(__xludf.DUMMYFUNCTION("""COMPUTED_VALUE"""),41183.6666666666)</f>
        <v>41183.666666666599</v>
      </c>
      <c r="B1953" s="1">
        <f ca="1">IFERROR(__xludf.DUMMYFUNCTION("""COMPUTED_VALUE"""),12.6)</f>
        <v>12.6</v>
      </c>
    </row>
    <row r="1954" spans="1:2">
      <c r="A1954" s="3">
        <f ca="1">IFERROR(__xludf.DUMMYFUNCTION("""COMPUTED_VALUE"""),41184.6666666666)</f>
        <v>41184.666666666599</v>
      </c>
      <c r="B1954" s="1">
        <f ca="1">IFERROR(__xludf.DUMMYFUNCTION("""COMPUTED_VALUE"""),12.53)</f>
        <v>12.53</v>
      </c>
    </row>
    <row r="1955" spans="1:2">
      <c r="A1955" s="3">
        <f ca="1">IFERROR(__xludf.DUMMYFUNCTION("""COMPUTED_VALUE"""),41185.6666666666)</f>
        <v>41185.666666666599</v>
      </c>
      <c r="B1955" s="1">
        <f ca="1">IFERROR(__xludf.DUMMYFUNCTION("""COMPUTED_VALUE"""),12.8)</f>
        <v>12.8</v>
      </c>
    </row>
    <row r="1956" spans="1:2">
      <c r="A1956" s="3">
        <f ca="1">IFERROR(__xludf.DUMMYFUNCTION("""COMPUTED_VALUE"""),41186.6666666666)</f>
        <v>41186.666666666599</v>
      </c>
      <c r="B1956" s="1">
        <f ca="1">IFERROR(__xludf.DUMMYFUNCTION("""COMPUTED_VALUE"""),13.02)</f>
        <v>13.02</v>
      </c>
    </row>
    <row r="1957" spans="1:2">
      <c r="A1957" s="3">
        <f ca="1">IFERROR(__xludf.DUMMYFUNCTION("""COMPUTED_VALUE"""),41187.6666666666)</f>
        <v>41187.666666666599</v>
      </c>
      <c r="B1957" s="1">
        <f ca="1">IFERROR(__xludf.DUMMYFUNCTION("""COMPUTED_VALUE"""),12.93)</f>
        <v>12.93</v>
      </c>
    </row>
    <row r="1958" spans="1:2">
      <c r="A1958" s="3">
        <f ca="1">IFERROR(__xludf.DUMMYFUNCTION("""COMPUTED_VALUE"""),41190.6666666666)</f>
        <v>41190.666666666599</v>
      </c>
      <c r="B1958" s="1">
        <f ca="1">IFERROR(__xludf.DUMMYFUNCTION("""COMPUTED_VALUE"""),12.95)</f>
        <v>12.95</v>
      </c>
    </row>
    <row r="1959" spans="1:2">
      <c r="A1959" s="3">
        <f ca="1">IFERROR(__xludf.DUMMYFUNCTION("""COMPUTED_VALUE"""),41191.6666666666)</f>
        <v>41191.666666666599</v>
      </c>
      <c r="B1959" s="1">
        <f ca="1">IFERROR(__xludf.DUMMYFUNCTION("""COMPUTED_VALUE"""),12.55)</f>
        <v>12.55</v>
      </c>
    </row>
    <row r="1960" spans="1:2">
      <c r="A1960" s="3">
        <f ca="1">IFERROR(__xludf.DUMMYFUNCTION("""COMPUTED_VALUE"""),41192.6666666666)</f>
        <v>41192.666666666599</v>
      </c>
      <c r="B1960" s="1">
        <f ca="1">IFERROR(__xludf.DUMMYFUNCTION("""COMPUTED_VALUE"""),12.25)</f>
        <v>12.25</v>
      </c>
    </row>
    <row r="1961" spans="1:2">
      <c r="A1961" s="3">
        <f ca="1">IFERROR(__xludf.DUMMYFUNCTION("""COMPUTED_VALUE"""),41193.6666666666)</f>
        <v>41193.666666666599</v>
      </c>
      <c r="B1961" s="1">
        <f ca="1">IFERROR(__xludf.DUMMYFUNCTION("""COMPUTED_VALUE"""),12.21)</f>
        <v>12.21</v>
      </c>
    </row>
    <row r="1962" spans="1:2">
      <c r="A1962" s="3">
        <f ca="1">IFERROR(__xludf.DUMMYFUNCTION("""COMPUTED_VALUE"""),41194.6666666666)</f>
        <v>41194.666666666599</v>
      </c>
      <c r="B1962" s="1">
        <f ca="1">IFERROR(__xludf.DUMMYFUNCTION("""COMPUTED_VALUE"""),12.12)</f>
        <v>12.12</v>
      </c>
    </row>
    <row r="1963" spans="1:2">
      <c r="A1963" s="3">
        <f ca="1">IFERROR(__xludf.DUMMYFUNCTION("""COMPUTED_VALUE"""),41197.6666666666)</f>
        <v>41197.666666666599</v>
      </c>
      <c r="B1963" s="1">
        <f ca="1">IFERROR(__xludf.DUMMYFUNCTION("""COMPUTED_VALUE"""),12.21)</f>
        <v>12.21</v>
      </c>
    </row>
    <row r="1964" spans="1:2">
      <c r="A1964" s="3">
        <f ca="1">IFERROR(__xludf.DUMMYFUNCTION("""COMPUTED_VALUE"""),41198.6666666666)</f>
        <v>41198.666666666599</v>
      </c>
      <c r="B1964" s="1">
        <f ca="1">IFERROR(__xludf.DUMMYFUNCTION("""COMPUTED_VALUE"""),12.2)</f>
        <v>12.2</v>
      </c>
    </row>
    <row r="1965" spans="1:2">
      <c r="A1965" s="3">
        <f ca="1">IFERROR(__xludf.DUMMYFUNCTION("""COMPUTED_VALUE"""),41199.6666666666)</f>
        <v>41199.666666666599</v>
      </c>
      <c r="B1965" s="1">
        <f ca="1">IFERROR(__xludf.DUMMYFUNCTION("""COMPUTED_VALUE"""),12.37)</f>
        <v>12.37</v>
      </c>
    </row>
    <row r="1966" spans="1:2">
      <c r="A1966" s="3">
        <f ca="1">IFERROR(__xludf.DUMMYFUNCTION("""COMPUTED_VALUE"""),41200.6666666666)</f>
        <v>41200.666666666599</v>
      </c>
      <c r="B1966" s="1">
        <f ca="1">IFERROR(__xludf.DUMMYFUNCTION("""COMPUTED_VALUE"""),12.24)</f>
        <v>12.24</v>
      </c>
    </row>
    <row r="1967" spans="1:2">
      <c r="A1967" s="3">
        <f ca="1">IFERROR(__xludf.DUMMYFUNCTION("""COMPUTED_VALUE"""),41201.6666666666)</f>
        <v>41201.666666666599</v>
      </c>
      <c r="B1967" s="1">
        <f ca="1">IFERROR(__xludf.DUMMYFUNCTION("""COMPUTED_VALUE"""),12)</f>
        <v>12</v>
      </c>
    </row>
    <row r="1968" spans="1:2">
      <c r="A1968" s="3">
        <f ca="1">IFERROR(__xludf.DUMMYFUNCTION("""COMPUTED_VALUE"""),41204.6666666666)</f>
        <v>41204.666666666599</v>
      </c>
      <c r="B1968" s="1">
        <f ca="1">IFERROR(__xludf.DUMMYFUNCTION("""COMPUTED_VALUE"""),11.69)</f>
        <v>11.69</v>
      </c>
    </row>
    <row r="1969" spans="1:2">
      <c r="A1969" s="3">
        <f ca="1">IFERROR(__xludf.DUMMYFUNCTION("""COMPUTED_VALUE"""),41205.6666666666)</f>
        <v>41205.666666666599</v>
      </c>
      <c r="B1969" s="1">
        <f ca="1">IFERROR(__xludf.DUMMYFUNCTION("""COMPUTED_VALUE"""),11.72)</f>
        <v>11.72</v>
      </c>
    </row>
    <row r="1970" spans="1:2">
      <c r="A1970" s="3">
        <f ca="1">IFERROR(__xludf.DUMMYFUNCTION("""COMPUTED_VALUE"""),41206.6666666666)</f>
        <v>41206.666666666599</v>
      </c>
      <c r="B1970" s="1">
        <f ca="1">IFERROR(__xludf.DUMMYFUNCTION("""COMPUTED_VALUE"""),11.42)</f>
        <v>11.42</v>
      </c>
    </row>
    <row r="1971" spans="1:2">
      <c r="A1971" s="3">
        <f ca="1">IFERROR(__xludf.DUMMYFUNCTION("""COMPUTED_VALUE"""),41207.6666666666)</f>
        <v>41207.666666666599</v>
      </c>
      <c r="B1971" s="1">
        <f ca="1">IFERROR(__xludf.DUMMYFUNCTION("""COMPUTED_VALUE"""),11.15)</f>
        <v>11.15</v>
      </c>
    </row>
    <row r="1972" spans="1:2">
      <c r="A1972" s="3">
        <f ca="1">IFERROR(__xludf.DUMMYFUNCTION("""COMPUTED_VALUE"""),41208.6666666666)</f>
        <v>41208.666666666599</v>
      </c>
      <c r="B1972" s="1">
        <f ca="1">IFERROR(__xludf.DUMMYFUNCTION("""COMPUTED_VALUE"""),11.91)</f>
        <v>11.91</v>
      </c>
    </row>
    <row r="1973" spans="1:2">
      <c r="A1973" s="3">
        <f ca="1">IFERROR(__xludf.DUMMYFUNCTION("""COMPUTED_VALUE"""),41213.6666666666)</f>
        <v>41213.666666666599</v>
      </c>
      <c r="B1973" s="1">
        <f ca="1">IFERROR(__xludf.DUMMYFUNCTION("""COMPUTED_VALUE"""),11.64)</f>
        <v>11.64</v>
      </c>
    </row>
    <row r="1974" spans="1:2">
      <c r="A1974" s="3">
        <f ca="1">IFERROR(__xludf.DUMMYFUNCTION("""COMPUTED_VALUE"""),41214.6666666666)</f>
        <v>41214.666666666599</v>
      </c>
      <c r="B1974" s="1">
        <f ca="1">IFERROR(__xludf.DUMMYFUNCTION("""COMPUTED_VALUE"""),11.61)</f>
        <v>11.61</v>
      </c>
    </row>
    <row r="1975" spans="1:2">
      <c r="A1975" s="3">
        <f ca="1">IFERROR(__xludf.DUMMYFUNCTION("""COMPUTED_VALUE"""),41215.6666666666)</f>
        <v>41215.666666666599</v>
      </c>
      <c r="B1975" s="1">
        <f ca="1">IFERROR(__xludf.DUMMYFUNCTION("""COMPUTED_VALUE"""),11.62)</f>
        <v>11.62</v>
      </c>
    </row>
    <row r="1976" spans="1:2">
      <c r="A1976" s="3">
        <f ca="1">IFERROR(__xludf.DUMMYFUNCTION("""COMPUTED_VALUE"""),41218.6666666666)</f>
        <v>41218.666666666599</v>
      </c>
      <c r="B1976" s="1">
        <f ca="1">IFERROR(__xludf.DUMMYFUNCTION("""COMPUTED_VALUE"""),11.72)</f>
        <v>11.72</v>
      </c>
    </row>
    <row r="1977" spans="1:2">
      <c r="A1977" s="3">
        <f ca="1">IFERROR(__xludf.DUMMYFUNCTION("""COMPUTED_VALUE"""),41219.6666666666)</f>
        <v>41219.666666666599</v>
      </c>
      <c r="B1977" s="1">
        <f ca="1">IFERROR(__xludf.DUMMYFUNCTION("""COMPUTED_VALUE"""),11.88)</f>
        <v>11.88</v>
      </c>
    </row>
    <row r="1978" spans="1:2">
      <c r="A1978" s="3">
        <f ca="1">IFERROR(__xludf.DUMMYFUNCTION("""COMPUTED_VALUE"""),41220.6666666666)</f>
        <v>41220.666666666599</v>
      </c>
      <c r="B1978" s="1">
        <f ca="1">IFERROR(__xludf.DUMMYFUNCTION("""COMPUTED_VALUE"""),11.6)</f>
        <v>11.6</v>
      </c>
    </row>
    <row r="1979" spans="1:2">
      <c r="A1979" s="3">
        <f ca="1">IFERROR(__xludf.DUMMYFUNCTION("""COMPUTED_VALUE"""),41221.6666666666)</f>
        <v>41221.666666666599</v>
      </c>
      <c r="B1979" s="1">
        <f ca="1">IFERROR(__xludf.DUMMYFUNCTION("""COMPUTED_VALUE"""),11.37)</f>
        <v>11.37</v>
      </c>
    </row>
    <row r="1980" spans="1:2">
      <c r="A1980" s="3">
        <f ca="1">IFERROR(__xludf.DUMMYFUNCTION("""COMPUTED_VALUE"""),41222.6666666666)</f>
        <v>41222.666666666599</v>
      </c>
      <c r="B1980" s="1">
        <f ca="1">IFERROR(__xludf.DUMMYFUNCTION("""COMPUTED_VALUE"""),11.32)</f>
        <v>11.32</v>
      </c>
    </row>
    <row r="1981" spans="1:2">
      <c r="A1981" s="3">
        <f ca="1">IFERROR(__xludf.DUMMYFUNCTION("""COMPUTED_VALUE"""),41225.6666666666)</f>
        <v>41225.666666666599</v>
      </c>
      <c r="B1981" s="1">
        <f ca="1">IFERROR(__xludf.DUMMYFUNCTION("""COMPUTED_VALUE"""),11.32)</f>
        <v>11.32</v>
      </c>
    </row>
    <row r="1982" spans="1:2">
      <c r="A1982" s="3">
        <f ca="1">IFERROR(__xludf.DUMMYFUNCTION("""COMPUTED_VALUE"""),41226.6666666666)</f>
        <v>41226.666666666599</v>
      </c>
      <c r="B1982" s="1">
        <f ca="1">IFERROR(__xludf.DUMMYFUNCTION("""COMPUTED_VALUE"""),11.33)</f>
        <v>11.33</v>
      </c>
    </row>
    <row r="1983" spans="1:2">
      <c r="A1983" s="3">
        <f ca="1">IFERROR(__xludf.DUMMYFUNCTION("""COMPUTED_VALUE"""),41227.6666666666)</f>
        <v>41227.666666666599</v>
      </c>
      <c r="B1983" s="1">
        <f ca="1">IFERROR(__xludf.DUMMYFUNCTION("""COMPUTED_VALUE"""),11.15)</f>
        <v>11.15</v>
      </c>
    </row>
    <row r="1984" spans="1:2">
      <c r="A1984" s="3">
        <f ca="1">IFERROR(__xludf.DUMMYFUNCTION("""COMPUTED_VALUE"""),41228.6666666666)</f>
        <v>41228.666666666599</v>
      </c>
      <c r="B1984" s="1">
        <f ca="1">IFERROR(__xludf.DUMMYFUNCTION("""COMPUTED_VALUE"""),11.03)</f>
        <v>11.03</v>
      </c>
    </row>
    <row r="1985" spans="1:2">
      <c r="A1985" s="3">
        <f ca="1">IFERROR(__xludf.DUMMYFUNCTION("""COMPUTED_VALUE"""),41229.6666666666)</f>
        <v>41229.666666666599</v>
      </c>
      <c r="B1985" s="1">
        <f ca="1">IFERROR(__xludf.DUMMYFUNCTION("""COMPUTED_VALUE"""),11.26)</f>
        <v>11.26</v>
      </c>
    </row>
    <row r="1986" spans="1:2">
      <c r="A1986" s="3">
        <f ca="1">IFERROR(__xludf.DUMMYFUNCTION("""COMPUTED_VALUE"""),41232.6666666666)</f>
        <v>41232.666666666599</v>
      </c>
      <c r="B1986" s="1">
        <f ca="1">IFERROR(__xludf.DUMMYFUNCTION("""COMPUTED_VALUE"""),11.49)</f>
        <v>11.49</v>
      </c>
    </row>
    <row r="1987" spans="1:2">
      <c r="A1987" s="3">
        <f ca="1">IFERROR(__xludf.DUMMYFUNCTION("""COMPUTED_VALUE"""),41233.6666666666)</f>
        <v>41233.666666666599</v>
      </c>
      <c r="B1987" s="1">
        <f ca="1">IFERROR(__xludf.DUMMYFUNCTION("""COMPUTED_VALUE"""),11.69)</f>
        <v>11.69</v>
      </c>
    </row>
    <row r="1988" spans="1:2">
      <c r="A1988" s="3">
        <f ca="1">IFERROR(__xludf.DUMMYFUNCTION("""COMPUTED_VALUE"""),41234.6666666666)</f>
        <v>41234.666666666599</v>
      </c>
      <c r="B1988" s="1">
        <f ca="1">IFERROR(__xludf.DUMMYFUNCTION("""COMPUTED_VALUE"""),11.9)</f>
        <v>11.9</v>
      </c>
    </row>
    <row r="1989" spans="1:2">
      <c r="A1989" s="3">
        <f ca="1">IFERROR(__xludf.DUMMYFUNCTION("""COMPUTED_VALUE"""),41236.6666666666)</f>
        <v>41236.666666666599</v>
      </c>
      <c r="B1989" s="1">
        <f ca="1">IFERROR(__xludf.DUMMYFUNCTION("""COMPUTED_VALUE"""),11.99)</f>
        <v>11.99</v>
      </c>
    </row>
    <row r="1990" spans="1:2">
      <c r="A1990" s="3">
        <f ca="1">IFERROR(__xludf.DUMMYFUNCTION("""COMPUTED_VALUE"""),41239.6666666666)</f>
        <v>41239.666666666599</v>
      </c>
      <c r="B1990" s="1">
        <f ca="1">IFERROR(__xludf.DUMMYFUNCTION("""COMPUTED_VALUE"""),12.18)</f>
        <v>12.18</v>
      </c>
    </row>
    <row r="1991" spans="1:2">
      <c r="A1991" s="3">
        <f ca="1">IFERROR(__xludf.DUMMYFUNCTION("""COMPUTED_VALUE"""),41240.6666666666)</f>
        <v>41240.666666666599</v>
      </c>
      <c r="B1991" s="1">
        <f ca="1">IFERROR(__xludf.DUMMYFUNCTION("""COMPUTED_VALUE"""),12.17)</f>
        <v>12.17</v>
      </c>
    </row>
    <row r="1992" spans="1:2">
      <c r="A1992" s="3">
        <f ca="1">IFERROR(__xludf.DUMMYFUNCTION("""COMPUTED_VALUE"""),41241.6666666666)</f>
        <v>41241.666666666599</v>
      </c>
      <c r="B1992" s="1">
        <f ca="1">IFERROR(__xludf.DUMMYFUNCTION("""COMPUTED_VALUE"""),12.36)</f>
        <v>12.36</v>
      </c>
    </row>
    <row r="1993" spans="1:2">
      <c r="A1993" s="3">
        <f ca="1">IFERROR(__xludf.DUMMYFUNCTION("""COMPUTED_VALUE"""),41242.6666666666)</f>
        <v>41242.666666666599</v>
      </c>
      <c r="B1993" s="1">
        <f ca="1">IFERROR(__xludf.DUMMYFUNCTION("""COMPUTED_VALUE"""),12.56)</f>
        <v>12.56</v>
      </c>
    </row>
    <row r="1994" spans="1:2">
      <c r="A1994" s="3">
        <f ca="1">IFERROR(__xludf.DUMMYFUNCTION("""COMPUTED_VALUE"""),41243.6666666666)</f>
        <v>41243.666666666599</v>
      </c>
      <c r="B1994" s="1">
        <f ca="1">IFERROR(__xludf.DUMMYFUNCTION("""COMPUTED_VALUE"""),12.6)</f>
        <v>12.6</v>
      </c>
    </row>
    <row r="1995" spans="1:2">
      <c r="A1995" s="3">
        <f ca="1">IFERROR(__xludf.DUMMYFUNCTION("""COMPUTED_VALUE"""),41246.6666666666)</f>
        <v>41246.666666666599</v>
      </c>
      <c r="B1995" s="1">
        <f ca="1">IFERROR(__xludf.DUMMYFUNCTION("""COMPUTED_VALUE"""),12.52)</f>
        <v>12.52</v>
      </c>
    </row>
    <row r="1996" spans="1:2">
      <c r="A1996" s="3">
        <f ca="1">IFERROR(__xludf.DUMMYFUNCTION("""COMPUTED_VALUE"""),41247.6666666666)</f>
        <v>41247.666666666599</v>
      </c>
      <c r="B1996" s="1">
        <f ca="1">IFERROR(__xludf.DUMMYFUNCTION("""COMPUTED_VALUE"""),12.62)</f>
        <v>12.62</v>
      </c>
    </row>
    <row r="1997" spans="1:2">
      <c r="A1997" s="3">
        <f ca="1">IFERROR(__xludf.DUMMYFUNCTION("""COMPUTED_VALUE"""),41248.6666666666)</f>
        <v>41248.666666666599</v>
      </c>
      <c r="B1997" s="1">
        <f ca="1">IFERROR(__xludf.DUMMYFUNCTION("""COMPUTED_VALUE"""),12.7)</f>
        <v>12.7</v>
      </c>
    </row>
    <row r="1998" spans="1:2">
      <c r="A1998" s="3">
        <f ca="1">IFERROR(__xludf.DUMMYFUNCTION("""COMPUTED_VALUE"""),41249.6666666666)</f>
        <v>41249.666666666599</v>
      </c>
      <c r="B1998" s="1">
        <f ca="1">IFERROR(__xludf.DUMMYFUNCTION("""COMPUTED_VALUE"""),12.67)</f>
        <v>12.67</v>
      </c>
    </row>
    <row r="1999" spans="1:2">
      <c r="A1999" s="3">
        <f ca="1">IFERROR(__xludf.DUMMYFUNCTION("""COMPUTED_VALUE"""),41250.6666666666)</f>
        <v>41250.666666666599</v>
      </c>
      <c r="B1999" s="1">
        <f ca="1">IFERROR(__xludf.DUMMYFUNCTION("""COMPUTED_VALUE"""),12.66)</f>
        <v>12.66</v>
      </c>
    </row>
    <row r="2000" spans="1:2">
      <c r="A2000" s="3">
        <f ca="1">IFERROR(__xludf.DUMMYFUNCTION("""COMPUTED_VALUE"""),41253.6666666666)</f>
        <v>41253.666666666599</v>
      </c>
      <c r="B2000" s="1">
        <f ca="1">IFERROR(__xludf.DUMMYFUNCTION("""COMPUTED_VALUE"""),12.39)</f>
        <v>12.39</v>
      </c>
    </row>
    <row r="2001" spans="1:2">
      <c r="A2001" s="3">
        <f ca="1">IFERROR(__xludf.DUMMYFUNCTION("""COMPUTED_VALUE"""),41254.6666666666)</f>
        <v>41254.666666666599</v>
      </c>
      <c r="B2001" s="1">
        <f ca="1">IFERROR(__xludf.DUMMYFUNCTION("""COMPUTED_VALUE"""),12.53)</f>
        <v>12.53</v>
      </c>
    </row>
    <row r="2002" spans="1:2">
      <c r="A2002" s="3">
        <f ca="1">IFERROR(__xludf.DUMMYFUNCTION("""COMPUTED_VALUE"""),41255.6666666666)</f>
        <v>41255.666666666599</v>
      </c>
      <c r="B2002" s="1">
        <f ca="1">IFERROR(__xludf.DUMMYFUNCTION("""COMPUTED_VALUE"""),12.59)</f>
        <v>12.59</v>
      </c>
    </row>
    <row r="2003" spans="1:2">
      <c r="A2003" s="3">
        <f ca="1">IFERROR(__xludf.DUMMYFUNCTION("""COMPUTED_VALUE"""),41256.6666666666)</f>
        <v>41256.666666666599</v>
      </c>
      <c r="B2003" s="1">
        <f ca="1">IFERROR(__xludf.DUMMYFUNCTION("""COMPUTED_VALUE"""),12.56)</f>
        <v>12.56</v>
      </c>
    </row>
    <row r="2004" spans="1:2">
      <c r="A2004" s="3">
        <f ca="1">IFERROR(__xludf.DUMMYFUNCTION("""COMPUTED_VALUE"""),41257.6666666666)</f>
        <v>41257.666666666599</v>
      </c>
      <c r="B2004" s="1">
        <f ca="1">IFERROR(__xludf.DUMMYFUNCTION("""COMPUTED_VALUE"""),12.46)</f>
        <v>12.46</v>
      </c>
    </row>
    <row r="2005" spans="1:2">
      <c r="A2005" s="3">
        <f ca="1">IFERROR(__xludf.DUMMYFUNCTION("""COMPUTED_VALUE"""),41260.6666666666)</f>
        <v>41260.666666666599</v>
      </c>
      <c r="B2005" s="1">
        <f ca="1">IFERROR(__xludf.DUMMYFUNCTION("""COMPUTED_VALUE"""),12.69)</f>
        <v>12.69</v>
      </c>
    </row>
    <row r="2006" spans="1:2">
      <c r="A2006" s="3">
        <f ca="1">IFERROR(__xludf.DUMMYFUNCTION("""COMPUTED_VALUE"""),41261.6666666666)</f>
        <v>41261.666666666599</v>
      </c>
      <c r="B2006" s="1">
        <f ca="1">IFERROR(__xludf.DUMMYFUNCTION("""COMPUTED_VALUE"""),13.02)</f>
        <v>13.02</v>
      </c>
    </row>
    <row r="2007" spans="1:2">
      <c r="A2007" s="3">
        <f ca="1">IFERROR(__xludf.DUMMYFUNCTION("""COMPUTED_VALUE"""),41262.6666666666)</f>
        <v>41262.666666666599</v>
      </c>
      <c r="B2007" s="1">
        <f ca="1">IFERROR(__xludf.DUMMYFUNCTION("""COMPUTED_VALUE"""),12.9)</f>
        <v>12.9</v>
      </c>
    </row>
    <row r="2008" spans="1:2">
      <c r="A2008" s="3">
        <f ca="1">IFERROR(__xludf.DUMMYFUNCTION("""COMPUTED_VALUE"""),41263.6666666666)</f>
        <v>41263.666666666599</v>
      </c>
      <c r="B2008" s="1">
        <f ca="1">IFERROR(__xludf.DUMMYFUNCTION("""COMPUTED_VALUE"""),13.08)</f>
        <v>13.08</v>
      </c>
    </row>
    <row r="2009" spans="1:2">
      <c r="A2009" s="3">
        <f ca="1">IFERROR(__xludf.DUMMYFUNCTION("""COMPUTED_VALUE"""),41264.6666666666)</f>
        <v>41264.666666666599</v>
      </c>
      <c r="B2009" s="1">
        <f ca="1">IFERROR(__xludf.DUMMYFUNCTION("""COMPUTED_VALUE"""),12.85)</f>
        <v>12.85</v>
      </c>
    </row>
    <row r="2010" spans="1:2">
      <c r="A2010" s="3">
        <f ca="1">IFERROR(__xludf.DUMMYFUNCTION("""COMPUTED_VALUE"""),41267.6666666666)</f>
        <v>41267.666666666599</v>
      </c>
      <c r="B2010" s="1">
        <f ca="1">IFERROR(__xludf.DUMMYFUNCTION("""COMPUTED_VALUE"""),12.93)</f>
        <v>12.93</v>
      </c>
    </row>
    <row r="2011" spans="1:2">
      <c r="A2011" s="3">
        <f ca="1">IFERROR(__xludf.DUMMYFUNCTION("""COMPUTED_VALUE"""),41269.6666666666)</f>
        <v>41269.666666666599</v>
      </c>
      <c r="B2011" s="1">
        <f ca="1">IFERROR(__xludf.DUMMYFUNCTION("""COMPUTED_VALUE"""),12.43)</f>
        <v>12.43</v>
      </c>
    </row>
    <row r="2012" spans="1:2">
      <c r="A2012" s="3">
        <f ca="1">IFERROR(__xludf.DUMMYFUNCTION("""COMPUTED_VALUE"""),41270.6666666666)</f>
        <v>41270.666666666599</v>
      </c>
      <c r="B2012" s="1">
        <f ca="1">IFERROR(__xludf.DUMMYFUNCTION("""COMPUTED_VALUE"""),12.42)</f>
        <v>12.42</v>
      </c>
    </row>
    <row r="2013" spans="1:2">
      <c r="A2013" s="3">
        <f ca="1">IFERROR(__xludf.DUMMYFUNCTION("""COMPUTED_VALUE"""),41271.6666666666)</f>
        <v>41271.666666666599</v>
      </c>
      <c r="B2013" s="1">
        <f ca="1">IFERROR(__xludf.DUMMYFUNCTION("""COMPUTED_VALUE"""),12.26)</f>
        <v>12.26</v>
      </c>
    </row>
    <row r="2014" spans="1:2">
      <c r="A2014" s="3">
        <f ca="1">IFERROR(__xludf.DUMMYFUNCTION("""COMPUTED_VALUE"""),41274.6666666666)</f>
        <v>41274.666666666599</v>
      </c>
      <c r="B2014" s="1">
        <f ca="1">IFERROR(__xludf.DUMMYFUNCTION("""COMPUTED_VALUE"""),12.54)</f>
        <v>12.54</v>
      </c>
    </row>
    <row r="2015" spans="1:2">
      <c r="A2015" s="3">
        <f ca="1">IFERROR(__xludf.DUMMYFUNCTION("""COMPUTED_VALUE"""),41276.6666666666)</f>
        <v>41276.666666666599</v>
      </c>
      <c r="B2015" s="1">
        <f ca="1">IFERROR(__xludf.DUMMYFUNCTION("""COMPUTED_VALUE"""),12.87)</f>
        <v>12.87</v>
      </c>
    </row>
    <row r="2016" spans="1:2">
      <c r="A2016" s="3">
        <f ca="1">IFERROR(__xludf.DUMMYFUNCTION("""COMPUTED_VALUE"""),41277.6666666666)</f>
        <v>41277.666666666599</v>
      </c>
      <c r="B2016" s="1">
        <f ca="1">IFERROR(__xludf.DUMMYFUNCTION("""COMPUTED_VALUE"""),12.92)</f>
        <v>12.92</v>
      </c>
    </row>
    <row r="2017" spans="1:2">
      <c r="A2017" s="3">
        <f ca="1">IFERROR(__xludf.DUMMYFUNCTION("""COMPUTED_VALUE"""),41278.6666666666)</f>
        <v>41278.666666666599</v>
      </c>
      <c r="B2017" s="1">
        <f ca="1">IFERROR(__xludf.DUMMYFUNCTION("""COMPUTED_VALUE"""),12.96)</f>
        <v>12.96</v>
      </c>
    </row>
    <row r="2018" spans="1:2">
      <c r="A2018" s="3">
        <f ca="1">IFERROR(__xludf.DUMMYFUNCTION("""COMPUTED_VALUE"""),41281.6666666666)</f>
        <v>41281.666666666599</v>
      </c>
      <c r="B2018" s="1">
        <f ca="1">IFERROR(__xludf.DUMMYFUNCTION("""COMPUTED_VALUE"""),13.42)</f>
        <v>13.42</v>
      </c>
    </row>
    <row r="2019" spans="1:2">
      <c r="A2019" s="3">
        <f ca="1">IFERROR(__xludf.DUMMYFUNCTION("""COMPUTED_VALUE"""),41282.6666666666)</f>
        <v>41282.666666666599</v>
      </c>
      <c r="B2019" s="1">
        <f ca="1">IFERROR(__xludf.DUMMYFUNCTION("""COMPUTED_VALUE"""),13.32)</f>
        <v>13.32</v>
      </c>
    </row>
    <row r="2020" spans="1:2">
      <c r="A2020" s="3">
        <f ca="1">IFERROR(__xludf.DUMMYFUNCTION("""COMPUTED_VALUE"""),41283.6666666666)</f>
        <v>41283.666666666599</v>
      </c>
      <c r="B2020" s="1">
        <f ca="1">IFERROR(__xludf.DUMMYFUNCTION("""COMPUTED_VALUE"""),13.32)</f>
        <v>13.32</v>
      </c>
    </row>
    <row r="2021" spans="1:2">
      <c r="A2021" s="3">
        <f ca="1">IFERROR(__xludf.DUMMYFUNCTION("""COMPUTED_VALUE"""),41284.6666666666)</f>
        <v>41284.666666666599</v>
      </c>
      <c r="B2021" s="1">
        <f ca="1">IFERROR(__xludf.DUMMYFUNCTION("""COMPUTED_VALUE"""),13.27)</f>
        <v>13.27</v>
      </c>
    </row>
    <row r="2022" spans="1:2">
      <c r="A2022" s="3">
        <f ca="1">IFERROR(__xludf.DUMMYFUNCTION("""COMPUTED_VALUE"""),41285.6666666666)</f>
        <v>41285.666666666599</v>
      </c>
      <c r="B2022" s="1">
        <f ca="1">IFERROR(__xludf.DUMMYFUNCTION("""COMPUTED_VALUE"""),13.4)</f>
        <v>13.4</v>
      </c>
    </row>
    <row r="2023" spans="1:2">
      <c r="A2023" s="3">
        <f ca="1">IFERROR(__xludf.DUMMYFUNCTION("""COMPUTED_VALUE"""),41288.6666666666)</f>
        <v>41288.666666666599</v>
      </c>
      <c r="B2023" s="1">
        <f ca="1">IFERROR(__xludf.DUMMYFUNCTION("""COMPUTED_VALUE"""),13.64)</f>
        <v>13.64</v>
      </c>
    </row>
    <row r="2024" spans="1:2">
      <c r="A2024" s="3">
        <f ca="1">IFERROR(__xludf.DUMMYFUNCTION("""COMPUTED_VALUE"""),41289.6666666666)</f>
        <v>41289.666666666599</v>
      </c>
      <c r="B2024" s="1">
        <f ca="1">IFERROR(__xludf.DUMMYFUNCTION("""COMPUTED_VALUE"""),13.6)</f>
        <v>13.6</v>
      </c>
    </row>
    <row r="2025" spans="1:2">
      <c r="A2025" s="3">
        <f ca="1">IFERROR(__xludf.DUMMYFUNCTION("""COMPUTED_VALUE"""),41290.6666666666)</f>
        <v>41290.666666666599</v>
      </c>
      <c r="B2025" s="1">
        <f ca="1">IFERROR(__xludf.DUMMYFUNCTION("""COMPUTED_VALUE"""),13.45)</f>
        <v>13.45</v>
      </c>
    </row>
    <row r="2026" spans="1:2">
      <c r="A2026" s="3">
        <f ca="1">IFERROR(__xludf.DUMMYFUNCTION("""COMPUTED_VALUE"""),41291.6666666666)</f>
        <v>41291.666666666599</v>
      </c>
      <c r="B2026" s="1">
        <f ca="1">IFERROR(__xludf.DUMMYFUNCTION("""COMPUTED_VALUE"""),13.52)</f>
        <v>13.52</v>
      </c>
    </row>
    <row r="2027" spans="1:2">
      <c r="A2027" s="3">
        <f ca="1">IFERROR(__xludf.DUMMYFUNCTION("""COMPUTED_VALUE"""),41292.6666666666)</f>
        <v>41292.666666666599</v>
      </c>
      <c r="B2027" s="1">
        <f ca="1">IFERROR(__xludf.DUMMYFUNCTION("""COMPUTED_VALUE"""),13.61)</f>
        <v>13.61</v>
      </c>
    </row>
    <row r="2028" spans="1:2">
      <c r="A2028" s="3">
        <f ca="1">IFERROR(__xludf.DUMMYFUNCTION("""COMPUTED_VALUE"""),41296.6666666666)</f>
        <v>41296.666666666599</v>
      </c>
      <c r="B2028" s="1">
        <f ca="1">IFERROR(__xludf.DUMMYFUNCTION("""COMPUTED_VALUE"""),13.51)</f>
        <v>13.51</v>
      </c>
    </row>
    <row r="2029" spans="1:2">
      <c r="A2029" s="3">
        <f ca="1">IFERROR(__xludf.DUMMYFUNCTION("""COMPUTED_VALUE"""),41297.6666666666)</f>
        <v>41297.666666666599</v>
      </c>
      <c r="B2029" s="1">
        <f ca="1">IFERROR(__xludf.DUMMYFUNCTION("""COMPUTED_VALUE"""),13.41)</f>
        <v>13.41</v>
      </c>
    </row>
    <row r="2030" spans="1:2">
      <c r="A2030" s="3">
        <f ca="1">IFERROR(__xludf.DUMMYFUNCTION("""COMPUTED_VALUE"""),41298.6666666666)</f>
        <v>41298.666666666599</v>
      </c>
      <c r="B2030" s="1">
        <f ca="1">IFERROR(__xludf.DUMMYFUNCTION("""COMPUTED_VALUE"""),13.68)</f>
        <v>13.68</v>
      </c>
    </row>
    <row r="2031" spans="1:2">
      <c r="A2031" s="3">
        <f ca="1">IFERROR(__xludf.DUMMYFUNCTION("""COMPUTED_VALUE"""),41299.6666666666)</f>
        <v>41299.666666666599</v>
      </c>
      <c r="B2031" s="1">
        <f ca="1">IFERROR(__xludf.DUMMYFUNCTION("""COMPUTED_VALUE"""),14.2)</f>
        <v>14.2</v>
      </c>
    </row>
    <row r="2032" spans="1:2">
      <c r="A2032" s="3">
        <f ca="1">IFERROR(__xludf.DUMMYFUNCTION("""COMPUTED_VALUE"""),41302.6666666666)</f>
        <v>41302.666666666599</v>
      </c>
      <c r="B2032" s="1">
        <f ca="1">IFERROR(__xludf.DUMMYFUNCTION("""COMPUTED_VALUE"""),13.8)</f>
        <v>13.8</v>
      </c>
    </row>
    <row r="2033" spans="1:2">
      <c r="A2033" s="3">
        <f ca="1">IFERROR(__xludf.DUMMYFUNCTION("""COMPUTED_VALUE"""),41303.6666666666)</f>
        <v>41303.666666666599</v>
      </c>
      <c r="B2033" s="1">
        <f ca="1">IFERROR(__xludf.DUMMYFUNCTION("""COMPUTED_VALUE"""),13.02)</f>
        <v>13.02</v>
      </c>
    </row>
    <row r="2034" spans="1:2">
      <c r="A2034" s="3">
        <f ca="1">IFERROR(__xludf.DUMMYFUNCTION("""COMPUTED_VALUE"""),41304.6666666666)</f>
        <v>41304.666666666599</v>
      </c>
      <c r="B2034" s="1">
        <f ca="1">IFERROR(__xludf.DUMMYFUNCTION("""COMPUTED_VALUE"""),13.64)</f>
        <v>13.64</v>
      </c>
    </row>
    <row r="2035" spans="1:2">
      <c r="A2035" s="3">
        <f ca="1">IFERROR(__xludf.DUMMYFUNCTION("""COMPUTED_VALUE"""),41305.6666666666)</f>
        <v>41305.666666666599</v>
      </c>
      <c r="B2035" s="1">
        <f ca="1">IFERROR(__xludf.DUMMYFUNCTION("""COMPUTED_VALUE"""),13.28)</f>
        <v>13.28</v>
      </c>
    </row>
    <row r="2036" spans="1:2">
      <c r="A2036" s="3">
        <f ca="1">IFERROR(__xludf.DUMMYFUNCTION("""COMPUTED_VALUE"""),41306.6666666666)</f>
        <v>41306.666666666599</v>
      </c>
      <c r="B2036" s="1">
        <f ca="1">IFERROR(__xludf.DUMMYFUNCTION("""COMPUTED_VALUE"""),13.25)</f>
        <v>13.25</v>
      </c>
    </row>
    <row r="2037" spans="1:2">
      <c r="A2037" s="3">
        <f ca="1">IFERROR(__xludf.DUMMYFUNCTION("""COMPUTED_VALUE"""),41309.6666666666)</f>
        <v>41309.666666666599</v>
      </c>
      <c r="B2037" s="1">
        <f ca="1">IFERROR(__xludf.DUMMYFUNCTION("""COMPUTED_VALUE"""),13)</f>
        <v>13</v>
      </c>
    </row>
    <row r="2038" spans="1:2">
      <c r="A2038" s="3">
        <f ca="1">IFERROR(__xludf.DUMMYFUNCTION("""COMPUTED_VALUE"""),41310.6666666666)</f>
        <v>41310.666666666599</v>
      </c>
      <c r="B2038" s="1">
        <f ca="1">IFERROR(__xludf.DUMMYFUNCTION("""COMPUTED_VALUE"""),13.34)</f>
        <v>13.34</v>
      </c>
    </row>
    <row r="2039" spans="1:2">
      <c r="A2039" s="3">
        <f ca="1">IFERROR(__xludf.DUMMYFUNCTION("""COMPUTED_VALUE"""),41311.6666666666)</f>
        <v>41311.666666666599</v>
      </c>
      <c r="B2039" s="1">
        <f ca="1">IFERROR(__xludf.DUMMYFUNCTION("""COMPUTED_VALUE"""),13.11)</f>
        <v>13.11</v>
      </c>
    </row>
    <row r="2040" spans="1:2">
      <c r="A2040" s="3">
        <f ca="1">IFERROR(__xludf.DUMMYFUNCTION("""COMPUTED_VALUE"""),41312.6666666666)</f>
        <v>41312.666666666599</v>
      </c>
      <c r="B2040" s="1">
        <f ca="1">IFERROR(__xludf.DUMMYFUNCTION("""COMPUTED_VALUE"""),13.01)</f>
        <v>13.01</v>
      </c>
    </row>
    <row r="2041" spans="1:2">
      <c r="A2041" s="3">
        <f ca="1">IFERROR(__xludf.DUMMYFUNCTION("""COMPUTED_VALUE"""),41313.6666666666)</f>
        <v>41313.666666666599</v>
      </c>
      <c r="B2041" s="1">
        <f ca="1">IFERROR(__xludf.DUMMYFUNCTION("""COMPUTED_VALUE"""),13.1)</f>
        <v>13.1</v>
      </c>
    </row>
    <row r="2042" spans="1:2">
      <c r="A2042" s="3">
        <f ca="1">IFERROR(__xludf.DUMMYFUNCTION("""COMPUTED_VALUE"""),41316.6666666666)</f>
        <v>41316.666666666599</v>
      </c>
      <c r="B2042" s="1">
        <f ca="1">IFERROR(__xludf.DUMMYFUNCTION("""COMPUTED_VALUE"""),12.86)</f>
        <v>12.86</v>
      </c>
    </row>
    <row r="2043" spans="1:2">
      <c r="A2043" s="3">
        <f ca="1">IFERROR(__xludf.DUMMYFUNCTION("""COMPUTED_VALUE"""),41317.6666666666)</f>
        <v>41317.666666666599</v>
      </c>
      <c r="B2043" s="1">
        <f ca="1">IFERROR(__xludf.DUMMYFUNCTION("""COMPUTED_VALUE"""),12.94)</f>
        <v>12.94</v>
      </c>
    </row>
    <row r="2044" spans="1:2">
      <c r="A2044" s="3">
        <f ca="1">IFERROR(__xludf.DUMMYFUNCTION("""COMPUTED_VALUE"""),41318.6666666666)</f>
        <v>41318.666666666599</v>
      </c>
      <c r="B2044" s="1">
        <f ca="1">IFERROR(__xludf.DUMMYFUNCTION("""COMPUTED_VALUE"""),13.47)</f>
        <v>13.47</v>
      </c>
    </row>
    <row r="2045" spans="1:2">
      <c r="A2045" s="3">
        <f ca="1">IFERROR(__xludf.DUMMYFUNCTION("""COMPUTED_VALUE"""),41319.6666666666)</f>
        <v>41319.666666666599</v>
      </c>
      <c r="B2045" s="1">
        <f ca="1">IFERROR(__xludf.DUMMYFUNCTION("""COMPUTED_VALUE"""),13.46)</f>
        <v>13.46</v>
      </c>
    </row>
    <row r="2046" spans="1:2">
      <c r="A2046" s="3">
        <f ca="1">IFERROR(__xludf.DUMMYFUNCTION("""COMPUTED_VALUE"""),41320.6666666666)</f>
        <v>41320.666666666599</v>
      </c>
      <c r="B2046" s="1">
        <f ca="1">IFERROR(__xludf.DUMMYFUNCTION("""COMPUTED_VALUE"""),13.25)</f>
        <v>13.25</v>
      </c>
    </row>
    <row r="2047" spans="1:2">
      <c r="A2047" s="3">
        <f ca="1">IFERROR(__xludf.DUMMYFUNCTION("""COMPUTED_VALUE"""),41324.6666666666)</f>
        <v>41324.666666666599</v>
      </c>
      <c r="B2047" s="1">
        <f ca="1">IFERROR(__xludf.DUMMYFUNCTION("""COMPUTED_VALUE"""),13.49)</f>
        <v>13.49</v>
      </c>
    </row>
    <row r="2048" spans="1:2">
      <c r="A2048" s="3">
        <f ca="1">IFERROR(__xludf.DUMMYFUNCTION("""COMPUTED_VALUE"""),41325.6666666666)</f>
        <v>41325.666666666599</v>
      </c>
      <c r="B2048" s="1">
        <f ca="1">IFERROR(__xludf.DUMMYFUNCTION("""COMPUTED_VALUE"""),13.32)</f>
        <v>13.32</v>
      </c>
    </row>
    <row r="2049" spans="1:2">
      <c r="A2049" s="3">
        <f ca="1">IFERROR(__xludf.DUMMYFUNCTION("""COMPUTED_VALUE"""),41326.6666666666)</f>
        <v>41326.666666666599</v>
      </c>
      <c r="B2049" s="1">
        <f ca="1">IFERROR(__xludf.DUMMYFUNCTION("""COMPUTED_VALUE"""),13.3)</f>
        <v>13.3</v>
      </c>
    </row>
    <row r="2050" spans="1:2">
      <c r="A2050" s="3">
        <f ca="1">IFERROR(__xludf.DUMMYFUNCTION("""COMPUTED_VALUE"""),41327.6666666666)</f>
        <v>41327.666666666599</v>
      </c>
      <c r="B2050" s="1">
        <f ca="1">IFERROR(__xludf.DUMMYFUNCTION("""COMPUTED_VALUE"""),13.27)</f>
        <v>13.27</v>
      </c>
    </row>
    <row r="2051" spans="1:2">
      <c r="A2051" s="3">
        <f ca="1">IFERROR(__xludf.DUMMYFUNCTION("""COMPUTED_VALUE"""),41330.6666666666)</f>
        <v>41330.666666666599</v>
      </c>
      <c r="B2051" s="1">
        <f ca="1">IFERROR(__xludf.DUMMYFUNCTION("""COMPUTED_VALUE"""),12.99)</f>
        <v>12.99</v>
      </c>
    </row>
    <row r="2052" spans="1:2">
      <c r="A2052" s="3">
        <f ca="1">IFERROR(__xludf.DUMMYFUNCTION("""COMPUTED_VALUE"""),41331.6666666666)</f>
        <v>41331.666666666599</v>
      </c>
      <c r="B2052" s="1">
        <f ca="1">IFERROR(__xludf.DUMMYFUNCTION("""COMPUTED_VALUE"""),12.97)</f>
        <v>12.97</v>
      </c>
    </row>
    <row r="2053" spans="1:2">
      <c r="A2053" s="3">
        <f ca="1">IFERROR(__xludf.DUMMYFUNCTION("""COMPUTED_VALUE"""),41332.6666666666)</f>
        <v>41332.666666666599</v>
      </c>
      <c r="B2053" s="1">
        <f ca="1">IFERROR(__xludf.DUMMYFUNCTION("""COMPUTED_VALUE"""),13.16)</f>
        <v>13.16</v>
      </c>
    </row>
    <row r="2054" spans="1:2">
      <c r="A2054" s="3">
        <f ca="1">IFERROR(__xludf.DUMMYFUNCTION("""COMPUTED_VALUE"""),41333.6666666666)</f>
        <v>41333.666666666599</v>
      </c>
      <c r="B2054" s="1">
        <f ca="1">IFERROR(__xludf.DUMMYFUNCTION("""COMPUTED_VALUE"""),13.21)</f>
        <v>13.21</v>
      </c>
    </row>
    <row r="2055" spans="1:2">
      <c r="A2055" s="3">
        <f ca="1">IFERROR(__xludf.DUMMYFUNCTION("""COMPUTED_VALUE"""),41334.6666666666)</f>
        <v>41334.666666666599</v>
      </c>
      <c r="B2055" s="1">
        <f ca="1">IFERROR(__xludf.DUMMYFUNCTION("""COMPUTED_VALUE"""),13.29)</f>
        <v>13.29</v>
      </c>
    </row>
    <row r="2056" spans="1:2">
      <c r="A2056" s="3">
        <f ca="1">IFERROR(__xludf.DUMMYFUNCTION("""COMPUTED_VALUE"""),41337.6666666666)</f>
        <v>41337.666666666599</v>
      </c>
      <c r="B2056" s="1">
        <f ca="1">IFERROR(__xludf.DUMMYFUNCTION("""COMPUTED_VALUE"""),13.66)</f>
        <v>13.66</v>
      </c>
    </row>
    <row r="2057" spans="1:2">
      <c r="A2057" s="3">
        <f ca="1">IFERROR(__xludf.DUMMYFUNCTION("""COMPUTED_VALUE"""),41338.6666666666)</f>
        <v>41338.666666666599</v>
      </c>
      <c r="B2057" s="1">
        <f ca="1">IFERROR(__xludf.DUMMYFUNCTION("""COMPUTED_VALUE"""),13.78)</f>
        <v>13.78</v>
      </c>
    </row>
    <row r="2058" spans="1:2">
      <c r="A2058" s="3">
        <f ca="1">IFERROR(__xludf.DUMMYFUNCTION("""COMPUTED_VALUE"""),41339.6666666666)</f>
        <v>41339.666666666599</v>
      </c>
      <c r="B2058" s="1">
        <f ca="1">IFERROR(__xludf.DUMMYFUNCTION("""COMPUTED_VALUE"""),13.69)</f>
        <v>13.69</v>
      </c>
    </row>
    <row r="2059" spans="1:2">
      <c r="A2059" s="3">
        <f ca="1">IFERROR(__xludf.DUMMYFUNCTION("""COMPUTED_VALUE"""),41340.6666666666)</f>
        <v>41340.666666666599</v>
      </c>
      <c r="B2059" s="1">
        <f ca="1">IFERROR(__xludf.DUMMYFUNCTION("""COMPUTED_VALUE"""),13.69)</f>
        <v>13.69</v>
      </c>
    </row>
    <row r="2060" spans="1:2">
      <c r="A2060" s="3">
        <f ca="1">IFERROR(__xludf.DUMMYFUNCTION("""COMPUTED_VALUE"""),41341.6666666666)</f>
        <v>41341.666666666599</v>
      </c>
      <c r="B2060" s="1">
        <f ca="1">IFERROR(__xludf.DUMMYFUNCTION("""COMPUTED_VALUE"""),13.71)</f>
        <v>13.71</v>
      </c>
    </row>
    <row r="2061" spans="1:2">
      <c r="A2061" s="3">
        <f ca="1">IFERROR(__xludf.DUMMYFUNCTION("""COMPUTED_VALUE"""),41344.6666666666)</f>
        <v>41344.666666666599</v>
      </c>
      <c r="B2061" s="1">
        <f ca="1">IFERROR(__xludf.DUMMYFUNCTION("""COMPUTED_VALUE"""),13.56)</f>
        <v>13.56</v>
      </c>
    </row>
    <row r="2062" spans="1:2">
      <c r="A2062" s="3">
        <f ca="1">IFERROR(__xludf.DUMMYFUNCTION("""COMPUTED_VALUE"""),41345.6666666666)</f>
        <v>41345.666666666599</v>
      </c>
      <c r="B2062" s="1">
        <f ca="1">IFERROR(__xludf.DUMMYFUNCTION("""COMPUTED_VALUE"""),13.71)</f>
        <v>13.71</v>
      </c>
    </row>
    <row r="2063" spans="1:2">
      <c r="A2063" s="3">
        <f ca="1">IFERROR(__xludf.DUMMYFUNCTION("""COMPUTED_VALUE"""),41346.6666666666)</f>
        <v>41346.666666666599</v>
      </c>
      <c r="B2063" s="1">
        <f ca="1">IFERROR(__xludf.DUMMYFUNCTION("""COMPUTED_VALUE"""),13.76)</f>
        <v>13.76</v>
      </c>
    </row>
    <row r="2064" spans="1:2">
      <c r="A2064" s="3">
        <f ca="1">IFERROR(__xludf.DUMMYFUNCTION("""COMPUTED_VALUE"""),41347.6666666666)</f>
        <v>41347.666666666599</v>
      </c>
      <c r="B2064" s="1">
        <f ca="1">IFERROR(__xludf.DUMMYFUNCTION("""COMPUTED_VALUE"""),13.29)</f>
        <v>13.29</v>
      </c>
    </row>
    <row r="2065" spans="1:2">
      <c r="A2065" s="3">
        <f ca="1">IFERROR(__xludf.DUMMYFUNCTION("""COMPUTED_VALUE"""),41348.6666666666)</f>
        <v>41348.666666666599</v>
      </c>
      <c r="B2065" s="1">
        <f ca="1">IFERROR(__xludf.DUMMYFUNCTION("""COMPUTED_VALUE"""),13.09)</f>
        <v>13.09</v>
      </c>
    </row>
    <row r="2066" spans="1:2">
      <c r="A2066" s="3">
        <f ca="1">IFERROR(__xludf.DUMMYFUNCTION("""COMPUTED_VALUE"""),41351.6666666666)</f>
        <v>41351.666666666599</v>
      </c>
      <c r="B2066" s="1">
        <f ca="1">IFERROR(__xludf.DUMMYFUNCTION("""COMPUTED_VALUE"""),12.89)</f>
        <v>12.89</v>
      </c>
    </row>
    <row r="2067" spans="1:2">
      <c r="A2067" s="3">
        <f ca="1">IFERROR(__xludf.DUMMYFUNCTION("""COMPUTED_VALUE"""),41352.6666666666)</f>
        <v>41352.666666666599</v>
      </c>
      <c r="B2067" s="1">
        <f ca="1">IFERROR(__xludf.DUMMYFUNCTION("""COMPUTED_VALUE"""),12.82)</f>
        <v>12.82</v>
      </c>
    </row>
    <row r="2068" spans="1:2">
      <c r="A2068" s="3">
        <f ca="1">IFERROR(__xludf.DUMMYFUNCTION("""COMPUTED_VALUE"""),41353.6666666666)</f>
        <v>41353.666666666599</v>
      </c>
      <c r="B2068" s="1">
        <f ca="1">IFERROR(__xludf.DUMMYFUNCTION("""COMPUTED_VALUE"""),12.86)</f>
        <v>12.86</v>
      </c>
    </row>
    <row r="2069" spans="1:2">
      <c r="A2069" s="3">
        <f ca="1">IFERROR(__xludf.DUMMYFUNCTION("""COMPUTED_VALUE"""),41354.6666666666)</f>
        <v>41354.666666666599</v>
      </c>
      <c r="B2069" s="1">
        <f ca="1">IFERROR(__xludf.DUMMYFUNCTION("""COMPUTED_VALUE"""),12.67)</f>
        <v>12.67</v>
      </c>
    </row>
    <row r="2070" spans="1:2">
      <c r="A2070" s="3">
        <f ca="1">IFERROR(__xludf.DUMMYFUNCTION("""COMPUTED_VALUE"""),41355.6666666666)</f>
        <v>41355.666666666599</v>
      </c>
      <c r="B2070" s="1">
        <f ca="1">IFERROR(__xludf.DUMMYFUNCTION("""COMPUTED_VALUE"""),12.89)</f>
        <v>12.89</v>
      </c>
    </row>
    <row r="2071" spans="1:2">
      <c r="A2071" s="3">
        <f ca="1">IFERROR(__xludf.DUMMYFUNCTION("""COMPUTED_VALUE"""),41358.6666666666)</f>
        <v>41358.666666666599</v>
      </c>
      <c r="B2071" s="1">
        <f ca="1">IFERROR(__xludf.DUMMYFUNCTION("""COMPUTED_VALUE"""),12.8)</f>
        <v>12.8</v>
      </c>
    </row>
    <row r="2072" spans="1:2">
      <c r="A2072" s="3">
        <f ca="1">IFERROR(__xludf.DUMMYFUNCTION("""COMPUTED_VALUE"""),41359.6666666666)</f>
        <v>41359.666666666599</v>
      </c>
      <c r="B2072" s="1">
        <f ca="1">IFERROR(__xludf.DUMMYFUNCTION("""COMPUTED_VALUE"""),13.02)</f>
        <v>13.02</v>
      </c>
    </row>
    <row r="2073" spans="1:2">
      <c r="A2073" s="3">
        <f ca="1">IFERROR(__xludf.DUMMYFUNCTION("""COMPUTED_VALUE"""),41360.6666666666)</f>
        <v>41360.666666666599</v>
      </c>
      <c r="B2073" s="1">
        <f ca="1">IFERROR(__xludf.DUMMYFUNCTION("""COMPUTED_VALUE"""),13.27)</f>
        <v>13.27</v>
      </c>
    </row>
    <row r="2074" spans="1:2">
      <c r="A2074" s="3">
        <f ca="1">IFERROR(__xludf.DUMMYFUNCTION("""COMPUTED_VALUE"""),41361.6666666666)</f>
        <v>41361.666666666599</v>
      </c>
      <c r="B2074" s="1">
        <f ca="1">IFERROR(__xludf.DUMMYFUNCTION("""COMPUTED_VALUE"""),13.32)</f>
        <v>13.32</v>
      </c>
    </row>
    <row r="2075" spans="1:2">
      <c r="A2075" s="3">
        <f ca="1">IFERROR(__xludf.DUMMYFUNCTION("""COMPUTED_VALUE"""),41365.6666666666)</f>
        <v>41365.666666666599</v>
      </c>
      <c r="B2075" s="1">
        <f ca="1">IFERROR(__xludf.DUMMYFUNCTION("""COMPUTED_VALUE"""),13.08)</f>
        <v>13.08</v>
      </c>
    </row>
    <row r="2076" spans="1:2">
      <c r="A2076" s="3">
        <f ca="1">IFERROR(__xludf.DUMMYFUNCTION("""COMPUTED_VALUE"""),41366.6666666666)</f>
        <v>41366.666666666599</v>
      </c>
      <c r="B2076" s="1">
        <f ca="1">IFERROR(__xludf.DUMMYFUNCTION("""COMPUTED_VALUE"""),13.17)</f>
        <v>13.17</v>
      </c>
    </row>
    <row r="2077" spans="1:2">
      <c r="A2077" s="3">
        <f ca="1">IFERROR(__xludf.DUMMYFUNCTION("""COMPUTED_VALUE"""),41367.6666666666)</f>
        <v>41367.666666666599</v>
      </c>
      <c r="B2077" s="1">
        <f ca="1">IFERROR(__xludf.DUMMYFUNCTION("""COMPUTED_VALUE"""),12.95)</f>
        <v>12.95</v>
      </c>
    </row>
    <row r="2078" spans="1:2">
      <c r="A2078" s="3">
        <f ca="1">IFERROR(__xludf.DUMMYFUNCTION("""COMPUTED_VALUE"""),41368.6666666666)</f>
        <v>41368.666666666599</v>
      </c>
      <c r="B2078" s="1">
        <f ca="1">IFERROR(__xludf.DUMMYFUNCTION("""COMPUTED_VALUE"""),12.95)</f>
        <v>12.95</v>
      </c>
    </row>
    <row r="2079" spans="1:2">
      <c r="A2079" s="3">
        <f ca="1">IFERROR(__xludf.DUMMYFUNCTION("""COMPUTED_VALUE"""),41369.6666666666)</f>
        <v>41369.666666666599</v>
      </c>
      <c r="B2079" s="1">
        <f ca="1">IFERROR(__xludf.DUMMYFUNCTION("""COMPUTED_VALUE"""),12.77)</f>
        <v>12.77</v>
      </c>
    </row>
    <row r="2080" spans="1:2">
      <c r="A2080" s="3">
        <f ca="1">IFERROR(__xludf.DUMMYFUNCTION("""COMPUTED_VALUE"""),41372.6666666666)</f>
        <v>41372.666666666599</v>
      </c>
      <c r="B2080" s="1">
        <f ca="1">IFERROR(__xludf.DUMMYFUNCTION("""COMPUTED_VALUE"""),12.95)</f>
        <v>12.95</v>
      </c>
    </row>
    <row r="2081" spans="1:2">
      <c r="A2081" s="3">
        <f ca="1">IFERROR(__xludf.DUMMYFUNCTION("""COMPUTED_VALUE"""),41373.6666666666)</f>
        <v>41373.666666666599</v>
      </c>
      <c r="B2081" s="1">
        <f ca="1">IFERROR(__xludf.DUMMYFUNCTION("""COMPUTED_VALUE"""),13.06)</f>
        <v>13.06</v>
      </c>
    </row>
    <row r="2082" spans="1:2">
      <c r="A2082" s="3">
        <f ca="1">IFERROR(__xludf.DUMMYFUNCTION("""COMPUTED_VALUE"""),41374.6666666666)</f>
        <v>41374.666666666599</v>
      </c>
      <c r="B2082" s="1">
        <f ca="1">IFERROR(__xludf.DUMMYFUNCTION("""COMPUTED_VALUE"""),13.24)</f>
        <v>13.24</v>
      </c>
    </row>
    <row r="2083" spans="1:2">
      <c r="A2083" s="3">
        <f ca="1">IFERROR(__xludf.DUMMYFUNCTION("""COMPUTED_VALUE"""),41375.6666666666)</f>
        <v>41375.666666666599</v>
      </c>
      <c r="B2083" s="1">
        <f ca="1">IFERROR(__xludf.DUMMYFUNCTION("""COMPUTED_VALUE"""),13.49)</f>
        <v>13.49</v>
      </c>
    </row>
    <row r="2084" spans="1:2">
      <c r="A2084" s="3">
        <f ca="1">IFERROR(__xludf.DUMMYFUNCTION("""COMPUTED_VALUE"""),41376.6666666666)</f>
        <v>41376.666666666599</v>
      </c>
      <c r="B2084" s="1">
        <f ca="1">IFERROR(__xludf.DUMMYFUNCTION("""COMPUTED_VALUE"""),13.64)</f>
        <v>13.64</v>
      </c>
    </row>
    <row r="2085" spans="1:2">
      <c r="A2085" s="3">
        <f ca="1">IFERROR(__xludf.DUMMYFUNCTION("""COMPUTED_VALUE"""),41379.6666666666)</f>
        <v>41379.666666666599</v>
      </c>
      <c r="B2085" s="1">
        <f ca="1">IFERROR(__xludf.DUMMYFUNCTION("""COMPUTED_VALUE"""),13.39)</f>
        <v>13.39</v>
      </c>
    </row>
    <row r="2086" spans="1:2">
      <c r="A2086" s="3">
        <f ca="1">IFERROR(__xludf.DUMMYFUNCTION("""COMPUTED_VALUE"""),41380.6666666666)</f>
        <v>41380.666666666599</v>
      </c>
      <c r="B2086" s="1">
        <f ca="1">IFERROR(__xludf.DUMMYFUNCTION("""COMPUTED_VALUE"""),13.62)</f>
        <v>13.62</v>
      </c>
    </row>
    <row r="2087" spans="1:2">
      <c r="A2087" s="3">
        <f ca="1">IFERROR(__xludf.DUMMYFUNCTION("""COMPUTED_VALUE"""),41381.6666666666)</f>
        <v>41381.666666666599</v>
      </c>
      <c r="B2087" s="1">
        <f ca="1">IFERROR(__xludf.DUMMYFUNCTION("""COMPUTED_VALUE"""),13.37)</f>
        <v>13.37</v>
      </c>
    </row>
    <row r="2088" spans="1:2">
      <c r="A2088" s="3">
        <f ca="1">IFERROR(__xludf.DUMMYFUNCTION("""COMPUTED_VALUE"""),41382.6666666666)</f>
        <v>41382.666666666599</v>
      </c>
      <c r="B2088" s="1">
        <f ca="1">IFERROR(__xludf.DUMMYFUNCTION("""COMPUTED_VALUE"""),12.97)</f>
        <v>12.97</v>
      </c>
    </row>
    <row r="2089" spans="1:2">
      <c r="A2089" s="3">
        <f ca="1">IFERROR(__xludf.DUMMYFUNCTION("""COMPUTED_VALUE"""),41383.6666666666)</f>
        <v>41383.666666666599</v>
      </c>
      <c r="B2089" s="1">
        <f ca="1">IFERROR(__xludf.DUMMYFUNCTION("""COMPUTED_VALUE"""),13.02)</f>
        <v>13.02</v>
      </c>
    </row>
    <row r="2090" spans="1:2">
      <c r="A2090" s="3">
        <f ca="1">IFERROR(__xludf.DUMMYFUNCTION("""COMPUTED_VALUE"""),41386.6666666666)</f>
        <v>41386.666666666599</v>
      </c>
      <c r="B2090" s="1">
        <f ca="1">IFERROR(__xludf.DUMMYFUNCTION("""COMPUTED_VALUE"""),13.18)</f>
        <v>13.18</v>
      </c>
    </row>
    <row r="2091" spans="1:2">
      <c r="A2091" s="3">
        <f ca="1">IFERROR(__xludf.DUMMYFUNCTION("""COMPUTED_VALUE"""),41387.6666666666)</f>
        <v>41387.666666666599</v>
      </c>
      <c r="B2091" s="1">
        <f ca="1">IFERROR(__xludf.DUMMYFUNCTION("""COMPUTED_VALUE"""),13.45)</f>
        <v>13.45</v>
      </c>
    </row>
    <row r="2092" spans="1:2">
      <c r="A2092" s="3">
        <f ca="1">IFERROR(__xludf.DUMMYFUNCTION("""COMPUTED_VALUE"""),41388.6666666666)</f>
        <v>41388.666666666599</v>
      </c>
      <c r="B2092" s="1">
        <f ca="1">IFERROR(__xludf.DUMMYFUNCTION("""COMPUTED_VALUE"""),13.44)</f>
        <v>13.44</v>
      </c>
    </row>
    <row r="2093" spans="1:2">
      <c r="A2093" s="3">
        <f ca="1">IFERROR(__xludf.DUMMYFUNCTION("""COMPUTED_VALUE"""),41389.6666666666)</f>
        <v>41389.666666666599</v>
      </c>
      <c r="B2093" s="1">
        <f ca="1">IFERROR(__xludf.DUMMYFUNCTION("""COMPUTED_VALUE"""),13.74)</f>
        <v>13.74</v>
      </c>
    </row>
    <row r="2094" spans="1:2">
      <c r="A2094" s="3">
        <f ca="1">IFERROR(__xludf.DUMMYFUNCTION("""COMPUTED_VALUE"""),41390.6666666666)</f>
        <v>41390.666666666599</v>
      </c>
      <c r="B2094" s="1">
        <f ca="1">IFERROR(__xludf.DUMMYFUNCTION("""COMPUTED_VALUE"""),12.74)</f>
        <v>12.74</v>
      </c>
    </row>
    <row r="2095" spans="1:2">
      <c r="A2095" s="3">
        <f ca="1">IFERROR(__xludf.DUMMYFUNCTION("""COMPUTED_VALUE"""),41393.6666666666)</f>
        <v>41393.666666666599</v>
      </c>
      <c r="B2095" s="1">
        <f ca="1">IFERROR(__xludf.DUMMYFUNCTION("""COMPUTED_VALUE"""),12.49)</f>
        <v>12.49</v>
      </c>
    </row>
    <row r="2096" spans="1:2">
      <c r="A2096" s="3">
        <f ca="1">IFERROR(__xludf.DUMMYFUNCTION("""COMPUTED_VALUE"""),41394.6666666666)</f>
        <v>41394.666666666599</v>
      </c>
      <c r="B2096" s="1">
        <f ca="1">IFERROR(__xludf.DUMMYFUNCTION("""COMPUTED_VALUE"""),12.69)</f>
        <v>12.69</v>
      </c>
    </row>
    <row r="2097" spans="1:2">
      <c r="A2097" s="3">
        <f ca="1">IFERROR(__xludf.DUMMYFUNCTION("""COMPUTED_VALUE"""),41395.6666666666)</f>
        <v>41395.666666666599</v>
      </c>
      <c r="B2097" s="1">
        <f ca="1">IFERROR(__xludf.DUMMYFUNCTION("""COMPUTED_VALUE"""),12.41)</f>
        <v>12.41</v>
      </c>
    </row>
    <row r="2098" spans="1:2">
      <c r="A2098" s="3">
        <f ca="1">IFERROR(__xludf.DUMMYFUNCTION("""COMPUTED_VALUE"""),41396.6666666666)</f>
        <v>41396.666666666599</v>
      </c>
      <c r="B2098" s="1">
        <f ca="1">IFERROR(__xludf.DUMMYFUNCTION("""COMPUTED_VALUE"""),12.63)</f>
        <v>12.63</v>
      </c>
    </row>
    <row r="2099" spans="1:2">
      <c r="A2099" s="3">
        <f ca="1">IFERROR(__xludf.DUMMYFUNCTION("""COMPUTED_VALUE"""),41397.6666666666)</f>
        <v>41397.666666666599</v>
      </c>
      <c r="B2099" s="1">
        <f ca="1">IFERROR(__xludf.DUMMYFUNCTION("""COMPUTED_VALUE"""),12.9)</f>
        <v>12.9</v>
      </c>
    </row>
    <row r="2100" spans="1:2">
      <c r="A2100" s="3">
        <f ca="1">IFERROR(__xludf.DUMMYFUNCTION("""COMPUTED_VALUE"""),41400.6666666666)</f>
        <v>41400.666666666599</v>
      </c>
      <c r="B2100" s="1">
        <f ca="1">IFERROR(__xludf.DUMMYFUNCTION("""COMPUTED_VALUE"""),12.79)</f>
        <v>12.79</v>
      </c>
    </row>
    <row r="2101" spans="1:2">
      <c r="A2101" s="3">
        <f ca="1">IFERROR(__xludf.DUMMYFUNCTION("""COMPUTED_VALUE"""),41401.6666666666)</f>
        <v>41401.666666666599</v>
      </c>
      <c r="B2101" s="1">
        <f ca="1">IFERROR(__xludf.DUMMYFUNCTION("""COMPUTED_VALUE"""),12.89)</f>
        <v>12.89</v>
      </c>
    </row>
    <row r="2102" spans="1:2">
      <c r="A2102" s="3">
        <f ca="1">IFERROR(__xludf.DUMMYFUNCTION("""COMPUTED_VALUE"""),41402.6666666666)</f>
        <v>41402.666666666599</v>
      </c>
      <c r="B2102" s="1">
        <f ca="1">IFERROR(__xludf.DUMMYFUNCTION("""COMPUTED_VALUE"""),12.93)</f>
        <v>12.93</v>
      </c>
    </row>
    <row r="2103" spans="1:2">
      <c r="A2103" s="3">
        <f ca="1">IFERROR(__xludf.DUMMYFUNCTION("""COMPUTED_VALUE"""),41403.6666666666)</f>
        <v>41403.666666666599</v>
      </c>
      <c r="B2103" s="1">
        <f ca="1">IFERROR(__xludf.DUMMYFUNCTION("""COMPUTED_VALUE"""),13.01)</f>
        <v>13.01</v>
      </c>
    </row>
    <row r="2104" spans="1:2">
      <c r="A2104" s="3">
        <f ca="1">IFERROR(__xludf.DUMMYFUNCTION("""COMPUTED_VALUE"""),41404.6666666666)</f>
        <v>41404.666666666599</v>
      </c>
      <c r="B2104" s="1">
        <f ca="1">IFERROR(__xludf.DUMMYFUNCTION("""COMPUTED_VALUE"""),13.18)</f>
        <v>13.18</v>
      </c>
    </row>
    <row r="2105" spans="1:2">
      <c r="A2105" s="3">
        <f ca="1">IFERROR(__xludf.DUMMYFUNCTION("""COMPUTED_VALUE"""),41407.6666666666)</f>
        <v>41407.666666666599</v>
      </c>
      <c r="B2105" s="1">
        <f ca="1">IFERROR(__xludf.DUMMYFUNCTION("""COMPUTED_VALUE"""),13.23)</f>
        <v>13.23</v>
      </c>
    </row>
    <row r="2106" spans="1:2">
      <c r="A2106" s="3">
        <f ca="1">IFERROR(__xludf.DUMMYFUNCTION("""COMPUTED_VALUE"""),41408.6666666666)</f>
        <v>41408.666666666599</v>
      </c>
      <c r="B2106" s="1">
        <f ca="1">IFERROR(__xludf.DUMMYFUNCTION("""COMPUTED_VALUE"""),13.42)</f>
        <v>13.42</v>
      </c>
    </row>
    <row r="2107" spans="1:2">
      <c r="A2107" s="3">
        <f ca="1">IFERROR(__xludf.DUMMYFUNCTION("""COMPUTED_VALUE"""),41409.6666666666)</f>
        <v>41409.666666666599</v>
      </c>
      <c r="B2107" s="1">
        <f ca="1">IFERROR(__xludf.DUMMYFUNCTION("""COMPUTED_VALUE"""),13.33)</f>
        <v>13.33</v>
      </c>
    </row>
    <row r="2108" spans="1:2">
      <c r="A2108" s="3">
        <f ca="1">IFERROR(__xludf.DUMMYFUNCTION("""COMPUTED_VALUE"""),41410.6666666666)</f>
        <v>41410.666666666599</v>
      </c>
      <c r="B2108" s="1">
        <f ca="1">IFERROR(__xludf.DUMMYFUNCTION("""COMPUTED_VALUE"""),13.21)</f>
        <v>13.21</v>
      </c>
    </row>
    <row r="2109" spans="1:2">
      <c r="A2109" s="3">
        <f ca="1">IFERROR(__xludf.DUMMYFUNCTION("""COMPUTED_VALUE"""),41411.6666666666)</f>
        <v>41411.666666666599</v>
      </c>
      <c r="B2109" s="1">
        <f ca="1">IFERROR(__xludf.DUMMYFUNCTION("""COMPUTED_VALUE"""),13.5)</f>
        <v>13.5</v>
      </c>
    </row>
    <row r="2110" spans="1:2">
      <c r="A2110" s="3">
        <f ca="1">IFERROR(__xludf.DUMMYFUNCTION("""COMPUTED_VALUE"""),41414.6666666666)</f>
        <v>41414.666666666599</v>
      </c>
      <c r="B2110" s="1">
        <f ca="1">IFERROR(__xludf.DUMMYFUNCTION("""COMPUTED_VALUE"""),13.38)</f>
        <v>13.38</v>
      </c>
    </row>
    <row r="2111" spans="1:2">
      <c r="A2111" s="3">
        <f ca="1">IFERROR(__xludf.DUMMYFUNCTION("""COMPUTED_VALUE"""),41415.6666666666)</f>
        <v>41415.666666666599</v>
      </c>
      <c r="B2111" s="1">
        <f ca="1">IFERROR(__xludf.DUMMYFUNCTION("""COMPUTED_VALUE"""),13.44)</f>
        <v>13.44</v>
      </c>
    </row>
    <row r="2112" spans="1:2">
      <c r="A2112" s="3">
        <f ca="1">IFERROR(__xludf.DUMMYFUNCTION("""COMPUTED_VALUE"""),41416.6666666666)</f>
        <v>41416.666666666599</v>
      </c>
      <c r="B2112" s="1">
        <f ca="1">IFERROR(__xludf.DUMMYFUNCTION("""COMPUTED_VALUE"""),13.15)</f>
        <v>13.15</v>
      </c>
    </row>
    <row r="2113" spans="1:2">
      <c r="A2113" s="3">
        <f ca="1">IFERROR(__xludf.DUMMYFUNCTION("""COMPUTED_VALUE"""),41417.6666666666)</f>
        <v>41417.666666666599</v>
      </c>
      <c r="B2113" s="1">
        <f ca="1">IFERROR(__xludf.DUMMYFUNCTION("""COMPUTED_VALUE"""),13.09)</f>
        <v>13.09</v>
      </c>
    </row>
    <row r="2114" spans="1:2">
      <c r="A2114" s="3">
        <f ca="1">IFERROR(__xludf.DUMMYFUNCTION("""COMPUTED_VALUE"""),41418.6666666666)</f>
        <v>41418.666666666599</v>
      </c>
      <c r="B2114" s="1">
        <f ca="1">IFERROR(__xludf.DUMMYFUNCTION("""COMPUTED_VALUE"""),13.09)</f>
        <v>13.09</v>
      </c>
    </row>
    <row r="2115" spans="1:2">
      <c r="A2115" s="3">
        <f ca="1">IFERROR(__xludf.DUMMYFUNCTION("""COMPUTED_VALUE"""),41422.6666666666)</f>
        <v>41422.666666666599</v>
      </c>
      <c r="B2115" s="1">
        <f ca="1">IFERROR(__xludf.DUMMYFUNCTION("""COMPUTED_VALUE"""),13.36)</f>
        <v>13.36</v>
      </c>
    </row>
    <row r="2116" spans="1:2">
      <c r="A2116" s="3">
        <f ca="1">IFERROR(__xludf.DUMMYFUNCTION("""COMPUTED_VALUE"""),41423.6666666666)</f>
        <v>41423.666666666599</v>
      </c>
      <c r="B2116" s="1">
        <f ca="1">IFERROR(__xludf.DUMMYFUNCTION("""COMPUTED_VALUE"""),13.28)</f>
        <v>13.28</v>
      </c>
    </row>
    <row r="2117" spans="1:2">
      <c r="A2117" s="3">
        <f ca="1">IFERROR(__xludf.DUMMYFUNCTION("""COMPUTED_VALUE"""),41424.6666666666)</f>
        <v>41424.666666666599</v>
      </c>
      <c r="B2117" s="1">
        <f ca="1">IFERROR(__xludf.DUMMYFUNCTION("""COMPUTED_VALUE"""),13.34)</f>
        <v>13.34</v>
      </c>
    </row>
    <row r="2118" spans="1:2">
      <c r="A2118" s="3">
        <f ca="1">IFERROR(__xludf.DUMMYFUNCTION("""COMPUTED_VALUE"""),41425.6666666666)</f>
        <v>41425.666666666599</v>
      </c>
      <c r="B2118" s="1">
        <f ca="1">IFERROR(__xludf.DUMMYFUNCTION("""COMPUTED_VALUE"""),13.46)</f>
        <v>13.46</v>
      </c>
    </row>
    <row r="2119" spans="1:2">
      <c r="A2119" s="3">
        <f ca="1">IFERROR(__xludf.DUMMYFUNCTION("""COMPUTED_VALUE"""),41428.6666666666)</f>
        <v>41428.666666666599</v>
      </c>
      <c r="B2119" s="1">
        <f ca="1">IFERROR(__xludf.DUMMYFUNCTION("""COMPUTED_VALUE"""),13.34)</f>
        <v>13.34</v>
      </c>
    </row>
    <row r="2120" spans="1:2">
      <c r="A2120" s="3">
        <f ca="1">IFERROR(__xludf.DUMMYFUNCTION("""COMPUTED_VALUE"""),41429.6666666666)</f>
        <v>41429.666666666599</v>
      </c>
      <c r="B2120" s="1">
        <f ca="1">IFERROR(__xludf.DUMMYFUNCTION("""COMPUTED_VALUE"""),13.29)</f>
        <v>13.29</v>
      </c>
    </row>
    <row r="2121" spans="1:2">
      <c r="A2121" s="3">
        <f ca="1">IFERROR(__xludf.DUMMYFUNCTION("""COMPUTED_VALUE"""),41430.6666666666)</f>
        <v>41430.666666666599</v>
      </c>
      <c r="B2121" s="1">
        <f ca="1">IFERROR(__xludf.DUMMYFUNCTION("""COMPUTED_VALUE"""),13.36)</f>
        <v>13.36</v>
      </c>
    </row>
    <row r="2122" spans="1:2">
      <c r="A2122" s="3">
        <f ca="1">IFERROR(__xludf.DUMMYFUNCTION("""COMPUTED_VALUE"""),41431.6666666666)</f>
        <v>41431.666666666599</v>
      </c>
      <c r="B2122" s="1">
        <f ca="1">IFERROR(__xludf.DUMMYFUNCTION("""COMPUTED_VALUE"""),13.39)</f>
        <v>13.39</v>
      </c>
    </row>
    <row r="2123" spans="1:2">
      <c r="A2123" s="3">
        <f ca="1">IFERROR(__xludf.DUMMYFUNCTION("""COMPUTED_VALUE"""),41432.6666666666)</f>
        <v>41432.666666666599</v>
      </c>
      <c r="B2123" s="1">
        <f ca="1">IFERROR(__xludf.DUMMYFUNCTION("""COMPUTED_VALUE"""),13.84)</f>
        <v>13.84</v>
      </c>
    </row>
    <row r="2124" spans="1:2">
      <c r="A2124" s="3">
        <f ca="1">IFERROR(__xludf.DUMMYFUNCTION("""COMPUTED_VALUE"""),41435.6666666666)</f>
        <v>41435.666666666599</v>
      </c>
      <c r="B2124" s="1">
        <f ca="1">IFERROR(__xludf.DUMMYFUNCTION("""COMPUTED_VALUE"""),14.05)</f>
        <v>14.05</v>
      </c>
    </row>
    <row r="2125" spans="1:2">
      <c r="A2125" s="3">
        <f ca="1">IFERROR(__xludf.DUMMYFUNCTION("""COMPUTED_VALUE"""),41436.6666666666)</f>
        <v>41436.666666666599</v>
      </c>
      <c r="B2125" s="1">
        <f ca="1">IFERROR(__xludf.DUMMYFUNCTION("""COMPUTED_VALUE"""),13.74)</f>
        <v>13.74</v>
      </c>
    </row>
    <row r="2126" spans="1:2">
      <c r="A2126" s="3">
        <f ca="1">IFERROR(__xludf.DUMMYFUNCTION("""COMPUTED_VALUE"""),41437.6666666666)</f>
        <v>41437.666666666599</v>
      </c>
      <c r="B2126" s="1">
        <f ca="1">IFERROR(__xludf.DUMMYFUNCTION("""COMPUTED_VALUE"""),13.58)</f>
        <v>13.58</v>
      </c>
    </row>
    <row r="2127" spans="1:2">
      <c r="A2127" s="3">
        <f ca="1">IFERROR(__xludf.DUMMYFUNCTION("""COMPUTED_VALUE"""),41438.6666666666)</f>
        <v>41438.666666666599</v>
      </c>
      <c r="B2127" s="1">
        <f ca="1">IFERROR(__xludf.DUMMYFUNCTION("""COMPUTED_VALUE"""),13.79)</f>
        <v>13.79</v>
      </c>
    </row>
    <row r="2128" spans="1:2">
      <c r="A2128" s="3">
        <f ca="1">IFERROR(__xludf.DUMMYFUNCTION("""COMPUTED_VALUE"""),41439.6666666666)</f>
        <v>41439.666666666599</v>
      </c>
      <c r="B2128" s="1">
        <f ca="1">IFERROR(__xludf.DUMMYFUNCTION("""COMPUTED_VALUE"""),13.7)</f>
        <v>13.7</v>
      </c>
    </row>
    <row r="2129" spans="1:2">
      <c r="A2129" s="3">
        <f ca="1">IFERROR(__xludf.DUMMYFUNCTION("""COMPUTED_VALUE"""),41442.6666666666)</f>
        <v>41442.666666666599</v>
      </c>
      <c r="B2129" s="1">
        <f ca="1">IFERROR(__xludf.DUMMYFUNCTION("""COMPUTED_VALUE"""),13.9)</f>
        <v>13.9</v>
      </c>
    </row>
    <row r="2130" spans="1:2">
      <c r="A2130" s="3">
        <f ca="1">IFERROR(__xludf.DUMMYFUNCTION("""COMPUTED_VALUE"""),41443.6666666666)</f>
        <v>41443.666666666599</v>
      </c>
      <c r="B2130" s="1">
        <f ca="1">IFERROR(__xludf.DUMMYFUNCTION("""COMPUTED_VALUE"""),14.09)</f>
        <v>14.09</v>
      </c>
    </row>
    <row r="2131" spans="1:2">
      <c r="A2131" s="3">
        <f ca="1">IFERROR(__xludf.DUMMYFUNCTION("""COMPUTED_VALUE"""),41444.6666666666)</f>
        <v>41444.666666666599</v>
      </c>
      <c r="B2131" s="1">
        <f ca="1">IFERROR(__xludf.DUMMYFUNCTION("""COMPUTED_VALUE"""),13.91)</f>
        <v>13.91</v>
      </c>
    </row>
    <row r="2132" spans="1:2">
      <c r="A2132" s="3">
        <f ca="1">IFERROR(__xludf.DUMMYFUNCTION("""COMPUTED_VALUE"""),41445.6666666666)</f>
        <v>41445.666666666599</v>
      </c>
      <c r="B2132" s="1">
        <f ca="1">IFERROR(__xludf.DUMMYFUNCTION("""COMPUTED_VALUE"""),13.67)</f>
        <v>13.67</v>
      </c>
    </row>
    <row r="2133" spans="1:2">
      <c r="A2133" s="3">
        <f ca="1">IFERROR(__xludf.DUMMYFUNCTION("""COMPUTED_VALUE"""),41446.6666666666)</f>
        <v>41446.666666666599</v>
      </c>
      <c r="B2133" s="1">
        <f ca="1">IFERROR(__xludf.DUMMYFUNCTION("""COMPUTED_VALUE"""),13.67)</f>
        <v>13.67</v>
      </c>
    </row>
    <row r="2134" spans="1:2">
      <c r="A2134" s="3">
        <f ca="1">IFERROR(__xludf.DUMMYFUNCTION("""COMPUTED_VALUE"""),41449.6666666666)</f>
        <v>41449.666666666599</v>
      </c>
      <c r="B2134" s="1">
        <f ca="1">IFERROR(__xludf.DUMMYFUNCTION("""COMPUTED_VALUE"""),13.53)</f>
        <v>13.53</v>
      </c>
    </row>
    <row r="2135" spans="1:2">
      <c r="A2135" s="3">
        <f ca="1">IFERROR(__xludf.DUMMYFUNCTION("""COMPUTED_VALUE"""),41450.6666666666)</f>
        <v>41450.666666666599</v>
      </c>
      <c r="B2135" s="1">
        <f ca="1">IFERROR(__xludf.DUMMYFUNCTION("""COMPUTED_VALUE"""),13.6)</f>
        <v>13.6</v>
      </c>
    </row>
    <row r="2136" spans="1:2">
      <c r="A2136" s="3">
        <f ca="1">IFERROR(__xludf.DUMMYFUNCTION("""COMPUTED_VALUE"""),41451.6666666666)</f>
        <v>41451.666666666599</v>
      </c>
      <c r="B2136" s="1">
        <f ca="1">IFERROR(__xludf.DUMMYFUNCTION("""COMPUTED_VALUE"""),13.88)</f>
        <v>13.88</v>
      </c>
    </row>
    <row r="2137" spans="1:2">
      <c r="A2137" s="3">
        <f ca="1">IFERROR(__xludf.DUMMYFUNCTION("""COMPUTED_VALUE"""),41452.6666666666)</f>
        <v>41452.666666666599</v>
      </c>
      <c r="B2137" s="1">
        <f ca="1">IFERROR(__xludf.DUMMYFUNCTION("""COMPUTED_VALUE"""),13.88)</f>
        <v>13.88</v>
      </c>
    </row>
    <row r="2138" spans="1:2">
      <c r="A2138" s="3">
        <f ca="1">IFERROR(__xludf.DUMMYFUNCTION("""COMPUTED_VALUE"""),41453.6666666666)</f>
        <v>41453.666666666599</v>
      </c>
      <c r="B2138" s="1">
        <f ca="1">IFERROR(__xludf.DUMMYFUNCTION("""COMPUTED_VALUE"""),13.88)</f>
        <v>13.88</v>
      </c>
    </row>
    <row r="2139" spans="1:2">
      <c r="A2139" s="3">
        <f ca="1">IFERROR(__xludf.DUMMYFUNCTION("""COMPUTED_VALUE"""),41456.6666666666)</f>
        <v>41456.666666666599</v>
      </c>
      <c r="B2139" s="1">
        <f ca="1">IFERROR(__xludf.DUMMYFUNCTION("""COMPUTED_VALUE"""),14.11)</f>
        <v>14.11</v>
      </c>
    </row>
    <row r="2140" spans="1:2">
      <c r="A2140" s="3">
        <f ca="1">IFERROR(__xludf.DUMMYFUNCTION("""COMPUTED_VALUE"""),41457.6666666666)</f>
        <v>41457.666666666599</v>
      </c>
      <c r="B2140" s="1">
        <f ca="1">IFERROR(__xludf.DUMMYFUNCTION("""COMPUTED_VALUE"""),14.19)</f>
        <v>14.19</v>
      </c>
    </row>
    <row r="2141" spans="1:2">
      <c r="A2141" s="3">
        <f ca="1">IFERROR(__xludf.DUMMYFUNCTION("""COMPUTED_VALUE"""),41458.6666666666)</f>
        <v>41458.666666666599</v>
      </c>
      <c r="B2141" s="1">
        <f ca="1">IFERROR(__xludf.DUMMYFUNCTION("""COMPUTED_VALUE"""),14.2)</f>
        <v>14.2</v>
      </c>
    </row>
    <row r="2142" spans="1:2">
      <c r="A2142" s="3">
        <f ca="1">IFERROR(__xludf.DUMMYFUNCTION("""COMPUTED_VALUE"""),41460.6666666666)</f>
        <v>41460.666666666599</v>
      </c>
      <c r="B2142" s="1">
        <f ca="1">IFERROR(__xludf.DUMMYFUNCTION("""COMPUTED_VALUE"""),14.29)</f>
        <v>14.29</v>
      </c>
    </row>
    <row r="2143" spans="1:2">
      <c r="A2143" s="3">
        <f ca="1">IFERROR(__xludf.DUMMYFUNCTION("""COMPUTED_VALUE"""),41463.6666666666)</f>
        <v>41463.666666666599</v>
      </c>
      <c r="B2143" s="1">
        <f ca="1">IFERROR(__xludf.DUMMYFUNCTION("""COMPUTED_VALUE"""),14.53)</f>
        <v>14.53</v>
      </c>
    </row>
    <row r="2144" spans="1:2">
      <c r="A2144" s="3">
        <f ca="1">IFERROR(__xludf.DUMMYFUNCTION("""COMPUTED_VALUE"""),41464.6666666666)</f>
        <v>41464.666666666599</v>
      </c>
      <c r="B2144" s="1">
        <f ca="1">IFERROR(__xludf.DUMMYFUNCTION("""COMPUTED_VALUE"""),14.58)</f>
        <v>14.58</v>
      </c>
    </row>
    <row r="2145" spans="1:2">
      <c r="A2145" s="3">
        <f ca="1">IFERROR(__xludf.DUMMYFUNCTION("""COMPUTED_VALUE"""),41465.6666666666)</f>
        <v>41465.666666666599</v>
      </c>
      <c r="B2145" s="1">
        <f ca="1">IFERROR(__xludf.DUMMYFUNCTION("""COMPUTED_VALUE"""),14.62)</f>
        <v>14.62</v>
      </c>
    </row>
    <row r="2146" spans="1:2">
      <c r="A2146" s="3">
        <f ca="1">IFERROR(__xludf.DUMMYFUNCTION("""COMPUTED_VALUE"""),41466.6666666666)</f>
        <v>41466.666666666599</v>
      </c>
      <c r="B2146" s="1">
        <f ca="1">IFERROR(__xludf.DUMMYFUNCTION("""COMPUTED_VALUE"""),14.98)</f>
        <v>14.98</v>
      </c>
    </row>
    <row r="2147" spans="1:2">
      <c r="A2147" s="3">
        <f ca="1">IFERROR(__xludf.DUMMYFUNCTION("""COMPUTED_VALUE"""),41467.6666666666)</f>
        <v>41467.666666666599</v>
      </c>
      <c r="B2147" s="1">
        <f ca="1">IFERROR(__xludf.DUMMYFUNCTION("""COMPUTED_VALUE"""),15.38)</f>
        <v>15.38</v>
      </c>
    </row>
    <row r="2148" spans="1:2">
      <c r="A2148" s="3">
        <f ca="1">IFERROR(__xludf.DUMMYFUNCTION("""COMPUTED_VALUE"""),41470.6666666666)</f>
        <v>41470.666666666599</v>
      </c>
      <c r="B2148" s="1">
        <f ca="1">IFERROR(__xludf.DUMMYFUNCTION("""COMPUTED_VALUE"""),15.33)</f>
        <v>15.33</v>
      </c>
    </row>
    <row r="2149" spans="1:2">
      <c r="A2149" s="3">
        <f ca="1">IFERROR(__xludf.DUMMYFUNCTION("""COMPUTED_VALUE"""),41471.6666666666)</f>
        <v>41471.666666666599</v>
      </c>
      <c r="B2149" s="1">
        <f ca="1">IFERROR(__xludf.DUMMYFUNCTION("""COMPUTED_VALUE"""),15.34)</f>
        <v>15.34</v>
      </c>
    </row>
    <row r="2150" spans="1:2">
      <c r="A2150" s="3">
        <f ca="1">IFERROR(__xludf.DUMMYFUNCTION("""COMPUTED_VALUE"""),41472.6666666666)</f>
        <v>41472.666666666599</v>
      </c>
      <c r="B2150" s="1">
        <f ca="1">IFERROR(__xludf.DUMMYFUNCTION("""COMPUTED_VALUE"""),15.43)</f>
        <v>15.43</v>
      </c>
    </row>
    <row r="2151" spans="1:2">
      <c r="A2151" s="3">
        <f ca="1">IFERROR(__xludf.DUMMYFUNCTION("""COMPUTED_VALUE"""),41473.6666666666)</f>
        <v>41473.666666666599</v>
      </c>
      <c r="B2151" s="1">
        <f ca="1">IFERROR(__xludf.DUMMYFUNCTION("""COMPUTED_VALUE"""),15.21)</f>
        <v>15.21</v>
      </c>
    </row>
    <row r="2152" spans="1:2">
      <c r="A2152" s="3">
        <f ca="1">IFERROR(__xludf.DUMMYFUNCTION("""COMPUTED_VALUE"""),41474.6666666666)</f>
        <v>41474.666666666599</v>
      </c>
      <c r="B2152" s="1">
        <f ca="1">IFERROR(__xludf.DUMMYFUNCTION("""COMPUTED_VALUE"""),15.26)</f>
        <v>15.26</v>
      </c>
    </row>
    <row r="2153" spans="1:2">
      <c r="A2153" s="3">
        <f ca="1">IFERROR(__xludf.DUMMYFUNCTION("""COMPUTED_VALUE"""),41477.6666666666)</f>
        <v>41477.666666666599</v>
      </c>
      <c r="B2153" s="1">
        <f ca="1">IFERROR(__xludf.DUMMYFUNCTION("""COMPUTED_VALUE"""),15.17)</f>
        <v>15.17</v>
      </c>
    </row>
    <row r="2154" spans="1:2">
      <c r="A2154" s="3">
        <f ca="1">IFERROR(__xludf.DUMMYFUNCTION("""COMPUTED_VALUE"""),41478.6666666666)</f>
        <v>41478.666666666599</v>
      </c>
      <c r="B2154" s="1">
        <f ca="1">IFERROR(__xludf.DUMMYFUNCTION("""COMPUTED_VALUE"""),15.05)</f>
        <v>15.05</v>
      </c>
    </row>
    <row r="2155" spans="1:2">
      <c r="A2155" s="3">
        <f ca="1">IFERROR(__xludf.DUMMYFUNCTION("""COMPUTED_VALUE"""),41479.6666666666)</f>
        <v>41479.666666666599</v>
      </c>
      <c r="B2155" s="1">
        <f ca="1">IFERROR(__xludf.DUMMYFUNCTION("""COMPUTED_VALUE"""),14.95)</f>
        <v>14.95</v>
      </c>
    </row>
    <row r="2156" spans="1:2">
      <c r="A2156" s="3">
        <f ca="1">IFERROR(__xludf.DUMMYFUNCTION("""COMPUTED_VALUE"""),41480.6666666666)</f>
        <v>41480.666666666599</v>
      </c>
      <c r="B2156" s="1">
        <f ca="1">IFERROR(__xludf.DUMMYFUNCTION("""COMPUTED_VALUE"""),15.17)</f>
        <v>15.17</v>
      </c>
    </row>
    <row r="2157" spans="1:2">
      <c r="A2157" s="3">
        <f ca="1">IFERROR(__xludf.DUMMYFUNCTION("""COMPUTED_VALUE"""),41481.6666666666)</f>
        <v>41481.666666666599</v>
      </c>
      <c r="B2157" s="1">
        <f ca="1">IFERROR(__xludf.DUMMYFUNCTION("""COMPUTED_VALUE"""),15.6)</f>
        <v>15.6</v>
      </c>
    </row>
    <row r="2158" spans="1:2">
      <c r="A2158" s="3">
        <f ca="1">IFERROR(__xludf.DUMMYFUNCTION("""COMPUTED_VALUE"""),41484.6666666666)</f>
        <v>41484.666666666599</v>
      </c>
      <c r="B2158" s="1">
        <f ca="1">IFERROR(__xludf.DUMMYFUNCTION("""COMPUTED_VALUE"""),15.31)</f>
        <v>15.31</v>
      </c>
    </row>
    <row r="2159" spans="1:2">
      <c r="A2159" s="3">
        <f ca="1">IFERROR(__xludf.DUMMYFUNCTION("""COMPUTED_VALUE"""),41485.6666666666)</f>
        <v>41485.666666666599</v>
      </c>
      <c r="B2159" s="1">
        <f ca="1">IFERROR(__xludf.DUMMYFUNCTION("""COMPUTED_VALUE"""),15.12)</f>
        <v>15.12</v>
      </c>
    </row>
    <row r="2160" spans="1:2">
      <c r="A2160" s="3">
        <f ca="1">IFERROR(__xludf.DUMMYFUNCTION("""COMPUTED_VALUE"""),41486.6666666666)</f>
        <v>41486.666666666599</v>
      </c>
      <c r="B2160" s="1">
        <f ca="1">IFERROR(__xludf.DUMMYFUNCTION("""COMPUTED_VALUE"""),15.06)</f>
        <v>15.06</v>
      </c>
    </row>
    <row r="2161" spans="1:2">
      <c r="A2161" s="3">
        <f ca="1">IFERROR(__xludf.DUMMYFUNCTION("""COMPUTED_VALUE"""),41487.6666666666)</f>
        <v>41487.666666666599</v>
      </c>
      <c r="B2161" s="1">
        <f ca="1">IFERROR(__xludf.DUMMYFUNCTION("""COMPUTED_VALUE"""),15.28)</f>
        <v>15.28</v>
      </c>
    </row>
    <row r="2162" spans="1:2">
      <c r="A2162" s="3">
        <f ca="1">IFERROR(__xludf.DUMMYFUNCTION("""COMPUTED_VALUE"""),41488.6666666666)</f>
        <v>41488.666666666599</v>
      </c>
      <c r="B2162" s="1">
        <f ca="1">IFERROR(__xludf.DUMMYFUNCTION("""COMPUTED_VALUE"""),15.21)</f>
        <v>15.21</v>
      </c>
    </row>
    <row r="2163" spans="1:2">
      <c r="A2163" s="3">
        <f ca="1">IFERROR(__xludf.DUMMYFUNCTION("""COMPUTED_VALUE"""),41491.6666666666)</f>
        <v>41491.666666666599</v>
      </c>
      <c r="B2163" s="1">
        <f ca="1">IFERROR(__xludf.DUMMYFUNCTION("""COMPUTED_VALUE"""),15.05)</f>
        <v>15.05</v>
      </c>
    </row>
    <row r="2164" spans="1:2">
      <c r="A2164" s="3">
        <f ca="1">IFERROR(__xludf.DUMMYFUNCTION("""COMPUTED_VALUE"""),41492.6666666666)</f>
        <v>41492.666666666599</v>
      </c>
      <c r="B2164" s="1">
        <f ca="1">IFERROR(__xludf.DUMMYFUNCTION("""COMPUTED_VALUE"""),15.04)</f>
        <v>15.04</v>
      </c>
    </row>
    <row r="2165" spans="1:2">
      <c r="A2165" s="3">
        <f ca="1">IFERROR(__xludf.DUMMYFUNCTION("""COMPUTED_VALUE"""),41493.6666666666)</f>
        <v>41493.666666666599</v>
      </c>
      <c r="B2165" s="1">
        <f ca="1">IFERROR(__xludf.DUMMYFUNCTION("""COMPUTED_VALUE"""),14.85)</f>
        <v>14.85</v>
      </c>
    </row>
    <row r="2166" spans="1:2">
      <c r="A2166" s="3">
        <f ca="1">IFERROR(__xludf.DUMMYFUNCTION("""COMPUTED_VALUE"""),41494.6666666666)</f>
        <v>41494.666666666599</v>
      </c>
      <c r="B2166" s="1">
        <f ca="1">IFERROR(__xludf.DUMMYFUNCTION("""COMPUTED_VALUE"""),14.79)</f>
        <v>14.79</v>
      </c>
    </row>
    <row r="2167" spans="1:2">
      <c r="A2167" s="3">
        <f ca="1">IFERROR(__xludf.DUMMYFUNCTION("""COMPUTED_VALUE"""),41495.6666666666)</f>
        <v>41495.666666666599</v>
      </c>
      <c r="B2167" s="1">
        <f ca="1">IFERROR(__xludf.DUMMYFUNCTION("""COMPUTED_VALUE"""),14.86)</f>
        <v>14.86</v>
      </c>
    </row>
    <row r="2168" spans="1:2">
      <c r="A2168" s="3">
        <f ca="1">IFERROR(__xludf.DUMMYFUNCTION("""COMPUTED_VALUE"""),41498.6666666666)</f>
        <v>41498.666666666599</v>
      </c>
      <c r="B2168" s="1">
        <f ca="1">IFERROR(__xludf.DUMMYFUNCTION("""COMPUTED_VALUE"""),14.83)</f>
        <v>14.83</v>
      </c>
    </row>
    <row r="2169" spans="1:2">
      <c r="A2169" s="3">
        <f ca="1">IFERROR(__xludf.DUMMYFUNCTION("""COMPUTED_VALUE"""),41499.6666666666)</f>
        <v>41499.666666666599</v>
      </c>
      <c r="B2169" s="1">
        <f ca="1">IFERROR(__xludf.DUMMYFUNCTION("""COMPUTED_VALUE"""),14.7)</f>
        <v>14.7</v>
      </c>
    </row>
    <row r="2170" spans="1:2">
      <c r="A2170" s="3">
        <f ca="1">IFERROR(__xludf.DUMMYFUNCTION("""COMPUTED_VALUE"""),41500.6666666666)</f>
        <v>41500.666666666599</v>
      </c>
      <c r="B2170" s="1">
        <f ca="1">IFERROR(__xludf.DUMMYFUNCTION("""COMPUTED_VALUE"""),14.57)</f>
        <v>14.57</v>
      </c>
    </row>
    <row r="2171" spans="1:2">
      <c r="A2171" s="3">
        <f ca="1">IFERROR(__xludf.DUMMYFUNCTION("""COMPUTED_VALUE"""),41501.6666666666)</f>
        <v>41501.666666666599</v>
      </c>
      <c r="B2171" s="1">
        <f ca="1">IFERROR(__xludf.DUMMYFUNCTION("""COMPUTED_VALUE"""),14.32)</f>
        <v>14.32</v>
      </c>
    </row>
    <row r="2172" spans="1:2">
      <c r="A2172" s="3">
        <f ca="1">IFERROR(__xludf.DUMMYFUNCTION("""COMPUTED_VALUE"""),41502.6666666666)</f>
        <v>41502.666666666599</v>
      </c>
      <c r="B2172" s="1">
        <f ca="1">IFERROR(__xludf.DUMMYFUNCTION("""COMPUTED_VALUE"""),14.24)</f>
        <v>14.24</v>
      </c>
    </row>
    <row r="2173" spans="1:2">
      <c r="A2173" s="3">
        <f ca="1">IFERROR(__xludf.DUMMYFUNCTION("""COMPUTED_VALUE"""),41505.6666666666)</f>
        <v>41505.666666666599</v>
      </c>
      <c r="B2173" s="1">
        <f ca="1">IFERROR(__xludf.DUMMYFUNCTION("""COMPUTED_VALUE"""),14.28)</f>
        <v>14.28</v>
      </c>
    </row>
    <row r="2174" spans="1:2">
      <c r="A2174" s="3">
        <f ca="1">IFERROR(__xludf.DUMMYFUNCTION("""COMPUTED_VALUE"""),41506.6666666666)</f>
        <v>41506.666666666599</v>
      </c>
      <c r="B2174" s="1">
        <f ca="1">IFERROR(__xludf.DUMMYFUNCTION("""COMPUTED_VALUE"""),14.35)</f>
        <v>14.35</v>
      </c>
    </row>
    <row r="2175" spans="1:2">
      <c r="A2175" s="3">
        <f ca="1">IFERROR(__xludf.DUMMYFUNCTION("""COMPUTED_VALUE"""),41507.6666666666)</f>
        <v>41507.666666666599</v>
      </c>
      <c r="B2175" s="1">
        <f ca="1">IFERROR(__xludf.DUMMYFUNCTION("""COMPUTED_VALUE"""),14.23)</f>
        <v>14.23</v>
      </c>
    </row>
    <row r="2176" spans="1:2">
      <c r="A2176" s="3">
        <f ca="1">IFERROR(__xludf.DUMMYFUNCTION("""COMPUTED_VALUE"""),41508.6666666666)</f>
        <v>41508.666666666599</v>
      </c>
      <c r="B2176" s="1">
        <f ca="1">IFERROR(__xludf.DUMMYFUNCTION("""COMPUTED_VALUE"""),14.49)</f>
        <v>14.49</v>
      </c>
    </row>
    <row r="2177" spans="1:2">
      <c r="A2177" s="3">
        <f ca="1">IFERROR(__xludf.DUMMYFUNCTION("""COMPUTED_VALUE"""),41509.6666666666)</f>
        <v>41509.666666666599</v>
      </c>
      <c r="B2177" s="1">
        <f ca="1">IFERROR(__xludf.DUMMYFUNCTION("""COMPUTED_VALUE"""),14.5)</f>
        <v>14.5</v>
      </c>
    </row>
    <row r="2178" spans="1:2">
      <c r="A2178" s="3">
        <f ca="1">IFERROR(__xludf.DUMMYFUNCTION("""COMPUTED_VALUE"""),41512.6666666666)</f>
        <v>41512.666666666599</v>
      </c>
      <c r="B2178" s="1">
        <f ca="1">IFERROR(__xludf.DUMMYFUNCTION("""COMPUTED_VALUE"""),14.31)</f>
        <v>14.31</v>
      </c>
    </row>
    <row r="2179" spans="1:2">
      <c r="A2179" s="3">
        <f ca="1">IFERROR(__xludf.DUMMYFUNCTION("""COMPUTED_VALUE"""),41513.6666666666)</f>
        <v>41513.666666666599</v>
      </c>
      <c r="B2179" s="1">
        <f ca="1">IFERROR(__xludf.DUMMYFUNCTION("""COMPUTED_VALUE"""),14.05)</f>
        <v>14.05</v>
      </c>
    </row>
    <row r="2180" spans="1:2">
      <c r="A2180" s="3">
        <f ca="1">IFERROR(__xludf.DUMMYFUNCTION("""COMPUTED_VALUE"""),41514.6666666666)</f>
        <v>41514.666666666599</v>
      </c>
      <c r="B2180" s="1">
        <f ca="1">IFERROR(__xludf.DUMMYFUNCTION("""COMPUTED_VALUE"""),14.08)</f>
        <v>14.08</v>
      </c>
    </row>
    <row r="2181" spans="1:2">
      <c r="A2181" s="3">
        <f ca="1">IFERROR(__xludf.DUMMYFUNCTION("""COMPUTED_VALUE"""),41515.6666666666)</f>
        <v>41515.666666666599</v>
      </c>
      <c r="B2181" s="1">
        <f ca="1">IFERROR(__xludf.DUMMYFUNCTION("""COMPUTED_VALUE"""),14.2)</f>
        <v>14.2</v>
      </c>
    </row>
    <row r="2182" spans="1:2">
      <c r="A2182" s="3">
        <f ca="1">IFERROR(__xludf.DUMMYFUNCTION("""COMPUTED_VALUE"""),41516.6666666666)</f>
        <v>41516.666666666599</v>
      </c>
      <c r="B2182" s="1">
        <f ca="1">IFERROR(__xludf.DUMMYFUNCTION("""COMPUTED_VALUE"""),14.05)</f>
        <v>14.05</v>
      </c>
    </row>
    <row r="2183" spans="1:2">
      <c r="A2183" s="3">
        <f ca="1">IFERROR(__xludf.DUMMYFUNCTION("""COMPUTED_VALUE"""),41520.6666666666)</f>
        <v>41520.666666666599</v>
      </c>
      <c r="B2183" s="1">
        <f ca="1">IFERROR(__xludf.DUMMYFUNCTION("""COMPUTED_VALUE"""),14.44)</f>
        <v>14.44</v>
      </c>
    </row>
    <row r="2184" spans="1:2">
      <c r="A2184" s="3">
        <f ca="1">IFERROR(__xludf.DUMMYFUNCTION("""COMPUTED_VALUE"""),41521.6666666666)</f>
        <v>41521.666666666599</v>
      </c>
      <c r="B2184" s="1">
        <f ca="1">IFERROR(__xludf.DUMMYFUNCTION("""COMPUTED_VALUE"""),14.68)</f>
        <v>14.68</v>
      </c>
    </row>
    <row r="2185" spans="1:2">
      <c r="A2185" s="3">
        <f ca="1">IFERROR(__xludf.DUMMYFUNCTION("""COMPUTED_VALUE"""),41522.6666666666)</f>
        <v>41522.666666666599</v>
      </c>
      <c r="B2185" s="1">
        <f ca="1">IFERROR(__xludf.DUMMYFUNCTION("""COMPUTED_VALUE"""),14.71)</f>
        <v>14.71</v>
      </c>
    </row>
    <row r="2186" spans="1:2">
      <c r="A2186" s="3">
        <f ca="1">IFERROR(__xludf.DUMMYFUNCTION("""COMPUTED_VALUE"""),41523.6666666666)</f>
        <v>41523.666666666599</v>
      </c>
      <c r="B2186" s="1">
        <f ca="1">IFERROR(__xludf.DUMMYFUNCTION("""COMPUTED_VALUE"""),14.79)</f>
        <v>14.79</v>
      </c>
    </row>
    <row r="2187" spans="1:2">
      <c r="A2187" s="3">
        <f ca="1">IFERROR(__xludf.DUMMYFUNCTION("""COMPUTED_VALUE"""),41526.6666666666)</f>
        <v>41526.666666666599</v>
      </c>
      <c r="B2187" s="1">
        <f ca="1">IFERROR(__xludf.DUMMYFUNCTION("""COMPUTED_VALUE"""),14.99)</f>
        <v>14.99</v>
      </c>
    </row>
    <row r="2188" spans="1:2">
      <c r="A2188" s="3">
        <f ca="1">IFERROR(__xludf.DUMMYFUNCTION("""COMPUTED_VALUE"""),41527.6666666666)</f>
        <v>41527.666666666599</v>
      </c>
      <c r="B2188" s="1">
        <f ca="1">IFERROR(__xludf.DUMMYFUNCTION("""COMPUTED_VALUE"""),15.02)</f>
        <v>15.02</v>
      </c>
    </row>
    <row r="2189" spans="1:2">
      <c r="A2189" s="3">
        <f ca="1">IFERROR(__xludf.DUMMYFUNCTION("""COMPUTED_VALUE"""),41528.6666666666)</f>
        <v>41528.666666666599</v>
      </c>
      <c r="B2189" s="1">
        <f ca="1">IFERROR(__xludf.DUMMYFUNCTION("""COMPUTED_VALUE"""),14.98)</f>
        <v>14.98</v>
      </c>
    </row>
    <row r="2190" spans="1:2">
      <c r="A2190" s="3">
        <f ca="1">IFERROR(__xludf.DUMMYFUNCTION("""COMPUTED_VALUE"""),41529.6666666666)</f>
        <v>41529.666666666599</v>
      </c>
      <c r="B2190" s="1">
        <f ca="1">IFERROR(__xludf.DUMMYFUNCTION("""COMPUTED_VALUE"""),14.94)</f>
        <v>14.94</v>
      </c>
    </row>
    <row r="2191" spans="1:2">
      <c r="A2191" s="3">
        <f ca="1">IFERROR(__xludf.DUMMYFUNCTION("""COMPUTED_VALUE"""),41530.6666666666)</f>
        <v>41530.666666666599</v>
      </c>
      <c r="B2191" s="1">
        <f ca="1">IFERROR(__xludf.DUMMYFUNCTION("""COMPUTED_VALUE"""),14.9)</f>
        <v>14.9</v>
      </c>
    </row>
    <row r="2192" spans="1:2">
      <c r="A2192" s="3">
        <f ca="1">IFERROR(__xludf.DUMMYFUNCTION("""COMPUTED_VALUE"""),41533.6666666666)</f>
        <v>41533.666666666599</v>
      </c>
      <c r="B2192" s="1">
        <f ca="1">IFERROR(__xludf.DUMMYFUNCTION("""COMPUTED_VALUE"""),14.8)</f>
        <v>14.8</v>
      </c>
    </row>
    <row r="2193" spans="1:2">
      <c r="A2193" s="3">
        <f ca="1">IFERROR(__xludf.DUMMYFUNCTION("""COMPUTED_VALUE"""),41534.6666666666)</f>
        <v>41534.666666666599</v>
      </c>
      <c r="B2193" s="1">
        <f ca="1">IFERROR(__xludf.DUMMYFUNCTION("""COMPUTED_VALUE"""),15.21)</f>
        <v>15.21</v>
      </c>
    </row>
    <row r="2194" spans="1:2">
      <c r="A2194" s="3">
        <f ca="1">IFERROR(__xludf.DUMMYFUNCTION("""COMPUTED_VALUE"""),41535.6666666666)</f>
        <v>41535.666666666599</v>
      </c>
      <c r="B2194" s="1">
        <f ca="1">IFERROR(__xludf.DUMMYFUNCTION("""COMPUTED_VALUE"""),15.6)</f>
        <v>15.6</v>
      </c>
    </row>
    <row r="2195" spans="1:2">
      <c r="A2195" s="3">
        <f ca="1">IFERROR(__xludf.DUMMYFUNCTION("""COMPUTED_VALUE"""),41536.6666666666)</f>
        <v>41536.666666666599</v>
      </c>
      <c r="B2195" s="1">
        <f ca="1">IFERROR(__xludf.DUMMYFUNCTION("""COMPUTED_VALUE"""),15.6)</f>
        <v>15.6</v>
      </c>
    </row>
    <row r="2196" spans="1:2">
      <c r="A2196" s="3">
        <f ca="1">IFERROR(__xludf.DUMMYFUNCTION("""COMPUTED_VALUE"""),41537.6666666666)</f>
        <v>41537.666666666599</v>
      </c>
      <c r="B2196" s="1">
        <f ca="1">IFERROR(__xludf.DUMMYFUNCTION("""COMPUTED_VALUE"""),15.82)</f>
        <v>15.82</v>
      </c>
    </row>
    <row r="2197" spans="1:2">
      <c r="A2197" s="3">
        <f ca="1">IFERROR(__xludf.DUMMYFUNCTION("""COMPUTED_VALUE"""),41540.6666666666)</f>
        <v>41540.666666666599</v>
      </c>
      <c r="B2197" s="1">
        <f ca="1">IFERROR(__xludf.DUMMYFUNCTION("""COMPUTED_VALUE"""),15.57)</f>
        <v>15.57</v>
      </c>
    </row>
    <row r="2198" spans="1:2">
      <c r="A2198" s="3">
        <f ca="1">IFERROR(__xludf.DUMMYFUNCTION("""COMPUTED_VALUE"""),41541.6666666666)</f>
        <v>41541.666666666599</v>
      </c>
      <c r="B2198" s="1">
        <f ca="1">IFERROR(__xludf.DUMMYFUNCTION("""COMPUTED_VALUE"""),15.71)</f>
        <v>15.71</v>
      </c>
    </row>
    <row r="2199" spans="1:2">
      <c r="A2199" s="3">
        <f ca="1">IFERROR(__xludf.DUMMYFUNCTION("""COMPUTED_VALUE"""),41542.6666666666)</f>
        <v>41542.666666666599</v>
      </c>
      <c r="B2199" s="1">
        <f ca="1">IFERROR(__xludf.DUMMYFUNCTION("""COMPUTED_VALUE"""),15.63)</f>
        <v>15.63</v>
      </c>
    </row>
    <row r="2200" spans="1:2">
      <c r="A2200" s="3">
        <f ca="1">IFERROR(__xludf.DUMMYFUNCTION("""COMPUTED_VALUE"""),41543.6666666666)</f>
        <v>41543.666666666599</v>
      </c>
      <c r="B2200" s="1">
        <f ca="1">IFERROR(__xludf.DUMMYFUNCTION("""COMPUTED_VALUE"""),15.91)</f>
        <v>15.91</v>
      </c>
    </row>
    <row r="2201" spans="1:2">
      <c r="A2201" s="3">
        <f ca="1">IFERROR(__xludf.DUMMYFUNCTION("""COMPUTED_VALUE"""),41544.6666666666)</f>
        <v>41544.666666666599</v>
      </c>
      <c r="B2201" s="1">
        <f ca="1">IFERROR(__xludf.DUMMYFUNCTION("""COMPUTED_VALUE"""),15.8)</f>
        <v>15.8</v>
      </c>
    </row>
    <row r="2202" spans="1:2">
      <c r="A2202" s="3">
        <f ca="1">IFERROR(__xludf.DUMMYFUNCTION("""COMPUTED_VALUE"""),41547.6666666666)</f>
        <v>41547.666666666599</v>
      </c>
      <c r="B2202" s="1">
        <f ca="1">IFERROR(__xludf.DUMMYFUNCTION("""COMPUTED_VALUE"""),15.63)</f>
        <v>15.63</v>
      </c>
    </row>
    <row r="2203" spans="1:2">
      <c r="A2203" s="3">
        <f ca="1">IFERROR(__xludf.DUMMYFUNCTION("""COMPUTED_VALUE"""),41548.6666666666)</f>
        <v>41548.666666666599</v>
      </c>
      <c r="B2203" s="1">
        <f ca="1">IFERROR(__xludf.DUMMYFUNCTION("""COMPUTED_VALUE"""),16.05)</f>
        <v>16.05</v>
      </c>
    </row>
    <row r="2204" spans="1:2">
      <c r="A2204" s="3">
        <f ca="1">IFERROR(__xludf.DUMMYFUNCTION("""COMPUTED_VALUE"""),41549.6666666666)</f>
        <v>41549.666666666599</v>
      </c>
      <c r="B2204" s="1">
        <f ca="1">IFERROR(__xludf.DUMMYFUNCTION("""COMPUTED_VALUE"""),16.03)</f>
        <v>16.03</v>
      </c>
    </row>
    <row r="2205" spans="1:2">
      <c r="A2205" s="3">
        <f ca="1">IFERROR(__xludf.DUMMYFUNCTION("""COMPUTED_VALUE"""),41550.6666666666)</f>
        <v>41550.666666666599</v>
      </c>
      <c r="B2205" s="1">
        <f ca="1">IFERROR(__xludf.DUMMYFUNCTION("""COMPUTED_VALUE"""),15.74)</f>
        <v>15.74</v>
      </c>
    </row>
    <row r="2206" spans="1:2">
      <c r="A2206" s="3">
        <f ca="1">IFERROR(__xludf.DUMMYFUNCTION("""COMPUTED_VALUE"""),41551.6666666666)</f>
        <v>41551.666666666599</v>
      </c>
      <c r="B2206" s="1">
        <f ca="1">IFERROR(__xludf.DUMMYFUNCTION("""COMPUTED_VALUE"""),15.95)</f>
        <v>15.95</v>
      </c>
    </row>
    <row r="2207" spans="1:2">
      <c r="A2207" s="3">
        <f ca="1">IFERROR(__xludf.DUMMYFUNCTION("""COMPUTED_VALUE"""),41554.6666666666)</f>
        <v>41554.666666666599</v>
      </c>
      <c r="B2207" s="1">
        <f ca="1">IFERROR(__xludf.DUMMYFUNCTION("""COMPUTED_VALUE"""),15.5)</f>
        <v>15.5</v>
      </c>
    </row>
    <row r="2208" spans="1:2">
      <c r="A2208" s="3">
        <f ca="1">IFERROR(__xludf.DUMMYFUNCTION("""COMPUTED_VALUE"""),41555.6666666666)</f>
        <v>41555.666666666599</v>
      </c>
      <c r="B2208" s="1">
        <f ca="1">IFERROR(__xludf.DUMMYFUNCTION("""COMPUTED_VALUE"""),15.16)</f>
        <v>15.16</v>
      </c>
    </row>
    <row r="2209" spans="1:2">
      <c r="A2209" s="3">
        <f ca="1">IFERROR(__xludf.DUMMYFUNCTION("""COMPUTED_VALUE"""),41556.6666666666)</f>
        <v>41556.666666666599</v>
      </c>
      <c r="B2209" s="1">
        <f ca="1">IFERROR(__xludf.DUMMYFUNCTION("""COMPUTED_VALUE"""),14.91)</f>
        <v>14.91</v>
      </c>
    </row>
    <row r="2210" spans="1:2">
      <c r="A2210" s="3">
        <f ca="1">IFERROR(__xludf.DUMMYFUNCTION("""COMPUTED_VALUE"""),41557.6666666666)</f>
        <v>41557.666666666599</v>
      </c>
      <c r="B2210" s="1">
        <f ca="1">IFERROR(__xludf.DUMMYFUNCTION("""COMPUTED_VALUE"""),15.26)</f>
        <v>15.26</v>
      </c>
    </row>
    <row r="2211" spans="1:2">
      <c r="A2211" s="3">
        <f ca="1">IFERROR(__xludf.DUMMYFUNCTION("""COMPUTED_VALUE"""),41558.6666666666)</f>
        <v>41558.666666666599</v>
      </c>
      <c r="B2211" s="1">
        <f ca="1">IFERROR(__xludf.DUMMYFUNCTION("""COMPUTED_VALUE"""),15.54)</f>
        <v>15.54</v>
      </c>
    </row>
    <row r="2212" spans="1:2">
      <c r="A2212" s="3">
        <f ca="1">IFERROR(__xludf.DUMMYFUNCTION("""COMPUTED_VALUE"""),41561.6666666666)</f>
        <v>41561.666666666599</v>
      </c>
      <c r="B2212" s="1">
        <f ca="1">IFERROR(__xludf.DUMMYFUNCTION("""COMPUTED_VALUE"""),15.54)</f>
        <v>15.54</v>
      </c>
    </row>
    <row r="2213" spans="1:2">
      <c r="A2213" s="3">
        <f ca="1">IFERROR(__xludf.DUMMYFUNCTION("""COMPUTED_VALUE"""),41562.6666666666)</f>
        <v>41562.666666666599</v>
      </c>
      <c r="B2213" s="1">
        <f ca="1">IFERROR(__xludf.DUMMYFUNCTION("""COMPUTED_VALUE"""),15.32)</f>
        <v>15.32</v>
      </c>
    </row>
    <row r="2214" spans="1:2">
      <c r="A2214" s="3">
        <f ca="1">IFERROR(__xludf.DUMMYFUNCTION("""COMPUTED_VALUE"""),41563.6666666666)</f>
        <v>41563.666666666599</v>
      </c>
      <c r="B2214" s="1">
        <f ca="1">IFERROR(__xludf.DUMMYFUNCTION("""COMPUTED_VALUE"""),15.52)</f>
        <v>15.52</v>
      </c>
    </row>
    <row r="2215" spans="1:2">
      <c r="A2215" s="3">
        <f ca="1">IFERROR(__xludf.DUMMYFUNCTION("""COMPUTED_VALUE"""),41564.6666666666)</f>
        <v>41564.666666666599</v>
      </c>
      <c r="B2215" s="1">
        <f ca="1">IFERROR(__xludf.DUMMYFUNCTION("""COMPUTED_VALUE"""),15.54)</f>
        <v>15.54</v>
      </c>
    </row>
    <row r="2216" spans="1:2">
      <c r="A2216" s="3">
        <f ca="1">IFERROR(__xludf.DUMMYFUNCTION("""COMPUTED_VALUE"""),41565.6666666666)</f>
        <v>41565.666666666599</v>
      </c>
      <c r="B2216" s="1">
        <f ca="1">IFERROR(__xludf.DUMMYFUNCTION("""COMPUTED_VALUE"""),16.45)</f>
        <v>16.45</v>
      </c>
    </row>
    <row r="2217" spans="1:2">
      <c r="A2217" s="3">
        <f ca="1">IFERROR(__xludf.DUMMYFUNCTION("""COMPUTED_VALUE"""),41568.6666666666)</f>
        <v>41568.666666666599</v>
      </c>
      <c r="B2217" s="1">
        <f ca="1">IFERROR(__xludf.DUMMYFUNCTION("""COMPUTED_VALUE"""),16.32)</f>
        <v>16.32</v>
      </c>
    </row>
    <row r="2218" spans="1:2">
      <c r="A2218" s="3">
        <f ca="1">IFERROR(__xludf.DUMMYFUNCTION("""COMPUTED_VALUE"""),41569.6666666666)</f>
        <v>41569.666666666599</v>
      </c>
      <c r="B2218" s="1">
        <f ca="1">IFERROR(__xludf.DUMMYFUNCTION("""COMPUTED_VALUE"""),16.63)</f>
        <v>16.63</v>
      </c>
    </row>
    <row r="2219" spans="1:2">
      <c r="A2219" s="3">
        <f ca="1">IFERROR(__xludf.DUMMYFUNCTION("""COMPUTED_VALUE"""),41570.6666666666)</f>
        <v>41570.666666666599</v>
      </c>
      <c r="B2219" s="1">
        <f ca="1">IFERROR(__xludf.DUMMYFUNCTION("""COMPUTED_VALUE"""),16.34)</f>
        <v>16.34</v>
      </c>
    </row>
    <row r="2220" spans="1:2">
      <c r="A2220" s="3">
        <f ca="1">IFERROR(__xludf.DUMMYFUNCTION("""COMPUTED_VALUE"""),41571.6666666666)</f>
        <v>41571.666666666599</v>
      </c>
      <c r="B2220" s="1">
        <f ca="1">IFERROR(__xludf.DUMMYFUNCTION("""COMPUTED_VALUE"""),16.61)</f>
        <v>16.61</v>
      </c>
    </row>
    <row r="2221" spans="1:2">
      <c r="A2221" s="3">
        <f ca="1">IFERROR(__xludf.DUMMYFUNCTION("""COMPUTED_VALUE"""),41572.6666666666)</f>
        <v>41572.666666666599</v>
      </c>
      <c r="B2221" s="1">
        <f ca="1">IFERROR(__xludf.DUMMYFUNCTION("""COMPUTED_VALUE"""),18.17)</f>
        <v>18.170000000000002</v>
      </c>
    </row>
    <row r="2222" spans="1:2">
      <c r="A2222" s="3">
        <f ca="1">IFERROR(__xludf.DUMMYFUNCTION("""COMPUTED_VALUE"""),41575.6666666666)</f>
        <v>41575.666666666599</v>
      </c>
      <c r="B2222" s="1">
        <f ca="1">IFERROR(__xludf.DUMMYFUNCTION("""COMPUTED_VALUE"""),17.91)</f>
        <v>17.91</v>
      </c>
    </row>
    <row r="2223" spans="1:2">
      <c r="A2223" s="3">
        <f ca="1">IFERROR(__xludf.DUMMYFUNCTION("""COMPUTED_VALUE"""),41576.6666666666)</f>
        <v>41576.666666666599</v>
      </c>
      <c r="B2223" s="1">
        <f ca="1">IFERROR(__xludf.DUMMYFUNCTION("""COMPUTED_VALUE"""),18.14)</f>
        <v>18.14</v>
      </c>
    </row>
    <row r="2224" spans="1:2">
      <c r="A2224" s="3">
        <f ca="1">IFERROR(__xludf.DUMMYFUNCTION("""COMPUTED_VALUE"""),41577.6666666666)</f>
        <v>41577.666666666599</v>
      </c>
      <c r="B2224" s="1">
        <f ca="1">IFERROR(__xludf.DUMMYFUNCTION("""COMPUTED_VALUE"""),18.05)</f>
        <v>18.05</v>
      </c>
    </row>
    <row r="2225" spans="1:2">
      <c r="A2225" s="3">
        <f ca="1">IFERROR(__xludf.DUMMYFUNCTION("""COMPUTED_VALUE"""),41578.6666666666)</f>
        <v>41578.666666666599</v>
      </c>
      <c r="B2225" s="1">
        <f ca="1">IFERROR(__xludf.DUMMYFUNCTION("""COMPUTED_VALUE"""),18.2)</f>
        <v>18.2</v>
      </c>
    </row>
    <row r="2226" spans="1:2">
      <c r="A2226" s="3">
        <f ca="1">IFERROR(__xludf.DUMMYFUNCTION("""COMPUTED_VALUE"""),41579.6666666666)</f>
        <v>41579.666666666599</v>
      </c>
      <c r="B2226" s="1">
        <f ca="1">IFERROR(__xludf.DUMMYFUNCTION("""COMPUTED_VALUE"""),17.95)</f>
        <v>17.95</v>
      </c>
    </row>
    <row r="2227" spans="1:2">
      <c r="A2227" s="3">
        <f ca="1">IFERROR(__xludf.DUMMYFUNCTION("""COMPUTED_VALUE"""),41582.6666666666)</f>
        <v>41582.666666666599</v>
      </c>
      <c r="B2227" s="1">
        <f ca="1">IFERROR(__xludf.DUMMYFUNCTION("""COMPUTED_VALUE"""),17.94)</f>
        <v>17.940000000000001</v>
      </c>
    </row>
    <row r="2228" spans="1:2">
      <c r="A2228" s="3">
        <f ca="1">IFERROR(__xludf.DUMMYFUNCTION("""COMPUTED_VALUE"""),41583.6666666666)</f>
        <v>41583.666666666599</v>
      </c>
      <c r="B2228" s="1">
        <f ca="1">IFERROR(__xludf.DUMMYFUNCTION("""COMPUTED_VALUE"""),17.94)</f>
        <v>17.940000000000001</v>
      </c>
    </row>
    <row r="2229" spans="1:2">
      <c r="A2229" s="3">
        <f ca="1">IFERROR(__xludf.DUMMYFUNCTION("""COMPUTED_VALUE"""),41584.6666666666)</f>
        <v>41584.666666666599</v>
      </c>
      <c r="B2229" s="1">
        <f ca="1">IFERROR(__xludf.DUMMYFUNCTION("""COMPUTED_VALUE"""),17.81)</f>
        <v>17.809999999999999</v>
      </c>
    </row>
    <row r="2230" spans="1:2">
      <c r="A2230" s="3">
        <f ca="1">IFERROR(__xludf.DUMMYFUNCTION("""COMPUTED_VALUE"""),41585.6666666666)</f>
        <v>41585.666666666599</v>
      </c>
      <c r="B2230" s="1">
        <f ca="1">IFERROR(__xludf.DUMMYFUNCTION("""COMPUTED_VALUE"""),17.18)</f>
        <v>17.18</v>
      </c>
    </row>
    <row r="2231" spans="1:2">
      <c r="A2231" s="3">
        <f ca="1">IFERROR(__xludf.DUMMYFUNCTION("""COMPUTED_VALUE"""),41586.6666666666)</f>
        <v>41586.666666666599</v>
      </c>
      <c r="B2231" s="1">
        <f ca="1">IFERROR(__xludf.DUMMYFUNCTION("""COMPUTED_VALUE"""),17.52)</f>
        <v>17.52</v>
      </c>
    </row>
    <row r="2232" spans="1:2">
      <c r="A2232" s="3">
        <f ca="1">IFERROR(__xludf.DUMMYFUNCTION("""COMPUTED_VALUE"""),41589.6666666666)</f>
        <v>41589.666666666599</v>
      </c>
      <c r="B2232" s="1">
        <f ca="1">IFERROR(__xludf.DUMMYFUNCTION("""COMPUTED_VALUE"""),17.72)</f>
        <v>17.72</v>
      </c>
    </row>
    <row r="2233" spans="1:2">
      <c r="A2233" s="3">
        <f ca="1">IFERROR(__xludf.DUMMYFUNCTION("""COMPUTED_VALUE"""),41590.6666666666)</f>
        <v>41590.666666666599</v>
      </c>
      <c r="B2233" s="1">
        <f ca="1">IFERROR(__xludf.DUMMYFUNCTION("""COMPUTED_VALUE"""),17.48)</f>
        <v>17.48</v>
      </c>
    </row>
    <row r="2234" spans="1:2">
      <c r="A2234" s="3">
        <f ca="1">IFERROR(__xludf.DUMMYFUNCTION("""COMPUTED_VALUE"""),41591.6666666666)</f>
        <v>41591.666666666599</v>
      </c>
      <c r="B2234" s="1">
        <f ca="1">IFERROR(__xludf.DUMMYFUNCTION("""COMPUTED_VALUE"""),17.81)</f>
        <v>17.809999999999999</v>
      </c>
    </row>
    <row r="2235" spans="1:2">
      <c r="A2235" s="3">
        <f ca="1">IFERROR(__xludf.DUMMYFUNCTION("""COMPUTED_VALUE"""),41592.6666666666)</f>
        <v>41592.666666666599</v>
      </c>
      <c r="B2235" s="1">
        <f ca="1">IFERROR(__xludf.DUMMYFUNCTION("""COMPUTED_VALUE"""),18.37)</f>
        <v>18.37</v>
      </c>
    </row>
    <row r="2236" spans="1:2">
      <c r="A2236" s="3">
        <f ca="1">IFERROR(__xludf.DUMMYFUNCTION("""COMPUTED_VALUE"""),41593.6666666666)</f>
        <v>41593.666666666599</v>
      </c>
      <c r="B2236" s="1">
        <f ca="1">IFERROR(__xludf.DUMMYFUNCTION("""COMPUTED_VALUE"""),18.46)</f>
        <v>18.46</v>
      </c>
    </row>
    <row r="2237" spans="1:2">
      <c r="A2237" s="3">
        <f ca="1">IFERROR(__xludf.DUMMYFUNCTION("""COMPUTED_VALUE"""),41596.6666666666)</f>
        <v>41596.666666666599</v>
      </c>
      <c r="B2237" s="1">
        <f ca="1">IFERROR(__xludf.DUMMYFUNCTION("""COMPUTED_VALUE"""),18.31)</f>
        <v>18.309999999999999</v>
      </c>
    </row>
    <row r="2238" spans="1:2">
      <c r="A2238" s="3">
        <f ca="1">IFERROR(__xludf.DUMMYFUNCTION("""COMPUTED_VALUE"""),41597.6666666666)</f>
        <v>41597.666666666599</v>
      </c>
      <c r="B2238" s="1">
        <f ca="1">IFERROR(__xludf.DUMMYFUNCTION("""COMPUTED_VALUE"""),18.25)</f>
        <v>18.25</v>
      </c>
    </row>
    <row r="2239" spans="1:2">
      <c r="A2239" s="3">
        <f ca="1">IFERROR(__xludf.DUMMYFUNCTION("""COMPUTED_VALUE"""),41598.6666666666)</f>
        <v>41598.666666666599</v>
      </c>
      <c r="B2239" s="1">
        <f ca="1">IFERROR(__xludf.DUMMYFUNCTION("""COMPUTED_VALUE"""),18.13)</f>
        <v>18.13</v>
      </c>
    </row>
    <row r="2240" spans="1:2">
      <c r="A2240" s="3">
        <f ca="1">IFERROR(__xludf.DUMMYFUNCTION("""COMPUTED_VALUE"""),41599.6666666666)</f>
        <v>41599.666666666599</v>
      </c>
      <c r="B2240" s="1">
        <f ca="1">IFERROR(__xludf.DUMMYFUNCTION("""COMPUTED_VALUE"""),18.45)</f>
        <v>18.45</v>
      </c>
    </row>
    <row r="2241" spans="1:2">
      <c r="A2241" s="3">
        <f ca="1">IFERROR(__xludf.DUMMYFUNCTION("""COMPUTED_VALUE"""),41600.6666666666)</f>
        <v>41600.666666666599</v>
      </c>
      <c r="B2241" s="1">
        <f ca="1">IFERROR(__xludf.DUMMYFUNCTION("""COMPUTED_VALUE"""),18.62)</f>
        <v>18.62</v>
      </c>
    </row>
    <row r="2242" spans="1:2">
      <c r="A2242" s="3">
        <f ca="1">IFERROR(__xludf.DUMMYFUNCTION("""COMPUTED_VALUE"""),41603.6666666666)</f>
        <v>41603.666666666599</v>
      </c>
      <c r="B2242" s="1">
        <f ca="1">IFERROR(__xludf.DUMMYFUNCTION("""COMPUTED_VALUE"""),18.83)</f>
        <v>18.829999999999998</v>
      </c>
    </row>
    <row r="2243" spans="1:2">
      <c r="A2243" s="3">
        <f ca="1">IFERROR(__xludf.DUMMYFUNCTION("""COMPUTED_VALUE"""),41604.6666666666)</f>
        <v>41604.666666666599</v>
      </c>
      <c r="B2243" s="1">
        <f ca="1">IFERROR(__xludf.DUMMYFUNCTION("""COMPUTED_VALUE"""),19.07)</f>
        <v>19.07</v>
      </c>
    </row>
    <row r="2244" spans="1:2">
      <c r="A2244" s="3">
        <f ca="1">IFERROR(__xludf.DUMMYFUNCTION("""COMPUTED_VALUE"""),41605.6666666666)</f>
        <v>41605.666666666599</v>
      </c>
      <c r="B2244" s="1">
        <f ca="1">IFERROR(__xludf.DUMMYFUNCTION("""COMPUTED_VALUE"""),19.34)</f>
        <v>19.34</v>
      </c>
    </row>
    <row r="2245" spans="1:2">
      <c r="A2245" s="3">
        <f ca="1">IFERROR(__xludf.DUMMYFUNCTION("""COMPUTED_VALUE"""),41607.6666666666)</f>
        <v>41607.666666666599</v>
      </c>
      <c r="B2245" s="1">
        <f ca="1">IFERROR(__xludf.DUMMYFUNCTION("""COMPUTED_VALUE"""),19.68)</f>
        <v>19.68</v>
      </c>
    </row>
    <row r="2246" spans="1:2">
      <c r="A2246" s="3">
        <f ca="1">IFERROR(__xludf.DUMMYFUNCTION("""COMPUTED_VALUE"""),41610.6666666666)</f>
        <v>41610.666666666599</v>
      </c>
      <c r="B2246" s="1">
        <f ca="1">IFERROR(__xludf.DUMMYFUNCTION("""COMPUTED_VALUE"""),19.61)</f>
        <v>19.61</v>
      </c>
    </row>
    <row r="2247" spans="1:2">
      <c r="A2247" s="3">
        <f ca="1">IFERROR(__xludf.DUMMYFUNCTION("""COMPUTED_VALUE"""),41611.6666666666)</f>
        <v>41611.666666666599</v>
      </c>
      <c r="B2247" s="1">
        <f ca="1">IFERROR(__xludf.DUMMYFUNCTION("""COMPUTED_VALUE"""),19.23)</f>
        <v>19.23</v>
      </c>
    </row>
    <row r="2248" spans="1:2">
      <c r="A2248" s="3">
        <f ca="1">IFERROR(__xludf.DUMMYFUNCTION("""COMPUTED_VALUE"""),41612.6666666666)</f>
        <v>41612.666666666599</v>
      </c>
      <c r="B2248" s="1">
        <f ca="1">IFERROR(__xludf.DUMMYFUNCTION("""COMPUTED_VALUE"""),19.3)</f>
        <v>19.3</v>
      </c>
    </row>
    <row r="2249" spans="1:2">
      <c r="A2249" s="3">
        <f ca="1">IFERROR(__xludf.DUMMYFUNCTION("""COMPUTED_VALUE"""),41613.6666666666)</f>
        <v>41613.666666666599</v>
      </c>
      <c r="B2249" s="1">
        <f ca="1">IFERROR(__xludf.DUMMYFUNCTION("""COMPUTED_VALUE"""),19.22)</f>
        <v>19.22</v>
      </c>
    </row>
    <row r="2250" spans="1:2">
      <c r="A2250" s="3">
        <f ca="1">IFERROR(__xludf.DUMMYFUNCTION("""COMPUTED_VALUE"""),41614.6666666666)</f>
        <v>41614.666666666599</v>
      </c>
      <c r="B2250" s="1">
        <f ca="1">IFERROR(__xludf.DUMMYFUNCTION("""COMPUTED_VALUE"""),19.35)</f>
        <v>19.350000000000001</v>
      </c>
    </row>
    <row r="2251" spans="1:2">
      <c r="A2251" s="3">
        <f ca="1">IFERROR(__xludf.DUMMYFUNCTION("""COMPUTED_VALUE"""),41617.6666666666)</f>
        <v>41617.666666666599</v>
      </c>
      <c r="B2251" s="1">
        <f ca="1">IFERROR(__xludf.DUMMYFUNCTION("""COMPUTED_VALUE"""),19.24)</f>
        <v>19.239999999999998</v>
      </c>
    </row>
    <row r="2252" spans="1:2">
      <c r="A2252" s="3">
        <f ca="1">IFERROR(__xludf.DUMMYFUNCTION("""COMPUTED_VALUE"""),41618.6666666666)</f>
        <v>41618.666666666599</v>
      </c>
      <c r="B2252" s="1">
        <f ca="1">IFERROR(__xludf.DUMMYFUNCTION("""COMPUTED_VALUE"""),19.39)</f>
        <v>19.39</v>
      </c>
    </row>
    <row r="2253" spans="1:2">
      <c r="A2253" s="3">
        <f ca="1">IFERROR(__xludf.DUMMYFUNCTION("""COMPUTED_VALUE"""),41619.6666666666)</f>
        <v>41619.666666666599</v>
      </c>
      <c r="B2253" s="1">
        <f ca="1">IFERROR(__xludf.DUMMYFUNCTION("""COMPUTED_VALUE"""),19.11)</f>
        <v>19.11</v>
      </c>
    </row>
    <row r="2254" spans="1:2">
      <c r="A2254" s="3">
        <f ca="1">IFERROR(__xludf.DUMMYFUNCTION("""COMPUTED_VALUE"""),41620.6666666666)</f>
        <v>41620.666666666599</v>
      </c>
      <c r="B2254" s="1">
        <f ca="1">IFERROR(__xludf.DUMMYFUNCTION("""COMPUTED_VALUE"""),19.06)</f>
        <v>19.059999999999999</v>
      </c>
    </row>
    <row r="2255" spans="1:2">
      <c r="A2255" s="3">
        <f ca="1">IFERROR(__xludf.DUMMYFUNCTION("""COMPUTED_VALUE"""),41621.6666666666)</f>
        <v>41621.666666666599</v>
      </c>
      <c r="B2255" s="1">
        <f ca="1">IFERROR(__xludf.DUMMYFUNCTION("""COMPUTED_VALUE"""),19.21)</f>
        <v>19.21</v>
      </c>
    </row>
    <row r="2256" spans="1:2">
      <c r="A2256" s="3">
        <f ca="1">IFERROR(__xludf.DUMMYFUNCTION("""COMPUTED_VALUE"""),41624.6666666666)</f>
        <v>41624.666666666599</v>
      </c>
      <c r="B2256" s="1">
        <f ca="1">IFERROR(__xludf.DUMMYFUNCTION("""COMPUTED_VALUE"""),19.45)</f>
        <v>19.45</v>
      </c>
    </row>
    <row r="2257" spans="1:2">
      <c r="A2257" s="3">
        <f ca="1">IFERROR(__xludf.DUMMYFUNCTION("""COMPUTED_VALUE"""),41625.6666666666)</f>
        <v>41625.666666666599</v>
      </c>
      <c r="B2257" s="1">
        <f ca="1">IFERROR(__xludf.DUMMYFUNCTION("""COMPUTED_VALUE"""),19.38)</f>
        <v>19.38</v>
      </c>
    </row>
    <row r="2258" spans="1:2">
      <c r="A2258" s="3">
        <f ca="1">IFERROR(__xludf.DUMMYFUNCTION("""COMPUTED_VALUE"""),41626.6666666666)</f>
        <v>41626.666666666599</v>
      </c>
      <c r="B2258" s="1">
        <f ca="1">IFERROR(__xludf.DUMMYFUNCTION("""COMPUTED_VALUE"""),19.8)</f>
        <v>19.8</v>
      </c>
    </row>
    <row r="2259" spans="1:2">
      <c r="A2259" s="3">
        <f ca="1">IFERROR(__xludf.DUMMYFUNCTION("""COMPUTED_VALUE"""),41627.6666666666)</f>
        <v>41627.666666666599</v>
      </c>
      <c r="B2259" s="1">
        <f ca="1">IFERROR(__xludf.DUMMYFUNCTION("""COMPUTED_VALUE"""),19.76)</f>
        <v>19.760000000000002</v>
      </c>
    </row>
    <row r="2260" spans="1:2">
      <c r="A2260" s="3">
        <f ca="1">IFERROR(__xludf.DUMMYFUNCTION("""COMPUTED_VALUE"""),41628.6666666666)</f>
        <v>41628.666666666599</v>
      </c>
      <c r="B2260" s="1">
        <f ca="1">IFERROR(__xludf.DUMMYFUNCTION("""COMPUTED_VALUE"""),20.11)</f>
        <v>20.11</v>
      </c>
    </row>
    <row r="2261" spans="1:2">
      <c r="A2261" s="3">
        <f ca="1">IFERROR(__xludf.DUMMYFUNCTION("""COMPUTED_VALUE"""),41631.6666666666)</f>
        <v>41631.666666666599</v>
      </c>
      <c r="B2261" s="1">
        <f ca="1">IFERROR(__xludf.DUMMYFUNCTION("""COMPUTED_VALUE"""),20.15)</f>
        <v>20.149999999999999</v>
      </c>
    </row>
    <row r="2262" spans="1:2">
      <c r="A2262" s="3">
        <f ca="1">IFERROR(__xludf.DUMMYFUNCTION("""COMPUTED_VALUE"""),41632.6666666666)</f>
        <v>41632.666666666599</v>
      </c>
      <c r="B2262" s="1">
        <f ca="1">IFERROR(__xludf.DUMMYFUNCTION("""COMPUTED_VALUE"""),19.96)</f>
        <v>19.96</v>
      </c>
    </row>
    <row r="2263" spans="1:2">
      <c r="A2263" s="3">
        <f ca="1">IFERROR(__xludf.DUMMYFUNCTION("""COMPUTED_VALUE"""),41634.6666666666)</f>
        <v>41634.666666666599</v>
      </c>
      <c r="B2263" s="1">
        <f ca="1">IFERROR(__xludf.DUMMYFUNCTION("""COMPUTED_VALUE"""),20.22)</f>
        <v>20.22</v>
      </c>
    </row>
    <row r="2264" spans="1:2">
      <c r="A2264" s="3">
        <f ca="1">IFERROR(__xludf.DUMMYFUNCTION("""COMPUTED_VALUE"""),41635.6666666666)</f>
        <v>41635.666666666599</v>
      </c>
      <c r="B2264" s="1">
        <f ca="1">IFERROR(__xludf.DUMMYFUNCTION("""COMPUTED_VALUE"""),19.9)</f>
        <v>19.899999999999999</v>
      </c>
    </row>
    <row r="2265" spans="1:2">
      <c r="A2265" s="3">
        <f ca="1">IFERROR(__xludf.DUMMYFUNCTION("""COMPUTED_VALUE"""),41638.6666666666)</f>
        <v>41638.666666666599</v>
      </c>
      <c r="B2265" s="1">
        <f ca="1">IFERROR(__xludf.DUMMYFUNCTION("""COMPUTED_VALUE"""),19.67)</f>
        <v>19.670000000000002</v>
      </c>
    </row>
    <row r="2266" spans="1:2">
      <c r="A2266" s="3">
        <f ca="1">IFERROR(__xludf.DUMMYFUNCTION("""COMPUTED_VALUE"""),41639.6666666666)</f>
        <v>41639.666666666599</v>
      </c>
      <c r="B2266" s="1">
        <f ca="1">IFERROR(__xludf.DUMMYFUNCTION("""COMPUTED_VALUE"""),19.94)</f>
        <v>19.940000000000001</v>
      </c>
    </row>
    <row r="2267" spans="1:2">
      <c r="A2267" s="3">
        <f ca="1">IFERROR(__xludf.DUMMYFUNCTION("""COMPUTED_VALUE"""),41641.6666666666)</f>
        <v>41641.666666666599</v>
      </c>
      <c r="B2267" s="1">
        <f ca="1">IFERROR(__xludf.DUMMYFUNCTION("""COMPUTED_VALUE"""),19.9)</f>
        <v>19.899999999999999</v>
      </c>
    </row>
    <row r="2268" spans="1:2">
      <c r="A2268" s="3">
        <f ca="1">IFERROR(__xludf.DUMMYFUNCTION("""COMPUTED_VALUE"""),41642.6666666666)</f>
        <v>41642.666666666599</v>
      </c>
      <c r="B2268" s="1">
        <f ca="1">IFERROR(__xludf.DUMMYFUNCTION("""COMPUTED_VALUE"""),19.82)</f>
        <v>19.82</v>
      </c>
    </row>
    <row r="2269" spans="1:2">
      <c r="A2269" s="3">
        <f ca="1">IFERROR(__xludf.DUMMYFUNCTION("""COMPUTED_VALUE"""),41645.6666666666)</f>
        <v>41645.666666666599</v>
      </c>
      <c r="B2269" s="1">
        <f ca="1">IFERROR(__xludf.DUMMYFUNCTION("""COMPUTED_VALUE"""),19.68)</f>
        <v>19.68</v>
      </c>
    </row>
    <row r="2270" spans="1:2">
      <c r="A2270" s="3">
        <f ca="1">IFERROR(__xludf.DUMMYFUNCTION("""COMPUTED_VALUE"""),41646.6666666666)</f>
        <v>41646.666666666599</v>
      </c>
      <c r="B2270" s="1">
        <f ca="1">IFERROR(__xludf.DUMMYFUNCTION("""COMPUTED_VALUE"""),19.9)</f>
        <v>19.899999999999999</v>
      </c>
    </row>
    <row r="2271" spans="1:2">
      <c r="A2271" s="3">
        <f ca="1">IFERROR(__xludf.DUMMYFUNCTION("""COMPUTED_VALUE"""),41647.6666666666)</f>
        <v>41647.666666666599</v>
      </c>
      <c r="B2271" s="1">
        <f ca="1">IFERROR(__xludf.DUMMYFUNCTION("""COMPUTED_VALUE"""),20.1)</f>
        <v>20.100000000000001</v>
      </c>
    </row>
    <row r="2272" spans="1:2">
      <c r="A2272" s="3">
        <f ca="1">IFERROR(__xludf.DUMMYFUNCTION("""COMPUTED_VALUE"""),41648.6666666666)</f>
        <v>41648.666666666599</v>
      </c>
      <c r="B2272" s="1">
        <f ca="1">IFERROR(__xludf.DUMMYFUNCTION("""COMPUTED_VALUE"""),20.05)</f>
        <v>20.05</v>
      </c>
    </row>
    <row r="2273" spans="1:2">
      <c r="A2273" s="3">
        <f ca="1">IFERROR(__xludf.DUMMYFUNCTION("""COMPUTED_VALUE"""),41649.6666666666)</f>
        <v>41649.666666666599</v>
      </c>
      <c r="B2273" s="1">
        <f ca="1">IFERROR(__xludf.DUMMYFUNCTION("""COMPUTED_VALUE"""),19.88)</f>
        <v>19.88</v>
      </c>
    </row>
    <row r="2274" spans="1:2">
      <c r="A2274" s="3">
        <f ca="1">IFERROR(__xludf.DUMMYFUNCTION("""COMPUTED_VALUE"""),41652.6666666666)</f>
        <v>41652.666666666599</v>
      </c>
      <c r="B2274" s="1">
        <f ca="1">IFERROR(__xludf.DUMMYFUNCTION("""COMPUTED_VALUE"""),19.55)</f>
        <v>19.55</v>
      </c>
    </row>
    <row r="2275" spans="1:2">
      <c r="A2275" s="3">
        <f ca="1">IFERROR(__xludf.DUMMYFUNCTION("""COMPUTED_VALUE"""),41653.6666666666)</f>
        <v>41653.666666666599</v>
      </c>
      <c r="B2275" s="1">
        <f ca="1">IFERROR(__xludf.DUMMYFUNCTION("""COMPUTED_VALUE"""),19.88)</f>
        <v>19.88</v>
      </c>
    </row>
    <row r="2276" spans="1:2">
      <c r="A2276" s="3">
        <f ca="1">IFERROR(__xludf.DUMMYFUNCTION("""COMPUTED_VALUE"""),41654.6666666666)</f>
        <v>41654.666666666599</v>
      </c>
      <c r="B2276" s="1">
        <f ca="1">IFERROR(__xludf.DUMMYFUNCTION("""COMPUTED_VALUE"""),19.79)</f>
        <v>19.79</v>
      </c>
    </row>
    <row r="2277" spans="1:2">
      <c r="A2277" s="3">
        <f ca="1">IFERROR(__xludf.DUMMYFUNCTION("""COMPUTED_VALUE"""),41655.6666666666)</f>
        <v>41655.666666666599</v>
      </c>
      <c r="B2277" s="1">
        <f ca="1">IFERROR(__xludf.DUMMYFUNCTION("""COMPUTED_VALUE"""),19.79)</f>
        <v>19.79</v>
      </c>
    </row>
    <row r="2278" spans="1:2">
      <c r="A2278" s="3">
        <f ca="1">IFERROR(__xludf.DUMMYFUNCTION("""COMPUTED_VALUE"""),41656.6666666666)</f>
        <v>41656.666666666599</v>
      </c>
      <c r="B2278" s="1">
        <f ca="1">IFERROR(__xludf.DUMMYFUNCTION("""COMPUTED_VALUE"""),19.98)</f>
        <v>19.98</v>
      </c>
    </row>
    <row r="2279" spans="1:2">
      <c r="A2279" s="3">
        <f ca="1">IFERROR(__xludf.DUMMYFUNCTION("""COMPUTED_VALUE"""),41660.6666666666)</f>
        <v>41660.666666666599</v>
      </c>
      <c r="B2279" s="1">
        <f ca="1">IFERROR(__xludf.DUMMYFUNCTION("""COMPUTED_VALUE"""),20.35)</f>
        <v>20.350000000000001</v>
      </c>
    </row>
    <row r="2280" spans="1:2">
      <c r="A2280" s="3">
        <f ca="1">IFERROR(__xludf.DUMMYFUNCTION("""COMPUTED_VALUE"""),41661.6666666666)</f>
        <v>41661.666666666599</v>
      </c>
      <c r="B2280" s="1">
        <f ca="1">IFERROR(__xludf.DUMMYFUNCTION("""COMPUTED_VALUE"""),20.23)</f>
        <v>20.23</v>
      </c>
    </row>
    <row r="2281" spans="1:2">
      <c r="A2281" s="3">
        <f ca="1">IFERROR(__xludf.DUMMYFUNCTION("""COMPUTED_VALUE"""),41662.6666666666)</f>
        <v>41662.666666666599</v>
      </c>
      <c r="B2281" s="1">
        <f ca="1">IFERROR(__xludf.DUMMYFUNCTION("""COMPUTED_VALUE"""),19.99)</f>
        <v>19.989999999999998</v>
      </c>
    </row>
    <row r="2282" spans="1:2">
      <c r="A2282" s="3">
        <f ca="1">IFERROR(__xludf.DUMMYFUNCTION("""COMPUTED_VALUE"""),41663.6666666666)</f>
        <v>41663.666666666599</v>
      </c>
      <c r="B2282" s="1">
        <f ca="1">IFERROR(__xludf.DUMMYFUNCTION("""COMPUTED_VALUE"""),19.38)</f>
        <v>19.38</v>
      </c>
    </row>
    <row r="2283" spans="1:2">
      <c r="A2283" s="3">
        <f ca="1">IFERROR(__xludf.DUMMYFUNCTION("""COMPUTED_VALUE"""),41666.6666666666)</f>
        <v>41666.666666666599</v>
      </c>
      <c r="B2283" s="1">
        <f ca="1">IFERROR(__xludf.DUMMYFUNCTION("""COMPUTED_VALUE"""),19.31)</f>
        <v>19.309999999999999</v>
      </c>
    </row>
    <row r="2284" spans="1:2">
      <c r="A2284" s="3">
        <f ca="1">IFERROR(__xludf.DUMMYFUNCTION("""COMPUTED_VALUE"""),41667.6666666666)</f>
        <v>41667.666666666599</v>
      </c>
      <c r="B2284" s="1">
        <f ca="1">IFERROR(__xludf.DUMMYFUNCTION("""COMPUTED_VALUE"""),19.72)</f>
        <v>19.72</v>
      </c>
    </row>
    <row r="2285" spans="1:2">
      <c r="A2285" s="3">
        <f ca="1">IFERROR(__xludf.DUMMYFUNCTION("""COMPUTED_VALUE"""),41668.6666666666)</f>
        <v>41668.666666666599</v>
      </c>
      <c r="B2285" s="1">
        <f ca="1">IFERROR(__xludf.DUMMYFUNCTION("""COMPUTED_VALUE"""),19.21)</f>
        <v>19.21</v>
      </c>
    </row>
    <row r="2286" spans="1:2">
      <c r="A2286" s="3">
        <f ca="1">IFERROR(__xludf.DUMMYFUNCTION("""COMPUTED_VALUE"""),41669.6666666666)</f>
        <v>41669.666666666599</v>
      </c>
      <c r="B2286" s="1">
        <f ca="1">IFERROR(__xludf.DUMMYFUNCTION("""COMPUTED_VALUE"""),20.15)</f>
        <v>20.149999999999999</v>
      </c>
    </row>
    <row r="2287" spans="1:2">
      <c r="A2287" s="3">
        <f ca="1">IFERROR(__xludf.DUMMYFUNCTION("""COMPUTED_VALUE"""),41670.6666666666)</f>
        <v>41670.666666666599</v>
      </c>
      <c r="B2287" s="1">
        <f ca="1">IFERROR(__xludf.DUMMYFUNCTION("""COMPUTED_VALUE"""),17.93)</f>
        <v>17.93</v>
      </c>
    </row>
    <row r="2288" spans="1:2">
      <c r="A2288" s="3">
        <f ca="1">IFERROR(__xludf.DUMMYFUNCTION("""COMPUTED_VALUE"""),41673.6666666666)</f>
        <v>41673.666666666599</v>
      </c>
      <c r="B2288" s="1">
        <f ca="1">IFERROR(__xludf.DUMMYFUNCTION("""COMPUTED_VALUE"""),17.31)</f>
        <v>17.309999999999999</v>
      </c>
    </row>
    <row r="2289" spans="1:2">
      <c r="A2289" s="3">
        <f ca="1">IFERROR(__xludf.DUMMYFUNCTION("""COMPUTED_VALUE"""),41674.6666666666)</f>
        <v>41674.666666666599</v>
      </c>
      <c r="B2289" s="1">
        <f ca="1">IFERROR(__xludf.DUMMYFUNCTION("""COMPUTED_VALUE"""),17.4)</f>
        <v>17.399999999999999</v>
      </c>
    </row>
    <row r="2290" spans="1:2">
      <c r="A2290" s="3">
        <f ca="1">IFERROR(__xludf.DUMMYFUNCTION("""COMPUTED_VALUE"""),41675.6666666666)</f>
        <v>41675.666666666599</v>
      </c>
      <c r="B2290" s="1">
        <f ca="1">IFERROR(__xludf.DUMMYFUNCTION("""COMPUTED_VALUE"""),17.32)</f>
        <v>17.32</v>
      </c>
    </row>
    <row r="2291" spans="1:2">
      <c r="A2291" s="3">
        <f ca="1">IFERROR(__xludf.DUMMYFUNCTION("""COMPUTED_VALUE"""),41676.6666666666)</f>
        <v>41676.666666666599</v>
      </c>
      <c r="B2291" s="1">
        <f ca="1">IFERROR(__xludf.DUMMYFUNCTION("""COMPUTED_VALUE"""),17.73)</f>
        <v>17.73</v>
      </c>
    </row>
    <row r="2292" spans="1:2">
      <c r="A2292" s="3">
        <f ca="1">IFERROR(__xludf.DUMMYFUNCTION("""COMPUTED_VALUE"""),41677.6666666666)</f>
        <v>41677.666666666599</v>
      </c>
      <c r="B2292" s="1">
        <f ca="1">IFERROR(__xludf.DUMMYFUNCTION("""COMPUTED_VALUE"""),18.05)</f>
        <v>18.05</v>
      </c>
    </row>
    <row r="2293" spans="1:2">
      <c r="A2293" s="3">
        <f ca="1">IFERROR(__xludf.DUMMYFUNCTION("""COMPUTED_VALUE"""),41680.6666666666)</f>
        <v>41680.666666666599</v>
      </c>
      <c r="B2293" s="1">
        <f ca="1">IFERROR(__xludf.DUMMYFUNCTION("""COMPUTED_VALUE"""),18.04)</f>
        <v>18.04</v>
      </c>
    </row>
    <row r="2294" spans="1:2">
      <c r="A2294" s="3">
        <f ca="1">IFERROR(__xludf.DUMMYFUNCTION("""COMPUTED_VALUE"""),41681.6666666666)</f>
        <v>41681.666666666599</v>
      </c>
      <c r="B2294" s="1">
        <f ca="1">IFERROR(__xludf.DUMMYFUNCTION("""COMPUTED_VALUE"""),18.09)</f>
        <v>18.09</v>
      </c>
    </row>
    <row r="2295" spans="1:2">
      <c r="A2295" s="3">
        <f ca="1">IFERROR(__xludf.DUMMYFUNCTION("""COMPUTED_VALUE"""),41682.6666666666)</f>
        <v>41682.666666666599</v>
      </c>
      <c r="B2295" s="1">
        <f ca="1">IFERROR(__xludf.DUMMYFUNCTION("""COMPUTED_VALUE"""),17.46)</f>
        <v>17.46</v>
      </c>
    </row>
    <row r="2296" spans="1:2">
      <c r="A2296" s="3">
        <f ca="1">IFERROR(__xludf.DUMMYFUNCTION("""COMPUTED_VALUE"""),41683.6666666666)</f>
        <v>41683.666666666599</v>
      </c>
      <c r="B2296" s="1">
        <f ca="1">IFERROR(__xludf.DUMMYFUNCTION("""COMPUTED_VALUE"""),17.86)</f>
        <v>17.86</v>
      </c>
    </row>
    <row r="2297" spans="1:2">
      <c r="A2297" s="3">
        <f ca="1">IFERROR(__xludf.DUMMYFUNCTION("""COMPUTED_VALUE"""),41684.6666666666)</f>
        <v>41684.666666666599</v>
      </c>
      <c r="B2297" s="1">
        <f ca="1">IFERROR(__xludf.DUMMYFUNCTION("""COMPUTED_VALUE"""),17.87)</f>
        <v>17.87</v>
      </c>
    </row>
    <row r="2298" spans="1:2">
      <c r="A2298" s="3">
        <f ca="1">IFERROR(__xludf.DUMMYFUNCTION("""COMPUTED_VALUE"""),41688.6666666666)</f>
        <v>41688.666666666599</v>
      </c>
      <c r="B2298" s="1">
        <f ca="1">IFERROR(__xludf.DUMMYFUNCTION("""COMPUTED_VALUE"""),17.68)</f>
        <v>17.68</v>
      </c>
    </row>
    <row r="2299" spans="1:2">
      <c r="A2299" s="3">
        <f ca="1">IFERROR(__xludf.DUMMYFUNCTION("""COMPUTED_VALUE"""),41689.6666666666)</f>
        <v>41689.666666666599</v>
      </c>
      <c r="B2299" s="1">
        <f ca="1">IFERROR(__xludf.DUMMYFUNCTION("""COMPUTED_VALUE"""),17.37)</f>
        <v>17.37</v>
      </c>
    </row>
    <row r="2300" spans="1:2">
      <c r="A2300" s="3">
        <f ca="1">IFERROR(__xludf.DUMMYFUNCTION("""COMPUTED_VALUE"""),41690.6666666666)</f>
        <v>41690.666666666599</v>
      </c>
      <c r="B2300" s="1">
        <f ca="1">IFERROR(__xludf.DUMMYFUNCTION("""COMPUTED_VALUE"""),17.49)</f>
        <v>17.489999999999998</v>
      </c>
    </row>
    <row r="2301" spans="1:2">
      <c r="A2301" s="3">
        <f ca="1">IFERROR(__xludf.DUMMYFUNCTION("""COMPUTED_VALUE"""),41691.6666666666)</f>
        <v>41691.666666666599</v>
      </c>
      <c r="B2301" s="1">
        <f ca="1">IFERROR(__xludf.DUMMYFUNCTION("""COMPUTED_VALUE"""),17.34)</f>
        <v>17.34</v>
      </c>
    </row>
    <row r="2302" spans="1:2">
      <c r="A2302" s="3">
        <f ca="1">IFERROR(__xludf.DUMMYFUNCTION("""COMPUTED_VALUE"""),41694.6666666666)</f>
        <v>41694.666666666599</v>
      </c>
      <c r="B2302" s="1">
        <f ca="1">IFERROR(__xludf.DUMMYFUNCTION("""COMPUTED_VALUE"""),17.59)</f>
        <v>17.59</v>
      </c>
    </row>
    <row r="2303" spans="1:2">
      <c r="A2303" s="3">
        <f ca="1">IFERROR(__xludf.DUMMYFUNCTION("""COMPUTED_VALUE"""),41695.6666666666)</f>
        <v>41695.666666666599</v>
      </c>
      <c r="B2303" s="1">
        <f ca="1">IFERROR(__xludf.DUMMYFUNCTION("""COMPUTED_VALUE"""),17.92)</f>
        <v>17.920000000000002</v>
      </c>
    </row>
    <row r="2304" spans="1:2">
      <c r="A2304" s="3">
        <f ca="1">IFERROR(__xludf.DUMMYFUNCTION("""COMPUTED_VALUE"""),41696.6666666666)</f>
        <v>41696.666666666599</v>
      </c>
      <c r="B2304" s="1">
        <f ca="1">IFERROR(__xludf.DUMMYFUNCTION("""COMPUTED_VALUE"""),17.99)</f>
        <v>17.989999999999998</v>
      </c>
    </row>
    <row r="2305" spans="1:2">
      <c r="A2305" s="3">
        <f ca="1">IFERROR(__xludf.DUMMYFUNCTION("""COMPUTED_VALUE"""),41697.6666666666)</f>
        <v>41697.666666666599</v>
      </c>
      <c r="B2305" s="1">
        <f ca="1">IFERROR(__xludf.DUMMYFUNCTION("""COMPUTED_VALUE"""),18.01)</f>
        <v>18.010000000000002</v>
      </c>
    </row>
    <row r="2306" spans="1:2">
      <c r="A2306" s="3">
        <f ca="1">IFERROR(__xludf.DUMMYFUNCTION("""COMPUTED_VALUE"""),41698.6666666666)</f>
        <v>41698.666666666599</v>
      </c>
      <c r="B2306" s="1">
        <f ca="1">IFERROR(__xludf.DUMMYFUNCTION("""COMPUTED_VALUE"""),18.11)</f>
        <v>18.11</v>
      </c>
    </row>
    <row r="2307" spans="1:2">
      <c r="A2307" s="3">
        <f ca="1">IFERROR(__xludf.DUMMYFUNCTION("""COMPUTED_VALUE"""),41701.6666666666)</f>
        <v>41701.666666666599</v>
      </c>
      <c r="B2307" s="1">
        <f ca="1">IFERROR(__xludf.DUMMYFUNCTION("""COMPUTED_VALUE"""),17.99)</f>
        <v>17.989999999999998</v>
      </c>
    </row>
    <row r="2308" spans="1:2">
      <c r="A2308" s="3">
        <f ca="1">IFERROR(__xludf.DUMMYFUNCTION("""COMPUTED_VALUE"""),41702.6666666666)</f>
        <v>41702.666666666599</v>
      </c>
      <c r="B2308" s="1">
        <f ca="1">IFERROR(__xludf.DUMMYFUNCTION("""COMPUTED_VALUE"""),18.2)</f>
        <v>18.2</v>
      </c>
    </row>
    <row r="2309" spans="1:2">
      <c r="A2309" s="3">
        <f ca="1">IFERROR(__xludf.DUMMYFUNCTION("""COMPUTED_VALUE"""),41703.6666666666)</f>
        <v>41703.666666666599</v>
      </c>
      <c r="B2309" s="1">
        <f ca="1">IFERROR(__xludf.DUMMYFUNCTION("""COMPUTED_VALUE"""),18.62)</f>
        <v>18.62</v>
      </c>
    </row>
    <row r="2310" spans="1:2">
      <c r="A2310" s="3">
        <f ca="1">IFERROR(__xludf.DUMMYFUNCTION("""COMPUTED_VALUE"""),41704.6666666666)</f>
        <v>41704.666666666599</v>
      </c>
      <c r="B2310" s="1">
        <f ca="1">IFERROR(__xludf.DUMMYFUNCTION("""COMPUTED_VALUE"""),18.61)</f>
        <v>18.61</v>
      </c>
    </row>
    <row r="2311" spans="1:2">
      <c r="A2311" s="3">
        <f ca="1">IFERROR(__xludf.DUMMYFUNCTION("""COMPUTED_VALUE"""),41705.6666666666)</f>
        <v>41705.666666666599</v>
      </c>
      <c r="B2311" s="1">
        <f ca="1">IFERROR(__xludf.DUMMYFUNCTION("""COMPUTED_VALUE"""),18.6)</f>
        <v>18.600000000000001</v>
      </c>
    </row>
    <row r="2312" spans="1:2">
      <c r="A2312" s="3">
        <f ca="1">IFERROR(__xludf.DUMMYFUNCTION("""COMPUTED_VALUE"""),41708.6666666666)</f>
        <v>41708.666666666599</v>
      </c>
      <c r="B2312" s="1">
        <f ca="1">IFERROR(__xludf.DUMMYFUNCTION("""COMPUTED_VALUE"""),18.53)</f>
        <v>18.53</v>
      </c>
    </row>
    <row r="2313" spans="1:2">
      <c r="A2313" s="3">
        <f ca="1">IFERROR(__xludf.DUMMYFUNCTION("""COMPUTED_VALUE"""),41709.6666666666)</f>
        <v>41709.666666666599</v>
      </c>
      <c r="B2313" s="1">
        <f ca="1">IFERROR(__xludf.DUMMYFUNCTION("""COMPUTED_VALUE"""),18.44)</f>
        <v>18.440000000000001</v>
      </c>
    </row>
    <row r="2314" spans="1:2">
      <c r="A2314" s="3">
        <f ca="1">IFERROR(__xludf.DUMMYFUNCTION("""COMPUTED_VALUE"""),41710.6666666666)</f>
        <v>41710.666666666599</v>
      </c>
      <c r="B2314" s="1">
        <f ca="1">IFERROR(__xludf.DUMMYFUNCTION("""COMPUTED_VALUE"""),18.53)</f>
        <v>18.53</v>
      </c>
    </row>
    <row r="2315" spans="1:2">
      <c r="A2315" s="3">
        <f ca="1">IFERROR(__xludf.DUMMYFUNCTION("""COMPUTED_VALUE"""),41711.6666666666)</f>
        <v>41711.666666666599</v>
      </c>
      <c r="B2315" s="1">
        <f ca="1">IFERROR(__xludf.DUMMYFUNCTION("""COMPUTED_VALUE"""),18.58)</f>
        <v>18.579999999999998</v>
      </c>
    </row>
    <row r="2316" spans="1:2">
      <c r="A2316" s="3">
        <f ca="1">IFERROR(__xludf.DUMMYFUNCTION("""COMPUTED_VALUE"""),41712.6666666666)</f>
        <v>41712.666666666599</v>
      </c>
      <c r="B2316" s="1">
        <f ca="1">IFERROR(__xludf.DUMMYFUNCTION("""COMPUTED_VALUE"""),18.69)</f>
        <v>18.690000000000001</v>
      </c>
    </row>
    <row r="2317" spans="1:2">
      <c r="A2317" s="3">
        <f ca="1">IFERROR(__xludf.DUMMYFUNCTION("""COMPUTED_VALUE"""),41715.6666666666)</f>
        <v>41715.666666666599</v>
      </c>
      <c r="B2317" s="1">
        <f ca="1">IFERROR(__xludf.DUMMYFUNCTION("""COMPUTED_VALUE"""),18.75)</f>
        <v>18.75</v>
      </c>
    </row>
    <row r="2318" spans="1:2">
      <c r="A2318" s="3">
        <f ca="1">IFERROR(__xludf.DUMMYFUNCTION("""COMPUTED_VALUE"""),41716.6666666666)</f>
        <v>41716.666666666599</v>
      </c>
      <c r="B2318" s="1">
        <f ca="1">IFERROR(__xludf.DUMMYFUNCTION("""COMPUTED_VALUE"""),18.94)</f>
        <v>18.940000000000001</v>
      </c>
    </row>
    <row r="2319" spans="1:2">
      <c r="A2319" s="3">
        <f ca="1">IFERROR(__xludf.DUMMYFUNCTION("""COMPUTED_VALUE"""),41717.6666666666)</f>
        <v>41717.666666666599</v>
      </c>
      <c r="B2319" s="1">
        <f ca="1">IFERROR(__xludf.DUMMYFUNCTION("""COMPUTED_VALUE"""),18.66)</f>
        <v>18.66</v>
      </c>
    </row>
    <row r="2320" spans="1:2">
      <c r="A2320" s="3">
        <f ca="1">IFERROR(__xludf.DUMMYFUNCTION("""COMPUTED_VALUE"""),41718.6666666666)</f>
        <v>41718.666666666599</v>
      </c>
      <c r="B2320" s="1">
        <f ca="1">IFERROR(__xludf.DUMMYFUNCTION("""COMPUTED_VALUE"""),18.45)</f>
        <v>18.45</v>
      </c>
    </row>
    <row r="2321" spans="1:2">
      <c r="A2321" s="3">
        <f ca="1">IFERROR(__xludf.DUMMYFUNCTION("""COMPUTED_VALUE"""),41719.6666666666)</f>
        <v>41719.666666666599</v>
      </c>
      <c r="B2321" s="1">
        <f ca="1">IFERROR(__xludf.DUMMYFUNCTION("""COMPUTED_VALUE"""),18.03)</f>
        <v>18.03</v>
      </c>
    </row>
    <row r="2322" spans="1:2">
      <c r="A2322" s="3">
        <f ca="1">IFERROR(__xludf.DUMMYFUNCTION("""COMPUTED_VALUE"""),41722.6666666666)</f>
        <v>41722.666666666599</v>
      </c>
      <c r="B2322" s="1">
        <f ca="1">IFERROR(__xludf.DUMMYFUNCTION("""COMPUTED_VALUE"""),17.59)</f>
        <v>17.59</v>
      </c>
    </row>
    <row r="2323" spans="1:2">
      <c r="A2323" s="3">
        <f ca="1">IFERROR(__xludf.DUMMYFUNCTION("""COMPUTED_VALUE"""),41723.6666666666)</f>
        <v>41723.666666666599</v>
      </c>
      <c r="B2323" s="1">
        <f ca="1">IFERROR(__xludf.DUMMYFUNCTION("""COMPUTED_VALUE"""),17.74)</f>
        <v>17.739999999999998</v>
      </c>
    </row>
    <row r="2324" spans="1:2">
      <c r="A2324" s="3">
        <f ca="1">IFERROR(__xludf.DUMMYFUNCTION("""COMPUTED_VALUE"""),41724.6666666666)</f>
        <v>41724.666666666599</v>
      </c>
      <c r="B2324" s="1">
        <f ca="1">IFERROR(__xludf.DUMMYFUNCTION("""COMPUTED_VALUE"""),17.17)</f>
        <v>17.170000000000002</v>
      </c>
    </row>
    <row r="2325" spans="1:2">
      <c r="A2325" s="3">
        <f ca="1">IFERROR(__xludf.DUMMYFUNCTION("""COMPUTED_VALUE"""),41725.6666666666)</f>
        <v>41725.666666666599</v>
      </c>
      <c r="B2325" s="1">
        <f ca="1">IFERROR(__xludf.DUMMYFUNCTION("""COMPUTED_VALUE"""),16.92)</f>
        <v>16.920000000000002</v>
      </c>
    </row>
    <row r="2326" spans="1:2">
      <c r="A2326" s="3">
        <f ca="1">IFERROR(__xludf.DUMMYFUNCTION("""COMPUTED_VALUE"""),41726.6666666666)</f>
        <v>41726.666666666599</v>
      </c>
      <c r="B2326" s="1">
        <f ca="1">IFERROR(__xludf.DUMMYFUNCTION("""COMPUTED_VALUE"""),16.91)</f>
        <v>16.91</v>
      </c>
    </row>
    <row r="2327" spans="1:2">
      <c r="A2327" s="3">
        <f ca="1">IFERROR(__xludf.DUMMYFUNCTION("""COMPUTED_VALUE"""),41729.6666666666)</f>
        <v>41729.666666666599</v>
      </c>
      <c r="B2327" s="1">
        <f ca="1">IFERROR(__xludf.DUMMYFUNCTION("""COMPUTED_VALUE"""),16.82)</f>
        <v>16.82</v>
      </c>
    </row>
    <row r="2328" spans="1:2">
      <c r="A2328" s="3">
        <f ca="1">IFERROR(__xludf.DUMMYFUNCTION("""COMPUTED_VALUE"""),41730.6666666666)</f>
        <v>41730.666666666599</v>
      </c>
      <c r="B2328" s="1">
        <f ca="1">IFERROR(__xludf.DUMMYFUNCTION("""COMPUTED_VALUE"""),17.15)</f>
        <v>17.149999999999999</v>
      </c>
    </row>
    <row r="2329" spans="1:2">
      <c r="A2329" s="3">
        <f ca="1">IFERROR(__xludf.DUMMYFUNCTION("""COMPUTED_VALUE"""),41731.6666666666)</f>
        <v>41731.666666666599</v>
      </c>
      <c r="B2329" s="1">
        <f ca="1">IFERROR(__xludf.DUMMYFUNCTION("""COMPUTED_VALUE"""),17.1)</f>
        <v>17.100000000000001</v>
      </c>
    </row>
    <row r="2330" spans="1:2">
      <c r="A2330" s="3">
        <f ca="1">IFERROR(__xludf.DUMMYFUNCTION("""COMPUTED_VALUE"""),41732.6666666666)</f>
        <v>41732.666666666599</v>
      </c>
      <c r="B2330" s="1">
        <f ca="1">IFERROR(__xludf.DUMMYFUNCTION("""COMPUTED_VALUE"""),16.68)</f>
        <v>16.68</v>
      </c>
    </row>
    <row r="2331" spans="1:2">
      <c r="A2331" s="3">
        <f ca="1">IFERROR(__xludf.DUMMYFUNCTION("""COMPUTED_VALUE"""),41733.6666666666)</f>
        <v>41733.666666666599</v>
      </c>
      <c r="B2331" s="1">
        <f ca="1">IFERROR(__xludf.DUMMYFUNCTION("""COMPUTED_VALUE"""),16.15)</f>
        <v>16.149999999999999</v>
      </c>
    </row>
    <row r="2332" spans="1:2">
      <c r="A2332" s="3">
        <f ca="1">IFERROR(__xludf.DUMMYFUNCTION("""COMPUTED_VALUE"""),41736.6666666666)</f>
        <v>41736.666666666599</v>
      </c>
      <c r="B2332" s="1">
        <f ca="1">IFERROR(__xludf.DUMMYFUNCTION("""COMPUTED_VALUE"""),15.89)</f>
        <v>15.89</v>
      </c>
    </row>
    <row r="2333" spans="1:2">
      <c r="A2333" s="3">
        <f ca="1">IFERROR(__xludf.DUMMYFUNCTION("""COMPUTED_VALUE"""),41737.6666666666)</f>
        <v>41737.666666666599</v>
      </c>
      <c r="B2333" s="1">
        <f ca="1">IFERROR(__xludf.DUMMYFUNCTION("""COMPUTED_VALUE"""),16.35)</f>
        <v>16.350000000000001</v>
      </c>
    </row>
    <row r="2334" spans="1:2">
      <c r="A2334" s="3">
        <f ca="1">IFERROR(__xludf.DUMMYFUNCTION("""COMPUTED_VALUE"""),41738.6666666666)</f>
        <v>41738.666666666599</v>
      </c>
      <c r="B2334" s="1">
        <f ca="1">IFERROR(__xludf.DUMMYFUNCTION("""COMPUTED_VALUE"""),16.59)</f>
        <v>16.59</v>
      </c>
    </row>
    <row r="2335" spans="1:2">
      <c r="A2335" s="3">
        <f ca="1">IFERROR(__xludf.DUMMYFUNCTION("""COMPUTED_VALUE"""),41739.6666666666)</f>
        <v>41739.666666666599</v>
      </c>
      <c r="B2335" s="1">
        <f ca="1">IFERROR(__xludf.DUMMYFUNCTION("""COMPUTED_VALUE"""),15.86)</f>
        <v>15.86</v>
      </c>
    </row>
    <row r="2336" spans="1:2">
      <c r="A2336" s="3">
        <f ca="1">IFERROR(__xludf.DUMMYFUNCTION("""COMPUTED_VALUE"""),41740.6666666666)</f>
        <v>41740.666666666599</v>
      </c>
      <c r="B2336" s="1">
        <f ca="1">IFERROR(__xludf.DUMMYFUNCTION("""COMPUTED_VALUE"""),15.59)</f>
        <v>15.59</v>
      </c>
    </row>
    <row r="2337" spans="1:2">
      <c r="A2337" s="3">
        <f ca="1">IFERROR(__xludf.DUMMYFUNCTION("""COMPUTED_VALUE"""),41743.6666666666)</f>
        <v>41743.666666666599</v>
      </c>
      <c r="B2337" s="1">
        <f ca="1">IFERROR(__xludf.DUMMYFUNCTION("""COMPUTED_VALUE"""),15.8)</f>
        <v>15.8</v>
      </c>
    </row>
    <row r="2338" spans="1:2">
      <c r="A2338" s="3">
        <f ca="1">IFERROR(__xludf.DUMMYFUNCTION("""COMPUTED_VALUE"""),41744.6666666666)</f>
        <v>41744.666666666599</v>
      </c>
      <c r="B2338" s="1">
        <f ca="1">IFERROR(__xludf.DUMMYFUNCTION("""COMPUTED_VALUE"""),15.8)</f>
        <v>15.8</v>
      </c>
    </row>
    <row r="2339" spans="1:2">
      <c r="A2339" s="3">
        <f ca="1">IFERROR(__xludf.DUMMYFUNCTION("""COMPUTED_VALUE"""),41745.6666666666)</f>
        <v>41745.666666666599</v>
      </c>
      <c r="B2339" s="1">
        <f ca="1">IFERROR(__xludf.DUMMYFUNCTION("""COMPUTED_VALUE"""),16.18)</f>
        <v>16.18</v>
      </c>
    </row>
    <row r="2340" spans="1:2">
      <c r="A2340" s="3">
        <f ca="1">IFERROR(__xludf.DUMMYFUNCTION("""COMPUTED_VALUE"""),41746.6666666666)</f>
        <v>41746.666666666599</v>
      </c>
      <c r="B2340" s="1">
        <f ca="1">IFERROR(__xludf.DUMMYFUNCTION("""COMPUTED_VALUE"""),16.25)</f>
        <v>16.25</v>
      </c>
    </row>
    <row r="2341" spans="1:2">
      <c r="A2341" s="3">
        <f ca="1">IFERROR(__xludf.DUMMYFUNCTION("""COMPUTED_VALUE"""),41750.6666666666)</f>
        <v>41750.666666666599</v>
      </c>
      <c r="B2341" s="1">
        <f ca="1">IFERROR(__xludf.DUMMYFUNCTION("""COMPUTED_VALUE"""),16.54)</f>
        <v>16.54</v>
      </c>
    </row>
    <row r="2342" spans="1:2">
      <c r="A2342" s="3">
        <f ca="1">IFERROR(__xludf.DUMMYFUNCTION("""COMPUTED_VALUE"""),41751.6666666666)</f>
        <v>41751.666666666599</v>
      </c>
      <c r="B2342" s="1">
        <f ca="1">IFERROR(__xludf.DUMMYFUNCTION("""COMPUTED_VALUE"""),16.47)</f>
        <v>16.47</v>
      </c>
    </row>
    <row r="2343" spans="1:2">
      <c r="A2343" s="3">
        <f ca="1">IFERROR(__xludf.DUMMYFUNCTION("""COMPUTED_VALUE"""),41752.6666666666)</f>
        <v>41752.666666666599</v>
      </c>
      <c r="B2343" s="1">
        <f ca="1">IFERROR(__xludf.DUMMYFUNCTION("""COMPUTED_VALUE"""),16.23)</f>
        <v>16.23</v>
      </c>
    </row>
    <row r="2344" spans="1:2">
      <c r="A2344" s="3">
        <f ca="1">IFERROR(__xludf.DUMMYFUNCTION("""COMPUTED_VALUE"""),41753.6666666666)</f>
        <v>41753.666666666599</v>
      </c>
      <c r="B2344" s="1">
        <f ca="1">IFERROR(__xludf.DUMMYFUNCTION("""COMPUTED_VALUE"""),16.86)</f>
        <v>16.86</v>
      </c>
    </row>
    <row r="2345" spans="1:2">
      <c r="A2345" s="3">
        <f ca="1">IFERROR(__xludf.DUMMYFUNCTION("""COMPUTED_VALUE"""),41754.6666666666)</f>
        <v>41754.666666666599</v>
      </c>
      <c r="B2345" s="1">
        <f ca="1">IFERROR(__xludf.DUMMYFUNCTION("""COMPUTED_VALUE"""),15.19)</f>
        <v>15.19</v>
      </c>
    </row>
    <row r="2346" spans="1:2">
      <c r="A2346" s="3">
        <f ca="1">IFERROR(__xludf.DUMMYFUNCTION("""COMPUTED_VALUE"""),41757.6666666666)</f>
        <v>41757.666666666599</v>
      </c>
      <c r="B2346" s="1">
        <f ca="1">IFERROR(__xludf.DUMMYFUNCTION("""COMPUTED_VALUE"""),14.83)</f>
        <v>14.83</v>
      </c>
    </row>
    <row r="2347" spans="1:2">
      <c r="A2347" s="3">
        <f ca="1">IFERROR(__xludf.DUMMYFUNCTION("""COMPUTED_VALUE"""),41758.6666666666)</f>
        <v>41758.666666666599</v>
      </c>
      <c r="B2347" s="1">
        <f ca="1">IFERROR(__xludf.DUMMYFUNCTION("""COMPUTED_VALUE"""),15.02)</f>
        <v>15.02</v>
      </c>
    </row>
    <row r="2348" spans="1:2">
      <c r="A2348" s="3">
        <f ca="1">IFERROR(__xludf.DUMMYFUNCTION("""COMPUTED_VALUE"""),41759.6666666666)</f>
        <v>41759.666666666599</v>
      </c>
      <c r="B2348" s="1">
        <f ca="1">IFERROR(__xludf.DUMMYFUNCTION("""COMPUTED_VALUE"""),15.21)</f>
        <v>15.21</v>
      </c>
    </row>
    <row r="2349" spans="1:2">
      <c r="A2349" s="3">
        <f ca="1">IFERROR(__xludf.DUMMYFUNCTION("""COMPUTED_VALUE"""),41760.6666666666)</f>
        <v>41760.666666666599</v>
      </c>
      <c r="B2349" s="1">
        <f ca="1">IFERROR(__xludf.DUMMYFUNCTION("""COMPUTED_VALUE"""),15.39)</f>
        <v>15.39</v>
      </c>
    </row>
    <row r="2350" spans="1:2">
      <c r="A2350" s="3">
        <f ca="1">IFERROR(__xludf.DUMMYFUNCTION("""COMPUTED_VALUE"""),41761.6666666666)</f>
        <v>41761.666666666599</v>
      </c>
      <c r="B2350" s="1">
        <f ca="1">IFERROR(__xludf.DUMMYFUNCTION("""COMPUTED_VALUE"""),15.4)</f>
        <v>15.4</v>
      </c>
    </row>
    <row r="2351" spans="1:2">
      <c r="A2351" s="3">
        <f ca="1">IFERROR(__xludf.DUMMYFUNCTION("""COMPUTED_VALUE"""),41764.6666666666)</f>
        <v>41764.666666666599</v>
      </c>
      <c r="B2351" s="1">
        <f ca="1">IFERROR(__xludf.DUMMYFUNCTION("""COMPUTED_VALUE"""),15.5)</f>
        <v>15.5</v>
      </c>
    </row>
    <row r="2352" spans="1:2">
      <c r="A2352" s="3">
        <f ca="1">IFERROR(__xludf.DUMMYFUNCTION("""COMPUTED_VALUE"""),41765.6666666666)</f>
        <v>41765.666666666599</v>
      </c>
      <c r="B2352" s="1">
        <f ca="1">IFERROR(__xludf.DUMMYFUNCTION("""COMPUTED_VALUE"""),14.87)</f>
        <v>14.87</v>
      </c>
    </row>
    <row r="2353" spans="1:2">
      <c r="A2353" s="3">
        <f ca="1">IFERROR(__xludf.DUMMYFUNCTION("""COMPUTED_VALUE"""),41766.6666666666)</f>
        <v>41766.666666666599</v>
      </c>
      <c r="B2353" s="1">
        <f ca="1">IFERROR(__xludf.DUMMYFUNCTION("""COMPUTED_VALUE"""),14.64)</f>
        <v>14.64</v>
      </c>
    </row>
    <row r="2354" spans="1:2">
      <c r="A2354" s="3">
        <f ca="1">IFERROR(__xludf.DUMMYFUNCTION("""COMPUTED_VALUE"""),41767.6666666666)</f>
        <v>41767.666666666599</v>
      </c>
      <c r="B2354" s="1">
        <f ca="1">IFERROR(__xludf.DUMMYFUNCTION("""COMPUTED_VALUE"""),14.42)</f>
        <v>14.42</v>
      </c>
    </row>
    <row r="2355" spans="1:2">
      <c r="A2355" s="3">
        <f ca="1">IFERROR(__xludf.DUMMYFUNCTION("""COMPUTED_VALUE"""),41768.6666666666)</f>
        <v>41768.666666666599</v>
      </c>
      <c r="B2355" s="1">
        <f ca="1">IFERROR(__xludf.DUMMYFUNCTION("""COMPUTED_VALUE"""),14.61)</f>
        <v>14.61</v>
      </c>
    </row>
    <row r="2356" spans="1:2">
      <c r="A2356" s="3">
        <f ca="1">IFERROR(__xludf.DUMMYFUNCTION("""COMPUTED_VALUE"""),41771.6666666666)</f>
        <v>41771.666666666599</v>
      </c>
      <c r="B2356" s="1">
        <f ca="1">IFERROR(__xludf.DUMMYFUNCTION("""COMPUTED_VALUE"""),15.14)</f>
        <v>15.14</v>
      </c>
    </row>
    <row r="2357" spans="1:2">
      <c r="A2357" s="3">
        <f ca="1">IFERROR(__xludf.DUMMYFUNCTION("""COMPUTED_VALUE"""),41772.6666666666)</f>
        <v>41772.666666666599</v>
      </c>
      <c r="B2357" s="1">
        <f ca="1">IFERROR(__xludf.DUMMYFUNCTION("""COMPUTED_VALUE"""),15.23)</f>
        <v>15.23</v>
      </c>
    </row>
    <row r="2358" spans="1:2">
      <c r="A2358" s="3">
        <f ca="1">IFERROR(__xludf.DUMMYFUNCTION("""COMPUTED_VALUE"""),41773.6666666666)</f>
        <v>41773.666666666599</v>
      </c>
      <c r="B2358" s="1">
        <f ca="1">IFERROR(__xludf.DUMMYFUNCTION("""COMPUTED_VALUE"""),14.88)</f>
        <v>14.88</v>
      </c>
    </row>
    <row r="2359" spans="1:2">
      <c r="A2359" s="3">
        <f ca="1">IFERROR(__xludf.DUMMYFUNCTION("""COMPUTED_VALUE"""),41774.6666666666)</f>
        <v>41774.666666666599</v>
      </c>
      <c r="B2359" s="1">
        <f ca="1">IFERROR(__xludf.DUMMYFUNCTION("""COMPUTED_VALUE"""),14.76)</f>
        <v>14.76</v>
      </c>
    </row>
    <row r="2360" spans="1:2">
      <c r="A2360" s="3">
        <f ca="1">IFERROR(__xludf.DUMMYFUNCTION("""COMPUTED_VALUE"""),41775.6666666666)</f>
        <v>41775.666666666599</v>
      </c>
      <c r="B2360" s="1">
        <f ca="1">IFERROR(__xludf.DUMMYFUNCTION("""COMPUTED_VALUE"""),14.89)</f>
        <v>14.89</v>
      </c>
    </row>
    <row r="2361" spans="1:2">
      <c r="A2361" s="3">
        <f ca="1">IFERROR(__xludf.DUMMYFUNCTION("""COMPUTED_VALUE"""),41778.6666666666)</f>
        <v>41778.666666666599</v>
      </c>
      <c r="B2361" s="1">
        <f ca="1">IFERROR(__xludf.DUMMYFUNCTION("""COMPUTED_VALUE"""),14.84)</f>
        <v>14.84</v>
      </c>
    </row>
    <row r="2362" spans="1:2">
      <c r="A2362" s="3">
        <f ca="1">IFERROR(__xludf.DUMMYFUNCTION("""COMPUTED_VALUE"""),41779.6666666666)</f>
        <v>41779.666666666599</v>
      </c>
      <c r="B2362" s="1">
        <f ca="1">IFERROR(__xludf.DUMMYFUNCTION("""COMPUTED_VALUE"""),15.06)</f>
        <v>15.06</v>
      </c>
    </row>
    <row r="2363" spans="1:2">
      <c r="A2363" s="3">
        <f ca="1">IFERROR(__xludf.DUMMYFUNCTION("""COMPUTED_VALUE"""),41780.6666666666)</f>
        <v>41780.666666666599</v>
      </c>
      <c r="B2363" s="1">
        <f ca="1">IFERROR(__xludf.DUMMYFUNCTION("""COMPUTED_VALUE"""),15.25)</f>
        <v>15.25</v>
      </c>
    </row>
    <row r="2364" spans="1:2">
      <c r="A2364" s="3">
        <f ca="1">IFERROR(__xludf.DUMMYFUNCTION("""COMPUTED_VALUE"""),41781.6666666666)</f>
        <v>41781.666666666599</v>
      </c>
      <c r="B2364" s="1">
        <f ca="1">IFERROR(__xludf.DUMMYFUNCTION("""COMPUTED_VALUE"""),15.25)</f>
        <v>15.25</v>
      </c>
    </row>
    <row r="2365" spans="1:2">
      <c r="A2365" s="3">
        <f ca="1">IFERROR(__xludf.DUMMYFUNCTION("""COMPUTED_VALUE"""),41782.6666666666)</f>
        <v>41782.666666666599</v>
      </c>
      <c r="B2365" s="1">
        <f ca="1">IFERROR(__xludf.DUMMYFUNCTION("""COMPUTED_VALUE"""),15.61)</f>
        <v>15.61</v>
      </c>
    </row>
    <row r="2366" spans="1:2">
      <c r="A2366" s="3">
        <f ca="1">IFERROR(__xludf.DUMMYFUNCTION("""COMPUTED_VALUE"""),41786.6666666666)</f>
        <v>41786.666666666599</v>
      </c>
      <c r="B2366" s="1">
        <f ca="1">IFERROR(__xludf.DUMMYFUNCTION("""COMPUTED_VALUE"""),15.54)</f>
        <v>15.54</v>
      </c>
    </row>
    <row r="2367" spans="1:2">
      <c r="A2367" s="3">
        <f ca="1">IFERROR(__xludf.DUMMYFUNCTION("""COMPUTED_VALUE"""),41787.6666666666)</f>
        <v>41787.666666666599</v>
      </c>
      <c r="B2367" s="1">
        <f ca="1">IFERROR(__xludf.DUMMYFUNCTION("""COMPUTED_VALUE"""),15.51)</f>
        <v>15.51</v>
      </c>
    </row>
    <row r="2368" spans="1:2">
      <c r="A2368" s="3">
        <f ca="1">IFERROR(__xludf.DUMMYFUNCTION("""COMPUTED_VALUE"""),41788.6666666666)</f>
        <v>41788.666666666599</v>
      </c>
      <c r="B2368" s="1">
        <f ca="1">IFERROR(__xludf.DUMMYFUNCTION("""COMPUTED_VALUE"""),15.69)</f>
        <v>15.69</v>
      </c>
    </row>
    <row r="2369" spans="1:2">
      <c r="A2369" s="3">
        <f ca="1">IFERROR(__xludf.DUMMYFUNCTION("""COMPUTED_VALUE"""),41789.6666666666)</f>
        <v>41789.666666666599</v>
      </c>
      <c r="B2369" s="1">
        <f ca="1">IFERROR(__xludf.DUMMYFUNCTION("""COMPUTED_VALUE"""),15.63)</f>
        <v>15.63</v>
      </c>
    </row>
    <row r="2370" spans="1:2">
      <c r="A2370" s="3">
        <f ca="1">IFERROR(__xludf.DUMMYFUNCTION("""COMPUTED_VALUE"""),41792.6666666666)</f>
        <v>41792.666666666599</v>
      </c>
      <c r="B2370" s="1">
        <f ca="1">IFERROR(__xludf.DUMMYFUNCTION("""COMPUTED_VALUE"""),15.44)</f>
        <v>15.44</v>
      </c>
    </row>
    <row r="2371" spans="1:2">
      <c r="A2371" s="3">
        <f ca="1">IFERROR(__xludf.DUMMYFUNCTION("""COMPUTED_VALUE"""),41793.6666666666)</f>
        <v>41793.666666666599</v>
      </c>
      <c r="B2371" s="1">
        <f ca="1">IFERROR(__xludf.DUMMYFUNCTION("""COMPUTED_VALUE"""),15.36)</f>
        <v>15.36</v>
      </c>
    </row>
    <row r="2372" spans="1:2">
      <c r="A2372" s="3">
        <f ca="1">IFERROR(__xludf.DUMMYFUNCTION("""COMPUTED_VALUE"""),41794.6666666666)</f>
        <v>41794.666666666599</v>
      </c>
      <c r="B2372" s="1">
        <f ca="1">IFERROR(__xludf.DUMMYFUNCTION("""COMPUTED_VALUE"""),15.34)</f>
        <v>15.34</v>
      </c>
    </row>
    <row r="2373" spans="1:2">
      <c r="A2373" s="3">
        <f ca="1">IFERROR(__xludf.DUMMYFUNCTION("""COMPUTED_VALUE"""),41795.6666666666)</f>
        <v>41795.666666666599</v>
      </c>
      <c r="B2373" s="1">
        <f ca="1">IFERROR(__xludf.DUMMYFUNCTION("""COMPUTED_VALUE"""),16.18)</f>
        <v>16.18</v>
      </c>
    </row>
    <row r="2374" spans="1:2">
      <c r="A2374" s="3">
        <f ca="1">IFERROR(__xludf.DUMMYFUNCTION("""COMPUTED_VALUE"""),41796.6666666666)</f>
        <v>41796.666666666599</v>
      </c>
      <c r="B2374" s="1">
        <f ca="1">IFERROR(__xludf.DUMMYFUNCTION("""COMPUTED_VALUE"""),16.48)</f>
        <v>16.48</v>
      </c>
    </row>
    <row r="2375" spans="1:2">
      <c r="A2375" s="3">
        <f ca="1">IFERROR(__xludf.DUMMYFUNCTION("""COMPUTED_VALUE"""),41799.6666666666)</f>
        <v>41799.666666666599</v>
      </c>
      <c r="B2375" s="1">
        <f ca="1">IFERROR(__xludf.DUMMYFUNCTION("""COMPUTED_VALUE"""),16.38)</f>
        <v>16.38</v>
      </c>
    </row>
    <row r="2376" spans="1:2">
      <c r="A2376" s="3">
        <f ca="1">IFERROR(__xludf.DUMMYFUNCTION("""COMPUTED_VALUE"""),41800.6666666666)</f>
        <v>41800.666666666599</v>
      </c>
      <c r="B2376" s="1">
        <f ca="1">IFERROR(__xludf.DUMMYFUNCTION("""COMPUTED_VALUE"""),16.62)</f>
        <v>16.62</v>
      </c>
    </row>
    <row r="2377" spans="1:2">
      <c r="A2377" s="3">
        <f ca="1">IFERROR(__xludf.DUMMYFUNCTION("""COMPUTED_VALUE"""),41801.6666666666)</f>
        <v>41801.666666666599</v>
      </c>
      <c r="B2377" s="1">
        <f ca="1">IFERROR(__xludf.DUMMYFUNCTION("""COMPUTED_VALUE"""),16.76)</f>
        <v>16.760000000000002</v>
      </c>
    </row>
    <row r="2378" spans="1:2">
      <c r="A2378" s="3">
        <f ca="1">IFERROR(__xludf.DUMMYFUNCTION("""COMPUTED_VALUE"""),41802.6666666666)</f>
        <v>41802.666666666599</v>
      </c>
      <c r="B2378" s="1">
        <f ca="1">IFERROR(__xludf.DUMMYFUNCTION("""COMPUTED_VALUE"""),16.3)</f>
        <v>16.3</v>
      </c>
    </row>
    <row r="2379" spans="1:2">
      <c r="A2379" s="3">
        <f ca="1">IFERROR(__xludf.DUMMYFUNCTION("""COMPUTED_VALUE"""),41803.6666666666)</f>
        <v>41803.666666666599</v>
      </c>
      <c r="B2379" s="1">
        <f ca="1">IFERROR(__xludf.DUMMYFUNCTION("""COMPUTED_VALUE"""),16.31)</f>
        <v>16.309999999999999</v>
      </c>
    </row>
    <row r="2380" spans="1:2">
      <c r="A2380" s="3">
        <f ca="1">IFERROR(__xludf.DUMMYFUNCTION("""COMPUTED_VALUE"""),41806.6666666666)</f>
        <v>41806.666666666599</v>
      </c>
      <c r="B2380" s="1">
        <f ca="1">IFERROR(__xludf.DUMMYFUNCTION("""COMPUTED_VALUE"""),16.38)</f>
        <v>16.38</v>
      </c>
    </row>
    <row r="2381" spans="1:2">
      <c r="A2381" s="3">
        <f ca="1">IFERROR(__xludf.DUMMYFUNCTION("""COMPUTED_VALUE"""),41807.6666666666)</f>
        <v>41807.666666666599</v>
      </c>
      <c r="B2381" s="1">
        <f ca="1">IFERROR(__xludf.DUMMYFUNCTION("""COMPUTED_VALUE"""),16.28)</f>
        <v>16.28</v>
      </c>
    </row>
    <row r="2382" spans="1:2">
      <c r="A2382" s="3">
        <f ca="1">IFERROR(__xludf.DUMMYFUNCTION("""COMPUTED_VALUE"""),41808.6666666666)</f>
        <v>41808.666666666599</v>
      </c>
      <c r="B2382" s="1">
        <f ca="1">IFERROR(__xludf.DUMMYFUNCTION("""COMPUTED_VALUE"""),16.72)</f>
        <v>16.72</v>
      </c>
    </row>
    <row r="2383" spans="1:2">
      <c r="A2383" s="3">
        <f ca="1">IFERROR(__xludf.DUMMYFUNCTION("""COMPUTED_VALUE"""),41809.6666666666)</f>
        <v>41809.666666666599</v>
      </c>
      <c r="B2383" s="1">
        <f ca="1">IFERROR(__xludf.DUMMYFUNCTION("""COMPUTED_VALUE"""),16.35)</f>
        <v>16.350000000000001</v>
      </c>
    </row>
    <row r="2384" spans="1:2">
      <c r="A2384" s="3">
        <f ca="1">IFERROR(__xludf.DUMMYFUNCTION("""COMPUTED_VALUE"""),41810.6666666666)</f>
        <v>41810.666666666599</v>
      </c>
      <c r="B2384" s="1">
        <f ca="1">IFERROR(__xludf.DUMMYFUNCTION("""COMPUTED_VALUE"""),16.21)</f>
        <v>16.21</v>
      </c>
    </row>
    <row r="2385" spans="1:2">
      <c r="A2385" s="3">
        <f ca="1">IFERROR(__xludf.DUMMYFUNCTION("""COMPUTED_VALUE"""),41813.6666666666)</f>
        <v>41813.666666666599</v>
      </c>
      <c r="B2385" s="1">
        <f ca="1">IFERROR(__xludf.DUMMYFUNCTION("""COMPUTED_VALUE"""),16.36)</f>
        <v>16.36</v>
      </c>
    </row>
    <row r="2386" spans="1:2">
      <c r="A2386" s="3">
        <f ca="1">IFERROR(__xludf.DUMMYFUNCTION("""COMPUTED_VALUE"""),41814.6666666666)</f>
        <v>41814.666666666599</v>
      </c>
      <c r="B2386" s="1">
        <f ca="1">IFERROR(__xludf.DUMMYFUNCTION("""COMPUTED_VALUE"""),16.21)</f>
        <v>16.21</v>
      </c>
    </row>
    <row r="2387" spans="1:2">
      <c r="A2387" s="3">
        <f ca="1">IFERROR(__xludf.DUMMYFUNCTION("""COMPUTED_VALUE"""),41815.6666666666)</f>
        <v>41815.666666666599</v>
      </c>
      <c r="B2387" s="1">
        <f ca="1">IFERROR(__xludf.DUMMYFUNCTION("""COMPUTED_VALUE"""),16.37)</f>
        <v>16.37</v>
      </c>
    </row>
    <row r="2388" spans="1:2">
      <c r="A2388" s="3">
        <f ca="1">IFERROR(__xludf.DUMMYFUNCTION("""COMPUTED_VALUE"""),41816.6666666666)</f>
        <v>41816.666666666599</v>
      </c>
      <c r="B2388" s="1">
        <f ca="1">IFERROR(__xludf.DUMMYFUNCTION("""COMPUTED_VALUE"""),16.28)</f>
        <v>16.28</v>
      </c>
    </row>
    <row r="2389" spans="1:2">
      <c r="A2389" s="3">
        <f ca="1">IFERROR(__xludf.DUMMYFUNCTION("""COMPUTED_VALUE"""),41817.6666666666)</f>
        <v>41817.666666666599</v>
      </c>
      <c r="B2389" s="1">
        <f ca="1">IFERROR(__xludf.DUMMYFUNCTION("""COMPUTED_VALUE"""),16.23)</f>
        <v>16.23</v>
      </c>
    </row>
    <row r="2390" spans="1:2">
      <c r="A2390" s="3">
        <f ca="1">IFERROR(__xludf.DUMMYFUNCTION("""COMPUTED_VALUE"""),41820.6666666666)</f>
        <v>41820.666666666599</v>
      </c>
      <c r="B2390" s="1">
        <f ca="1">IFERROR(__xludf.DUMMYFUNCTION("""COMPUTED_VALUE"""),16.24)</f>
        <v>16.239999999999998</v>
      </c>
    </row>
    <row r="2391" spans="1:2">
      <c r="A2391" s="3">
        <f ca="1">IFERROR(__xludf.DUMMYFUNCTION("""COMPUTED_VALUE"""),41821.6666666666)</f>
        <v>41821.666666666599</v>
      </c>
      <c r="B2391" s="1">
        <f ca="1">IFERROR(__xludf.DUMMYFUNCTION("""COMPUTED_VALUE"""),16.62)</f>
        <v>16.62</v>
      </c>
    </row>
    <row r="2392" spans="1:2">
      <c r="A2392" s="3">
        <f ca="1">IFERROR(__xludf.DUMMYFUNCTION("""COMPUTED_VALUE"""),41822.6666666666)</f>
        <v>41822.666666666599</v>
      </c>
      <c r="B2392" s="1">
        <f ca="1">IFERROR(__xludf.DUMMYFUNCTION("""COMPUTED_VALUE"""),16.64)</f>
        <v>16.64</v>
      </c>
    </row>
    <row r="2393" spans="1:2">
      <c r="A2393" s="3">
        <f ca="1">IFERROR(__xludf.DUMMYFUNCTION("""COMPUTED_VALUE"""),41823.6666666666)</f>
        <v>41823.666666666599</v>
      </c>
      <c r="B2393" s="1">
        <f ca="1">IFERROR(__xludf.DUMMYFUNCTION("""COMPUTED_VALUE"""),16.87)</f>
        <v>16.87</v>
      </c>
    </row>
    <row r="2394" spans="1:2">
      <c r="A2394" s="3">
        <f ca="1">IFERROR(__xludf.DUMMYFUNCTION("""COMPUTED_VALUE"""),41827.6666666666)</f>
        <v>41827.666666666599</v>
      </c>
      <c r="B2394" s="1">
        <f ca="1">IFERROR(__xludf.DUMMYFUNCTION("""COMPUTED_VALUE"""),16.68)</f>
        <v>16.68</v>
      </c>
    </row>
    <row r="2395" spans="1:2">
      <c r="A2395" s="3">
        <f ca="1">IFERROR(__xludf.DUMMYFUNCTION("""COMPUTED_VALUE"""),41828.6666666666)</f>
        <v>41828.666666666599</v>
      </c>
      <c r="B2395" s="1">
        <f ca="1">IFERROR(__xludf.DUMMYFUNCTION("""COMPUTED_VALUE"""),16.19)</f>
        <v>16.190000000000001</v>
      </c>
    </row>
    <row r="2396" spans="1:2">
      <c r="A2396" s="3">
        <f ca="1">IFERROR(__xludf.DUMMYFUNCTION("""COMPUTED_VALUE"""),41829.6666666666)</f>
        <v>41829.666666666599</v>
      </c>
      <c r="B2396" s="1">
        <f ca="1">IFERROR(__xludf.DUMMYFUNCTION("""COMPUTED_VALUE"""),16.5)</f>
        <v>16.5</v>
      </c>
    </row>
    <row r="2397" spans="1:2">
      <c r="A2397" s="3">
        <f ca="1">IFERROR(__xludf.DUMMYFUNCTION("""COMPUTED_VALUE"""),41830.6666666666)</f>
        <v>41830.666666666599</v>
      </c>
      <c r="B2397" s="1">
        <f ca="1">IFERROR(__xludf.DUMMYFUNCTION("""COMPUTED_VALUE"""),16.4)</f>
        <v>16.399999999999999</v>
      </c>
    </row>
    <row r="2398" spans="1:2">
      <c r="A2398" s="3">
        <f ca="1">IFERROR(__xludf.DUMMYFUNCTION("""COMPUTED_VALUE"""),41831.6666666666)</f>
        <v>41831.666666666599</v>
      </c>
      <c r="B2398" s="1">
        <f ca="1">IFERROR(__xludf.DUMMYFUNCTION("""COMPUTED_VALUE"""),17.31)</f>
        <v>17.309999999999999</v>
      </c>
    </row>
    <row r="2399" spans="1:2">
      <c r="A2399" s="3">
        <f ca="1">IFERROR(__xludf.DUMMYFUNCTION("""COMPUTED_VALUE"""),41834.6666666666)</f>
        <v>41834.666666666599</v>
      </c>
      <c r="B2399" s="1">
        <f ca="1">IFERROR(__xludf.DUMMYFUNCTION("""COMPUTED_VALUE"""),17.77)</f>
        <v>17.77</v>
      </c>
    </row>
    <row r="2400" spans="1:2">
      <c r="A2400" s="3">
        <f ca="1">IFERROR(__xludf.DUMMYFUNCTION("""COMPUTED_VALUE"""),41835.6666666666)</f>
        <v>41835.666666666599</v>
      </c>
      <c r="B2400" s="1">
        <f ca="1">IFERROR(__xludf.DUMMYFUNCTION("""COMPUTED_VALUE"""),17.72)</f>
        <v>17.72</v>
      </c>
    </row>
    <row r="2401" spans="1:2">
      <c r="A2401" s="3">
        <f ca="1">IFERROR(__xludf.DUMMYFUNCTION("""COMPUTED_VALUE"""),41836.6666666666)</f>
        <v>41836.666666666599</v>
      </c>
      <c r="B2401" s="1">
        <f ca="1">IFERROR(__xludf.DUMMYFUNCTION("""COMPUTED_VALUE"""),17.8)</f>
        <v>17.8</v>
      </c>
    </row>
    <row r="2402" spans="1:2">
      <c r="A2402" s="3">
        <f ca="1">IFERROR(__xludf.DUMMYFUNCTION("""COMPUTED_VALUE"""),41837.6666666666)</f>
        <v>41837.666666666599</v>
      </c>
      <c r="B2402" s="1">
        <f ca="1">IFERROR(__xludf.DUMMYFUNCTION("""COMPUTED_VALUE"""),17.62)</f>
        <v>17.62</v>
      </c>
    </row>
    <row r="2403" spans="1:2">
      <c r="A2403" s="3">
        <f ca="1">IFERROR(__xludf.DUMMYFUNCTION("""COMPUTED_VALUE"""),41838.6666666666)</f>
        <v>41838.666666666599</v>
      </c>
      <c r="B2403" s="1">
        <f ca="1">IFERROR(__xludf.DUMMYFUNCTION("""COMPUTED_VALUE"""),17.93)</f>
        <v>17.93</v>
      </c>
    </row>
    <row r="2404" spans="1:2">
      <c r="A2404" s="3">
        <f ca="1">IFERROR(__xludf.DUMMYFUNCTION("""COMPUTED_VALUE"""),41841.6666666666)</f>
        <v>41841.666666666599</v>
      </c>
      <c r="B2404" s="1">
        <f ca="1">IFERROR(__xludf.DUMMYFUNCTION("""COMPUTED_VALUE"""),17.99)</f>
        <v>17.989999999999998</v>
      </c>
    </row>
    <row r="2405" spans="1:2">
      <c r="A2405" s="3">
        <f ca="1">IFERROR(__xludf.DUMMYFUNCTION("""COMPUTED_VALUE"""),41842.6666666666)</f>
        <v>41842.666666666599</v>
      </c>
      <c r="B2405" s="1">
        <f ca="1">IFERROR(__xludf.DUMMYFUNCTION("""COMPUTED_VALUE"""),18.04)</f>
        <v>18.04</v>
      </c>
    </row>
    <row r="2406" spans="1:2">
      <c r="A2406" s="3">
        <f ca="1">IFERROR(__xludf.DUMMYFUNCTION("""COMPUTED_VALUE"""),41843.6666666666)</f>
        <v>41843.666666666599</v>
      </c>
      <c r="B2406" s="1">
        <f ca="1">IFERROR(__xludf.DUMMYFUNCTION("""COMPUTED_VALUE"""),17.91)</f>
        <v>17.91</v>
      </c>
    </row>
    <row r="2407" spans="1:2">
      <c r="A2407" s="3">
        <f ca="1">IFERROR(__xludf.DUMMYFUNCTION("""COMPUTED_VALUE"""),41844.6666666666)</f>
        <v>41844.666666666599</v>
      </c>
      <c r="B2407" s="1">
        <f ca="1">IFERROR(__xludf.DUMMYFUNCTION("""COMPUTED_VALUE"""),17.93)</f>
        <v>17.93</v>
      </c>
    </row>
    <row r="2408" spans="1:2">
      <c r="A2408" s="3">
        <f ca="1">IFERROR(__xludf.DUMMYFUNCTION("""COMPUTED_VALUE"""),41845.6666666666)</f>
        <v>41845.666666666599</v>
      </c>
      <c r="B2408" s="1">
        <f ca="1">IFERROR(__xludf.DUMMYFUNCTION("""COMPUTED_VALUE"""),16.2)</f>
        <v>16.2</v>
      </c>
    </row>
    <row r="2409" spans="1:2">
      <c r="A2409" s="3">
        <f ca="1">IFERROR(__xludf.DUMMYFUNCTION("""COMPUTED_VALUE"""),41848.6666666666)</f>
        <v>41848.666666666599</v>
      </c>
      <c r="B2409" s="1">
        <f ca="1">IFERROR(__xludf.DUMMYFUNCTION("""COMPUTED_VALUE"""),16.02)</f>
        <v>16.02</v>
      </c>
    </row>
    <row r="2410" spans="1:2">
      <c r="A2410" s="3">
        <f ca="1">IFERROR(__xludf.DUMMYFUNCTION("""COMPUTED_VALUE"""),41849.6666666666)</f>
        <v>41849.666666666599</v>
      </c>
      <c r="B2410" s="1">
        <f ca="1">IFERROR(__xludf.DUMMYFUNCTION("""COMPUTED_VALUE"""),16)</f>
        <v>16</v>
      </c>
    </row>
    <row r="2411" spans="1:2">
      <c r="A2411" s="3">
        <f ca="1">IFERROR(__xludf.DUMMYFUNCTION("""COMPUTED_VALUE"""),41850.6666666666)</f>
        <v>41850.666666666599</v>
      </c>
      <c r="B2411" s="1">
        <f ca="1">IFERROR(__xludf.DUMMYFUNCTION("""COMPUTED_VALUE"""),16.13)</f>
        <v>16.13</v>
      </c>
    </row>
    <row r="2412" spans="1:2">
      <c r="A2412" s="3">
        <f ca="1">IFERROR(__xludf.DUMMYFUNCTION("""COMPUTED_VALUE"""),41851.6666666666)</f>
        <v>41851.666666666599</v>
      </c>
      <c r="B2412" s="1">
        <f ca="1">IFERROR(__xludf.DUMMYFUNCTION("""COMPUTED_VALUE"""),15.65)</f>
        <v>15.65</v>
      </c>
    </row>
    <row r="2413" spans="1:2">
      <c r="A2413" s="3">
        <f ca="1">IFERROR(__xludf.DUMMYFUNCTION("""COMPUTED_VALUE"""),41852.6666666666)</f>
        <v>41852.666666666599</v>
      </c>
      <c r="B2413" s="1">
        <f ca="1">IFERROR(__xludf.DUMMYFUNCTION("""COMPUTED_VALUE"""),15.35)</f>
        <v>15.35</v>
      </c>
    </row>
    <row r="2414" spans="1:2">
      <c r="A2414" s="3">
        <f ca="1">IFERROR(__xludf.DUMMYFUNCTION("""COMPUTED_VALUE"""),41855.6666666666)</f>
        <v>41855.666666666599</v>
      </c>
      <c r="B2414" s="1">
        <f ca="1">IFERROR(__xludf.DUMMYFUNCTION("""COMPUTED_VALUE"""),15.68)</f>
        <v>15.68</v>
      </c>
    </row>
    <row r="2415" spans="1:2">
      <c r="A2415" s="3">
        <f ca="1">IFERROR(__xludf.DUMMYFUNCTION("""COMPUTED_VALUE"""),41856.6666666666)</f>
        <v>41856.666666666599</v>
      </c>
      <c r="B2415" s="1">
        <f ca="1">IFERROR(__xludf.DUMMYFUNCTION("""COMPUTED_VALUE"""),15.62)</f>
        <v>15.62</v>
      </c>
    </row>
    <row r="2416" spans="1:2">
      <c r="A2416" s="3">
        <f ca="1">IFERROR(__xludf.DUMMYFUNCTION("""COMPUTED_VALUE"""),41857.6666666666)</f>
        <v>41857.666666666599</v>
      </c>
      <c r="B2416" s="1">
        <f ca="1">IFERROR(__xludf.DUMMYFUNCTION("""COMPUTED_VALUE"""),15.69)</f>
        <v>15.69</v>
      </c>
    </row>
    <row r="2417" spans="1:2">
      <c r="A2417" s="3">
        <f ca="1">IFERROR(__xludf.DUMMYFUNCTION("""COMPUTED_VALUE"""),41858.6666666666)</f>
        <v>41858.666666666599</v>
      </c>
      <c r="B2417" s="1">
        <f ca="1">IFERROR(__xludf.DUMMYFUNCTION("""COMPUTED_VALUE"""),15.57)</f>
        <v>15.57</v>
      </c>
    </row>
    <row r="2418" spans="1:2">
      <c r="A2418" s="3">
        <f ca="1">IFERROR(__xludf.DUMMYFUNCTION("""COMPUTED_VALUE"""),41859.6666666666)</f>
        <v>41859.666666666599</v>
      </c>
      <c r="B2418" s="1">
        <f ca="1">IFERROR(__xludf.DUMMYFUNCTION("""COMPUTED_VALUE"""),15.84)</f>
        <v>15.84</v>
      </c>
    </row>
    <row r="2419" spans="1:2">
      <c r="A2419" s="3">
        <f ca="1">IFERROR(__xludf.DUMMYFUNCTION("""COMPUTED_VALUE"""),41862.6666666666)</f>
        <v>41862.666666666599</v>
      </c>
      <c r="B2419" s="1">
        <f ca="1">IFERROR(__xludf.DUMMYFUNCTION("""COMPUTED_VALUE"""),15.92)</f>
        <v>15.92</v>
      </c>
    </row>
    <row r="2420" spans="1:2">
      <c r="A2420" s="3">
        <f ca="1">IFERROR(__xludf.DUMMYFUNCTION("""COMPUTED_VALUE"""),41863.6666666666)</f>
        <v>41863.666666666599</v>
      </c>
      <c r="B2420" s="1">
        <f ca="1">IFERROR(__xludf.DUMMYFUNCTION("""COMPUTED_VALUE"""),15.97)</f>
        <v>15.97</v>
      </c>
    </row>
    <row r="2421" spans="1:2">
      <c r="A2421" s="3">
        <f ca="1">IFERROR(__xludf.DUMMYFUNCTION("""COMPUTED_VALUE"""),41864.6666666666)</f>
        <v>41864.666666666599</v>
      </c>
      <c r="B2421" s="1">
        <f ca="1">IFERROR(__xludf.DUMMYFUNCTION("""COMPUTED_VALUE"""),16.31)</f>
        <v>16.309999999999999</v>
      </c>
    </row>
    <row r="2422" spans="1:2">
      <c r="A2422" s="3">
        <f ca="1">IFERROR(__xludf.DUMMYFUNCTION("""COMPUTED_VALUE"""),41865.6666666666)</f>
        <v>41865.666666666599</v>
      </c>
      <c r="B2422" s="1">
        <f ca="1">IFERROR(__xludf.DUMMYFUNCTION("""COMPUTED_VALUE"""),16.66)</f>
        <v>16.66</v>
      </c>
    </row>
    <row r="2423" spans="1:2">
      <c r="A2423" s="3">
        <f ca="1">IFERROR(__xludf.DUMMYFUNCTION("""COMPUTED_VALUE"""),41866.6666666666)</f>
        <v>41866.666666666599</v>
      </c>
      <c r="B2423" s="1">
        <f ca="1">IFERROR(__xludf.DUMMYFUNCTION("""COMPUTED_VALUE"""),16.68)</f>
        <v>16.68</v>
      </c>
    </row>
    <row r="2424" spans="1:2">
      <c r="A2424" s="3">
        <f ca="1">IFERROR(__xludf.DUMMYFUNCTION("""COMPUTED_VALUE"""),41869.6666666666)</f>
        <v>41869.666666666599</v>
      </c>
      <c r="B2424" s="1">
        <f ca="1">IFERROR(__xludf.DUMMYFUNCTION("""COMPUTED_VALUE"""),16.73)</f>
        <v>16.73</v>
      </c>
    </row>
    <row r="2425" spans="1:2">
      <c r="A2425" s="3">
        <f ca="1">IFERROR(__xludf.DUMMYFUNCTION("""COMPUTED_VALUE"""),41870.6666666666)</f>
        <v>41870.666666666599</v>
      </c>
      <c r="B2425" s="1">
        <f ca="1">IFERROR(__xludf.DUMMYFUNCTION("""COMPUTED_VALUE"""),16.76)</f>
        <v>16.760000000000002</v>
      </c>
    </row>
    <row r="2426" spans="1:2">
      <c r="A2426" s="3">
        <f ca="1">IFERROR(__xludf.DUMMYFUNCTION("""COMPUTED_VALUE"""),41871.6666666666)</f>
        <v>41871.666666666599</v>
      </c>
      <c r="B2426" s="1">
        <f ca="1">IFERROR(__xludf.DUMMYFUNCTION("""COMPUTED_VALUE"""),16.79)</f>
        <v>16.79</v>
      </c>
    </row>
    <row r="2427" spans="1:2">
      <c r="A2427" s="3">
        <f ca="1">IFERROR(__xludf.DUMMYFUNCTION("""COMPUTED_VALUE"""),41872.6666666666)</f>
        <v>41872.666666666599</v>
      </c>
      <c r="B2427" s="1">
        <f ca="1">IFERROR(__xludf.DUMMYFUNCTION("""COMPUTED_VALUE"""),16.65)</f>
        <v>16.649999999999999</v>
      </c>
    </row>
    <row r="2428" spans="1:2">
      <c r="A2428" s="3">
        <f ca="1">IFERROR(__xludf.DUMMYFUNCTION("""COMPUTED_VALUE"""),41873.6666666666)</f>
        <v>41873.666666666599</v>
      </c>
      <c r="B2428" s="1">
        <f ca="1">IFERROR(__xludf.DUMMYFUNCTION("""COMPUTED_VALUE"""),16.58)</f>
        <v>16.579999999999998</v>
      </c>
    </row>
    <row r="2429" spans="1:2">
      <c r="A2429" s="3">
        <f ca="1">IFERROR(__xludf.DUMMYFUNCTION("""COMPUTED_VALUE"""),41876.6666666666)</f>
        <v>41876.666666666599</v>
      </c>
      <c r="B2429" s="1">
        <f ca="1">IFERROR(__xludf.DUMMYFUNCTION("""COMPUTED_VALUE"""),16.7)</f>
        <v>16.7</v>
      </c>
    </row>
    <row r="2430" spans="1:2">
      <c r="A2430" s="3">
        <f ca="1">IFERROR(__xludf.DUMMYFUNCTION("""COMPUTED_VALUE"""),41877.6666666666)</f>
        <v>41877.666666666599</v>
      </c>
      <c r="B2430" s="1">
        <f ca="1">IFERROR(__xludf.DUMMYFUNCTION("""COMPUTED_VALUE"""),17.09)</f>
        <v>17.09</v>
      </c>
    </row>
    <row r="2431" spans="1:2">
      <c r="A2431" s="3">
        <f ca="1">IFERROR(__xludf.DUMMYFUNCTION("""COMPUTED_VALUE"""),41878.6666666666)</f>
        <v>41878.666666666599</v>
      </c>
      <c r="B2431" s="1">
        <f ca="1">IFERROR(__xludf.DUMMYFUNCTION("""COMPUTED_VALUE"""),17.16)</f>
        <v>17.16</v>
      </c>
    </row>
    <row r="2432" spans="1:2">
      <c r="A2432" s="3">
        <f ca="1">IFERROR(__xludf.DUMMYFUNCTION("""COMPUTED_VALUE"""),41879.6666666666)</f>
        <v>41879.666666666599</v>
      </c>
      <c r="B2432" s="1">
        <f ca="1">IFERROR(__xludf.DUMMYFUNCTION("""COMPUTED_VALUE"""),17)</f>
        <v>17</v>
      </c>
    </row>
    <row r="2433" spans="1:2">
      <c r="A2433" s="3">
        <f ca="1">IFERROR(__xludf.DUMMYFUNCTION("""COMPUTED_VALUE"""),41880.6666666666)</f>
        <v>41880.666666666599</v>
      </c>
      <c r="B2433" s="1">
        <f ca="1">IFERROR(__xludf.DUMMYFUNCTION("""COMPUTED_VALUE"""),16.95)</f>
        <v>16.95</v>
      </c>
    </row>
    <row r="2434" spans="1:2">
      <c r="A2434" s="3">
        <f ca="1">IFERROR(__xludf.DUMMYFUNCTION("""COMPUTED_VALUE"""),41884.6666666666)</f>
        <v>41884.666666666599</v>
      </c>
      <c r="B2434" s="1">
        <f ca="1">IFERROR(__xludf.DUMMYFUNCTION("""COMPUTED_VALUE"""),17.12)</f>
        <v>17.12</v>
      </c>
    </row>
    <row r="2435" spans="1:2">
      <c r="A2435" s="3">
        <f ca="1">IFERROR(__xludf.DUMMYFUNCTION("""COMPUTED_VALUE"""),41885.6666666666)</f>
        <v>41885.666666666599</v>
      </c>
      <c r="B2435" s="1">
        <f ca="1">IFERROR(__xludf.DUMMYFUNCTION("""COMPUTED_VALUE"""),16.95)</f>
        <v>16.95</v>
      </c>
    </row>
    <row r="2436" spans="1:2">
      <c r="A2436" s="3">
        <f ca="1">IFERROR(__xludf.DUMMYFUNCTION("""COMPUTED_VALUE"""),41886.6666666666)</f>
        <v>41886.666666666599</v>
      </c>
      <c r="B2436" s="1">
        <f ca="1">IFERROR(__xludf.DUMMYFUNCTION("""COMPUTED_VALUE"""),17.3)</f>
        <v>17.3</v>
      </c>
    </row>
    <row r="2437" spans="1:2">
      <c r="A2437" s="3">
        <f ca="1">IFERROR(__xludf.DUMMYFUNCTION("""COMPUTED_VALUE"""),41887.6666666666)</f>
        <v>41887.666666666599</v>
      </c>
      <c r="B2437" s="1">
        <f ca="1">IFERROR(__xludf.DUMMYFUNCTION("""COMPUTED_VALUE"""),17.32)</f>
        <v>17.32</v>
      </c>
    </row>
    <row r="2438" spans="1:2">
      <c r="A2438" s="3">
        <f ca="1">IFERROR(__xludf.DUMMYFUNCTION("""COMPUTED_VALUE"""),41890.6666666666)</f>
        <v>41890.666666666599</v>
      </c>
      <c r="B2438" s="1">
        <f ca="1">IFERROR(__xludf.DUMMYFUNCTION("""COMPUTED_VALUE"""),17.12)</f>
        <v>17.12</v>
      </c>
    </row>
    <row r="2439" spans="1:2">
      <c r="A2439" s="3">
        <f ca="1">IFERROR(__xludf.DUMMYFUNCTION("""COMPUTED_VALUE"""),41891.6666666666)</f>
        <v>41891.666666666599</v>
      </c>
      <c r="B2439" s="1">
        <f ca="1">IFERROR(__xludf.DUMMYFUNCTION("""COMPUTED_VALUE"""),16.49)</f>
        <v>16.489999999999998</v>
      </c>
    </row>
    <row r="2440" spans="1:2">
      <c r="A2440" s="3">
        <f ca="1">IFERROR(__xludf.DUMMYFUNCTION("""COMPUTED_VALUE"""),41892.6666666666)</f>
        <v>41892.666666666599</v>
      </c>
      <c r="B2440" s="1">
        <f ca="1">IFERROR(__xludf.DUMMYFUNCTION("""COMPUTED_VALUE"""),16.57)</f>
        <v>16.57</v>
      </c>
    </row>
    <row r="2441" spans="1:2">
      <c r="A2441" s="3">
        <f ca="1">IFERROR(__xludf.DUMMYFUNCTION("""COMPUTED_VALUE"""),41893.6666666666)</f>
        <v>41893.666666666599</v>
      </c>
      <c r="B2441" s="1">
        <f ca="1">IFERROR(__xludf.DUMMYFUNCTION("""COMPUTED_VALUE"""),16.53)</f>
        <v>16.53</v>
      </c>
    </row>
    <row r="2442" spans="1:2">
      <c r="A2442" s="3">
        <f ca="1">IFERROR(__xludf.DUMMYFUNCTION("""COMPUTED_VALUE"""),41894.6666666666)</f>
        <v>41894.666666666599</v>
      </c>
      <c r="B2442" s="1">
        <f ca="1">IFERROR(__xludf.DUMMYFUNCTION("""COMPUTED_VALUE"""),16.56)</f>
        <v>16.559999999999999</v>
      </c>
    </row>
    <row r="2443" spans="1:2">
      <c r="A2443" s="3">
        <f ca="1">IFERROR(__xludf.DUMMYFUNCTION("""COMPUTED_VALUE"""),41897.6666666666)</f>
        <v>41897.666666666599</v>
      </c>
      <c r="B2443" s="1">
        <f ca="1">IFERROR(__xludf.DUMMYFUNCTION("""COMPUTED_VALUE"""),16.19)</f>
        <v>16.190000000000001</v>
      </c>
    </row>
    <row r="2444" spans="1:2">
      <c r="A2444" s="3">
        <f ca="1">IFERROR(__xludf.DUMMYFUNCTION("""COMPUTED_VALUE"""),41898.6666666666)</f>
        <v>41898.666666666599</v>
      </c>
      <c r="B2444" s="1">
        <f ca="1">IFERROR(__xludf.DUMMYFUNCTION("""COMPUTED_VALUE"""),16.39)</f>
        <v>16.39</v>
      </c>
    </row>
    <row r="2445" spans="1:2">
      <c r="A2445" s="3">
        <f ca="1">IFERROR(__xludf.DUMMYFUNCTION("""COMPUTED_VALUE"""),41899.6666666666)</f>
        <v>41899.666666666599</v>
      </c>
      <c r="B2445" s="1">
        <f ca="1">IFERROR(__xludf.DUMMYFUNCTION("""COMPUTED_VALUE"""),16.2)</f>
        <v>16.2</v>
      </c>
    </row>
    <row r="2446" spans="1:2">
      <c r="A2446" s="3">
        <f ca="1">IFERROR(__xludf.DUMMYFUNCTION("""COMPUTED_VALUE"""),41900.6666666666)</f>
        <v>41900.666666666599</v>
      </c>
      <c r="B2446" s="1">
        <f ca="1">IFERROR(__xludf.DUMMYFUNCTION("""COMPUTED_VALUE"""),16.25)</f>
        <v>16.25</v>
      </c>
    </row>
    <row r="2447" spans="1:2">
      <c r="A2447" s="3">
        <f ca="1">IFERROR(__xludf.DUMMYFUNCTION("""COMPUTED_VALUE"""),41901.6666666666)</f>
        <v>41901.666666666599</v>
      </c>
      <c r="B2447" s="1">
        <f ca="1">IFERROR(__xludf.DUMMYFUNCTION("""COMPUTED_VALUE"""),16.57)</f>
        <v>16.57</v>
      </c>
    </row>
    <row r="2448" spans="1:2">
      <c r="A2448" s="3">
        <f ca="1">IFERROR(__xludf.DUMMYFUNCTION("""COMPUTED_VALUE"""),41904.6666666666)</f>
        <v>41904.666666666599</v>
      </c>
      <c r="B2448" s="1">
        <f ca="1">IFERROR(__xludf.DUMMYFUNCTION("""COMPUTED_VALUE"""),16.23)</f>
        <v>16.23</v>
      </c>
    </row>
    <row r="2449" spans="1:2">
      <c r="A2449" s="3">
        <f ca="1">IFERROR(__xludf.DUMMYFUNCTION("""COMPUTED_VALUE"""),41905.6666666666)</f>
        <v>41905.666666666599</v>
      </c>
      <c r="B2449" s="1">
        <f ca="1">IFERROR(__xludf.DUMMYFUNCTION("""COMPUTED_VALUE"""),16.18)</f>
        <v>16.18</v>
      </c>
    </row>
    <row r="2450" spans="1:2">
      <c r="A2450" s="3">
        <f ca="1">IFERROR(__xludf.DUMMYFUNCTION("""COMPUTED_VALUE"""),41906.6666666666)</f>
        <v>41906.666666666599</v>
      </c>
      <c r="B2450" s="1">
        <f ca="1">IFERROR(__xludf.DUMMYFUNCTION("""COMPUTED_VALUE"""),16.41)</f>
        <v>16.41</v>
      </c>
    </row>
    <row r="2451" spans="1:2">
      <c r="A2451" s="3">
        <f ca="1">IFERROR(__xludf.DUMMYFUNCTION("""COMPUTED_VALUE"""),41907.6666666666)</f>
        <v>41907.666666666599</v>
      </c>
      <c r="B2451" s="1">
        <f ca="1">IFERROR(__xludf.DUMMYFUNCTION("""COMPUTED_VALUE"""),16.1)</f>
        <v>16.100000000000001</v>
      </c>
    </row>
    <row r="2452" spans="1:2">
      <c r="A2452" s="3">
        <f ca="1">IFERROR(__xludf.DUMMYFUNCTION("""COMPUTED_VALUE"""),41908.6666666666)</f>
        <v>41908.666666666599</v>
      </c>
      <c r="B2452" s="1">
        <f ca="1">IFERROR(__xludf.DUMMYFUNCTION("""COMPUTED_VALUE"""),16.16)</f>
        <v>16.16</v>
      </c>
    </row>
    <row r="2453" spans="1:2">
      <c r="A2453" s="3">
        <f ca="1">IFERROR(__xludf.DUMMYFUNCTION("""COMPUTED_VALUE"""),41911.6666666666)</f>
        <v>41911.666666666599</v>
      </c>
      <c r="B2453" s="1">
        <f ca="1">IFERROR(__xludf.DUMMYFUNCTION("""COMPUTED_VALUE"""),16.09)</f>
        <v>16.09</v>
      </c>
    </row>
    <row r="2454" spans="1:2">
      <c r="A2454" s="3">
        <f ca="1">IFERROR(__xludf.DUMMYFUNCTION("""COMPUTED_VALUE"""),41912.6666666666)</f>
        <v>41912.666666666599</v>
      </c>
      <c r="B2454" s="1">
        <f ca="1">IFERROR(__xludf.DUMMYFUNCTION("""COMPUTED_VALUE"""),16.12)</f>
        <v>16.12</v>
      </c>
    </row>
    <row r="2455" spans="1:2">
      <c r="A2455" s="3">
        <f ca="1">IFERROR(__xludf.DUMMYFUNCTION("""COMPUTED_VALUE"""),41913.6666666666)</f>
        <v>41913.666666666599</v>
      </c>
      <c r="B2455" s="1">
        <f ca="1">IFERROR(__xludf.DUMMYFUNCTION("""COMPUTED_VALUE"""),15.87)</f>
        <v>15.87</v>
      </c>
    </row>
    <row r="2456" spans="1:2">
      <c r="A2456" s="3">
        <f ca="1">IFERROR(__xludf.DUMMYFUNCTION("""COMPUTED_VALUE"""),41914.6666666666)</f>
        <v>41914.666666666599</v>
      </c>
      <c r="B2456" s="1">
        <f ca="1">IFERROR(__xludf.DUMMYFUNCTION("""COMPUTED_VALUE"""),15.92)</f>
        <v>15.92</v>
      </c>
    </row>
    <row r="2457" spans="1:2">
      <c r="A2457" s="3">
        <f ca="1">IFERROR(__xludf.DUMMYFUNCTION("""COMPUTED_VALUE"""),41915.6666666666)</f>
        <v>41915.666666666599</v>
      </c>
      <c r="B2457" s="1">
        <f ca="1">IFERROR(__xludf.DUMMYFUNCTION("""COMPUTED_VALUE"""),16.14)</f>
        <v>16.14</v>
      </c>
    </row>
    <row r="2458" spans="1:2">
      <c r="A2458" s="3">
        <f ca="1">IFERROR(__xludf.DUMMYFUNCTION("""COMPUTED_VALUE"""),41918.6666666666)</f>
        <v>41918.666666666599</v>
      </c>
      <c r="B2458" s="1">
        <f ca="1">IFERROR(__xludf.DUMMYFUNCTION("""COMPUTED_VALUE"""),16.11)</f>
        <v>16.11</v>
      </c>
    </row>
    <row r="2459" spans="1:2">
      <c r="A2459" s="3">
        <f ca="1">IFERROR(__xludf.DUMMYFUNCTION("""COMPUTED_VALUE"""),41919.6666666666)</f>
        <v>41919.666666666599</v>
      </c>
      <c r="B2459" s="1">
        <f ca="1">IFERROR(__xludf.DUMMYFUNCTION("""COMPUTED_VALUE"""),15.85)</f>
        <v>15.85</v>
      </c>
    </row>
    <row r="2460" spans="1:2">
      <c r="A2460" s="3">
        <f ca="1">IFERROR(__xludf.DUMMYFUNCTION("""COMPUTED_VALUE"""),41920.6666666666)</f>
        <v>41920.666666666599</v>
      </c>
      <c r="B2460" s="1">
        <f ca="1">IFERROR(__xludf.DUMMYFUNCTION("""COMPUTED_VALUE"""),16.14)</f>
        <v>16.14</v>
      </c>
    </row>
    <row r="2461" spans="1:2">
      <c r="A2461" s="3">
        <f ca="1">IFERROR(__xludf.DUMMYFUNCTION("""COMPUTED_VALUE"""),41921.6666666666)</f>
        <v>41921.666666666599</v>
      </c>
      <c r="B2461" s="1">
        <f ca="1">IFERROR(__xludf.DUMMYFUNCTION("""COMPUTED_VALUE"""),15.77)</f>
        <v>15.77</v>
      </c>
    </row>
    <row r="2462" spans="1:2">
      <c r="A2462" s="3">
        <f ca="1">IFERROR(__xludf.DUMMYFUNCTION("""COMPUTED_VALUE"""),41922.6666666666)</f>
        <v>41922.666666666599</v>
      </c>
      <c r="B2462" s="1">
        <f ca="1">IFERROR(__xludf.DUMMYFUNCTION("""COMPUTED_VALUE"""),15.57)</f>
        <v>15.57</v>
      </c>
    </row>
    <row r="2463" spans="1:2">
      <c r="A2463" s="3">
        <f ca="1">IFERROR(__xludf.DUMMYFUNCTION("""COMPUTED_VALUE"""),41925.6666666666)</f>
        <v>41925.666666666599</v>
      </c>
      <c r="B2463" s="1">
        <f ca="1">IFERROR(__xludf.DUMMYFUNCTION("""COMPUTED_VALUE"""),15.32)</f>
        <v>15.32</v>
      </c>
    </row>
    <row r="2464" spans="1:2">
      <c r="A2464" s="3">
        <f ca="1">IFERROR(__xludf.DUMMYFUNCTION("""COMPUTED_VALUE"""),41926.6666666666)</f>
        <v>41926.666666666599</v>
      </c>
      <c r="B2464" s="1">
        <f ca="1">IFERROR(__xludf.DUMMYFUNCTION("""COMPUTED_VALUE"""),15.42)</f>
        <v>15.42</v>
      </c>
    </row>
    <row r="2465" spans="1:2">
      <c r="A2465" s="3">
        <f ca="1">IFERROR(__xludf.DUMMYFUNCTION("""COMPUTED_VALUE"""),41927.6666666666)</f>
        <v>41927.666666666599</v>
      </c>
      <c r="B2465" s="1">
        <f ca="1">IFERROR(__xludf.DUMMYFUNCTION("""COMPUTED_VALUE"""),15.3)</f>
        <v>15.3</v>
      </c>
    </row>
    <row r="2466" spans="1:2">
      <c r="A2466" s="3">
        <f ca="1">IFERROR(__xludf.DUMMYFUNCTION("""COMPUTED_VALUE"""),41928.6666666666)</f>
        <v>41928.666666666599</v>
      </c>
      <c r="B2466" s="1">
        <f ca="1">IFERROR(__xludf.DUMMYFUNCTION("""COMPUTED_VALUE"""),15.14)</f>
        <v>15.14</v>
      </c>
    </row>
    <row r="2467" spans="1:2">
      <c r="A2467" s="3">
        <f ca="1">IFERROR(__xludf.DUMMYFUNCTION("""COMPUTED_VALUE"""),41929.6666666666)</f>
        <v>41929.666666666599</v>
      </c>
      <c r="B2467" s="1">
        <f ca="1">IFERROR(__xludf.DUMMYFUNCTION("""COMPUTED_VALUE"""),15.18)</f>
        <v>15.18</v>
      </c>
    </row>
    <row r="2468" spans="1:2">
      <c r="A2468" s="3">
        <f ca="1">IFERROR(__xludf.DUMMYFUNCTION("""COMPUTED_VALUE"""),41932.6666666666)</f>
        <v>41932.666666666599</v>
      </c>
      <c r="B2468" s="1">
        <f ca="1">IFERROR(__xludf.DUMMYFUNCTION("""COMPUTED_VALUE"""),15.31)</f>
        <v>15.31</v>
      </c>
    </row>
    <row r="2469" spans="1:2">
      <c r="A2469" s="3">
        <f ca="1">IFERROR(__xludf.DUMMYFUNCTION("""COMPUTED_VALUE"""),41933.6666666666)</f>
        <v>41933.666666666599</v>
      </c>
      <c r="B2469" s="1">
        <f ca="1">IFERROR(__xludf.DUMMYFUNCTION("""COMPUTED_VALUE"""),15.77)</f>
        <v>15.77</v>
      </c>
    </row>
    <row r="2470" spans="1:2">
      <c r="A2470" s="3">
        <f ca="1">IFERROR(__xludf.DUMMYFUNCTION("""COMPUTED_VALUE"""),41934.6666666666)</f>
        <v>41934.666666666599</v>
      </c>
      <c r="B2470" s="1">
        <f ca="1">IFERROR(__xludf.DUMMYFUNCTION("""COMPUTED_VALUE"""),15.65)</f>
        <v>15.65</v>
      </c>
    </row>
    <row r="2471" spans="1:2">
      <c r="A2471" s="3">
        <f ca="1">IFERROR(__xludf.DUMMYFUNCTION("""COMPUTED_VALUE"""),41935.6666666666)</f>
        <v>41935.666666666599</v>
      </c>
      <c r="B2471" s="1">
        <f ca="1">IFERROR(__xludf.DUMMYFUNCTION("""COMPUTED_VALUE"""),15.66)</f>
        <v>15.66</v>
      </c>
    </row>
    <row r="2472" spans="1:2">
      <c r="A2472" s="3">
        <f ca="1">IFERROR(__xludf.DUMMYFUNCTION("""COMPUTED_VALUE"""),41936.6666666666)</f>
        <v>41936.666666666599</v>
      </c>
      <c r="B2472" s="1">
        <f ca="1">IFERROR(__xludf.DUMMYFUNCTION("""COMPUTED_VALUE"""),14.35)</f>
        <v>14.35</v>
      </c>
    </row>
    <row r="2473" spans="1:2">
      <c r="A2473" s="3">
        <f ca="1">IFERROR(__xludf.DUMMYFUNCTION("""COMPUTED_VALUE"""),41939.6666666666)</f>
        <v>41939.666666666599</v>
      </c>
      <c r="B2473" s="1">
        <f ca="1">IFERROR(__xludf.DUMMYFUNCTION("""COMPUTED_VALUE"""),14.5)</f>
        <v>14.5</v>
      </c>
    </row>
    <row r="2474" spans="1:2">
      <c r="A2474" s="3">
        <f ca="1">IFERROR(__xludf.DUMMYFUNCTION("""COMPUTED_VALUE"""),41940.6666666666)</f>
        <v>41940.666666666599</v>
      </c>
      <c r="B2474" s="1">
        <f ca="1">IFERROR(__xludf.DUMMYFUNCTION("""COMPUTED_VALUE"""),14.78)</f>
        <v>14.78</v>
      </c>
    </row>
    <row r="2475" spans="1:2">
      <c r="A2475" s="3">
        <f ca="1">IFERROR(__xludf.DUMMYFUNCTION("""COMPUTED_VALUE"""),41941.6666666666)</f>
        <v>41941.666666666599</v>
      </c>
      <c r="B2475" s="1">
        <f ca="1">IFERROR(__xludf.DUMMYFUNCTION("""COMPUTED_VALUE"""),14.71)</f>
        <v>14.71</v>
      </c>
    </row>
    <row r="2476" spans="1:2">
      <c r="A2476" s="3">
        <f ca="1">IFERROR(__xludf.DUMMYFUNCTION("""COMPUTED_VALUE"""),41942.6666666666)</f>
        <v>41942.666666666599</v>
      </c>
      <c r="B2476" s="1">
        <f ca="1">IFERROR(__xludf.DUMMYFUNCTION("""COMPUTED_VALUE"""),14.95)</f>
        <v>14.95</v>
      </c>
    </row>
    <row r="2477" spans="1:2">
      <c r="A2477" s="3">
        <f ca="1">IFERROR(__xludf.DUMMYFUNCTION("""COMPUTED_VALUE"""),41943.6666666666)</f>
        <v>41943.666666666599</v>
      </c>
      <c r="B2477" s="1">
        <f ca="1">IFERROR(__xludf.DUMMYFUNCTION("""COMPUTED_VALUE"""),15.27)</f>
        <v>15.27</v>
      </c>
    </row>
    <row r="2478" spans="1:2">
      <c r="A2478" s="3">
        <f ca="1">IFERROR(__xludf.DUMMYFUNCTION("""COMPUTED_VALUE"""),41946.6666666666)</f>
        <v>41946.666666666599</v>
      </c>
      <c r="B2478" s="1">
        <f ca="1">IFERROR(__xludf.DUMMYFUNCTION("""COMPUTED_VALUE"""),15.29)</f>
        <v>15.29</v>
      </c>
    </row>
    <row r="2479" spans="1:2">
      <c r="A2479" s="3">
        <f ca="1">IFERROR(__xludf.DUMMYFUNCTION("""COMPUTED_VALUE"""),41947.6666666666)</f>
        <v>41947.666666666599</v>
      </c>
      <c r="B2479" s="1">
        <f ca="1">IFERROR(__xludf.DUMMYFUNCTION("""COMPUTED_VALUE"""),15.14)</f>
        <v>15.14</v>
      </c>
    </row>
    <row r="2480" spans="1:2">
      <c r="A2480" s="3">
        <f ca="1">IFERROR(__xludf.DUMMYFUNCTION("""COMPUTED_VALUE"""),41948.6666666666)</f>
        <v>41948.666666666599</v>
      </c>
      <c r="B2480" s="1">
        <f ca="1">IFERROR(__xludf.DUMMYFUNCTION("""COMPUTED_VALUE"""),14.83)</f>
        <v>14.83</v>
      </c>
    </row>
    <row r="2481" spans="1:2">
      <c r="A2481" s="3">
        <f ca="1">IFERROR(__xludf.DUMMYFUNCTION("""COMPUTED_VALUE"""),41949.6666666666)</f>
        <v>41949.666666666599</v>
      </c>
      <c r="B2481" s="1">
        <f ca="1">IFERROR(__xludf.DUMMYFUNCTION("""COMPUTED_VALUE"""),14.83)</f>
        <v>14.83</v>
      </c>
    </row>
    <row r="2482" spans="1:2">
      <c r="A2482" s="3">
        <f ca="1">IFERROR(__xludf.DUMMYFUNCTION("""COMPUTED_VALUE"""),41950.6666666666)</f>
        <v>41950.666666666599</v>
      </c>
      <c r="B2482" s="1">
        <f ca="1">IFERROR(__xludf.DUMMYFUNCTION("""COMPUTED_VALUE"""),14.99)</f>
        <v>14.99</v>
      </c>
    </row>
    <row r="2483" spans="1:2">
      <c r="A2483" s="3">
        <f ca="1">IFERROR(__xludf.DUMMYFUNCTION("""COMPUTED_VALUE"""),41953.6666666666)</f>
        <v>41953.666666666599</v>
      </c>
      <c r="B2483" s="1">
        <f ca="1">IFERROR(__xludf.DUMMYFUNCTION("""COMPUTED_VALUE"""),15.26)</f>
        <v>15.26</v>
      </c>
    </row>
    <row r="2484" spans="1:2">
      <c r="A2484" s="3">
        <f ca="1">IFERROR(__xludf.DUMMYFUNCTION("""COMPUTED_VALUE"""),41954.6666666666)</f>
        <v>41954.666666666599</v>
      </c>
      <c r="B2484" s="1">
        <f ca="1">IFERROR(__xludf.DUMMYFUNCTION("""COMPUTED_VALUE"""),15.6)</f>
        <v>15.6</v>
      </c>
    </row>
    <row r="2485" spans="1:2">
      <c r="A2485" s="3">
        <f ca="1">IFERROR(__xludf.DUMMYFUNCTION("""COMPUTED_VALUE"""),41955.6666666666)</f>
        <v>41955.666666666599</v>
      </c>
      <c r="B2485" s="1">
        <f ca="1">IFERROR(__xludf.DUMMYFUNCTION("""COMPUTED_VALUE"""),15.58)</f>
        <v>15.58</v>
      </c>
    </row>
    <row r="2486" spans="1:2">
      <c r="A2486" s="3">
        <f ca="1">IFERROR(__xludf.DUMMYFUNCTION("""COMPUTED_VALUE"""),41956.6666666666)</f>
        <v>41956.666666666599</v>
      </c>
      <c r="B2486" s="1">
        <f ca="1">IFERROR(__xludf.DUMMYFUNCTION("""COMPUTED_VALUE"""),15.82)</f>
        <v>15.82</v>
      </c>
    </row>
    <row r="2487" spans="1:2">
      <c r="A2487" s="3">
        <f ca="1">IFERROR(__xludf.DUMMYFUNCTION("""COMPUTED_VALUE"""),41957.6666666666)</f>
        <v>41957.666666666599</v>
      </c>
      <c r="B2487" s="1">
        <f ca="1">IFERROR(__xludf.DUMMYFUNCTION("""COMPUTED_VALUE"""),16.39)</f>
        <v>16.39</v>
      </c>
    </row>
    <row r="2488" spans="1:2">
      <c r="A2488" s="3">
        <f ca="1">IFERROR(__xludf.DUMMYFUNCTION("""COMPUTED_VALUE"""),41960.6666666666)</f>
        <v>41960.666666666599</v>
      </c>
      <c r="B2488" s="1">
        <f ca="1">IFERROR(__xludf.DUMMYFUNCTION("""COMPUTED_VALUE"""),16.15)</f>
        <v>16.149999999999999</v>
      </c>
    </row>
    <row r="2489" spans="1:2">
      <c r="A2489" s="3">
        <f ca="1">IFERROR(__xludf.DUMMYFUNCTION("""COMPUTED_VALUE"""),41961.6666666666)</f>
        <v>41961.666666666599</v>
      </c>
      <c r="B2489" s="1">
        <f ca="1">IFERROR(__xludf.DUMMYFUNCTION("""COMPUTED_VALUE"""),16.25)</f>
        <v>16.25</v>
      </c>
    </row>
    <row r="2490" spans="1:2">
      <c r="A2490" s="3">
        <f ca="1">IFERROR(__xludf.DUMMYFUNCTION("""COMPUTED_VALUE"""),41962.6666666666)</f>
        <v>41962.666666666599</v>
      </c>
      <c r="B2490" s="1">
        <f ca="1">IFERROR(__xludf.DUMMYFUNCTION("""COMPUTED_VALUE"""),16.33)</f>
        <v>16.329999999999998</v>
      </c>
    </row>
    <row r="2491" spans="1:2">
      <c r="A2491" s="3">
        <f ca="1">IFERROR(__xludf.DUMMYFUNCTION("""COMPUTED_VALUE"""),41963.6666666666)</f>
        <v>41963.666666666599</v>
      </c>
      <c r="B2491" s="1">
        <f ca="1">IFERROR(__xludf.DUMMYFUNCTION("""COMPUTED_VALUE"""),16.53)</f>
        <v>16.53</v>
      </c>
    </row>
    <row r="2492" spans="1:2">
      <c r="A2492" s="3">
        <f ca="1">IFERROR(__xludf.DUMMYFUNCTION("""COMPUTED_VALUE"""),41964.6666666666)</f>
        <v>41964.666666666599</v>
      </c>
      <c r="B2492" s="1">
        <f ca="1">IFERROR(__xludf.DUMMYFUNCTION("""COMPUTED_VALUE"""),16.63)</f>
        <v>16.63</v>
      </c>
    </row>
    <row r="2493" spans="1:2">
      <c r="A2493" s="3">
        <f ca="1">IFERROR(__xludf.DUMMYFUNCTION("""COMPUTED_VALUE"""),41967.6666666666)</f>
        <v>41967.666666666599</v>
      </c>
      <c r="B2493" s="1">
        <f ca="1">IFERROR(__xludf.DUMMYFUNCTION("""COMPUTED_VALUE"""),16.78)</f>
        <v>16.78</v>
      </c>
    </row>
    <row r="2494" spans="1:2">
      <c r="A2494" s="3">
        <f ca="1">IFERROR(__xludf.DUMMYFUNCTION("""COMPUTED_VALUE"""),41968.6666666666)</f>
        <v>41968.666666666599</v>
      </c>
      <c r="B2494" s="1">
        <f ca="1">IFERROR(__xludf.DUMMYFUNCTION("""COMPUTED_VALUE"""),16.75)</f>
        <v>16.75</v>
      </c>
    </row>
    <row r="2495" spans="1:2">
      <c r="A2495" s="3">
        <f ca="1">IFERROR(__xludf.DUMMYFUNCTION("""COMPUTED_VALUE"""),41969.6666666666)</f>
        <v>41969.666666666599</v>
      </c>
      <c r="B2495" s="1">
        <f ca="1">IFERROR(__xludf.DUMMYFUNCTION("""COMPUTED_VALUE"""),16.68)</f>
        <v>16.68</v>
      </c>
    </row>
    <row r="2496" spans="1:2">
      <c r="A2496" s="3">
        <f ca="1">IFERROR(__xludf.DUMMYFUNCTION("""COMPUTED_VALUE"""),41971.6666666666)</f>
        <v>41971.666666666599</v>
      </c>
      <c r="B2496" s="1">
        <f ca="1">IFERROR(__xludf.DUMMYFUNCTION("""COMPUTED_VALUE"""),16.93)</f>
        <v>16.93</v>
      </c>
    </row>
    <row r="2497" spans="1:2">
      <c r="A2497" s="3">
        <f ca="1">IFERROR(__xludf.DUMMYFUNCTION("""COMPUTED_VALUE"""),41974.6666666666)</f>
        <v>41974.666666666599</v>
      </c>
      <c r="B2497" s="1">
        <f ca="1">IFERROR(__xludf.DUMMYFUNCTION("""COMPUTED_VALUE"""),16.3)</f>
        <v>16.3</v>
      </c>
    </row>
    <row r="2498" spans="1:2">
      <c r="A2498" s="3">
        <f ca="1">IFERROR(__xludf.DUMMYFUNCTION("""COMPUTED_VALUE"""),41975.6666666666)</f>
        <v>41975.666666666599</v>
      </c>
      <c r="B2498" s="1">
        <f ca="1">IFERROR(__xludf.DUMMYFUNCTION("""COMPUTED_VALUE"""),16.32)</f>
        <v>16.32</v>
      </c>
    </row>
    <row r="2499" spans="1:2">
      <c r="A2499" s="3">
        <f ca="1">IFERROR(__xludf.DUMMYFUNCTION("""COMPUTED_VALUE"""),41976.6666666666)</f>
        <v>41976.666666666599</v>
      </c>
      <c r="B2499" s="1">
        <f ca="1">IFERROR(__xludf.DUMMYFUNCTION("""COMPUTED_VALUE"""),15.83)</f>
        <v>15.83</v>
      </c>
    </row>
    <row r="2500" spans="1:2">
      <c r="A2500" s="3">
        <f ca="1">IFERROR(__xludf.DUMMYFUNCTION("""COMPUTED_VALUE"""),41977.6666666666)</f>
        <v>41977.666666666599</v>
      </c>
      <c r="B2500" s="1">
        <f ca="1">IFERROR(__xludf.DUMMYFUNCTION("""COMPUTED_VALUE"""),15.85)</f>
        <v>15.85</v>
      </c>
    </row>
    <row r="2501" spans="1:2">
      <c r="A2501" s="3">
        <f ca="1">IFERROR(__xludf.DUMMYFUNCTION("""COMPUTED_VALUE"""),41978.6666666666)</f>
        <v>41978.666666666599</v>
      </c>
      <c r="B2501" s="1">
        <f ca="1">IFERROR(__xludf.DUMMYFUNCTION("""COMPUTED_VALUE"""),15.63)</f>
        <v>15.63</v>
      </c>
    </row>
    <row r="2502" spans="1:2">
      <c r="A2502" s="3">
        <f ca="1">IFERROR(__xludf.DUMMYFUNCTION("""COMPUTED_VALUE"""),41981.6666666666)</f>
        <v>41981.666666666599</v>
      </c>
      <c r="B2502" s="1">
        <f ca="1">IFERROR(__xludf.DUMMYFUNCTION("""COMPUTED_VALUE"""),15.33)</f>
        <v>15.33</v>
      </c>
    </row>
    <row r="2503" spans="1:2">
      <c r="A2503" s="3">
        <f ca="1">IFERROR(__xludf.DUMMYFUNCTION("""COMPUTED_VALUE"""),41982.6666666666)</f>
        <v>41982.666666666599</v>
      </c>
      <c r="B2503" s="1">
        <f ca="1">IFERROR(__xludf.DUMMYFUNCTION("""COMPUTED_VALUE"""),15.63)</f>
        <v>15.63</v>
      </c>
    </row>
    <row r="2504" spans="1:2">
      <c r="A2504" s="3">
        <f ca="1">IFERROR(__xludf.DUMMYFUNCTION("""COMPUTED_VALUE"""),41983.6666666666)</f>
        <v>41983.666666666599</v>
      </c>
      <c r="B2504" s="1">
        <f ca="1">IFERROR(__xludf.DUMMYFUNCTION("""COMPUTED_VALUE"""),15.29)</f>
        <v>15.29</v>
      </c>
    </row>
    <row r="2505" spans="1:2">
      <c r="A2505" s="3">
        <f ca="1">IFERROR(__xludf.DUMMYFUNCTION("""COMPUTED_VALUE"""),41984.6666666666)</f>
        <v>41984.666666666599</v>
      </c>
      <c r="B2505" s="1">
        <f ca="1">IFERROR(__xludf.DUMMYFUNCTION("""COMPUTED_VALUE"""),15.37)</f>
        <v>15.37</v>
      </c>
    </row>
    <row r="2506" spans="1:2">
      <c r="A2506" s="3">
        <f ca="1">IFERROR(__xludf.DUMMYFUNCTION("""COMPUTED_VALUE"""),41985.6666666666)</f>
        <v>41985.666666666599</v>
      </c>
      <c r="B2506" s="1">
        <f ca="1">IFERROR(__xludf.DUMMYFUNCTION("""COMPUTED_VALUE"""),15.37)</f>
        <v>15.37</v>
      </c>
    </row>
    <row r="2507" spans="1:2">
      <c r="A2507" s="3">
        <f ca="1">IFERROR(__xludf.DUMMYFUNCTION("""COMPUTED_VALUE"""),41988.6666666666)</f>
        <v>41988.666666666599</v>
      </c>
      <c r="B2507" s="1">
        <f ca="1">IFERROR(__xludf.DUMMYFUNCTION("""COMPUTED_VALUE"""),15.3)</f>
        <v>15.3</v>
      </c>
    </row>
    <row r="2508" spans="1:2">
      <c r="A2508" s="3">
        <f ca="1">IFERROR(__xludf.DUMMYFUNCTION("""COMPUTED_VALUE"""),41989.6666666666)</f>
        <v>41989.666666666599</v>
      </c>
      <c r="B2508" s="1">
        <f ca="1">IFERROR(__xludf.DUMMYFUNCTION("""COMPUTED_VALUE"""),14.75)</f>
        <v>14.75</v>
      </c>
    </row>
    <row r="2509" spans="1:2">
      <c r="A2509" s="3">
        <f ca="1">IFERROR(__xludf.DUMMYFUNCTION("""COMPUTED_VALUE"""),41990.6666666666)</f>
        <v>41990.666666666599</v>
      </c>
      <c r="B2509" s="1">
        <f ca="1">IFERROR(__xludf.DUMMYFUNCTION("""COMPUTED_VALUE"""),14.94)</f>
        <v>14.94</v>
      </c>
    </row>
    <row r="2510" spans="1:2">
      <c r="A2510" s="3">
        <f ca="1">IFERROR(__xludf.DUMMYFUNCTION("""COMPUTED_VALUE"""),41991.6666666666)</f>
        <v>41991.666666666599</v>
      </c>
      <c r="B2510" s="1">
        <f ca="1">IFERROR(__xludf.DUMMYFUNCTION("""COMPUTED_VALUE"""),14.89)</f>
        <v>14.89</v>
      </c>
    </row>
    <row r="2511" spans="1:2">
      <c r="A2511" s="3">
        <f ca="1">IFERROR(__xludf.DUMMYFUNCTION("""COMPUTED_VALUE"""),41992.6666666666)</f>
        <v>41992.666666666599</v>
      </c>
      <c r="B2511" s="1">
        <f ca="1">IFERROR(__xludf.DUMMYFUNCTION("""COMPUTED_VALUE"""),15)</f>
        <v>15</v>
      </c>
    </row>
    <row r="2512" spans="1:2">
      <c r="A2512" s="3">
        <f ca="1">IFERROR(__xludf.DUMMYFUNCTION("""COMPUTED_VALUE"""),41995.6666666666)</f>
        <v>41995.666666666599</v>
      </c>
      <c r="B2512" s="1">
        <f ca="1">IFERROR(__xludf.DUMMYFUNCTION("""COMPUTED_VALUE"""),15.33)</f>
        <v>15.33</v>
      </c>
    </row>
    <row r="2513" spans="1:2">
      <c r="A2513" s="3">
        <f ca="1">IFERROR(__xludf.DUMMYFUNCTION("""COMPUTED_VALUE"""),41996.6666666666)</f>
        <v>41996.666666666599</v>
      </c>
      <c r="B2513" s="1">
        <f ca="1">IFERROR(__xludf.DUMMYFUNCTION("""COMPUTED_VALUE"""),15.31)</f>
        <v>15.31</v>
      </c>
    </row>
    <row r="2514" spans="1:2">
      <c r="A2514" s="3">
        <f ca="1">IFERROR(__xludf.DUMMYFUNCTION("""COMPUTED_VALUE"""),41997.6666666666)</f>
        <v>41997.666666666599</v>
      </c>
      <c r="B2514" s="1">
        <f ca="1">IFERROR(__xludf.DUMMYFUNCTION("""COMPUTED_VALUE"""),15.15)</f>
        <v>15.15</v>
      </c>
    </row>
    <row r="2515" spans="1:2">
      <c r="A2515" s="3">
        <f ca="1">IFERROR(__xludf.DUMMYFUNCTION("""COMPUTED_VALUE"""),41999.6666666666)</f>
        <v>41999.666666666599</v>
      </c>
      <c r="B2515" s="1">
        <f ca="1">IFERROR(__xludf.DUMMYFUNCTION("""COMPUTED_VALUE"""),15.45)</f>
        <v>15.45</v>
      </c>
    </row>
    <row r="2516" spans="1:2">
      <c r="A2516" s="3">
        <f ca="1">IFERROR(__xludf.DUMMYFUNCTION("""COMPUTED_VALUE"""),42002.6666666666)</f>
        <v>42002.666666666599</v>
      </c>
      <c r="B2516" s="1">
        <f ca="1">IFERROR(__xludf.DUMMYFUNCTION("""COMPUTED_VALUE"""),15.6)</f>
        <v>15.6</v>
      </c>
    </row>
    <row r="2517" spans="1:2">
      <c r="A2517" s="3">
        <f ca="1">IFERROR(__xludf.DUMMYFUNCTION("""COMPUTED_VALUE"""),42003.6666666666)</f>
        <v>42003.666666666599</v>
      </c>
      <c r="B2517" s="1">
        <f ca="1">IFERROR(__xludf.DUMMYFUNCTION("""COMPUTED_VALUE"""),15.52)</f>
        <v>15.52</v>
      </c>
    </row>
    <row r="2518" spans="1:2">
      <c r="A2518" s="3">
        <f ca="1">IFERROR(__xludf.DUMMYFUNCTION("""COMPUTED_VALUE"""),42004.6666666666)</f>
        <v>42004.666666666599</v>
      </c>
      <c r="B2518" s="1">
        <f ca="1">IFERROR(__xludf.DUMMYFUNCTION("""COMPUTED_VALUE"""),15.52)</f>
        <v>15.52</v>
      </c>
    </row>
    <row r="2519" spans="1:2">
      <c r="A2519" s="3">
        <f ca="1">IFERROR(__xludf.DUMMYFUNCTION("""COMPUTED_VALUE"""),42006.6666666666)</f>
        <v>42006.666666666599</v>
      </c>
      <c r="B2519" s="1">
        <f ca="1">IFERROR(__xludf.DUMMYFUNCTION("""COMPUTED_VALUE"""),15.43)</f>
        <v>15.43</v>
      </c>
    </row>
    <row r="2520" spans="1:2">
      <c r="A2520" s="3">
        <f ca="1">IFERROR(__xludf.DUMMYFUNCTION("""COMPUTED_VALUE"""),42009.6666666666)</f>
        <v>42009.666666666599</v>
      </c>
      <c r="B2520" s="1">
        <f ca="1">IFERROR(__xludf.DUMMYFUNCTION("""COMPUTED_VALUE"""),15.11)</f>
        <v>15.11</v>
      </c>
    </row>
    <row r="2521" spans="1:2">
      <c r="A2521" s="3">
        <f ca="1">IFERROR(__xludf.DUMMYFUNCTION("""COMPUTED_VALUE"""),42010.6666666666)</f>
        <v>42010.666666666599</v>
      </c>
      <c r="B2521" s="1">
        <f ca="1">IFERROR(__xludf.DUMMYFUNCTION("""COMPUTED_VALUE"""),14.76)</f>
        <v>14.76</v>
      </c>
    </row>
    <row r="2522" spans="1:2">
      <c r="A2522" s="3">
        <f ca="1">IFERROR(__xludf.DUMMYFUNCTION("""COMPUTED_VALUE"""),42011.6666666666)</f>
        <v>42011.666666666599</v>
      </c>
      <c r="B2522" s="1">
        <f ca="1">IFERROR(__xludf.DUMMYFUNCTION("""COMPUTED_VALUE"""),14.92)</f>
        <v>14.92</v>
      </c>
    </row>
    <row r="2523" spans="1:2">
      <c r="A2523" s="3">
        <f ca="1">IFERROR(__xludf.DUMMYFUNCTION("""COMPUTED_VALUE"""),42012.6666666666)</f>
        <v>42012.666666666599</v>
      </c>
      <c r="B2523" s="1">
        <f ca="1">IFERROR(__xludf.DUMMYFUNCTION("""COMPUTED_VALUE"""),15.02)</f>
        <v>15.02</v>
      </c>
    </row>
    <row r="2524" spans="1:2">
      <c r="A2524" s="3">
        <f ca="1">IFERROR(__xludf.DUMMYFUNCTION("""COMPUTED_VALUE"""),42013.6666666666)</f>
        <v>42013.666666666599</v>
      </c>
      <c r="B2524" s="1">
        <f ca="1">IFERROR(__xludf.DUMMYFUNCTION("""COMPUTED_VALUE"""),14.85)</f>
        <v>14.85</v>
      </c>
    </row>
    <row r="2525" spans="1:2">
      <c r="A2525" s="3">
        <f ca="1">IFERROR(__xludf.DUMMYFUNCTION("""COMPUTED_VALUE"""),42016.6666666666)</f>
        <v>42016.666666666599</v>
      </c>
      <c r="B2525" s="1">
        <f ca="1">IFERROR(__xludf.DUMMYFUNCTION("""COMPUTED_VALUE"""),14.57)</f>
        <v>14.57</v>
      </c>
    </row>
    <row r="2526" spans="1:2">
      <c r="A2526" s="3">
        <f ca="1">IFERROR(__xludf.DUMMYFUNCTION("""COMPUTED_VALUE"""),42017.6666666666)</f>
        <v>42017.666666666599</v>
      </c>
      <c r="B2526" s="1">
        <f ca="1">IFERROR(__xludf.DUMMYFUNCTION("""COMPUTED_VALUE"""),14.74)</f>
        <v>14.74</v>
      </c>
    </row>
    <row r="2527" spans="1:2">
      <c r="A2527" s="3">
        <f ca="1">IFERROR(__xludf.DUMMYFUNCTION("""COMPUTED_VALUE"""),42018.6666666666)</f>
        <v>42018.666666666599</v>
      </c>
      <c r="B2527" s="1">
        <f ca="1">IFERROR(__xludf.DUMMYFUNCTION("""COMPUTED_VALUE"""),14.66)</f>
        <v>14.66</v>
      </c>
    </row>
    <row r="2528" spans="1:2">
      <c r="A2528" s="3">
        <f ca="1">IFERROR(__xludf.DUMMYFUNCTION("""COMPUTED_VALUE"""),42019.6666666666)</f>
        <v>42019.666666666599</v>
      </c>
      <c r="B2528" s="1">
        <f ca="1">IFERROR(__xludf.DUMMYFUNCTION("""COMPUTED_VALUE"""),14.35)</f>
        <v>14.35</v>
      </c>
    </row>
    <row r="2529" spans="1:2">
      <c r="A2529" s="3">
        <f ca="1">IFERROR(__xludf.DUMMYFUNCTION("""COMPUTED_VALUE"""),42020.6666666666)</f>
        <v>42020.666666666599</v>
      </c>
      <c r="B2529" s="1">
        <f ca="1">IFERROR(__xludf.DUMMYFUNCTION("""COMPUTED_VALUE"""),14.54)</f>
        <v>14.54</v>
      </c>
    </row>
    <row r="2530" spans="1:2">
      <c r="A2530" s="3">
        <f ca="1">IFERROR(__xludf.DUMMYFUNCTION("""COMPUTED_VALUE"""),42024.6666666666)</f>
        <v>42024.666666666599</v>
      </c>
      <c r="B2530" s="1">
        <f ca="1">IFERROR(__xludf.DUMMYFUNCTION("""COMPUTED_VALUE"""),14.47)</f>
        <v>14.47</v>
      </c>
    </row>
    <row r="2531" spans="1:2">
      <c r="A2531" s="3">
        <f ca="1">IFERROR(__xludf.DUMMYFUNCTION("""COMPUTED_VALUE"""),42025.6666666666)</f>
        <v>42025.666666666599</v>
      </c>
      <c r="B2531" s="1">
        <f ca="1">IFERROR(__xludf.DUMMYFUNCTION("""COMPUTED_VALUE"""),14.86)</f>
        <v>14.86</v>
      </c>
    </row>
    <row r="2532" spans="1:2">
      <c r="A2532" s="3">
        <f ca="1">IFERROR(__xludf.DUMMYFUNCTION("""COMPUTED_VALUE"""),42026.6666666666)</f>
        <v>42026.666666666599</v>
      </c>
      <c r="B2532" s="1">
        <f ca="1">IFERROR(__xludf.DUMMYFUNCTION("""COMPUTED_VALUE"""),15.52)</f>
        <v>15.52</v>
      </c>
    </row>
    <row r="2533" spans="1:2">
      <c r="A2533" s="3">
        <f ca="1">IFERROR(__xludf.DUMMYFUNCTION("""COMPUTED_VALUE"""),42027.6666666666)</f>
        <v>42027.666666666599</v>
      </c>
      <c r="B2533" s="1">
        <f ca="1">IFERROR(__xludf.DUMMYFUNCTION("""COMPUTED_VALUE"""),15.62)</f>
        <v>15.62</v>
      </c>
    </row>
    <row r="2534" spans="1:2">
      <c r="A2534" s="3">
        <f ca="1">IFERROR(__xludf.DUMMYFUNCTION("""COMPUTED_VALUE"""),42030.6666666666)</f>
        <v>42030.666666666599</v>
      </c>
      <c r="B2534" s="1">
        <f ca="1">IFERROR(__xludf.DUMMYFUNCTION("""COMPUTED_VALUE"""),15.48)</f>
        <v>15.48</v>
      </c>
    </row>
    <row r="2535" spans="1:2">
      <c r="A2535" s="3">
        <f ca="1">IFERROR(__xludf.DUMMYFUNCTION("""COMPUTED_VALUE"""),42031.6666666666)</f>
        <v>42031.666666666599</v>
      </c>
      <c r="B2535" s="1">
        <f ca="1">IFERROR(__xludf.DUMMYFUNCTION("""COMPUTED_VALUE"""),15.34)</f>
        <v>15.34</v>
      </c>
    </row>
    <row r="2536" spans="1:2">
      <c r="A2536" s="3">
        <f ca="1">IFERROR(__xludf.DUMMYFUNCTION("""COMPUTED_VALUE"""),42032.6666666666)</f>
        <v>42032.666666666599</v>
      </c>
      <c r="B2536" s="1">
        <f ca="1">IFERROR(__xludf.DUMMYFUNCTION("""COMPUTED_VALUE"""),15.2)</f>
        <v>15.2</v>
      </c>
    </row>
    <row r="2537" spans="1:2">
      <c r="A2537" s="3">
        <f ca="1">IFERROR(__xludf.DUMMYFUNCTION("""COMPUTED_VALUE"""),42033.6666666666)</f>
        <v>42033.666666666599</v>
      </c>
      <c r="B2537" s="1">
        <f ca="1">IFERROR(__xludf.DUMMYFUNCTION("""COMPUTED_VALUE"""),15.59)</f>
        <v>15.59</v>
      </c>
    </row>
    <row r="2538" spans="1:2">
      <c r="A2538" s="3">
        <f ca="1">IFERROR(__xludf.DUMMYFUNCTION("""COMPUTED_VALUE"""),42034.6666666666)</f>
        <v>42034.666666666599</v>
      </c>
      <c r="B2538" s="1">
        <f ca="1">IFERROR(__xludf.DUMMYFUNCTION("""COMPUTED_VALUE"""),17.73)</f>
        <v>17.73</v>
      </c>
    </row>
    <row r="2539" spans="1:2">
      <c r="A2539" s="3">
        <f ca="1">IFERROR(__xludf.DUMMYFUNCTION("""COMPUTED_VALUE"""),42037.6666666666)</f>
        <v>42037.666666666599</v>
      </c>
      <c r="B2539" s="1">
        <f ca="1">IFERROR(__xludf.DUMMYFUNCTION("""COMPUTED_VALUE"""),18.22)</f>
        <v>18.22</v>
      </c>
    </row>
    <row r="2540" spans="1:2">
      <c r="A2540" s="3">
        <f ca="1">IFERROR(__xludf.DUMMYFUNCTION("""COMPUTED_VALUE"""),42038.6666666666)</f>
        <v>42038.666666666599</v>
      </c>
      <c r="B2540" s="1">
        <f ca="1">IFERROR(__xludf.DUMMYFUNCTION("""COMPUTED_VALUE"""),18.18)</f>
        <v>18.18</v>
      </c>
    </row>
    <row r="2541" spans="1:2">
      <c r="A2541" s="3">
        <f ca="1">IFERROR(__xludf.DUMMYFUNCTION("""COMPUTED_VALUE"""),42039.6666666666)</f>
        <v>42039.666666666599</v>
      </c>
      <c r="B2541" s="1">
        <f ca="1">IFERROR(__xludf.DUMMYFUNCTION("""COMPUTED_VALUE"""),18.24)</f>
        <v>18.239999999999998</v>
      </c>
    </row>
    <row r="2542" spans="1:2">
      <c r="A2542" s="3">
        <f ca="1">IFERROR(__xludf.DUMMYFUNCTION("""COMPUTED_VALUE"""),42040.6666666666)</f>
        <v>42040.666666666599</v>
      </c>
      <c r="B2542" s="1">
        <f ca="1">IFERROR(__xludf.DUMMYFUNCTION("""COMPUTED_VALUE"""),18.69)</f>
        <v>18.690000000000001</v>
      </c>
    </row>
    <row r="2543" spans="1:2">
      <c r="A2543" s="3">
        <f ca="1">IFERROR(__xludf.DUMMYFUNCTION("""COMPUTED_VALUE"""),42041.6666666666)</f>
        <v>42041.666666666599</v>
      </c>
      <c r="B2543" s="1">
        <f ca="1">IFERROR(__xludf.DUMMYFUNCTION("""COMPUTED_VALUE"""),18.71)</f>
        <v>18.71</v>
      </c>
    </row>
    <row r="2544" spans="1:2">
      <c r="A2544" s="3">
        <f ca="1">IFERROR(__xludf.DUMMYFUNCTION("""COMPUTED_VALUE"""),42044.6666666666)</f>
        <v>42044.666666666599</v>
      </c>
      <c r="B2544" s="1">
        <f ca="1">IFERROR(__xludf.DUMMYFUNCTION("""COMPUTED_VALUE"""),18.53)</f>
        <v>18.53</v>
      </c>
    </row>
    <row r="2545" spans="1:2">
      <c r="A2545" s="3">
        <f ca="1">IFERROR(__xludf.DUMMYFUNCTION("""COMPUTED_VALUE"""),42045.6666666666)</f>
        <v>42045.666666666599</v>
      </c>
      <c r="B2545" s="1">
        <f ca="1">IFERROR(__xludf.DUMMYFUNCTION("""COMPUTED_VALUE"""),18.65)</f>
        <v>18.649999999999999</v>
      </c>
    </row>
    <row r="2546" spans="1:2">
      <c r="A2546" s="3">
        <f ca="1">IFERROR(__xludf.DUMMYFUNCTION("""COMPUTED_VALUE"""),42046.6666666666)</f>
        <v>42046.666666666599</v>
      </c>
      <c r="B2546" s="1">
        <f ca="1">IFERROR(__xludf.DUMMYFUNCTION("""COMPUTED_VALUE"""),18.76)</f>
        <v>18.760000000000002</v>
      </c>
    </row>
    <row r="2547" spans="1:2">
      <c r="A2547" s="3">
        <f ca="1">IFERROR(__xludf.DUMMYFUNCTION("""COMPUTED_VALUE"""),42047.6666666666)</f>
        <v>42047.666666666599</v>
      </c>
      <c r="B2547" s="1">
        <f ca="1">IFERROR(__xludf.DUMMYFUNCTION("""COMPUTED_VALUE"""),18.86)</f>
        <v>18.86</v>
      </c>
    </row>
    <row r="2548" spans="1:2">
      <c r="A2548" s="3">
        <f ca="1">IFERROR(__xludf.DUMMYFUNCTION("""COMPUTED_VALUE"""),42048.6666666666)</f>
        <v>42048.666666666599</v>
      </c>
      <c r="B2548" s="1">
        <f ca="1">IFERROR(__xludf.DUMMYFUNCTION("""COMPUTED_VALUE"""),19.09)</f>
        <v>19.09</v>
      </c>
    </row>
    <row r="2549" spans="1:2">
      <c r="A2549" s="3">
        <f ca="1">IFERROR(__xludf.DUMMYFUNCTION("""COMPUTED_VALUE"""),42052.6666666666)</f>
        <v>42052.666666666599</v>
      </c>
      <c r="B2549" s="1">
        <f ca="1">IFERROR(__xludf.DUMMYFUNCTION("""COMPUTED_VALUE"""),18.77)</f>
        <v>18.77</v>
      </c>
    </row>
    <row r="2550" spans="1:2">
      <c r="A2550" s="3">
        <f ca="1">IFERROR(__xludf.DUMMYFUNCTION("""COMPUTED_VALUE"""),42053.6666666666)</f>
        <v>42053.666666666599</v>
      </c>
      <c r="B2550" s="1">
        <f ca="1">IFERROR(__xludf.DUMMYFUNCTION("""COMPUTED_VALUE"""),18.67)</f>
        <v>18.670000000000002</v>
      </c>
    </row>
    <row r="2551" spans="1:2">
      <c r="A2551" s="3">
        <f ca="1">IFERROR(__xludf.DUMMYFUNCTION("""COMPUTED_VALUE"""),42054.6666666666)</f>
        <v>42054.666666666599</v>
      </c>
      <c r="B2551" s="1">
        <f ca="1">IFERROR(__xludf.DUMMYFUNCTION("""COMPUTED_VALUE"""),18.95)</f>
        <v>18.95</v>
      </c>
    </row>
    <row r="2552" spans="1:2">
      <c r="A2552" s="3">
        <f ca="1">IFERROR(__xludf.DUMMYFUNCTION("""COMPUTED_VALUE"""),42055.6666666666)</f>
        <v>42055.666666666599</v>
      </c>
      <c r="B2552" s="1">
        <f ca="1">IFERROR(__xludf.DUMMYFUNCTION("""COMPUTED_VALUE"""),19.18)</f>
        <v>19.18</v>
      </c>
    </row>
    <row r="2553" spans="1:2">
      <c r="A2553" s="3">
        <f ca="1">IFERROR(__xludf.DUMMYFUNCTION("""COMPUTED_VALUE"""),42058.6666666666)</f>
        <v>42058.666666666599</v>
      </c>
      <c r="B2553" s="1">
        <f ca="1">IFERROR(__xludf.DUMMYFUNCTION("""COMPUTED_VALUE"""),19.01)</f>
        <v>19.010000000000002</v>
      </c>
    </row>
    <row r="2554" spans="1:2">
      <c r="A2554" s="3">
        <f ca="1">IFERROR(__xludf.DUMMYFUNCTION("""COMPUTED_VALUE"""),42059.6666666666)</f>
        <v>42059.666666666599</v>
      </c>
      <c r="B2554" s="1">
        <f ca="1">IFERROR(__xludf.DUMMYFUNCTION("""COMPUTED_VALUE"""),18.93)</f>
        <v>18.93</v>
      </c>
    </row>
    <row r="2555" spans="1:2">
      <c r="A2555" s="3">
        <f ca="1">IFERROR(__xludf.DUMMYFUNCTION("""COMPUTED_VALUE"""),42060.6666666666)</f>
        <v>42060.666666666599</v>
      </c>
      <c r="B2555" s="1">
        <f ca="1">IFERROR(__xludf.DUMMYFUNCTION("""COMPUTED_VALUE"""),19.27)</f>
        <v>19.27</v>
      </c>
    </row>
    <row r="2556" spans="1:2">
      <c r="A2556" s="3">
        <f ca="1">IFERROR(__xludf.DUMMYFUNCTION("""COMPUTED_VALUE"""),42061.6666666666)</f>
        <v>42061.666666666599</v>
      </c>
      <c r="B2556" s="1">
        <f ca="1">IFERROR(__xludf.DUMMYFUNCTION("""COMPUTED_VALUE"""),19.24)</f>
        <v>19.239999999999998</v>
      </c>
    </row>
    <row r="2557" spans="1:2">
      <c r="A2557" s="3">
        <f ca="1">IFERROR(__xludf.DUMMYFUNCTION("""COMPUTED_VALUE"""),42062.6666666666)</f>
        <v>42062.666666666599</v>
      </c>
      <c r="B2557" s="1">
        <f ca="1">IFERROR(__xludf.DUMMYFUNCTION("""COMPUTED_VALUE"""),19.01)</f>
        <v>19.010000000000002</v>
      </c>
    </row>
    <row r="2558" spans="1:2">
      <c r="A2558" s="3">
        <f ca="1">IFERROR(__xludf.DUMMYFUNCTION("""COMPUTED_VALUE"""),42065.6666666666)</f>
        <v>42065.666666666599</v>
      </c>
      <c r="B2558" s="1">
        <f ca="1">IFERROR(__xludf.DUMMYFUNCTION("""COMPUTED_VALUE"""),19.28)</f>
        <v>19.28</v>
      </c>
    </row>
    <row r="2559" spans="1:2">
      <c r="A2559" s="3">
        <f ca="1">IFERROR(__xludf.DUMMYFUNCTION("""COMPUTED_VALUE"""),42066.6666666666)</f>
        <v>42066.666666666599</v>
      </c>
      <c r="B2559" s="1">
        <f ca="1">IFERROR(__xludf.DUMMYFUNCTION("""COMPUTED_VALUE"""),19.23)</f>
        <v>19.23</v>
      </c>
    </row>
    <row r="2560" spans="1:2">
      <c r="A2560" s="3">
        <f ca="1">IFERROR(__xludf.DUMMYFUNCTION("""COMPUTED_VALUE"""),42067.6666666666)</f>
        <v>42067.666666666599</v>
      </c>
      <c r="B2560" s="1">
        <f ca="1">IFERROR(__xludf.DUMMYFUNCTION("""COMPUTED_VALUE"""),19.14)</f>
        <v>19.14</v>
      </c>
    </row>
    <row r="2561" spans="1:2">
      <c r="A2561" s="3">
        <f ca="1">IFERROR(__xludf.DUMMYFUNCTION("""COMPUTED_VALUE"""),42068.6666666666)</f>
        <v>42068.666666666599</v>
      </c>
      <c r="B2561" s="1">
        <f ca="1">IFERROR(__xludf.DUMMYFUNCTION("""COMPUTED_VALUE"""),19.39)</f>
        <v>19.39</v>
      </c>
    </row>
    <row r="2562" spans="1:2">
      <c r="A2562" s="3">
        <f ca="1">IFERROR(__xludf.DUMMYFUNCTION("""COMPUTED_VALUE"""),42069.6666666666)</f>
        <v>42069.666666666599</v>
      </c>
      <c r="B2562" s="1">
        <f ca="1">IFERROR(__xludf.DUMMYFUNCTION("""COMPUTED_VALUE"""),19)</f>
        <v>19</v>
      </c>
    </row>
    <row r="2563" spans="1:2">
      <c r="A2563" s="3">
        <f ca="1">IFERROR(__xludf.DUMMYFUNCTION("""COMPUTED_VALUE"""),42072.6666666666)</f>
        <v>42072.666666666599</v>
      </c>
      <c r="B2563" s="1">
        <f ca="1">IFERROR(__xludf.DUMMYFUNCTION("""COMPUTED_VALUE"""),18.93)</f>
        <v>18.93</v>
      </c>
    </row>
    <row r="2564" spans="1:2">
      <c r="A2564" s="3">
        <f ca="1">IFERROR(__xludf.DUMMYFUNCTION("""COMPUTED_VALUE"""),42073.6666666666)</f>
        <v>42073.666666666599</v>
      </c>
      <c r="B2564" s="1">
        <f ca="1">IFERROR(__xludf.DUMMYFUNCTION("""COMPUTED_VALUE"""),18.48)</f>
        <v>18.48</v>
      </c>
    </row>
    <row r="2565" spans="1:2">
      <c r="A2565" s="3">
        <f ca="1">IFERROR(__xludf.DUMMYFUNCTION("""COMPUTED_VALUE"""),42074.6666666666)</f>
        <v>42074.666666666599</v>
      </c>
      <c r="B2565" s="1">
        <f ca="1">IFERROR(__xludf.DUMMYFUNCTION("""COMPUTED_VALUE"""),18.32)</f>
        <v>18.32</v>
      </c>
    </row>
    <row r="2566" spans="1:2">
      <c r="A2566" s="3">
        <f ca="1">IFERROR(__xludf.DUMMYFUNCTION("""COMPUTED_VALUE"""),42075.6666666666)</f>
        <v>42075.666666666599</v>
      </c>
      <c r="B2566" s="1">
        <f ca="1">IFERROR(__xludf.DUMMYFUNCTION("""COMPUTED_VALUE"""),18.71)</f>
        <v>18.71</v>
      </c>
    </row>
    <row r="2567" spans="1:2">
      <c r="A2567" s="3">
        <f ca="1">IFERROR(__xludf.DUMMYFUNCTION("""COMPUTED_VALUE"""),42076.6666666666)</f>
        <v>42076.666666666599</v>
      </c>
      <c r="B2567" s="1">
        <f ca="1">IFERROR(__xludf.DUMMYFUNCTION("""COMPUTED_VALUE"""),18.53)</f>
        <v>18.53</v>
      </c>
    </row>
    <row r="2568" spans="1:2">
      <c r="A2568" s="3">
        <f ca="1">IFERROR(__xludf.DUMMYFUNCTION("""COMPUTED_VALUE"""),42079.6666666666)</f>
        <v>42079.666666666599</v>
      </c>
      <c r="B2568" s="1">
        <f ca="1">IFERROR(__xludf.DUMMYFUNCTION("""COMPUTED_VALUE"""),18.67)</f>
        <v>18.670000000000002</v>
      </c>
    </row>
    <row r="2569" spans="1:2">
      <c r="A2569" s="3">
        <f ca="1">IFERROR(__xludf.DUMMYFUNCTION("""COMPUTED_VALUE"""),42080.6666666666)</f>
        <v>42080.666666666599</v>
      </c>
      <c r="B2569" s="1">
        <f ca="1">IFERROR(__xludf.DUMMYFUNCTION("""COMPUTED_VALUE"""),18.6)</f>
        <v>18.600000000000001</v>
      </c>
    </row>
    <row r="2570" spans="1:2">
      <c r="A2570" s="3">
        <f ca="1">IFERROR(__xludf.DUMMYFUNCTION("""COMPUTED_VALUE"""),42081.6666666666)</f>
        <v>42081.666666666599</v>
      </c>
      <c r="B2570" s="1">
        <f ca="1">IFERROR(__xludf.DUMMYFUNCTION("""COMPUTED_VALUE"""),18.76)</f>
        <v>18.760000000000002</v>
      </c>
    </row>
    <row r="2571" spans="1:2">
      <c r="A2571" s="3">
        <f ca="1">IFERROR(__xludf.DUMMYFUNCTION("""COMPUTED_VALUE"""),42082.6666666666)</f>
        <v>42082.666666666599</v>
      </c>
      <c r="B2571" s="1">
        <f ca="1">IFERROR(__xludf.DUMMYFUNCTION("""COMPUTED_VALUE"""),18.66)</f>
        <v>18.66</v>
      </c>
    </row>
    <row r="2572" spans="1:2">
      <c r="A2572" s="3">
        <f ca="1">IFERROR(__xludf.DUMMYFUNCTION("""COMPUTED_VALUE"""),42083.6666666666)</f>
        <v>42083.666666666599</v>
      </c>
      <c r="B2572" s="1">
        <f ca="1">IFERROR(__xludf.DUMMYFUNCTION("""COMPUTED_VALUE"""),18.92)</f>
        <v>18.920000000000002</v>
      </c>
    </row>
    <row r="2573" spans="1:2">
      <c r="A2573" s="3">
        <f ca="1">IFERROR(__xludf.DUMMYFUNCTION("""COMPUTED_VALUE"""),42086.6666666666)</f>
        <v>42086.666666666599</v>
      </c>
      <c r="B2573" s="1">
        <f ca="1">IFERROR(__xludf.DUMMYFUNCTION("""COMPUTED_VALUE"""),18.76)</f>
        <v>18.760000000000002</v>
      </c>
    </row>
    <row r="2574" spans="1:2">
      <c r="A2574" s="3">
        <f ca="1">IFERROR(__xludf.DUMMYFUNCTION("""COMPUTED_VALUE"""),42087.6666666666)</f>
        <v>42087.666666666599</v>
      </c>
      <c r="B2574" s="1">
        <f ca="1">IFERROR(__xludf.DUMMYFUNCTION("""COMPUTED_VALUE"""),18.7)</f>
        <v>18.7</v>
      </c>
    </row>
    <row r="2575" spans="1:2">
      <c r="A2575" s="3">
        <f ca="1">IFERROR(__xludf.DUMMYFUNCTION("""COMPUTED_VALUE"""),42088.6666666666)</f>
        <v>42088.666666666599</v>
      </c>
      <c r="B2575" s="1">
        <f ca="1">IFERROR(__xludf.DUMMYFUNCTION("""COMPUTED_VALUE"""),18.55)</f>
        <v>18.55</v>
      </c>
    </row>
    <row r="2576" spans="1:2">
      <c r="A2576" s="3">
        <f ca="1">IFERROR(__xludf.DUMMYFUNCTION("""COMPUTED_VALUE"""),42089.6666666666)</f>
        <v>42089.666666666599</v>
      </c>
      <c r="B2576" s="1">
        <f ca="1">IFERROR(__xludf.DUMMYFUNCTION("""COMPUTED_VALUE"""),18.37)</f>
        <v>18.37</v>
      </c>
    </row>
    <row r="2577" spans="1:2">
      <c r="A2577" s="3">
        <f ca="1">IFERROR(__xludf.DUMMYFUNCTION("""COMPUTED_VALUE"""),42090.6666666666)</f>
        <v>42090.666666666599</v>
      </c>
      <c r="B2577" s="1">
        <f ca="1">IFERROR(__xludf.DUMMYFUNCTION("""COMPUTED_VALUE"""),18.53)</f>
        <v>18.53</v>
      </c>
    </row>
    <row r="2578" spans="1:2">
      <c r="A2578" s="3">
        <f ca="1">IFERROR(__xludf.DUMMYFUNCTION("""COMPUTED_VALUE"""),42093.6666666666)</f>
        <v>42093.666666666599</v>
      </c>
      <c r="B2578" s="1">
        <f ca="1">IFERROR(__xludf.DUMMYFUNCTION("""COMPUTED_VALUE"""),18.73)</f>
        <v>18.73</v>
      </c>
    </row>
    <row r="2579" spans="1:2">
      <c r="A2579" s="3">
        <f ca="1">IFERROR(__xludf.DUMMYFUNCTION("""COMPUTED_VALUE"""),42094.6666666666)</f>
        <v>42094.666666666599</v>
      </c>
      <c r="B2579" s="1">
        <f ca="1">IFERROR(__xludf.DUMMYFUNCTION("""COMPUTED_VALUE"""),18.61)</f>
        <v>18.61</v>
      </c>
    </row>
    <row r="2580" spans="1:2">
      <c r="A2580" s="3">
        <f ca="1">IFERROR(__xludf.DUMMYFUNCTION("""COMPUTED_VALUE"""),42095.6666666666)</f>
        <v>42095.666666666599</v>
      </c>
      <c r="B2580" s="1">
        <f ca="1">IFERROR(__xludf.DUMMYFUNCTION("""COMPUTED_VALUE"""),18.51)</f>
        <v>18.510000000000002</v>
      </c>
    </row>
    <row r="2581" spans="1:2">
      <c r="A2581" s="3">
        <f ca="1">IFERROR(__xludf.DUMMYFUNCTION("""COMPUTED_VALUE"""),42096.6666666666)</f>
        <v>42096.666666666599</v>
      </c>
      <c r="B2581" s="1">
        <f ca="1">IFERROR(__xludf.DUMMYFUNCTION("""COMPUTED_VALUE"""),18.61)</f>
        <v>18.61</v>
      </c>
    </row>
    <row r="2582" spans="1:2">
      <c r="A2582" s="3">
        <f ca="1">IFERROR(__xludf.DUMMYFUNCTION("""COMPUTED_VALUE"""),42100.6666666666)</f>
        <v>42100.666666666599</v>
      </c>
      <c r="B2582" s="1">
        <f ca="1">IFERROR(__xludf.DUMMYFUNCTION("""COMPUTED_VALUE"""),18.85)</f>
        <v>18.850000000000001</v>
      </c>
    </row>
    <row r="2583" spans="1:2">
      <c r="A2583" s="3">
        <f ca="1">IFERROR(__xludf.DUMMYFUNCTION("""COMPUTED_VALUE"""),42101.6666666666)</f>
        <v>42101.666666666599</v>
      </c>
      <c r="B2583" s="1">
        <f ca="1">IFERROR(__xludf.DUMMYFUNCTION("""COMPUTED_VALUE"""),18.72)</f>
        <v>18.72</v>
      </c>
    </row>
    <row r="2584" spans="1:2">
      <c r="A2584" s="3">
        <f ca="1">IFERROR(__xludf.DUMMYFUNCTION("""COMPUTED_VALUE"""),42102.6666666666)</f>
        <v>42102.666666666599</v>
      </c>
      <c r="B2584" s="1">
        <f ca="1">IFERROR(__xludf.DUMMYFUNCTION("""COMPUTED_VALUE"""),19.06)</f>
        <v>19.059999999999999</v>
      </c>
    </row>
    <row r="2585" spans="1:2">
      <c r="A2585" s="3">
        <f ca="1">IFERROR(__xludf.DUMMYFUNCTION("""COMPUTED_VALUE"""),42103.6666666666)</f>
        <v>42103.666666666599</v>
      </c>
      <c r="B2585" s="1">
        <f ca="1">IFERROR(__xludf.DUMMYFUNCTION("""COMPUTED_VALUE"""),19.18)</f>
        <v>19.18</v>
      </c>
    </row>
    <row r="2586" spans="1:2">
      <c r="A2586" s="3">
        <f ca="1">IFERROR(__xludf.DUMMYFUNCTION("""COMPUTED_VALUE"""),42104.6666666666)</f>
        <v>42104.666666666599</v>
      </c>
      <c r="B2586" s="1">
        <f ca="1">IFERROR(__xludf.DUMMYFUNCTION("""COMPUTED_VALUE"""),19.13)</f>
        <v>19.13</v>
      </c>
    </row>
    <row r="2587" spans="1:2">
      <c r="A2587" s="3">
        <f ca="1">IFERROR(__xludf.DUMMYFUNCTION("""COMPUTED_VALUE"""),42107.6666666666)</f>
        <v>42107.666666666599</v>
      </c>
      <c r="B2587" s="1">
        <f ca="1">IFERROR(__xludf.DUMMYFUNCTION("""COMPUTED_VALUE"""),19.12)</f>
        <v>19.12</v>
      </c>
    </row>
    <row r="2588" spans="1:2">
      <c r="A2588" s="3">
        <f ca="1">IFERROR(__xludf.DUMMYFUNCTION("""COMPUTED_VALUE"""),42108.6666666666)</f>
        <v>42108.666666666599</v>
      </c>
      <c r="B2588" s="1">
        <f ca="1">IFERROR(__xludf.DUMMYFUNCTION("""COMPUTED_VALUE"""),19.26)</f>
        <v>19.260000000000002</v>
      </c>
    </row>
    <row r="2589" spans="1:2">
      <c r="A2589" s="3">
        <f ca="1">IFERROR(__xludf.DUMMYFUNCTION("""COMPUTED_VALUE"""),42109.6666666666)</f>
        <v>42109.666666666599</v>
      </c>
      <c r="B2589" s="1">
        <f ca="1">IFERROR(__xludf.DUMMYFUNCTION("""COMPUTED_VALUE"""),19.17)</f>
        <v>19.170000000000002</v>
      </c>
    </row>
    <row r="2590" spans="1:2">
      <c r="A2590" s="3">
        <f ca="1">IFERROR(__xludf.DUMMYFUNCTION("""COMPUTED_VALUE"""),42110.6666666666)</f>
        <v>42110.666666666599</v>
      </c>
      <c r="B2590" s="1">
        <f ca="1">IFERROR(__xludf.DUMMYFUNCTION("""COMPUTED_VALUE"""),19.3)</f>
        <v>19.3</v>
      </c>
    </row>
    <row r="2591" spans="1:2">
      <c r="A2591" s="3">
        <f ca="1">IFERROR(__xludf.DUMMYFUNCTION("""COMPUTED_VALUE"""),42111.6666666666)</f>
        <v>42111.666666666599</v>
      </c>
      <c r="B2591" s="1">
        <f ca="1">IFERROR(__xludf.DUMMYFUNCTION("""COMPUTED_VALUE"""),18.78)</f>
        <v>18.78</v>
      </c>
    </row>
    <row r="2592" spans="1:2">
      <c r="A2592" s="3">
        <f ca="1">IFERROR(__xludf.DUMMYFUNCTION("""COMPUTED_VALUE"""),42114.6666666666)</f>
        <v>42114.666666666599</v>
      </c>
      <c r="B2592" s="1">
        <f ca="1">IFERROR(__xludf.DUMMYFUNCTION("""COMPUTED_VALUE"""),19.48)</f>
        <v>19.48</v>
      </c>
    </row>
    <row r="2593" spans="1:2">
      <c r="A2593" s="3">
        <f ca="1">IFERROR(__xludf.DUMMYFUNCTION("""COMPUTED_VALUE"""),42115.6666666666)</f>
        <v>42115.666666666599</v>
      </c>
      <c r="B2593" s="1">
        <f ca="1">IFERROR(__xludf.DUMMYFUNCTION("""COMPUTED_VALUE"""),19.56)</f>
        <v>19.559999999999999</v>
      </c>
    </row>
    <row r="2594" spans="1:2">
      <c r="A2594" s="3">
        <f ca="1">IFERROR(__xludf.DUMMYFUNCTION("""COMPUTED_VALUE"""),42116.6666666666)</f>
        <v>42116.666666666599</v>
      </c>
      <c r="B2594" s="1">
        <f ca="1">IFERROR(__xludf.DUMMYFUNCTION("""COMPUTED_VALUE"""),19.49)</f>
        <v>19.489999999999998</v>
      </c>
    </row>
    <row r="2595" spans="1:2">
      <c r="A2595" s="3">
        <f ca="1">IFERROR(__xludf.DUMMYFUNCTION("""COMPUTED_VALUE"""),42117.6666666666)</f>
        <v>42117.666666666599</v>
      </c>
      <c r="B2595" s="1">
        <f ca="1">IFERROR(__xludf.DUMMYFUNCTION("""COMPUTED_VALUE"""),19.5)</f>
        <v>19.5</v>
      </c>
    </row>
    <row r="2596" spans="1:2">
      <c r="A2596" s="3">
        <f ca="1">IFERROR(__xludf.DUMMYFUNCTION("""COMPUTED_VALUE"""),42118.6666666666)</f>
        <v>42118.666666666599</v>
      </c>
      <c r="B2596" s="1">
        <f ca="1">IFERROR(__xludf.DUMMYFUNCTION("""COMPUTED_VALUE"""),22.26)</f>
        <v>22.26</v>
      </c>
    </row>
    <row r="2597" spans="1:2">
      <c r="A2597" s="3">
        <f ca="1">IFERROR(__xludf.DUMMYFUNCTION("""COMPUTED_VALUE"""),42121.6666666666)</f>
        <v>42121.666666666599</v>
      </c>
      <c r="B2597" s="1">
        <f ca="1">IFERROR(__xludf.DUMMYFUNCTION("""COMPUTED_VALUE"""),21.93)</f>
        <v>21.93</v>
      </c>
    </row>
    <row r="2598" spans="1:2">
      <c r="A2598" s="3">
        <f ca="1">IFERROR(__xludf.DUMMYFUNCTION("""COMPUTED_VALUE"""),42122.6666666666)</f>
        <v>42122.666666666599</v>
      </c>
      <c r="B2598" s="1">
        <f ca="1">IFERROR(__xludf.DUMMYFUNCTION("""COMPUTED_VALUE"""),21.47)</f>
        <v>21.47</v>
      </c>
    </row>
    <row r="2599" spans="1:2">
      <c r="A2599" s="3">
        <f ca="1">IFERROR(__xludf.DUMMYFUNCTION("""COMPUTED_VALUE"""),42123.6666666666)</f>
        <v>42123.666666666599</v>
      </c>
      <c r="B2599" s="1">
        <f ca="1">IFERROR(__xludf.DUMMYFUNCTION("""COMPUTED_VALUE"""),21.47)</f>
        <v>21.47</v>
      </c>
    </row>
    <row r="2600" spans="1:2">
      <c r="A2600" s="3">
        <f ca="1">IFERROR(__xludf.DUMMYFUNCTION("""COMPUTED_VALUE"""),42124.6666666666)</f>
        <v>42124.666666666599</v>
      </c>
      <c r="B2600" s="1">
        <f ca="1">IFERROR(__xludf.DUMMYFUNCTION("""COMPUTED_VALUE"""),21.09)</f>
        <v>21.09</v>
      </c>
    </row>
    <row r="2601" spans="1:2">
      <c r="A2601" s="3">
        <f ca="1">IFERROR(__xludf.DUMMYFUNCTION("""COMPUTED_VALUE"""),42125.6666666666)</f>
        <v>42125.666666666599</v>
      </c>
      <c r="B2601" s="1">
        <f ca="1">IFERROR(__xludf.DUMMYFUNCTION("""COMPUTED_VALUE"""),21.14)</f>
        <v>21.14</v>
      </c>
    </row>
    <row r="2602" spans="1:2">
      <c r="A2602" s="3">
        <f ca="1">IFERROR(__xludf.DUMMYFUNCTION("""COMPUTED_VALUE"""),42128.6666666666)</f>
        <v>42128.666666666599</v>
      </c>
      <c r="B2602" s="1">
        <f ca="1">IFERROR(__xludf.DUMMYFUNCTION("""COMPUTED_VALUE"""),21.15)</f>
        <v>21.15</v>
      </c>
    </row>
    <row r="2603" spans="1:2">
      <c r="A2603" s="3">
        <f ca="1">IFERROR(__xludf.DUMMYFUNCTION("""COMPUTED_VALUE"""),42129.6666666666)</f>
        <v>42129.666666666599</v>
      </c>
      <c r="B2603" s="1">
        <f ca="1">IFERROR(__xludf.DUMMYFUNCTION("""COMPUTED_VALUE"""),21.06)</f>
        <v>21.06</v>
      </c>
    </row>
    <row r="2604" spans="1:2">
      <c r="A2604" s="3">
        <f ca="1">IFERROR(__xludf.DUMMYFUNCTION("""COMPUTED_VALUE"""),42130.6666666666)</f>
        <v>42130.666666666599</v>
      </c>
      <c r="B2604" s="1">
        <f ca="1">IFERROR(__xludf.DUMMYFUNCTION("""COMPUTED_VALUE"""),20.96)</f>
        <v>20.96</v>
      </c>
    </row>
    <row r="2605" spans="1:2">
      <c r="A2605" s="3">
        <f ca="1">IFERROR(__xludf.DUMMYFUNCTION("""COMPUTED_VALUE"""),42131.6666666666)</f>
        <v>42131.666666666599</v>
      </c>
      <c r="B2605" s="1">
        <f ca="1">IFERROR(__xludf.DUMMYFUNCTION("""COMPUTED_VALUE"""),21.34)</f>
        <v>21.34</v>
      </c>
    </row>
    <row r="2606" spans="1:2">
      <c r="A2606" s="3">
        <f ca="1">IFERROR(__xludf.DUMMYFUNCTION("""COMPUTED_VALUE"""),42132.6666666666)</f>
        <v>42132.666666666599</v>
      </c>
      <c r="B2606" s="1">
        <f ca="1">IFERROR(__xludf.DUMMYFUNCTION("""COMPUTED_VALUE"""),21.68)</f>
        <v>21.68</v>
      </c>
    </row>
    <row r="2607" spans="1:2">
      <c r="A2607" s="3">
        <f ca="1">IFERROR(__xludf.DUMMYFUNCTION("""COMPUTED_VALUE"""),42135.6666666666)</f>
        <v>42135.666666666599</v>
      </c>
      <c r="B2607" s="1">
        <f ca="1">IFERROR(__xludf.DUMMYFUNCTION("""COMPUTED_VALUE"""),21.64)</f>
        <v>21.64</v>
      </c>
    </row>
    <row r="2608" spans="1:2">
      <c r="A2608" s="3">
        <f ca="1">IFERROR(__xludf.DUMMYFUNCTION("""COMPUTED_VALUE"""),42136.6666666666)</f>
        <v>42136.666666666599</v>
      </c>
      <c r="B2608" s="1">
        <f ca="1">IFERROR(__xludf.DUMMYFUNCTION("""COMPUTED_VALUE"""),21.55)</f>
        <v>21.55</v>
      </c>
    </row>
    <row r="2609" spans="1:2">
      <c r="A2609" s="3">
        <f ca="1">IFERROR(__xludf.DUMMYFUNCTION("""COMPUTED_VALUE"""),42137.6666666666)</f>
        <v>42137.666666666599</v>
      </c>
      <c r="B2609" s="1">
        <f ca="1">IFERROR(__xludf.DUMMYFUNCTION("""COMPUTED_VALUE"""),21.34)</f>
        <v>21.34</v>
      </c>
    </row>
    <row r="2610" spans="1:2">
      <c r="A2610" s="3">
        <f ca="1">IFERROR(__xludf.DUMMYFUNCTION("""COMPUTED_VALUE"""),42138.6666666666)</f>
        <v>42138.666666666599</v>
      </c>
      <c r="B2610" s="1">
        <f ca="1">IFERROR(__xludf.DUMMYFUNCTION("""COMPUTED_VALUE"""),21.61)</f>
        <v>21.61</v>
      </c>
    </row>
    <row r="2611" spans="1:2">
      <c r="A2611" s="3">
        <f ca="1">IFERROR(__xludf.DUMMYFUNCTION("""COMPUTED_VALUE"""),42139.6666666666)</f>
        <v>42139.666666666599</v>
      </c>
      <c r="B2611" s="1">
        <f ca="1">IFERROR(__xludf.DUMMYFUNCTION("""COMPUTED_VALUE"""),21.3)</f>
        <v>21.3</v>
      </c>
    </row>
    <row r="2612" spans="1:2">
      <c r="A2612" s="3">
        <f ca="1">IFERROR(__xludf.DUMMYFUNCTION("""COMPUTED_VALUE"""),42142.6666666666)</f>
        <v>42142.666666666599</v>
      </c>
      <c r="B2612" s="1">
        <f ca="1">IFERROR(__xludf.DUMMYFUNCTION("""COMPUTED_VALUE"""),21.26)</f>
        <v>21.26</v>
      </c>
    </row>
    <row r="2613" spans="1:2">
      <c r="A2613" s="3">
        <f ca="1">IFERROR(__xludf.DUMMYFUNCTION("""COMPUTED_VALUE"""),42143.6666666666)</f>
        <v>42143.666666666599</v>
      </c>
      <c r="B2613" s="1">
        <f ca="1">IFERROR(__xludf.DUMMYFUNCTION("""COMPUTED_VALUE"""),21.09)</f>
        <v>21.09</v>
      </c>
    </row>
    <row r="2614" spans="1:2">
      <c r="A2614" s="3">
        <f ca="1">IFERROR(__xludf.DUMMYFUNCTION("""COMPUTED_VALUE"""),42144.6666666666)</f>
        <v>42144.666666666599</v>
      </c>
      <c r="B2614" s="1">
        <f ca="1">IFERROR(__xludf.DUMMYFUNCTION("""COMPUTED_VALUE"""),21.19)</f>
        <v>21.19</v>
      </c>
    </row>
    <row r="2615" spans="1:2">
      <c r="A2615" s="3">
        <f ca="1">IFERROR(__xludf.DUMMYFUNCTION("""COMPUTED_VALUE"""),42145.6666666666)</f>
        <v>42145.666666666599</v>
      </c>
      <c r="B2615" s="1">
        <f ca="1">IFERROR(__xludf.DUMMYFUNCTION("""COMPUTED_VALUE"""),21.58)</f>
        <v>21.58</v>
      </c>
    </row>
    <row r="2616" spans="1:2">
      <c r="A2616" s="3">
        <f ca="1">IFERROR(__xludf.DUMMYFUNCTION("""COMPUTED_VALUE"""),42146.6666666666)</f>
        <v>42146.666666666599</v>
      </c>
      <c r="B2616" s="1">
        <f ca="1">IFERROR(__xludf.DUMMYFUNCTION("""COMPUTED_VALUE"""),21.38)</f>
        <v>21.38</v>
      </c>
    </row>
    <row r="2617" spans="1:2">
      <c r="A2617" s="3">
        <f ca="1">IFERROR(__xludf.DUMMYFUNCTION("""COMPUTED_VALUE"""),42150.6666666666)</f>
        <v>42150.666666666599</v>
      </c>
      <c r="B2617" s="1">
        <f ca="1">IFERROR(__xludf.DUMMYFUNCTION("""COMPUTED_VALUE"""),21.27)</f>
        <v>21.27</v>
      </c>
    </row>
    <row r="2618" spans="1:2">
      <c r="A2618" s="3">
        <f ca="1">IFERROR(__xludf.DUMMYFUNCTION("""COMPUTED_VALUE"""),42151.6666666666)</f>
        <v>42151.666666666599</v>
      </c>
      <c r="B2618" s="1">
        <f ca="1">IFERROR(__xludf.DUMMYFUNCTION("""COMPUTED_VALUE"""),21.57)</f>
        <v>21.57</v>
      </c>
    </row>
    <row r="2619" spans="1:2">
      <c r="A2619" s="3">
        <f ca="1">IFERROR(__xludf.DUMMYFUNCTION("""COMPUTED_VALUE"""),42152.6666666666)</f>
        <v>42152.666666666599</v>
      </c>
      <c r="B2619" s="1">
        <f ca="1">IFERROR(__xludf.DUMMYFUNCTION("""COMPUTED_VALUE"""),21.33)</f>
        <v>21.33</v>
      </c>
    </row>
    <row r="2620" spans="1:2">
      <c r="A2620" s="3">
        <f ca="1">IFERROR(__xludf.DUMMYFUNCTION("""COMPUTED_VALUE"""),42153.6666666666)</f>
        <v>42153.666666666599</v>
      </c>
      <c r="B2620" s="1">
        <f ca="1">IFERROR(__xludf.DUMMYFUNCTION("""COMPUTED_VALUE"""),21.46)</f>
        <v>21.46</v>
      </c>
    </row>
    <row r="2621" spans="1:2">
      <c r="A2621" s="3">
        <f ca="1">IFERROR(__xludf.DUMMYFUNCTION("""COMPUTED_VALUE"""),42156.6666666666)</f>
        <v>42156.666666666599</v>
      </c>
      <c r="B2621" s="1">
        <f ca="1">IFERROR(__xludf.DUMMYFUNCTION("""COMPUTED_VALUE"""),21.55)</f>
        <v>21.55</v>
      </c>
    </row>
    <row r="2622" spans="1:2">
      <c r="A2622" s="3">
        <f ca="1">IFERROR(__xludf.DUMMYFUNCTION("""COMPUTED_VALUE"""),42157.6666666666)</f>
        <v>42157.666666666599</v>
      </c>
      <c r="B2622" s="1">
        <f ca="1">IFERROR(__xludf.DUMMYFUNCTION("""COMPUTED_VALUE"""),21.55)</f>
        <v>21.55</v>
      </c>
    </row>
    <row r="2623" spans="1:2">
      <c r="A2623" s="3">
        <f ca="1">IFERROR(__xludf.DUMMYFUNCTION("""COMPUTED_VALUE"""),42158.6666666666)</f>
        <v>42158.666666666599</v>
      </c>
      <c r="B2623" s="1">
        <f ca="1">IFERROR(__xludf.DUMMYFUNCTION("""COMPUTED_VALUE"""),21.83)</f>
        <v>21.83</v>
      </c>
    </row>
    <row r="2624" spans="1:2">
      <c r="A2624" s="3">
        <f ca="1">IFERROR(__xludf.DUMMYFUNCTION("""COMPUTED_VALUE"""),42159.6666666666)</f>
        <v>42159.666666666599</v>
      </c>
      <c r="B2624" s="1">
        <f ca="1">IFERROR(__xludf.DUMMYFUNCTION("""COMPUTED_VALUE"""),21.54)</f>
        <v>21.54</v>
      </c>
    </row>
    <row r="2625" spans="1:2">
      <c r="A2625" s="3">
        <f ca="1">IFERROR(__xludf.DUMMYFUNCTION("""COMPUTED_VALUE"""),42160.6666666666)</f>
        <v>42160.666666666599</v>
      </c>
      <c r="B2625" s="1">
        <f ca="1">IFERROR(__xludf.DUMMYFUNCTION("""COMPUTED_VALUE"""),21.35)</f>
        <v>21.35</v>
      </c>
    </row>
    <row r="2626" spans="1:2">
      <c r="A2626" s="3">
        <f ca="1">IFERROR(__xludf.DUMMYFUNCTION("""COMPUTED_VALUE"""),42163.6666666666)</f>
        <v>42163.666666666599</v>
      </c>
      <c r="B2626" s="1">
        <f ca="1">IFERROR(__xludf.DUMMYFUNCTION("""COMPUTED_VALUE"""),21.18)</f>
        <v>21.18</v>
      </c>
    </row>
    <row r="2627" spans="1:2">
      <c r="A2627" s="3">
        <f ca="1">IFERROR(__xludf.DUMMYFUNCTION("""COMPUTED_VALUE"""),42164.6666666666)</f>
        <v>42164.666666666599</v>
      </c>
      <c r="B2627" s="1">
        <f ca="1">IFERROR(__xludf.DUMMYFUNCTION("""COMPUTED_VALUE"""),21.27)</f>
        <v>21.27</v>
      </c>
    </row>
    <row r="2628" spans="1:2">
      <c r="A2628" s="3">
        <f ca="1">IFERROR(__xludf.DUMMYFUNCTION("""COMPUTED_VALUE"""),42165.6666666666)</f>
        <v>42165.666666666599</v>
      </c>
      <c r="B2628" s="1">
        <f ca="1">IFERROR(__xludf.DUMMYFUNCTION("""COMPUTED_VALUE"""),21.54)</f>
        <v>21.54</v>
      </c>
    </row>
    <row r="2629" spans="1:2">
      <c r="A2629" s="3">
        <f ca="1">IFERROR(__xludf.DUMMYFUNCTION("""COMPUTED_VALUE"""),42166.6666666666)</f>
        <v>42166.666666666599</v>
      </c>
      <c r="B2629" s="1">
        <f ca="1">IFERROR(__xludf.DUMMYFUNCTION("""COMPUTED_VALUE"""),21.65)</f>
        <v>21.65</v>
      </c>
    </row>
    <row r="2630" spans="1:2">
      <c r="A2630" s="3">
        <f ca="1">IFERROR(__xludf.DUMMYFUNCTION("""COMPUTED_VALUE"""),42167.6666666666)</f>
        <v>42167.666666666599</v>
      </c>
      <c r="B2630" s="1">
        <f ca="1">IFERROR(__xludf.DUMMYFUNCTION("""COMPUTED_VALUE"""),21.5)</f>
        <v>21.5</v>
      </c>
    </row>
    <row r="2631" spans="1:2">
      <c r="A2631" s="3">
        <f ca="1">IFERROR(__xludf.DUMMYFUNCTION("""COMPUTED_VALUE"""),42170.6666666666)</f>
        <v>42170.666666666599</v>
      </c>
      <c r="B2631" s="1">
        <f ca="1">IFERROR(__xludf.DUMMYFUNCTION("""COMPUTED_VALUE"""),21.18)</f>
        <v>21.18</v>
      </c>
    </row>
    <row r="2632" spans="1:2">
      <c r="A2632" s="3">
        <f ca="1">IFERROR(__xludf.DUMMYFUNCTION("""COMPUTED_VALUE"""),42171.6666666666)</f>
        <v>42171.666666666599</v>
      </c>
      <c r="B2632" s="1">
        <f ca="1">IFERROR(__xludf.DUMMYFUNCTION("""COMPUTED_VALUE"""),21.36)</f>
        <v>21.36</v>
      </c>
    </row>
    <row r="2633" spans="1:2">
      <c r="A2633" s="3">
        <f ca="1">IFERROR(__xludf.DUMMYFUNCTION("""COMPUTED_VALUE"""),42172.6666666666)</f>
        <v>42172.666666666599</v>
      </c>
      <c r="B2633" s="1">
        <f ca="1">IFERROR(__xludf.DUMMYFUNCTION("""COMPUTED_VALUE"""),21.39)</f>
        <v>21.39</v>
      </c>
    </row>
    <row r="2634" spans="1:2">
      <c r="A2634" s="3">
        <f ca="1">IFERROR(__xludf.DUMMYFUNCTION("""COMPUTED_VALUE"""),42173.6666666666)</f>
        <v>42173.666666666599</v>
      </c>
      <c r="B2634" s="1">
        <f ca="1">IFERROR(__xludf.DUMMYFUNCTION("""COMPUTED_VALUE"""),21.97)</f>
        <v>21.97</v>
      </c>
    </row>
    <row r="2635" spans="1:2">
      <c r="A2635" s="3">
        <f ca="1">IFERROR(__xludf.DUMMYFUNCTION("""COMPUTED_VALUE"""),42174.6666666666)</f>
        <v>42174.666666666599</v>
      </c>
      <c r="B2635" s="1">
        <f ca="1">IFERROR(__xludf.DUMMYFUNCTION("""COMPUTED_VALUE"""),21.75)</f>
        <v>21.75</v>
      </c>
    </row>
    <row r="2636" spans="1:2">
      <c r="A2636" s="3">
        <f ca="1">IFERROR(__xludf.DUMMYFUNCTION("""COMPUTED_VALUE"""),42177.6666666666)</f>
        <v>42177.666666666599</v>
      </c>
      <c r="B2636" s="1">
        <f ca="1">IFERROR(__xludf.DUMMYFUNCTION("""COMPUTED_VALUE"""),21.81)</f>
        <v>21.81</v>
      </c>
    </row>
    <row r="2637" spans="1:2">
      <c r="A2637" s="3">
        <f ca="1">IFERROR(__xludf.DUMMYFUNCTION("""COMPUTED_VALUE"""),42178.6666666666)</f>
        <v>42178.666666666599</v>
      </c>
      <c r="B2637" s="1">
        <f ca="1">IFERROR(__xludf.DUMMYFUNCTION("""COMPUTED_VALUE"""),22.3)</f>
        <v>22.3</v>
      </c>
    </row>
    <row r="2638" spans="1:2">
      <c r="A2638" s="3">
        <f ca="1">IFERROR(__xludf.DUMMYFUNCTION("""COMPUTED_VALUE"""),42179.6666666666)</f>
        <v>42179.666666666599</v>
      </c>
      <c r="B2638" s="1">
        <f ca="1">IFERROR(__xludf.DUMMYFUNCTION("""COMPUTED_VALUE"""),22.04)</f>
        <v>22.04</v>
      </c>
    </row>
    <row r="2639" spans="1:2">
      <c r="A2639" s="3">
        <f ca="1">IFERROR(__xludf.DUMMYFUNCTION("""COMPUTED_VALUE"""),42180.6666666666)</f>
        <v>42180.666666666599</v>
      </c>
      <c r="B2639" s="1">
        <f ca="1">IFERROR(__xludf.DUMMYFUNCTION("""COMPUTED_VALUE"""),22.01)</f>
        <v>22.01</v>
      </c>
    </row>
    <row r="2640" spans="1:2">
      <c r="A2640" s="3">
        <f ca="1">IFERROR(__xludf.DUMMYFUNCTION("""COMPUTED_VALUE"""),42181.6666666666)</f>
        <v>42181.666666666599</v>
      </c>
      <c r="B2640" s="1">
        <f ca="1">IFERROR(__xludf.DUMMYFUNCTION("""COMPUTED_VALUE"""),21.91)</f>
        <v>21.91</v>
      </c>
    </row>
    <row r="2641" spans="1:2">
      <c r="A2641" s="3">
        <f ca="1">IFERROR(__xludf.DUMMYFUNCTION("""COMPUTED_VALUE"""),42184.6666666666)</f>
        <v>42184.666666666599</v>
      </c>
      <c r="B2641" s="1">
        <f ca="1">IFERROR(__xludf.DUMMYFUNCTION("""COMPUTED_VALUE"""),21.49)</f>
        <v>21.49</v>
      </c>
    </row>
    <row r="2642" spans="1:2">
      <c r="A2642" s="3">
        <f ca="1">IFERROR(__xludf.DUMMYFUNCTION("""COMPUTED_VALUE"""),42185.6666666666)</f>
        <v>42185.666666666599</v>
      </c>
      <c r="B2642" s="1">
        <f ca="1">IFERROR(__xludf.DUMMYFUNCTION("""COMPUTED_VALUE"""),21.7)</f>
        <v>21.7</v>
      </c>
    </row>
    <row r="2643" spans="1:2">
      <c r="A2643" s="3">
        <f ca="1">IFERROR(__xludf.DUMMYFUNCTION("""COMPUTED_VALUE"""),42186.6666666666)</f>
        <v>42186.666666666599</v>
      </c>
      <c r="B2643" s="1">
        <f ca="1">IFERROR(__xludf.DUMMYFUNCTION("""COMPUTED_VALUE"""),21.87)</f>
        <v>21.87</v>
      </c>
    </row>
    <row r="2644" spans="1:2">
      <c r="A2644" s="3">
        <f ca="1">IFERROR(__xludf.DUMMYFUNCTION("""COMPUTED_VALUE"""),42187.6666666666)</f>
        <v>42187.666666666599</v>
      </c>
      <c r="B2644" s="1">
        <f ca="1">IFERROR(__xludf.DUMMYFUNCTION("""COMPUTED_VALUE"""),21.89)</f>
        <v>21.89</v>
      </c>
    </row>
    <row r="2645" spans="1:2">
      <c r="A2645" s="3">
        <f ca="1">IFERROR(__xludf.DUMMYFUNCTION("""COMPUTED_VALUE"""),42191.6666666666)</f>
        <v>42191.666666666599</v>
      </c>
      <c r="B2645" s="1">
        <f ca="1">IFERROR(__xludf.DUMMYFUNCTION("""COMPUTED_VALUE"""),21.8)</f>
        <v>21.8</v>
      </c>
    </row>
    <row r="2646" spans="1:2">
      <c r="A2646" s="3">
        <f ca="1">IFERROR(__xludf.DUMMYFUNCTION("""COMPUTED_VALUE"""),42192.6666666666)</f>
        <v>42192.666666666599</v>
      </c>
      <c r="B2646" s="1">
        <f ca="1">IFERROR(__xludf.DUMMYFUNCTION("""COMPUTED_VALUE"""),21.84)</f>
        <v>21.84</v>
      </c>
    </row>
    <row r="2647" spans="1:2">
      <c r="A2647" s="3">
        <f ca="1">IFERROR(__xludf.DUMMYFUNCTION("""COMPUTED_VALUE"""),42193.6666666666)</f>
        <v>42193.666666666599</v>
      </c>
      <c r="B2647" s="1">
        <f ca="1">IFERROR(__xludf.DUMMYFUNCTION("""COMPUTED_VALUE"""),21.49)</f>
        <v>21.49</v>
      </c>
    </row>
    <row r="2648" spans="1:2">
      <c r="A2648" s="3">
        <f ca="1">IFERROR(__xludf.DUMMYFUNCTION("""COMPUTED_VALUE"""),42194.6666666666)</f>
        <v>42194.666666666599</v>
      </c>
      <c r="B2648" s="1">
        <f ca="1">IFERROR(__xludf.DUMMYFUNCTION("""COMPUTED_VALUE"""),21.72)</f>
        <v>21.72</v>
      </c>
    </row>
    <row r="2649" spans="1:2">
      <c r="A2649" s="3">
        <f ca="1">IFERROR(__xludf.DUMMYFUNCTION("""COMPUTED_VALUE"""),42195.6666666666)</f>
        <v>42195.666666666599</v>
      </c>
      <c r="B2649" s="1">
        <f ca="1">IFERROR(__xludf.DUMMYFUNCTION("""COMPUTED_VALUE"""),22.18)</f>
        <v>22.18</v>
      </c>
    </row>
    <row r="2650" spans="1:2">
      <c r="A2650" s="3">
        <f ca="1">IFERROR(__xludf.DUMMYFUNCTION("""COMPUTED_VALUE"""),42198.6666666666)</f>
        <v>42198.666666666599</v>
      </c>
      <c r="B2650" s="1">
        <f ca="1">IFERROR(__xludf.DUMMYFUNCTION("""COMPUTED_VALUE"""),22.78)</f>
        <v>22.78</v>
      </c>
    </row>
    <row r="2651" spans="1:2">
      <c r="A2651" s="3">
        <f ca="1">IFERROR(__xludf.DUMMYFUNCTION("""COMPUTED_VALUE"""),42199.6666666666)</f>
        <v>42199.666666666599</v>
      </c>
      <c r="B2651" s="1">
        <f ca="1">IFERROR(__xludf.DUMMYFUNCTION("""COMPUTED_VALUE"""),23.28)</f>
        <v>23.28</v>
      </c>
    </row>
    <row r="2652" spans="1:2">
      <c r="A2652" s="3">
        <f ca="1">IFERROR(__xludf.DUMMYFUNCTION("""COMPUTED_VALUE"""),42200.6666666666)</f>
        <v>42200.666666666599</v>
      </c>
      <c r="B2652" s="1">
        <f ca="1">IFERROR(__xludf.DUMMYFUNCTION("""COMPUTED_VALUE"""),23.06)</f>
        <v>23.06</v>
      </c>
    </row>
    <row r="2653" spans="1:2">
      <c r="A2653" s="3">
        <f ca="1">IFERROR(__xludf.DUMMYFUNCTION("""COMPUTED_VALUE"""),42201.6666666666)</f>
        <v>42201.666666666599</v>
      </c>
      <c r="B2653" s="1">
        <f ca="1">IFERROR(__xludf.DUMMYFUNCTION("""COMPUTED_VALUE"""),23.77)</f>
        <v>23.77</v>
      </c>
    </row>
    <row r="2654" spans="1:2">
      <c r="A2654" s="3">
        <f ca="1">IFERROR(__xludf.DUMMYFUNCTION("""COMPUTED_VALUE"""),42202.6666666666)</f>
        <v>42202.666666666599</v>
      </c>
      <c r="B2654" s="1">
        <f ca="1">IFERROR(__xludf.DUMMYFUNCTION("""COMPUTED_VALUE"""),24.15)</f>
        <v>24.15</v>
      </c>
    </row>
    <row r="2655" spans="1:2">
      <c r="A2655" s="3">
        <f ca="1">IFERROR(__xludf.DUMMYFUNCTION("""COMPUTED_VALUE"""),42205.6666666666)</f>
        <v>42205.666666666599</v>
      </c>
      <c r="B2655" s="1">
        <f ca="1">IFERROR(__xludf.DUMMYFUNCTION("""COMPUTED_VALUE"""),24.41)</f>
        <v>24.41</v>
      </c>
    </row>
    <row r="2656" spans="1:2">
      <c r="A2656" s="3">
        <f ca="1">IFERROR(__xludf.DUMMYFUNCTION("""COMPUTED_VALUE"""),42206.6666666666)</f>
        <v>42206.666666666599</v>
      </c>
      <c r="B2656" s="1">
        <f ca="1">IFERROR(__xludf.DUMMYFUNCTION("""COMPUTED_VALUE"""),24.4)</f>
        <v>24.4</v>
      </c>
    </row>
    <row r="2657" spans="1:2">
      <c r="A2657" s="3">
        <f ca="1">IFERROR(__xludf.DUMMYFUNCTION("""COMPUTED_VALUE"""),42207.6666666666)</f>
        <v>42207.666666666599</v>
      </c>
      <c r="B2657" s="1">
        <f ca="1">IFERROR(__xludf.DUMMYFUNCTION("""COMPUTED_VALUE"""),24.41)</f>
        <v>24.41</v>
      </c>
    </row>
    <row r="2658" spans="1:2">
      <c r="A2658" s="3">
        <f ca="1">IFERROR(__xludf.DUMMYFUNCTION("""COMPUTED_VALUE"""),42208.6666666666)</f>
        <v>42208.666666666599</v>
      </c>
      <c r="B2658" s="1">
        <f ca="1">IFERROR(__xludf.DUMMYFUNCTION("""COMPUTED_VALUE"""),24.11)</f>
        <v>24.11</v>
      </c>
    </row>
    <row r="2659" spans="1:2">
      <c r="A2659" s="3">
        <f ca="1">IFERROR(__xludf.DUMMYFUNCTION("""COMPUTED_VALUE"""),42209.6666666666)</f>
        <v>42209.666666666599</v>
      </c>
      <c r="B2659" s="1">
        <f ca="1">IFERROR(__xludf.DUMMYFUNCTION("""COMPUTED_VALUE"""),26.47)</f>
        <v>26.47</v>
      </c>
    </row>
    <row r="2660" spans="1:2">
      <c r="A2660" s="3">
        <f ca="1">IFERROR(__xludf.DUMMYFUNCTION("""COMPUTED_VALUE"""),42212.6666666666)</f>
        <v>42212.666666666599</v>
      </c>
      <c r="B2660" s="1">
        <f ca="1">IFERROR(__xludf.DUMMYFUNCTION("""COMPUTED_VALUE"""),26.57)</f>
        <v>26.57</v>
      </c>
    </row>
    <row r="2661" spans="1:2">
      <c r="A2661" s="3">
        <f ca="1">IFERROR(__xludf.DUMMYFUNCTION("""COMPUTED_VALUE"""),42213.6666666666)</f>
        <v>42213.666666666599</v>
      </c>
      <c r="B2661" s="1">
        <f ca="1">IFERROR(__xludf.DUMMYFUNCTION("""COMPUTED_VALUE"""),26.3)</f>
        <v>26.3</v>
      </c>
    </row>
    <row r="2662" spans="1:2">
      <c r="A2662" s="3">
        <f ca="1">IFERROR(__xludf.DUMMYFUNCTION("""COMPUTED_VALUE"""),42214.6666666666)</f>
        <v>42214.666666666599</v>
      </c>
      <c r="B2662" s="1">
        <f ca="1">IFERROR(__xludf.DUMMYFUNCTION("""COMPUTED_VALUE"""),26.45)</f>
        <v>26.45</v>
      </c>
    </row>
    <row r="2663" spans="1:2">
      <c r="A2663" s="3">
        <f ca="1">IFERROR(__xludf.DUMMYFUNCTION("""COMPUTED_VALUE"""),42215.6666666666)</f>
        <v>42215.666666666599</v>
      </c>
      <c r="B2663" s="1">
        <f ca="1">IFERROR(__xludf.DUMMYFUNCTION("""COMPUTED_VALUE"""),26.84)</f>
        <v>26.84</v>
      </c>
    </row>
    <row r="2664" spans="1:2">
      <c r="A2664" s="3">
        <f ca="1">IFERROR(__xludf.DUMMYFUNCTION("""COMPUTED_VALUE"""),42216.6666666666)</f>
        <v>42216.666666666599</v>
      </c>
      <c r="B2664" s="1">
        <f ca="1">IFERROR(__xludf.DUMMYFUNCTION("""COMPUTED_VALUE"""),26.81)</f>
        <v>26.81</v>
      </c>
    </row>
    <row r="2665" spans="1:2">
      <c r="A2665" s="3">
        <f ca="1">IFERROR(__xludf.DUMMYFUNCTION("""COMPUTED_VALUE"""),42219.6666666666)</f>
        <v>42219.666666666599</v>
      </c>
      <c r="B2665" s="1">
        <f ca="1">IFERROR(__xludf.DUMMYFUNCTION("""COMPUTED_VALUE"""),26.75)</f>
        <v>26.75</v>
      </c>
    </row>
    <row r="2666" spans="1:2">
      <c r="A2666" s="3">
        <f ca="1">IFERROR(__xludf.DUMMYFUNCTION("""COMPUTED_VALUE"""),42220.6666666666)</f>
        <v>42220.666666666599</v>
      </c>
      <c r="B2666" s="1">
        <f ca="1">IFERROR(__xludf.DUMMYFUNCTION("""COMPUTED_VALUE"""),26.6)</f>
        <v>26.6</v>
      </c>
    </row>
    <row r="2667" spans="1:2">
      <c r="A2667" s="3">
        <f ca="1">IFERROR(__xludf.DUMMYFUNCTION("""COMPUTED_VALUE"""),42221.6666666666)</f>
        <v>42221.666666666599</v>
      </c>
      <c r="B2667" s="1">
        <f ca="1">IFERROR(__xludf.DUMMYFUNCTION("""COMPUTED_VALUE"""),26.85)</f>
        <v>26.85</v>
      </c>
    </row>
    <row r="2668" spans="1:2">
      <c r="A2668" s="3">
        <f ca="1">IFERROR(__xludf.DUMMYFUNCTION("""COMPUTED_VALUE"""),42222.6666666666)</f>
        <v>42222.666666666599</v>
      </c>
      <c r="B2668" s="1">
        <f ca="1">IFERROR(__xludf.DUMMYFUNCTION("""COMPUTED_VALUE"""),26.47)</f>
        <v>26.47</v>
      </c>
    </row>
    <row r="2669" spans="1:2">
      <c r="A2669" s="3">
        <f ca="1">IFERROR(__xludf.DUMMYFUNCTION("""COMPUTED_VALUE"""),42223.6666666666)</f>
        <v>42223.666666666599</v>
      </c>
      <c r="B2669" s="1">
        <f ca="1">IFERROR(__xludf.DUMMYFUNCTION("""COMPUTED_VALUE"""),26.13)</f>
        <v>26.13</v>
      </c>
    </row>
    <row r="2670" spans="1:2">
      <c r="A2670" s="3">
        <f ca="1">IFERROR(__xludf.DUMMYFUNCTION("""COMPUTED_VALUE"""),42226.6666666666)</f>
        <v>42226.666666666599</v>
      </c>
      <c r="B2670" s="1">
        <f ca="1">IFERROR(__xludf.DUMMYFUNCTION("""COMPUTED_VALUE"""),26.2)</f>
        <v>26.2</v>
      </c>
    </row>
    <row r="2671" spans="1:2">
      <c r="A2671" s="3">
        <f ca="1">IFERROR(__xludf.DUMMYFUNCTION("""COMPUTED_VALUE"""),42227.6666666666)</f>
        <v>42227.666666666599</v>
      </c>
      <c r="B2671" s="1">
        <f ca="1">IFERROR(__xludf.DUMMYFUNCTION("""COMPUTED_VALUE"""),26.37)</f>
        <v>26.37</v>
      </c>
    </row>
    <row r="2672" spans="1:2">
      <c r="A2672" s="3">
        <f ca="1">IFERROR(__xludf.DUMMYFUNCTION("""COMPUTED_VALUE"""),42228.6666666666)</f>
        <v>42228.666666666599</v>
      </c>
      <c r="B2672" s="1">
        <f ca="1">IFERROR(__xludf.DUMMYFUNCTION("""COMPUTED_VALUE"""),26.3)</f>
        <v>26.3</v>
      </c>
    </row>
    <row r="2673" spans="1:2">
      <c r="A2673" s="3">
        <f ca="1">IFERROR(__xludf.DUMMYFUNCTION("""COMPUTED_VALUE"""),42229.6666666666)</f>
        <v>42229.666666666599</v>
      </c>
      <c r="B2673" s="1">
        <f ca="1">IFERROR(__xludf.DUMMYFUNCTION("""COMPUTED_VALUE"""),26.48)</f>
        <v>26.48</v>
      </c>
    </row>
    <row r="2674" spans="1:2">
      <c r="A2674" s="3">
        <f ca="1">IFERROR(__xludf.DUMMYFUNCTION("""COMPUTED_VALUE"""),42230.6666666666)</f>
        <v>42230.666666666599</v>
      </c>
      <c r="B2674" s="1">
        <f ca="1">IFERROR(__xludf.DUMMYFUNCTION("""COMPUTED_VALUE"""),26.58)</f>
        <v>26.58</v>
      </c>
    </row>
    <row r="2675" spans="1:2">
      <c r="A2675" s="3">
        <f ca="1">IFERROR(__xludf.DUMMYFUNCTION("""COMPUTED_VALUE"""),42233.6666666666)</f>
        <v>42233.666666666599</v>
      </c>
      <c r="B2675" s="1">
        <f ca="1">IFERROR(__xludf.DUMMYFUNCTION("""COMPUTED_VALUE"""),26.76)</f>
        <v>26.76</v>
      </c>
    </row>
    <row r="2676" spans="1:2">
      <c r="A2676" s="3">
        <f ca="1">IFERROR(__xludf.DUMMYFUNCTION("""COMPUTED_VALUE"""),42234.6666666666)</f>
        <v>42234.666666666599</v>
      </c>
      <c r="B2676" s="1">
        <f ca="1">IFERROR(__xludf.DUMMYFUNCTION("""COMPUTED_VALUE"""),26.75)</f>
        <v>26.75</v>
      </c>
    </row>
    <row r="2677" spans="1:2">
      <c r="A2677" s="3">
        <f ca="1">IFERROR(__xludf.DUMMYFUNCTION("""COMPUTED_VALUE"""),42235.6666666666)</f>
        <v>42235.666666666599</v>
      </c>
      <c r="B2677" s="1">
        <f ca="1">IFERROR(__xludf.DUMMYFUNCTION("""COMPUTED_VALUE"""),26.65)</f>
        <v>26.65</v>
      </c>
    </row>
    <row r="2678" spans="1:2">
      <c r="A2678" s="3">
        <f ca="1">IFERROR(__xludf.DUMMYFUNCTION("""COMPUTED_VALUE"""),42236.6666666666)</f>
        <v>42236.666666666599</v>
      </c>
      <c r="B2678" s="1">
        <f ca="1">IFERROR(__xludf.DUMMYFUNCTION("""COMPUTED_VALUE"""),25.79)</f>
        <v>25.79</v>
      </c>
    </row>
    <row r="2679" spans="1:2">
      <c r="A2679" s="3">
        <f ca="1">IFERROR(__xludf.DUMMYFUNCTION("""COMPUTED_VALUE"""),42237.6666666666)</f>
        <v>42237.666666666599</v>
      </c>
      <c r="B2679" s="1">
        <f ca="1">IFERROR(__xludf.DUMMYFUNCTION("""COMPUTED_VALUE"""),24.72)</f>
        <v>24.72</v>
      </c>
    </row>
    <row r="2680" spans="1:2">
      <c r="A2680" s="3">
        <f ca="1">IFERROR(__xludf.DUMMYFUNCTION("""COMPUTED_VALUE"""),42240.6666666666)</f>
        <v>42240.666666666599</v>
      </c>
      <c r="B2680" s="1">
        <f ca="1">IFERROR(__xludf.DUMMYFUNCTION("""COMPUTED_VALUE"""),23.17)</f>
        <v>23.17</v>
      </c>
    </row>
    <row r="2681" spans="1:2">
      <c r="A2681" s="3">
        <f ca="1">IFERROR(__xludf.DUMMYFUNCTION("""COMPUTED_VALUE"""),42241.6666666666)</f>
        <v>42241.666666666599</v>
      </c>
      <c r="B2681" s="1">
        <f ca="1">IFERROR(__xludf.DUMMYFUNCTION("""COMPUTED_VALUE"""),23.32)</f>
        <v>23.32</v>
      </c>
    </row>
    <row r="2682" spans="1:2">
      <c r="A2682" s="3">
        <f ca="1">IFERROR(__xludf.DUMMYFUNCTION("""COMPUTED_VALUE"""),42242.6666666666)</f>
        <v>42242.666666666599</v>
      </c>
      <c r="B2682" s="1">
        <f ca="1">IFERROR(__xludf.DUMMYFUNCTION("""COMPUTED_VALUE"""),25.04)</f>
        <v>25.04</v>
      </c>
    </row>
    <row r="2683" spans="1:2">
      <c r="A2683" s="3">
        <f ca="1">IFERROR(__xludf.DUMMYFUNCTION("""COMPUTED_VALUE"""),42243.6666666666)</f>
        <v>42243.666666666599</v>
      </c>
      <c r="B2683" s="1">
        <f ca="1">IFERROR(__xludf.DUMMYFUNCTION("""COMPUTED_VALUE"""),25.92)</f>
        <v>25.92</v>
      </c>
    </row>
    <row r="2684" spans="1:2">
      <c r="A2684" s="3">
        <f ca="1">IFERROR(__xludf.DUMMYFUNCTION("""COMPUTED_VALUE"""),42244.6666666666)</f>
        <v>42244.666666666599</v>
      </c>
      <c r="B2684" s="1">
        <f ca="1">IFERROR(__xludf.DUMMYFUNCTION("""COMPUTED_VALUE"""),25.9)</f>
        <v>25.9</v>
      </c>
    </row>
    <row r="2685" spans="1:2">
      <c r="A2685" s="3">
        <f ca="1">IFERROR(__xludf.DUMMYFUNCTION("""COMPUTED_VALUE"""),42247.6666666666)</f>
        <v>42247.666666666599</v>
      </c>
      <c r="B2685" s="1">
        <f ca="1">IFERROR(__xludf.DUMMYFUNCTION("""COMPUTED_VALUE"""),25.64)</f>
        <v>25.64</v>
      </c>
    </row>
    <row r="2686" spans="1:2">
      <c r="A2686" s="3">
        <f ca="1">IFERROR(__xludf.DUMMYFUNCTION("""COMPUTED_VALUE"""),42248.6666666666)</f>
        <v>42248.666666666599</v>
      </c>
      <c r="B2686" s="1">
        <f ca="1">IFERROR(__xludf.DUMMYFUNCTION("""COMPUTED_VALUE"""),24.83)</f>
        <v>24.83</v>
      </c>
    </row>
    <row r="2687" spans="1:2">
      <c r="A2687" s="3">
        <f ca="1">IFERROR(__xludf.DUMMYFUNCTION("""COMPUTED_VALUE"""),42249.6666666666)</f>
        <v>42249.666666666599</v>
      </c>
      <c r="B2687" s="1">
        <f ca="1">IFERROR(__xludf.DUMMYFUNCTION("""COMPUTED_VALUE"""),25.53)</f>
        <v>25.53</v>
      </c>
    </row>
    <row r="2688" spans="1:2">
      <c r="A2688" s="3">
        <f ca="1">IFERROR(__xludf.DUMMYFUNCTION("""COMPUTED_VALUE"""),42250.6666666666)</f>
        <v>42250.666666666599</v>
      </c>
      <c r="B2688" s="1">
        <f ca="1">IFERROR(__xludf.DUMMYFUNCTION("""COMPUTED_VALUE"""),25.24)</f>
        <v>25.24</v>
      </c>
    </row>
    <row r="2689" spans="1:2">
      <c r="A2689" s="3">
        <f ca="1">IFERROR(__xludf.DUMMYFUNCTION("""COMPUTED_VALUE"""),42251.6666666666)</f>
        <v>42251.666666666599</v>
      </c>
      <c r="B2689" s="1">
        <f ca="1">IFERROR(__xludf.DUMMYFUNCTION("""COMPUTED_VALUE"""),24.95)</f>
        <v>24.95</v>
      </c>
    </row>
    <row r="2690" spans="1:2">
      <c r="A2690" s="3">
        <f ca="1">IFERROR(__xludf.DUMMYFUNCTION("""COMPUTED_VALUE"""),42255.6666666666)</f>
        <v>42255.666666666599</v>
      </c>
      <c r="B2690" s="1">
        <f ca="1">IFERROR(__xludf.DUMMYFUNCTION("""COMPUTED_VALUE"""),25.88)</f>
        <v>25.88</v>
      </c>
    </row>
    <row r="2691" spans="1:2">
      <c r="A2691" s="3">
        <f ca="1">IFERROR(__xludf.DUMMYFUNCTION("""COMPUTED_VALUE"""),42256.6666666666)</f>
        <v>42256.666666666599</v>
      </c>
      <c r="B2691" s="1">
        <f ca="1">IFERROR(__xludf.DUMMYFUNCTION("""COMPUTED_VALUE"""),25.84)</f>
        <v>25.84</v>
      </c>
    </row>
    <row r="2692" spans="1:2">
      <c r="A2692" s="3">
        <f ca="1">IFERROR(__xludf.DUMMYFUNCTION("""COMPUTED_VALUE"""),42257.6666666666)</f>
        <v>42257.666666666599</v>
      </c>
      <c r="B2692" s="1">
        <f ca="1">IFERROR(__xludf.DUMMYFUNCTION("""COMPUTED_VALUE"""),26.11)</f>
        <v>26.11</v>
      </c>
    </row>
    <row r="2693" spans="1:2">
      <c r="A2693" s="3">
        <f ca="1">IFERROR(__xludf.DUMMYFUNCTION("""COMPUTED_VALUE"""),42258.6666666666)</f>
        <v>42258.666666666599</v>
      </c>
      <c r="B2693" s="1">
        <f ca="1">IFERROR(__xludf.DUMMYFUNCTION("""COMPUTED_VALUE"""),26.47)</f>
        <v>26.47</v>
      </c>
    </row>
    <row r="2694" spans="1:2">
      <c r="A2694" s="3">
        <f ca="1">IFERROR(__xludf.DUMMYFUNCTION("""COMPUTED_VALUE"""),42261.6666666666)</f>
        <v>42261.666666666599</v>
      </c>
      <c r="B2694" s="1">
        <f ca="1">IFERROR(__xludf.DUMMYFUNCTION("""COMPUTED_VALUE"""),26.07)</f>
        <v>26.07</v>
      </c>
    </row>
    <row r="2695" spans="1:2">
      <c r="A2695" s="3">
        <f ca="1">IFERROR(__xludf.DUMMYFUNCTION("""COMPUTED_VALUE"""),42262.6666666666)</f>
        <v>42262.666666666599</v>
      </c>
      <c r="B2695" s="1">
        <f ca="1">IFERROR(__xludf.DUMMYFUNCTION("""COMPUTED_VALUE"""),26.12)</f>
        <v>26.12</v>
      </c>
    </row>
    <row r="2696" spans="1:2">
      <c r="A2696" s="3">
        <f ca="1">IFERROR(__xludf.DUMMYFUNCTION("""COMPUTED_VALUE"""),42263.6666666666)</f>
        <v>42263.666666666599</v>
      </c>
      <c r="B2696" s="1">
        <f ca="1">IFERROR(__xludf.DUMMYFUNCTION("""COMPUTED_VALUE"""),26.37)</f>
        <v>26.37</v>
      </c>
    </row>
    <row r="2697" spans="1:2">
      <c r="A2697" s="3">
        <f ca="1">IFERROR(__xludf.DUMMYFUNCTION("""COMPUTED_VALUE"""),42264.6666666666)</f>
        <v>42264.666666666599</v>
      </c>
      <c r="B2697" s="1">
        <f ca="1">IFERROR(__xludf.DUMMYFUNCTION("""COMPUTED_VALUE"""),26.94)</f>
        <v>26.94</v>
      </c>
    </row>
    <row r="2698" spans="1:2">
      <c r="A2698" s="3">
        <f ca="1">IFERROR(__xludf.DUMMYFUNCTION("""COMPUTED_VALUE"""),42265.6666666666)</f>
        <v>42265.666666666599</v>
      </c>
      <c r="B2698" s="1">
        <f ca="1">IFERROR(__xludf.DUMMYFUNCTION("""COMPUTED_VALUE"""),27.01)</f>
        <v>27.01</v>
      </c>
    </row>
    <row r="2699" spans="1:2">
      <c r="A2699" s="3">
        <f ca="1">IFERROR(__xludf.DUMMYFUNCTION("""COMPUTED_VALUE"""),42268.6666666666)</f>
        <v>42268.666666666599</v>
      </c>
      <c r="B2699" s="1">
        <f ca="1">IFERROR(__xludf.DUMMYFUNCTION("""COMPUTED_VALUE"""),27.42)</f>
        <v>27.42</v>
      </c>
    </row>
    <row r="2700" spans="1:2">
      <c r="A2700" s="3">
        <f ca="1">IFERROR(__xludf.DUMMYFUNCTION("""COMPUTED_VALUE"""),42269.6666666666)</f>
        <v>42269.666666666599</v>
      </c>
      <c r="B2700" s="1">
        <f ca="1">IFERROR(__xludf.DUMMYFUNCTION("""COMPUTED_VALUE"""),26.92)</f>
        <v>26.92</v>
      </c>
    </row>
    <row r="2701" spans="1:2">
      <c r="A2701" s="3">
        <f ca="1">IFERROR(__xludf.DUMMYFUNCTION("""COMPUTED_VALUE"""),42270.6666666666)</f>
        <v>42270.666666666599</v>
      </c>
      <c r="B2701" s="1">
        <f ca="1">IFERROR(__xludf.DUMMYFUNCTION("""COMPUTED_VALUE"""),26.8)</f>
        <v>26.8</v>
      </c>
    </row>
    <row r="2702" spans="1:2">
      <c r="A2702" s="3">
        <f ca="1">IFERROR(__xludf.DUMMYFUNCTION("""COMPUTED_VALUE"""),42271.6666666666)</f>
        <v>42271.666666666599</v>
      </c>
      <c r="B2702" s="1">
        <f ca="1">IFERROR(__xludf.DUMMYFUNCTION("""COMPUTED_VALUE"""),26.69)</f>
        <v>26.69</v>
      </c>
    </row>
    <row r="2703" spans="1:2">
      <c r="A2703" s="3">
        <f ca="1">IFERROR(__xludf.DUMMYFUNCTION("""COMPUTED_VALUE"""),42272.6666666666)</f>
        <v>42272.666666666599</v>
      </c>
      <c r="B2703" s="1">
        <f ca="1">IFERROR(__xludf.DUMMYFUNCTION("""COMPUTED_VALUE"""),26.21)</f>
        <v>26.21</v>
      </c>
    </row>
    <row r="2704" spans="1:2">
      <c r="A2704" s="3">
        <f ca="1">IFERROR(__xludf.DUMMYFUNCTION("""COMPUTED_VALUE"""),42275.6666666666)</f>
        <v>42275.666666666599</v>
      </c>
      <c r="B2704" s="1">
        <f ca="1">IFERROR(__xludf.DUMMYFUNCTION("""COMPUTED_VALUE"""),25.2)</f>
        <v>25.2</v>
      </c>
    </row>
    <row r="2705" spans="1:2">
      <c r="A2705" s="3">
        <f ca="1">IFERROR(__xludf.DUMMYFUNCTION("""COMPUTED_VALUE"""),42276.6666666666)</f>
        <v>42276.666666666599</v>
      </c>
      <c r="B2705" s="1">
        <f ca="1">IFERROR(__xludf.DUMMYFUNCTION("""COMPUTED_VALUE"""),24.8)</f>
        <v>24.8</v>
      </c>
    </row>
    <row r="2706" spans="1:2">
      <c r="A2706" s="3">
        <f ca="1">IFERROR(__xludf.DUMMYFUNCTION("""COMPUTED_VALUE"""),42277.6666666666)</f>
        <v>42277.666666666599</v>
      </c>
      <c r="B2706" s="1">
        <f ca="1">IFERROR(__xludf.DUMMYFUNCTION("""COMPUTED_VALUE"""),25.59)</f>
        <v>25.59</v>
      </c>
    </row>
    <row r="2707" spans="1:2">
      <c r="A2707" s="3">
        <f ca="1">IFERROR(__xludf.DUMMYFUNCTION("""COMPUTED_VALUE"""),42278.6666666666)</f>
        <v>42278.666666666599</v>
      </c>
      <c r="B2707" s="1">
        <f ca="1">IFERROR(__xludf.DUMMYFUNCTION("""COMPUTED_VALUE"""),26.04)</f>
        <v>26.04</v>
      </c>
    </row>
    <row r="2708" spans="1:2">
      <c r="A2708" s="3">
        <f ca="1">IFERROR(__xludf.DUMMYFUNCTION("""COMPUTED_VALUE"""),42279.6666666666)</f>
        <v>42279.666666666599</v>
      </c>
      <c r="B2708" s="1">
        <f ca="1">IFERROR(__xludf.DUMMYFUNCTION("""COMPUTED_VALUE"""),26.63)</f>
        <v>26.63</v>
      </c>
    </row>
    <row r="2709" spans="1:2">
      <c r="A2709" s="3">
        <f ca="1">IFERROR(__xludf.DUMMYFUNCTION("""COMPUTED_VALUE"""),42282.6666666666)</f>
        <v>42282.666666666599</v>
      </c>
      <c r="B2709" s="1">
        <f ca="1">IFERROR(__xludf.DUMMYFUNCTION("""COMPUTED_VALUE"""),27.18)</f>
        <v>27.18</v>
      </c>
    </row>
    <row r="2710" spans="1:2">
      <c r="A2710" s="3">
        <f ca="1">IFERROR(__xludf.DUMMYFUNCTION("""COMPUTED_VALUE"""),42283.6666666666)</f>
        <v>42283.666666666599</v>
      </c>
      <c r="B2710" s="1">
        <f ca="1">IFERROR(__xludf.DUMMYFUNCTION("""COMPUTED_VALUE"""),26.87)</f>
        <v>26.87</v>
      </c>
    </row>
    <row r="2711" spans="1:2">
      <c r="A2711" s="3">
        <f ca="1">IFERROR(__xludf.DUMMYFUNCTION("""COMPUTED_VALUE"""),42284.6666666666)</f>
        <v>42284.666666666599</v>
      </c>
      <c r="B2711" s="1">
        <f ca="1">IFERROR(__xludf.DUMMYFUNCTION("""COMPUTED_VALUE"""),27.1)</f>
        <v>27.1</v>
      </c>
    </row>
    <row r="2712" spans="1:2">
      <c r="A2712" s="3">
        <f ca="1">IFERROR(__xludf.DUMMYFUNCTION("""COMPUTED_VALUE"""),42285.6666666666)</f>
        <v>42285.666666666599</v>
      </c>
      <c r="B2712" s="1">
        <f ca="1">IFERROR(__xludf.DUMMYFUNCTION("""COMPUTED_VALUE"""),26.66)</f>
        <v>26.66</v>
      </c>
    </row>
    <row r="2713" spans="1:2">
      <c r="A2713" s="3">
        <f ca="1">IFERROR(__xludf.DUMMYFUNCTION("""COMPUTED_VALUE"""),42286.6666666666)</f>
        <v>42286.666666666599</v>
      </c>
      <c r="B2713" s="1">
        <f ca="1">IFERROR(__xludf.DUMMYFUNCTION("""COMPUTED_VALUE"""),26.99)</f>
        <v>26.99</v>
      </c>
    </row>
    <row r="2714" spans="1:2">
      <c r="A2714" s="3">
        <f ca="1">IFERROR(__xludf.DUMMYFUNCTION("""COMPUTED_VALUE"""),42289.6666666666)</f>
        <v>42289.666666666599</v>
      </c>
      <c r="B2714" s="1">
        <f ca="1">IFERROR(__xludf.DUMMYFUNCTION("""COMPUTED_VALUE"""),27.51)</f>
        <v>27.51</v>
      </c>
    </row>
    <row r="2715" spans="1:2">
      <c r="A2715" s="3">
        <f ca="1">IFERROR(__xludf.DUMMYFUNCTION("""COMPUTED_VALUE"""),42290.6666666666)</f>
        <v>42290.666666666599</v>
      </c>
      <c r="B2715" s="1">
        <f ca="1">IFERROR(__xludf.DUMMYFUNCTION("""COMPUTED_VALUE"""),27.45)</f>
        <v>27.45</v>
      </c>
    </row>
    <row r="2716" spans="1:2">
      <c r="A2716" s="3">
        <f ca="1">IFERROR(__xludf.DUMMYFUNCTION("""COMPUTED_VALUE"""),42291.6666666666)</f>
        <v>42291.666666666599</v>
      </c>
      <c r="B2716" s="1">
        <f ca="1">IFERROR(__xludf.DUMMYFUNCTION("""COMPUTED_VALUE"""),27.24)</f>
        <v>27.24</v>
      </c>
    </row>
    <row r="2717" spans="1:2">
      <c r="A2717" s="3">
        <f ca="1">IFERROR(__xludf.DUMMYFUNCTION("""COMPUTED_VALUE"""),42292.6666666666)</f>
        <v>42292.666666666599</v>
      </c>
      <c r="B2717" s="1">
        <f ca="1">IFERROR(__xludf.DUMMYFUNCTION("""COMPUTED_VALUE"""),28.12)</f>
        <v>28.12</v>
      </c>
    </row>
    <row r="2718" spans="1:2">
      <c r="A2718" s="3">
        <f ca="1">IFERROR(__xludf.DUMMYFUNCTION("""COMPUTED_VALUE"""),42293.6666666666)</f>
        <v>42293.666666666599</v>
      </c>
      <c r="B2718" s="1">
        <f ca="1">IFERROR(__xludf.DUMMYFUNCTION("""COMPUTED_VALUE"""),28.54)</f>
        <v>28.54</v>
      </c>
    </row>
    <row r="2719" spans="1:2">
      <c r="A2719" s="3">
        <f ca="1">IFERROR(__xludf.DUMMYFUNCTION("""COMPUTED_VALUE"""),42296.6666666666)</f>
        <v>42296.666666666599</v>
      </c>
      <c r="B2719" s="1">
        <f ca="1">IFERROR(__xludf.DUMMYFUNCTION("""COMPUTED_VALUE"""),28.66)</f>
        <v>28.66</v>
      </c>
    </row>
    <row r="2720" spans="1:2">
      <c r="A2720" s="3">
        <f ca="1">IFERROR(__xludf.DUMMYFUNCTION("""COMPUTED_VALUE"""),42297.6666666666)</f>
        <v>42297.666666666599</v>
      </c>
      <c r="B2720" s="1">
        <f ca="1">IFERROR(__xludf.DUMMYFUNCTION("""COMPUTED_VALUE"""),28.04)</f>
        <v>28.04</v>
      </c>
    </row>
    <row r="2721" spans="1:2">
      <c r="A2721" s="3">
        <f ca="1">IFERROR(__xludf.DUMMYFUNCTION("""COMPUTED_VALUE"""),42298.6666666666)</f>
        <v>42298.666666666599</v>
      </c>
      <c r="B2721" s="1">
        <f ca="1">IFERROR(__xludf.DUMMYFUNCTION("""COMPUTED_VALUE"""),27.79)</f>
        <v>27.79</v>
      </c>
    </row>
    <row r="2722" spans="1:2">
      <c r="A2722" s="3">
        <f ca="1">IFERROR(__xludf.DUMMYFUNCTION("""COMPUTED_VALUE"""),42299.6666666666)</f>
        <v>42299.666666666599</v>
      </c>
      <c r="B2722" s="1">
        <f ca="1">IFERROR(__xludf.DUMMYFUNCTION("""COMPUTED_VALUE"""),28.2)</f>
        <v>28.2</v>
      </c>
    </row>
    <row r="2723" spans="1:2">
      <c r="A2723" s="3">
        <f ca="1">IFERROR(__xludf.DUMMYFUNCTION("""COMPUTED_VALUE"""),42300.6666666666)</f>
        <v>42300.666666666599</v>
      </c>
      <c r="B2723" s="1">
        <f ca="1">IFERROR(__xludf.DUMMYFUNCTION("""COMPUTED_VALUE"""),29.95)</f>
        <v>29.95</v>
      </c>
    </row>
    <row r="2724" spans="1:2">
      <c r="A2724" s="3">
        <f ca="1">IFERROR(__xludf.DUMMYFUNCTION("""COMPUTED_VALUE"""),42303.6666666666)</f>
        <v>42303.666666666599</v>
      </c>
      <c r="B2724" s="1">
        <f ca="1">IFERROR(__xludf.DUMMYFUNCTION("""COMPUTED_VALUE"""),30.43)</f>
        <v>30.43</v>
      </c>
    </row>
    <row r="2725" spans="1:2">
      <c r="A2725" s="3">
        <f ca="1">IFERROR(__xludf.DUMMYFUNCTION("""COMPUTED_VALUE"""),42304.6666666666)</f>
        <v>42304.666666666599</v>
      </c>
      <c r="B2725" s="1">
        <f ca="1">IFERROR(__xludf.DUMMYFUNCTION("""COMPUTED_VALUE"""),30.55)</f>
        <v>30.55</v>
      </c>
    </row>
    <row r="2726" spans="1:2">
      <c r="A2726" s="3">
        <f ca="1">IFERROR(__xludf.DUMMYFUNCTION("""COMPUTED_VALUE"""),42305.6666666666)</f>
        <v>42305.666666666599</v>
      </c>
      <c r="B2726" s="1">
        <f ca="1">IFERROR(__xludf.DUMMYFUNCTION("""COMPUTED_VALUE"""),30.86)</f>
        <v>30.86</v>
      </c>
    </row>
    <row r="2727" spans="1:2">
      <c r="A2727" s="3">
        <f ca="1">IFERROR(__xludf.DUMMYFUNCTION("""COMPUTED_VALUE"""),42306.6666666666)</f>
        <v>42306.666666666599</v>
      </c>
      <c r="B2727" s="1">
        <f ca="1">IFERROR(__xludf.DUMMYFUNCTION("""COMPUTED_VALUE"""),31.33)</f>
        <v>31.33</v>
      </c>
    </row>
    <row r="2728" spans="1:2">
      <c r="A2728" s="3">
        <f ca="1">IFERROR(__xludf.DUMMYFUNCTION("""COMPUTED_VALUE"""),42307.6666666666)</f>
        <v>42307.666666666599</v>
      </c>
      <c r="B2728" s="1">
        <f ca="1">IFERROR(__xludf.DUMMYFUNCTION("""COMPUTED_VALUE"""),31.3)</f>
        <v>31.3</v>
      </c>
    </row>
    <row r="2729" spans="1:2">
      <c r="A2729" s="3">
        <f ca="1">IFERROR(__xludf.DUMMYFUNCTION("""COMPUTED_VALUE"""),42310.6666666666)</f>
        <v>42310.666666666599</v>
      </c>
      <c r="B2729" s="1">
        <f ca="1">IFERROR(__xludf.DUMMYFUNCTION("""COMPUTED_VALUE"""),31.42)</f>
        <v>31.42</v>
      </c>
    </row>
    <row r="2730" spans="1:2">
      <c r="A2730" s="3">
        <f ca="1">IFERROR(__xludf.DUMMYFUNCTION("""COMPUTED_VALUE"""),42311.6666666666)</f>
        <v>42311.666666666599</v>
      </c>
      <c r="B2730" s="1">
        <f ca="1">IFERROR(__xludf.DUMMYFUNCTION("""COMPUTED_VALUE"""),31.27)</f>
        <v>31.27</v>
      </c>
    </row>
    <row r="2731" spans="1:2">
      <c r="A2731" s="3">
        <f ca="1">IFERROR(__xludf.DUMMYFUNCTION("""COMPUTED_VALUE"""),42312.6666666666)</f>
        <v>42312.666666666599</v>
      </c>
      <c r="B2731" s="1">
        <f ca="1">IFERROR(__xludf.DUMMYFUNCTION("""COMPUTED_VALUE"""),32.05)</f>
        <v>32.049999999999997</v>
      </c>
    </row>
    <row r="2732" spans="1:2">
      <c r="A2732" s="3">
        <f ca="1">IFERROR(__xludf.DUMMYFUNCTION("""COMPUTED_VALUE"""),42313.6666666666)</f>
        <v>42313.666666666599</v>
      </c>
      <c r="B2732" s="1">
        <f ca="1">IFERROR(__xludf.DUMMYFUNCTION("""COMPUTED_VALUE"""),32.78)</f>
        <v>32.78</v>
      </c>
    </row>
    <row r="2733" spans="1:2">
      <c r="A2733" s="3">
        <f ca="1">IFERROR(__xludf.DUMMYFUNCTION("""COMPUTED_VALUE"""),42314.6666666666)</f>
        <v>42314.666666666599</v>
      </c>
      <c r="B2733" s="1">
        <f ca="1">IFERROR(__xludf.DUMMYFUNCTION("""COMPUTED_VALUE"""),32.97)</f>
        <v>32.97</v>
      </c>
    </row>
    <row r="2734" spans="1:2">
      <c r="A2734" s="3">
        <f ca="1">IFERROR(__xludf.DUMMYFUNCTION("""COMPUTED_VALUE"""),42317.6666666666)</f>
        <v>42317.666666666599</v>
      </c>
      <c r="B2734" s="1">
        <f ca="1">IFERROR(__xludf.DUMMYFUNCTION("""COMPUTED_VALUE"""),32.77)</f>
        <v>32.770000000000003</v>
      </c>
    </row>
    <row r="2735" spans="1:2">
      <c r="A2735" s="3">
        <f ca="1">IFERROR(__xludf.DUMMYFUNCTION("""COMPUTED_VALUE"""),42318.6666666666)</f>
        <v>42318.666666666599</v>
      </c>
      <c r="B2735" s="1">
        <f ca="1">IFERROR(__xludf.DUMMYFUNCTION("""COMPUTED_VALUE"""),32.98)</f>
        <v>32.979999999999997</v>
      </c>
    </row>
    <row r="2736" spans="1:2">
      <c r="A2736" s="3">
        <f ca="1">IFERROR(__xludf.DUMMYFUNCTION("""COMPUTED_VALUE"""),42319.6666666666)</f>
        <v>42319.666666666599</v>
      </c>
      <c r="B2736" s="1">
        <f ca="1">IFERROR(__xludf.DUMMYFUNCTION("""COMPUTED_VALUE"""),33.66)</f>
        <v>33.659999999999997</v>
      </c>
    </row>
    <row r="2737" spans="1:2">
      <c r="A2737" s="3">
        <f ca="1">IFERROR(__xludf.DUMMYFUNCTION("""COMPUTED_VALUE"""),42320.6666666666)</f>
        <v>42320.666666666599</v>
      </c>
      <c r="B2737" s="1">
        <f ca="1">IFERROR(__xludf.DUMMYFUNCTION("""COMPUTED_VALUE"""),33.28)</f>
        <v>33.28</v>
      </c>
    </row>
    <row r="2738" spans="1:2">
      <c r="A2738" s="3">
        <f ca="1">IFERROR(__xludf.DUMMYFUNCTION("""COMPUTED_VALUE"""),42321.6666666666)</f>
        <v>42321.666666666599</v>
      </c>
      <c r="B2738" s="1">
        <f ca="1">IFERROR(__xludf.DUMMYFUNCTION("""COMPUTED_VALUE"""),32.12)</f>
        <v>32.119999999999997</v>
      </c>
    </row>
    <row r="2739" spans="1:2">
      <c r="A2739" s="3">
        <f ca="1">IFERROR(__xludf.DUMMYFUNCTION("""COMPUTED_VALUE"""),42324.6666666666)</f>
        <v>42324.666666666599</v>
      </c>
      <c r="B2739" s="1">
        <f ca="1">IFERROR(__xludf.DUMMYFUNCTION("""COMPUTED_VALUE"""),32.39)</f>
        <v>32.39</v>
      </c>
    </row>
    <row r="2740" spans="1:2">
      <c r="A2740" s="3">
        <f ca="1">IFERROR(__xludf.DUMMYFUNCTION("""COMPUTED_VALUE"""),42325.6666666666)</f>
        <v>42325.666666666599</v>
      </c>
      <c r="B2740" s="1">
        <f ca="1">IFERROR(__xludf.DUMMYFUNCTION("""COMPUTED_VALUE"""),32.17)</f>
        <v>32.17</v>
      </c>
    </row>
    <row r="2741" spans="1:2">
      <c r="A2741" s="3">
        <f ca="1">IFERROR(__xludf.DUMMYFUNCTION("""COMPUTED_VALUE"""),42326.6666666666)</f>
        <v>42326.666666666599</v>
      </c>
      <c r="B2741" s="1">
        <f ca="1">IFERROR(__xludf.DUMMYFUNCTION("""COMPUTED_VALUE"""),33.18)</f>
        <v>33.18</v>
      </c>
    </row>
    <row r="2742" spans="1:2">
      <c r="A2742" s="3">
        <f ca="1">IFERROR(__xludf.DUMMYFUNCTION("""COMPUTED_VALUE"""),42327.6666666666)</f>
        <v>42327.666666666599</v>
      </c>
      <c r="B2742" s="1">
        <f ca="1">IFERROR(__xludf.DUMMYFUNCTION("""COMPUTED_VALUE"""),33.06)</f>
        <v>33.06</v>
      </c>
    </row>
    <row r="2743" spans="1:2">
      <c r="A2743" s="3">
        <f ca="1">IFERROR(__xludf.DUMMYFUNCTION("""COMPUTED_VALUE"""),42328.6666666666)</f>
        <v>42328.666666666599</v>
      </c>
      <c r="B2743" s="1">
        <f ca="1">IFERROR(__xludf.DUMMYFUNCTION("""COMPUTED_VALUE"""),33.42)</f>
        <v>33.42</v>
      </c>
    </row>
    <row r="2744" spans="1:2">
      <c r="A2744" s="3">
        <f ca="1">IFERROR(__xludf.DUMMYFUNCTION("""COMPUTED_VALUE"""),42331.6666666666)</f>
        <v>42331.666666666599</v>
      </c>
      <c r="B2744" s="1">
        <f ca="1">IFERROR(__xludf.DUMMYFUNCTION("""COMPUTED_VALUE"""),33.95)</f>
        <v>33.950000000000003</v>
      </c>
    </row>
    <row r="2745" spans="1:2">
      <c r="A2745" s="3">
        <f ca="1">IFERROR(__xludf.DUMMYFUNCTION("""COMPUTED_VALUE"""),42332.6666666666)</f>
        <v>42332.666666666599</v>
      </c>
      <c r="B2745" s="1">
        <f ca="1">IFERROR(__xludf.DUMMYFUNCTION("""COMPUTED_VALUE"""),33.56)</f>
        <v>33.56</v>
      </c>
    </row>
    <row r="2746" spans="1:2">
      <c r="A2746" s="3">
        <f ca="1">IFERROR(__xludf.DUMMYFUNCTION("""COMPUTED_VALUE"""),42333.6666666666)</f>
        <v>42333.666666666599</v>
      </c>
      <c r="B2746" s="1">
        <f ca="1">IFERROR(__xludf.DUMMYFUNCTION("""COMPUTED_VALUE"""),33.77)</f>
        <v>33.770000000000003</v>
      </c>
    </row>
    <row r="2747" spans="1:2">
      <c r="A2747" s="3">
        <f ca="1">IFERROR(__xludf.DUMMYFUNCTION("""COMPUTED_VALUE"""),42335.6666666666)</f>
        <v>42335.666666666599</v>
      </c>
      <c r="B2747" s="1">
        <f ca="1">IFERROR(__xludf.DUMMYFUNCTION("""COMPUTED_VALUE"""),33.66)</f>
        <v>33.659999999999997</v>
      </c>
    </row>
    <row r="2748" spans="1:2">
      <c r="A2748" s="3">
        <f ca="1">IFERROR(__xludf.DUMMYFUNCTION("""COMPUTED_VALUE"""),42338.6666666666)</f>
        <v>42338.666666666599</v>
      </c>
      <c r="B2748" s="1">
        <f ca="1">IFERROR(__xludf.DUMMYFUNCTION("""COMPUTED_VALUE"""),33.24)</f>
        <v>33.24</v>
      </c>
    </row>
    <row r="2749" spans="1:2">
      <c r="A2749" s="3">
        <f ca="1">IFERROR(__xludf.DUMMYFUNCTION("""COMPUTED_VALUE"""),42339.6666666666)</f>
        <v>42339.666666666599</v>
      </c>
      <c r="B2749" s="1">
        <f ca="1">IFERROR(__xludf.DUMMYFUNCTION("""COMPUTED_VALUE"""),33.95)</f>
        <v>33.950000000000003</v>
      </c>
    </row>
    <row r="2750" spans="1:2">
      <c r="A2750" s="3">
        <f ca="1">IFERROR(__xludf.DUMMYFUNCTION("""COMPUTED_VALUE"""),42340.6666666666)</f>
        <v>42340.666666666599</v>
      </c>
      <c r="B2750" s="1">
        <f ca="1">IFERROR(__xludf.DUMMYFUNCTION("""COMPUTED_VALUE"""),33.8)</f>
        <v>33.799999999999997</v>
      </c>
    </row>
    <row r="2751" spans="1:2">
      <c r="A2751" s="3">
        <f ca="1">IFERROR(__xludf.DUMMYFUNCTION("""COMPUTED_VALUE"""),42341.6666666666)</f>
        <v>42341.666666666599</v>
      </c>
      <c r="B2751" s="1">
        <f ca="1">IFERROR(__xludf.DUMMYFUNCTION("""COMPUTED_VALUE"""),33.31)</f>
        <v>33.31</v>
      </c>
    </row>
    <row r="2752" spans="1:2">
      <c r="A2752" s="3">
        <f ca="1">IFERROR(__xludf.DUMMYFUNCTION("""COMPUTED_VALUE"""),42342.6666666666)</f>
        <v>42342.666666666599</v>
      </c>
      <c r="B2752" s="1">
        <f ca="1">IFERROR(__xludf.DUMMYFUNCTION("""COMPUTED_VALUE"""),33.63)</f>
        <v>33.630000000000003</v>
      </c>
    </row>
    <row r="2753" spans="1:2">
      <c r="A2753" s="3">
        <f ca="1">IFERROR(__xludf.DUMMYFUNCTION("""COMPUTED_VALUE"""),42345.6666666666)</f>
        <v>42345.666666666599</v>
      </c>
      <c r="B2753" s="1">
        <f ca="1">IFERROR(__xludf.DUMMYFUNCTION("""COMPUTED_VALUE"""),33.49)</f>
        <v>33.49</v>
      </c>
    </row>
    <row r="2754" spans="1:2">
      <c r="A2754" s="3">
        <f ca="1">IFERROR(__xludf.DUMMYFUNCTION("""COMPUTED_VALUE"""),42346.6666666666)</f>
        <v>42346.666666666599</v>
      </c>
      <c r="B2754" s="1">
        <f ca="1">IFERROR(__xludf.DUMMYFUNCTION("""COMPUTED_VALUE"""),33.87)</f>
        <v>33.869999999999997</v>
      </c>
    </row>
    <row r="2755" spans="1:2">
      <c r="A2755" s="3">
        <f ca="1">IFERROR(__xludf.DUMMYFUNCTION("""COMPUTED_VALUE"""),42347.6666666666)</f>
        <v>42347.666666666599</v>
      </c>
      <c r="B2755" s="1">
        <f ca="1">IFERROR(__xludf.DUMMYFUNCTION("""COMPUTED_VALUE"""),33.24)</f>
        <v>33.24</v>
      </c>
    </row>
    <row r="2756" spans="1:2">
      <c r="A2756" s="3">
        <f ca="1">IFERROR(__xludf.DUMMYFUNCTION("""COMPUTED_VALUE"""),42348.6666666666)</f>
        <v>42348.666666666599</v>
      </c>
      <c r="B2756" s="1">
        <f ca="1">IFERROR(__xludf.DUMMYFUNCTION("""COMPUTED_VALUE"""),33.12)</f>
        <v>33.119999999999997</v>
      </c>
    </row>
    <row r="2757" spans="1:2">
      <c r="A2757" s="3">
        <f ca="1">IFERROR(__xludf.DUMMYFUNCTION("""COMPUTED_VALUE"""),42349.6666666666)</f>
        <v>42349.666666666599</v>
      </c>
      <c r="B2757" s="1">
        <f ca="1">IFERROR(__xludf.DUMMYFUNCTION("""COMPUTED_VALUE"""),32.01)</f>
        <v>32.01</v>
      </c>
    </row>
    <row r="2758" spans="1:2">
      <c r="A2758" s="3">
        <f ca="1">IFERROR(__xludf.DUMMYFUNCTION("""COMPUTED_VALUE"""),42352.6666666666)</f>
        <v>42352.666666666599</v>
      </c>
      <c r="B2758" s="1">
        <f ca="1">IFERROR(__xludf.DUMMYFUNCTION("""COMPUTED_VALUE"""),32.9)</f>
        <v>32.9</v>
      </c>
    </row>
    <row r="2759" spans="1:2">
      <c r="A2759" s="3">
        <f ca="1">IFERROR(__xludf.DUMMYFUNCTION("""COMPUTED_VALUE"""),42353.6666666666)</f>
        <v>42353.666666666599</v>
      </c>
      <c r="B2759" s="1">
        <f ca="1">IFERROR(__xludf.DUMMYFUNCTION("""COMPUTED_VALUE"""),32.93)</f>
        <v>32.93</v>
      </c>
    </row>
    <row r="2760" spans="1:2">
      <c r="A2760" s="3">
        <f ca="1">IFERROR(__xludf.DUMMYFUNCTION("""COMPUTED_VALUE"""),42354.6666666666)</f>
        <v>42354.666666666599</v>
      </c>
      <c r="B2760" s="1">
        <f ca="1">IFERROR(__xludf.DUMMYFUNCTION("""COMPUTED_VALUE"""),33.79)</f>
        <v>33.79</v>
      </c>
    </row>
    <row r="2761" spans="1:2">
      <c r="A2761" s="3">
        <f ca="1">IFERROR(__xludf.DUMMYFUNCTION("""COMPUTED_VALUE"""),42355.6666666666)</f>
        <v>42355.666666666599</v>
      </c>
      <c r="B2761" s="1">
        <f ca="1">IFERROR(__xludf.DUMMYFUNCTION("""COMPUTED_VALUE"""),33.53)</f>
        <v>33.53</v>
      </c>
    </row>
    <row r="2762" spans="1:2">
      <c r="A2762" s="3">
        <f ca="1">IFERROR(__xludf.DUMMYFUNCTION("""COMPUTED_VALUE"""),42356.6666666666)</f>
        <v>42356.666666666599</v>
      </c>
      <c r="B2762" s="1">
        <f ca="1">IFERROR(__xludf.DUMMYFUNCTION("""COMPUTED_VALUE"""),33.21)</f>
        <v>33.21</v>
      </c>
    </row>
    <row r="2763" spans="1:2">
      <c r="A2763" s="3">
        <f ca="1">IFERROR(__xludf.DUMMYFUNCTION("""COMPUTED_VALUE"""),42359.6666666666)</f>
        <v>42359.666666666599</v>
      </c>
      <c r="B2763" s="1">
        <f ca="1">IFERROR(__xludf.DUMMYFUNCTION("""COMPUTED_VALUE"""),33.23)</f>
        <v>33.229999999999997</v>
      </c>
    </row>
    <row r="2764" spans="1:2">
      <c r="A2764" s="3">
        <f ca="1">IFERROR(__xludf.DUMMYFUNCTION("""COMPUTED_VALUE"""),42360.6666666666)</f>
        <v>42360.666666666599</v>
      </c>
      <c r="B2764" s="1">
        <f ca="1">IFERROR(__xludf.DUMMYFUNCTION("""COMPUTED_VALUE"""),33.16)</f>
        <v>33.159999999999997</v>
      </c>
    </row>
    <row r="2765" spans="1:2">
      <c r="A2765" s="3">
        <f ca="1">IFERROR(__xludf.DUMMYFUNCTION("""COMPUTED_VALUE"""),42361.6666666666)</f>
        <v>42361.666666666599</v>
      </c>
      <c r="B2765" s="1">
        <f ca="1">IFERROR(__xludf.DUMMYFUNCTION("""COMPUTED_VALUE"""),33.19)</f>
        <v>33.19</v>
      </c>
    </row>
    <row r="2766" spans="1:2">
      <c r="A2766" s="3">
        <f ca="1">IFERROR(__xludf.DUMMYFUNCTION("""COMPUTED_VALUE"""),42362.6666666666)</f>
        <v>42362.666666666599</v>
      </c>
      <c r="B2766" s="1">
        <f ca="1">IFERROR(__xludf.DUMMYFUNCTION("""COMPUTED_VALUE"""),33.14)</f>
        <v>33.14</v>
      </c>
    </row>
    <row r="2767" spans="1:2">
      <c r="A2767" s="3">
        <f ca="1">IFERROR(__xludf.DUMMYFUNCTION("""COMPUTED_VALUE"""),42366.6666666666)</f>
        <v>42366.666666666599</v>
      </c>
      <c r="B2767" s="1">
        <f ca="1">IFERROR(__xludf.DUMMYFUNCTION("""COMPUTED_VALUE"""),33.76)</f>
        <v>33.76</v>
      </c>
    </row>
    <row r="2768" spans="1:2">
      <c r="A2768" s="3">
        <f ca="1">IFERROR(__xludf.DUMMYFUNCTION("""COMPUTED_VALUE"""),42367.6666666666)</f>
        <v>42367.666666666599</v>
      </c>
      <c r="B2768" s="1">
        <f ca="1">IFERROR(__xludf.DUMMYFUNCTION("""COMPUTED_VALUE"""),34.7)</f>
        <v>34.700000000000003</v>
      </c>
    </row>
    <row r="2769" spans="1:2">
      <c r="A2769" s="3">
        <f ca="1">IFERROR(__xludf.DUMMYFUNCTION("""COMPUTED_VALUE"""),42368.6666666666)</f>
        <v>42368.666666666599</v>
      </c>
      <c r="B2769" s="1">
        <f ca="1">IFERROR(__xludf.DUMMYFUNCTION("""COMPUTED_VALUE"""),34.45)</f>
        <v>34.450000000000003</v>
      </c>
    </row>
    <row r="2770" spans="1:2">
      <c r="A2770" s="3">
        <f ca="1">IFERROR(__xludf.DUMMYFUNCTION("""COMPUTED_VALUE"""),42369.6666666666)</f>
        <v>42369.666666666599</v>
      </c>
      <c r="B2770" s="1">
        <f ca="1">IFERROR(__xludf.DUMMYFUNCTION("""COMPUTED_VALUE"""),33.79)</f>
        <v>33.79</v>
      </c>
    </row>
    <row r="2771" spans="1:2">
      <c r="A2771" s="3">
        <f ca="1">IFERROR(__xludf.DUMMYFUNCTION("""COMPUTED_VALUE"""),42373.6666666666)</f>
        <v>42373.666666666599</v>
      </c>
      <c r="B2771" s="1">
        <f ca="1">IFERROR(__xludf.DUMMYFUNCTION("""COMPUTED_VALUE"""),31.85)</f>
        <v>31.85</v>
      </c>
    </row>
    <row r="2772" spans="1:2">
      <c r="A2772" s="3">
        <f ca="1">IFERROR(__xludf.DUMMYFUNCTION("""COMPUTED_VALUE"""),42374.6666666666)</f>
        <v>42374.666666666599</v>
      </c>
      <c r="B2772" s="1">
        <f ca="1">IFERROR(__xludf.DUMMYFUNCTION("""COMPUTED_VALUE"""),31.69)</f>
        <v>31.69</v>
      </c>
    </row>
    <row r="2773" spans="1:2">
      <c r="A2773" s="3">
        <f ca="1">IFERROR(__xludf.DUMMYFUNCTION("""COMPUTED_VALUE"""),42375.6666666666)</f>
        <v>42375.666666666599</v>
      </c>
      <c r="B2773" s="1">
        <f ca="1">IFERROR(__xludf.DUMMYFUNCTION("""COMPUTED_VALUE"""),31.63)</f>
        <v>31.63</v>
      </c>
    </row>
    <row r="2774" spans="1:2">
      <c r="A2774" s="3">
        <f ca="1">IFERROR(__xludf.DUMMYFUNCTION("""COMPUTED_VALUE"""),42376.6666666666)</f>
        <v>42376.666666666599</v>
      </c>
      <c r="B2774" s="1">
        <f ca="1">IFERROR(__xludf.DUMMYFUNCTION("""COMPUTED_VALUE"""),30.4)</f>
        <v>30.4</v>
      </c>
    </row>
    <row r="2775" spans="1:2">
      <c r="A2775" s="3">
        <f ca="1">IFERROR(__xludf.DUMMYFUNCTION("""COMPUTED_VALUE"""),42377.6666666666)</f>
        <v>42377.666666666599</v>
      </c>
      <c r="B2775" s="1">
        <f ca="1">IFERROR(__xludf.DUMMYFUNCTION("""COMPUTED_VALUE"""),30.35)</f>
        <v>30.35</v>
      </c>
    </row>
    <row r="2776" spans="1:2">
      <c r="A2776" s="3">
        <f ca="1">IFERROR(__xludf.DUMMYFUNCTION("""COMPUTED_VALUE"""),42380.6666666666)</f>
        <v>42380.666666666599</v>
      </c>
      <c r="B2776" s="1">
        <f ca="1">IFERROR(__xludf.DUMMYFUNCTION("""COMPUTED_VALUE"""),30.89)</f>
        <v>30.89</v>
      </c>
    </row>
    <row r="2777" spans="1:2">
      <c r="A2777" s="3">
        <f ca="1">IFERROR(__xludf.DUMMYFUNCTION("""COMPUTED_VALUE"""),42381.6666666666)</f>
        <v>42381.666666666599</v>
      </c>
      <c r="B2777" s="1">
        <f ca="1">IFERROR(__xludf.DUMMYFUNCTION("""COMPUTED_VALUE"""),30.89)</f>
        <v>30.89</v>
      </c>
    </row>
    <row r="2778" spans="1:2">
      <c r="A2778" s="3">
        <f ca="1">IFERROR(__xludf.DUMMYFUNCTION("""COMPUTED_VALUE"""),42382.6666666666)</f>
        <v>42382.666666666599</v>
      </c>
      <c r="B2778" s="1">
        <f ca="1">IFERROR(__xludf.DUMMYFUNCTION("""COMPUTED_VALUE"""),29.09)</f>
        <v>29.09</v>
      </c>
    </row>
    <row r="2779" spans="1:2">
      <c r="A2779" s="3">
        <f ca="1">IFERROR(__xludf.DUMMYFUNCTION("""COMPUTED_VALUE"""),42383.6666666666)</f>
        <v>42383.666666666599</v>
      </c>
      <c r="B2779" s="1">
        <f ca="1">IFERROR(__xludf.DUMMYFUNCTION("""COMPUTED_VALUE"""),29.65)</f>
        <v>29.65</v>
      </c>
    </row>
    <row r="2780" spans="1:2">
      <c r="A2780" s="3">
        <f ca="1">IFERROR(__xludf.DUMMYFUNCTION("""COMPUTED_VALUE"""),42384.6666666666)</f>
        <v>42384.666666666599</v>
      </c>
      <c r="B2780" s="1">
        <f ca="1">IFERROR(__xludf.DUMMYFUNCTION("""COMPUTED_VALUE"""),28.51)</f>
        <v>28.51</v>
      </c>
    </row>
    <row r="2781" spans="1:2">
      <c r="A2781" s="3">
        <f ca="1">IFERROR(__xludf.DUMMYFUNCTION("""COMPUTED_VALUE"""),42388.6666666666)</f>
        <v>42388.666666666599</v>
      </c>
      <c r="B2781" s="1">
        <f ca="1">IFERROR(__xludf.DUMMYFUNCTION("""COMPUTED_VALUE"""),28.72)</f>
        <v>28.72</v>
      </c>
    </row>
    <row r="2782" spans="1:2">
      <c r="A2782" s="3">
        <f ca="1">IFERROR(__xludf.DUMMYFUNCTION("""COMPUTED_VALUE"""),42389.6666666666)</f>
        <v>42389.666666666599</v>
      </c>
      <c r="B2782" s="1">
        <f ca="1">IFERROR(__xludf.DUMMYFUNCTION("""COMPUTED_VALUE"""),28.59)</f>
        <v>28.59</v>
      </c>
    </row>
    <row r="2783" spans="1:2">
      <c r="A2783" s="3">
        <f ca="1">IFERROR(__xludf.DUMMYFUNCTION("""COMPUTED_VALUE"""),42390.6666666666)</f>
        <v>42390.666666666599</v>
      </c>
      <c r="B2783" s="1">
        <f ca="1">IFERROR(__xludf.DUMMYFUNCTION("""COMPUTED_VALUE"""),28.75)</f>
        <v>28.75</v>
      </c>
    </row>
    <row r="2784" spans="1:2">
      <c r="A2784" s="3">
        <f ca="1">IFERROR(__xludf.DUMMYFUNCTION("""COMPUTED_VALUE"""),42391.6666666666)</f>
        <v>42391.666666666599</v>
      </c>
      <c r="B2784" s="1">
        <f ca="1">IFERROR(__xludf.DUMMYFUNCTION("""COMPUTED_VALUE"""),29.82)</f>
        <v>29.82</v>
      </c>
    </row>
    <row r="2785" spans="1:2">
      <c r="A2785" s="3">
        <f ca="1">IFERROR(__xludf.DUMMYFUNCTION("""COMPUTED_VALUE"""),42394.6666666666)</f>
        <v>42394.666666666599</v>
      </c>
      <c r="B2785" s="1">
        <f ca="1">IFERROR(__xludf.DUMMYFUNCTION("""COMPUTED_VALUE"""),29.83)</f>
        <v>29.83</v>
      </c>
    </row>
    <row r="2786" spans="1:2">
      <c r="A2786" s="3">
        <f ca="1">IFERROR(__xludf.DUMMYFUNCTION("""COMPUTED_VALUE"""),42395.6666666666)</f>
        <v>42395.666666666599</v>
      </c>
      <c r="B2786" s="1">
        <f ca="1">IFERROR(__xludf.DUMMYFUNCTION("""COMPUTED_VALUE"""),30.06)</f>
        <v>30.06</v>
      </c>
    </row>
    <row r="2787" spans="1:2">
      <c r="A2787" s="3">
        <f ca="1">IFERROR(__xludf.DUMMYFUNCTION("""COMPUTED_VALUE"""),42396.6666666666)</f>
        <v>42396.666666666599</v>
      </c>
      <c r="B2787" s="1">
        <f ca="1">IFERROR(__xludf.DUMMYFUNCTION("""COMPUTED_VALUE"""),29.17)</f>
        <v>29.17</v>
      </c>
    </row>
    <row r="2788" spans="1:2">
      <c r="A2788" s="3">
        <f ca="1">IFERROR(__xludf.DUMMYFUNCTION("""COMPUTED_VALUE"""),42397.6666666666)</f>
        <v>42397.666666666599</v>
      </c>
      <c r="B2788" s="1">
        <f ca="1">IFERROR(__xludf.DUMMYFUNCTION("""COMPUTED_VALUE"""),31.77)</f>
        <v>31.77</v>
      </c>
    </row>
    <row r="2789" spans="1:2">
      <c r="A2789" s="3">
        <f ca="1">IFERROR(__xludf.DUMMYFUNCTION("""COMPUTED_VALUE"""),42398.6666666666)</f>
        <v>42398.666666666599</v>
      </c>
      <c r="B2789" s="1">
        <f ca="1">IFERROR(__xludf.DUMMYFUNCTION("""COMPUTED_VALUE"""),29.35)</f>
        <v>29.35</v>
      </c>
    </row>
    <row r="2790" spans="1:2">
      <c r="A2790" s="3">
        <f ca="1">IFERROR(__xludf.DUMMYFUNCTION("""COMPUTED_VALUE"""),42401.6666666666)</f>
        <v>42401.666666666599</v>
      </c>
      <c r="B2790" s="1">
        <f ca="1">IFERROR(__xludf.DUMMYFUNCTION("""COMPUTED_VALUE"""),28.74)</f>
        <v>28.74</v>
      </c>
    </row>
    <row r="2791" spans="1:2">
      <c r="A2791" s="3">
        <f ca="1">IFERROR(__xludf.DUMMYFUNCTION("""COMPUTED_VALUE"""),42402.6666666666)</f>
        <v>42402.666666666599</v>
      </c>
      <c r="B2791" s="1">
        <f ca="1">IFERROR(__xludf.DUMMYFUNCTION("""COMPUTED_VALUE"""),27.61)</f>
        <v>27.61</v>
      </c>
    </row>
    <row r="2792" spans="1:2">
      <c r="A2792" s="3">
        <f ca="1">IFERROR(__xludf.DUMMYFUNCTION("""COMPUTED_VALUE"""),42403.6666666666)</f>
        <v>42403.666666666599</v>
      </c>
      <c r="B2792" s="1">
        <f ca="1">IFERROR(__xludf.DUMMYFUNCTION("""COMPUTED_VALUE"""),26.55)</f>
        <v>26.55</v>
      </c>
    </row>
    <row r="2793" spans="1:2">
      <c r="A2793" s="3">
        <f ca="1">IFERROR(__xludf.DUMMYFUNCTION("""COMPUTED_VALUE"""),42404.6666666666)</f>
        <v>42404.666666666599</v>
      </c>
      <c r="B2793" s="1">
        <f ca="1">IFERROR(__xludf.DUMMYFUNCTION("""COMPUTED_VALUE"""),26.81)</f>
        <v>26.81</v>
      </c>
    </row>
    <row r="2794" spans="1:2">
      <c r="A2794" s="3">
        <f ca="1">IFERROR(__xludf.DUMMYFUNCTION("""COMPUTED_VALUE"""),42405.6666666666)</f>
        <v>42405.666666666599</v>
      </c>
      <c r="B2794" s="1">
        <f ca="1">IFERROR(__xludf.DUMMYFUNCTION("""COMPUTED_VALUE"""),25.11)</f>
        <v>25.11</v>
      </c>
    </row>
    <row r="2795" spans="1:2">
      <c r="A2795" s="3">
        <f ca="1">IFERROR(__xludf.DUMMYFUNCTION("""COMPUTED_VALUE"""),42408.6666666666)</f>
        <v>42408.666666666599</v>
      </c>
      <c r="B2795" s="1">
        <f ca="1">IFERROR(__xludf.DUMMYFUNCTION("""COMPUTED_VALUE"""),24.41)</f>
        <v>24.41</v>
      </c>
    </row>
    <row r="2796" spans="1:2">
      <c r="A2796" s="3">
        <f ca="1">IFERROR(__xludf.DUMMYFUNCTION("""COMPUTED_VALUE"""),42409.6666666666)</f>
        <v>42409.666666666599</v>
      </c>
      <c r="B2796" s="1">
        <f ca="1">IFERROR(__xludf.DUMMYFUNCTION("""COMPUTED_VALUE"""),24.1)</f>
        <v>24.1</v>
      </c>
    </row>
    <row r="2797" spans="1:2">
      <c r="A2797" s="3">
        <f ca="1">IFERROR(__xludf.DUMMYFUNCTION("""COMPUTED_VALUE"""),42410.6666666666)</f>
        <v>42410.666666666599</v>
      </c>
      <c r="B2797" s="1">
        <f ca="1">IFERROR(__xludf.DUMMYFUNCTION("""COMPUTED_VALUE"""),24.52)</f>
        <v>24.52</v>
      </c>
    </row>
    <row r="2798" spans="1:2">
      <c r="A2798" s="3">
        <f ca="1">IFERROR(__xludf.DUMMYFUNCTION("""COMPUTED_VALUE"""),42411.6666666666)</f>
        <v>42411.666666666599</v>
      </c>
      <c r="B2798" s="1">
        <f ca="1">IFERROR(__xludf.DUMMYFUNCTION("""COMPUTED_VALUE"""),25.19)</f>
        <v>25.19</v>
      </c>
    </row>
    <row r="2799" spans="1:2">
      <c r="A2799" s="3">
        <f ca="1">IFERROR(__xludf.DUMMYFUNCTION("""COMPUTED_VALUE"""),42412.6666666666)</f>
        <v>42412.666666666599</v>
      </c>
      <c r="B2799" s="1">
        <f ca="1">IFERROR(__xludf.DUMMYFUNCTION("""COMPUTED_VALUE"""),25.35)</f>
        <v>25.35</v>
      </c>
    </row>
    <row r="2800" spans="1:2">
      <c r="A2800" s="3">
        <f ca="1">IFERROR(__xludf.DUMMYFUNCTION("""COMPUTED_VALUE"""),42416.6666666666)</f>
        <v>42416.666666666599</v>
      </c>
      <c r="B2800" s="1">
        <f ca="1">IFERROR(__xludf.DUMMYFUNCTION("""COMPUTED_VALUE"""),26.06)</f>
        <v>26.06</v>
      </c>
    </row>
    <row r="2801" spans="1:2">
      <c r="A2801" s="3">
        <f ca="1">IFERROR(__xludf.DUMMYFUNCTION("""COMPUTED_VALUE"""),42417.6666666666)</f>
        <v>42417.666666666599</v>
      </c>
      <c r="B2801" s="1">
        <f ca="1">IFERROR(__xludf.DUMMYFUNCTION("""COMPUTED_VALUE"""),26.71)</f>
        <v>26.71</v>
      </c>
    </row>
    <row r="2802" spans="1:2">
      <c r="A2802" s="3">
        <f ca="1">IFERROR(__xludf.DUMMYFUNCTION("""COMPUTED_VALUE"""),42418.6666666666)</f>
        <v>42418.666666666599</v>
      </c>
      <c r="B2802" s="1">
        <f ca="1">IFERROR(__xludf.DUMMYFUNCTION("""COMPUTED_VALUE"""),26.25)</f>
        <v>26.25</v>
      </c>
    </row>
    <row r="2803" spans="1:2">
      <c r="A2803" s="3">
        <f ca="1">IFERROR(__xludf.DUMMYFUNCTION("""COMPUTED_VALUE"""),42419.6666666666)</f>
        <v>42419.666666666599</v>
      </c>
      <c r="B2803" s="1">
        <f ca="1">IFERROR(__xludf.DUMMYFUNCTION("""COMPUTED_VALUE"""),26.75)</f>
        <v>26.75</v>
      </c>
    </row>
    <row r="2804" spans="1:2">
      <c r="A2804" s="3">
        <f ca="1">IFERROR(__xludf.DUMMYFUNCTION("""COMPUTED_VALUE"""),42422.6666666666)</f>
        <v>42422.666666666599</v>
      </c>
      <c r="B2804" s="1">
        <f ca="1">IFERROR(__xludf.DUMMYFUNCTION("""COMPUTED_VALUE"""),27.98)</f>
        <v>27.98</v>
      </c>
    </row>
    <row r="2805" spans="1:2">
      <c r="A2805" s="3">
        <f ca="1">IFERROR(__xludf.DUMMYFUNCTION("""COMPUTED_VALUE"""),42423.6666666666)</f>
        <v>42423.666666666599</v>
      </c>
      <c r="B2805" s="1">
        <f ca="1">IFERROR(__xludf.DUMMYFUNCTION("""COMPUTED_VALUE"""),27.65)</f>
        <v>27.65</v>
      </c>
    </row>
    <row r="2806" spans="1:2">
      <c r="A2806" s="3">
        <f ca="1">IFERROR(__xludf.DUMMYFUNCTION("""COMPUTED_VALUE"""),42424.6666666666)</f>
        <v>42424.666666666599</v>
      </c>
      <c r="B2806" s="1">
        <f ca="1">IFERROR(__xludf.DUMMYFUNCTION("""COMPUTED_VALUE"""),27.7)</f>
        <v>27.7</v>
      </c>
    </row>
    <row r="2807" spans="1:2">
      <c r="A2807" s="3">
        <f ca="1">IFERROR(__xludf.DUMMYFUNCTION("""COMPUTED_VALUE"""),42425.6666666666)</f>
        <v>42425.666666666599</v>
      </c>
      <c r="B2807" s="1">
        <f ca="1">IFERROR(__xludf.DUMMYFUNCTION("""COMPUTED_VALUE"""),27.76)</f>
        <v>27.76</v>
      </c>
    </row>
    <row r="2808" spans="1:2">
      <c r="A2808" s="3">
        <f ca="1">IFERROR(__xludf.DUMMYFUNCTION("""COMPUTED_VALUE"""),42426.6666666666)</f>
        <v>42426.666666666599</v>
      </c>
      <c r="B2808" s="1">
        <f ca="1">IFERROR(__xludf.DUMMYFUNCTION("""COMPUTED_VALUE"""),27.76)</f>
        <v>27.76</v>
      </c>
    </row>
    <row r="2809" spans="1:2">
      <c r="A2809" s="3">
        <f ca="1">IFERROR(__xludf.DUMMYFUNCTION("""COMPUTED_VALUE"""),42429.6666666666)</f>
        <v>42429.666666666599</v>
      </c>
      <c r="B2809" s="1">
        <f ca="1">IFERROR(__xludf.DUMMYFUNCTION("""COMPUTED_VALUE"""),27.63)</f>
        <v>27.63</v>
      </c>
    </row>
    <row r="2810" spans="1:2">
      <c r="A2810" s="3">
        <f ca="1">IFERROR(__xludf.DUMMYFUNCTION("""COMPUTED_VALUE"""),42430.6666666666)</f>
        <v>42430.666666666599</v>
      </c>
      <c r="B2810" s="1">
        <f ca="1">IFERROR(__xludf.DUMMYFUNCTION("""COMPUTED_VALUE"""),28.95)</f>
        <v>28.95</v>
      </c>
    </row>
    <row r="2811" spans="1:2">
      <c r="A2811" s="3">
        <f ca="1">IFERROR(__xludf.DUMMYFUNCTION("""COMPUTED_VALUE"""),42431.6666666666)</f>
        <v>42431.666666666599</v>
      </c>
      <c r="B2811" s="1">
        <f ca="1">IFERROR(__xludf.DUMMYFUNCTION("""COMPUTED_VALUE"""),29.01)</f>
        <v>29.01</v>
      </c>
    </row>
    <row r="2812" spans="1:2">
      <c r="A2812" s="3">
        <f ca="1">IFERROR(__xludf.DUMMYFUNCTION("""COMPUTED_VALUE"""),42432.6666666666)</f>
        <v>42432.666666666599</v>
      </c>
      <c r="B2812" s="1">
        <f ca="1">IFERROR(__xludf.DUMMYFUNCTION("""COMPUTED_VALUE"""),28.87)</f>
        <v>28.87</v>
      </c>
    </row>
    <row r="2813" spans="1:2">
      <c r="A2813" s="3">
        <f ca="1">IFERROR(__xludf.DUMMYFUNCTION("""COMPUTED_VALUE"""),42433.6666666666)</f>
        <v>42433.666666666599</v>
      </c>
      <c r="B2813" s="1">
        <f ca="1">IFERROR(__xludf.DUMMYFUNCTION("""COMPUTED_VALUE"""),28.76)</f>
        <v>28.76</v>
      </c>
    </row>
    <row r="2814" spans="1:2">
      <c r="A2814" s="3">
        <f ca="1">IFERROR(__xludf.DUMMYFUNCTION("""COMPUTED_VALUE"""),42436.6666666666)</f>
        <v>42436.666666666599</v>
      </c>
      <c r="B2814" s="1">
        <f ca="1">IFERROR(__xludf.DUMMYFUNCTION("""COMPUTED_VALUE"""),28.14)</f>
        <v>28.14</v>
      </c>
    </row>
    <row r="2815" spans="1:2">
      <c r="A2815" s="3">
        <f ca="1">IFERROR(__xludf.DUMMYFUNCTION("""COMPUTED_VALUE"""),42437.6666666666)</f>
        <v>42437.666666666599</v>
      </c>
      <c r="B2815" s="1">
        <f ca="1">IFERROR(__xludf.DUMMYFUNCTION("""COMPUTED_VALUE"""),28.01)</f>
        <v>28.01</v>
      </c>
    </row>
    <row r="2816" spans="1:2">
      <c r="A2816" s="3">
        <f ca="1">IFERROR(__xludf.DUMMYFUNCTION("""COMPUTED_VALUE"""),42438.6666666666)</f>
        <v>42438.666666666599</v>
      </c>
      <c r="B2816" s="1">
        <f ca="1">IFERROR(__xludf.DUMMYFUNCTION("""COMPUTED_VALUE"""),27.97)</f>
        <v>27.97</v>
      </c>
    </row>
    <row r="2817" spans="1:2">
      <c r="A2817" s="3">
        <f ca="1">IFERROR(__xludf.DUMMYFUNCTION("""COMPUTED_VALUE"""),42439.6666666666)</f>
        <v>42439.666666666599</v>
      </c>
      <c r="B2817" s="1">
        <f ca="1">IFERROR(__xludf.DUMMYFUNCTION("""COMPUTED_VALUE"""),27.95)</f>
        <v>27.95</v>
      </c>
    </row>
    <row r="2818" spans="1:2">
      <c r="A2818" s="3">
        <f ca="1">IFERROR(__xludf.DUMMYFUNCTION("""COMPUTED_VALUE"""),42440.6666666666)</f>
        <v>42440.666666666599</v>
      </c>
      <c r="B2818" s="1">
        <f ca="1">IFERROR(__xludf.DUMMYFUNCTION("""COMPUTED_VALUE"""),28.48)</f>
        <v>28.48</v>
      </c>
    </row>
    <row r="2819" spans="1:2">
      <c r="A2819" s="3">
        <f ca="1">IFERROR(__xludf.DUMMYFUNCTION("""COMPUTED_VALUE"""),42443.6666666666)</f>
        <v>42443.666666666599</v>
      </c>
      <c r="B2819" s="1">
        <f ca="1">IFERROR(__xludf.DUMMYFUNCTION("""COMPUTED_VALUE"""),28.67)</f>
        <v>28.67</v>
      </c>
    </row>
    <row r="2820" spans="1:2">
      <c r="A2820" s="3">
        <f ca="1">IFERROR(__xludf.DUMMYFUNCTION("""COMPUTED_VALUE"""),42444.6666666666)</f>
        <v>42444.666666666599</v>
      </c>
      <c r="B2820" s="1">
        <f ca="1">IFERROR(__xludf.DUMMYFUNCTION("""COMPUTED_VALUE"""),28.85)</f>
        <v>28.85</v>
      </c>
    </row>
    <row r="2821" spans="1:2">
      <c r="A2821" s="3">
        <f ca="1">IFERROR(__xludf.DUMMYFUNCTION("""COMPUTED_VALUE"""),42445.6666666666)</f>
        <v>42445.666666666599</v>
      </c>
      <c r="B2821" s="1">
        <f ca="1">IFERROR(__xludf.DUMMYFUNCTION("""COMPUTED_VALUE"""),28.71)</f>
        <v>28.71</v>
      </c>
    </row>
    <row r="2822" spans="1:2">
      <c r="A2822" s="3">
        <f ca="1">IFERROR(__xludf.DUMMYFUNCTION("""COMPUTED_VALUE"""),42446.6666666666)</f>
        <v>42446.666666666599</v>
      </c>
      <c r="B2822" s="1">
        <f ca="1">IFERROR(__xludf.DUMMYFUNCTION("""COMPUTED_VALUE"""),27.97)</f>
        <v>27.97</v>
      </c>
    </row>
    <row r="2823" spans="1:2">
      <c r="A2823" s="3">
        <f ca="1">IFERROR(__xludf.DUMMYFUNCTION("""COMPUTED_VALUE"""),42447.6666666666)</f>
        <v>42447.666666666599</v>
      </c>
      <c r="B2823" s="1">
        <f ca="1">IFERROR(__xludf.DUMMYFUNCTION("""COMPUTED_VALUE"""),27.6)</f>
        <v>27.6</v>
      </c>
    </row>
    <row r="2824" spans="1:2">
      <c r="A2824" s="3">
        <f ca="1">IFERROR(__xludf.DUMMYFUNCTION("""COMPUTED_VALUE"""),42450.6666666666)</f>
        <v>42450.666666666599</v>
      </c>
      <c r="B2824" s="1">
        <f ca="1">IFERROR(__xludf.DUMMYFUNCTION("""COMPUTED_VALUE"""),27.7)</f>
        <v>27.7</v>
      </c>
    </row>
    <row r="2825" spans="1:2">
      <c r="A2825" s="3">
        <f ca="1">IFERROR(__xludf.DUMMYFUNCTION("""COMPUTED_VALUE"""),42451.6666666666)</f>
        <v>42451.666666666599</v>
      </c>
      <c r="B2825" s="1">
        <f ca="1">IFERROR(__xludf.DUMMYFUNCTION("""COMPUTED_VALUE"""),28.02)</f>
        <v>28.02</v>
      </c>
    </row>
    <row r="2826" spans="1:2">
      <c r="A2826" s="3">
        <f ca="1">IFERROR(__xludf.DUMMYFUNCTION("""COMPUTED_VALUE"""),42452.6666666666)</f>
        <v>42452.666666666599</v>
      </c>
      <c r="B2826" s="1">
        <f ca="1">IFERROR(__xludf.DUMMYFUNCTION("""COMPUTED_VALUE"""),28.48)</f>
        <v>28.48</v>
      </c>
    </row>
    <row r="2827" spans="1:2">
      <c r="A2827" s="3">
        <f ca="1">IFERROR(__xludf.DUMMYFUNCTION("""COMPUTED_VALUE"""),42453.6666666666)</f>
        <v>42453.666666666599</v>
      </c>
      <c r="B2827" s="1">
        <f ca="1">IFERROR(__xludf.DUMMYFUNCTION("""COMPUTED_VALUE"""),29.15)</f>
        <v>29.15</v>
      </c>
    </row>
    <row r="2828" spans="1:2">
      <c r="A2828" s="3">
        <f ca="1">IFERROR(__xludf.DUMMYFUNCTION("""COMPUTED_VALUE"""),42457.6666666666)</f>
        <v>42457.666666666599</v>
      </c>
      <c r="B2828" s="1">
        <f ca="1">IFERROR(__xludf.DUMMYFUNCTION("""COMPUTED_VALUE"""),28.99)</f>
        <v>28.99</v>
      </c>
    </row>
    <row r="2829" spans="1:2">
      <c r="A2829" s="3">
        <f ca="1">IFERROR(__xludf.DUMMYFUNCTION("""COMPUTED_VALUE"""),42458.6666666666)</f>
        <v>42458.666666666599</v>
      </c>
      <c r="B2829" s="1">
        <f ca="1">IFERROR(__xludf.DUMMYFUNCTION("""COMPUTED_VALUE"""),29.69)</f>
        <v>29.69</v>
      </c>
    </row>
    <row r="2830" spans="1:2">
      <c r="A2830" s="3">
        <f ca="1">IFERROR(__xludf.DUMMYFUNCTION("""COMPUTED_VALUE"""),42459.6666666666)</f>
        <v>42459.666666666599</v>
      </c>
      <c r="B2830" s="1">
        <f ca="1">IFERROR(__xludf.DUMMYFUNCTION("""COMPUTED_VALUE"""),29.93)</f>
        <v>29.93</v>
      </c>
    </row>
    <row r="2831" spans="1:2">
      <c r="A2831" s="3">
        <f ca="1">IFERROR(__xludf.DUMMYFUNCTION("""COMPUTED_VALUE"""),42460.6666666666)</f>
        <v>42460.666666666599</v>
      </c>
      <c r="B2831" s="1">
        <f ca="1">IFERROR(__xludf.DUMMYFUNCTION("""COMPUTED_VALUE"""),29.68)</f>
        <v>29.68</v>
      </c>
    </row>
    <row r="2832" spans="1:2">
      <c r="A2832" s="3">
        <f ca="1">IFERROR(__xludf.DUMMYFUNCTION("""COMPUTED_VALUE"""),42461.6666666666)</f>
        <v>42461.666666666599</v>
      </c>
      <c r="B2832" s="1">
        <f ca="1">IFERROR(__xludf.DUMMYFUNCTION("""COMPUTED_VALUE"""),29.93)</f>
        <v>29.93</v>
      </c>
    </row>
    <row r="2833" spans="1:2">
      <c r="A2833" s="3">
        <f ca="1">IFERROR(__xludf.DUMMYFUNCTION("""COMPUTED_VALUE"""),42464.6666666666)</f>
        <v>42464.666666666599</v>
      </c>
      <c r="B2833" s="1">
        <f ca="1">IFERROR(__xludf.DUMMYFUNCTION("""COMPUTED_VALUE"""),29.66)</f>
        <v>29.66</v>
      </c>
    </row>
    <row r="2834" spans="1:2">
      <c r="A2834" s="3">
        <f ca="1">IFERROR(__xludf.DUMMYFUNCTION("""COMPUTED_VALUE"""),42465.6666666666)</f>
        <v>42465.666666666599</v>
      </c>
      <c r="B2834" s="1">
        <f ca="1">IFERROR(__xludf.DUMMYFUNCTION("""COMPUTED_VALUE"""),29.31)</f>
        <v>29.31</v>
      </c>
    </row>
    <row r="2835" spans="1:2">
      <c r="A2835" s="3">
        <f ca="1">IFERROR(__xludf.DUMMYFUNCTION("""COMPUTED_VALUE"""),42466.6666666666)</f>
        <v>42466.666666666599</v>
      </c>
      <c r="B2835" s="1">
        <f ca="1">IFERROR(__xludf.DUMMYFUNCTION("""COMPUTED_VALUE"""),30.1)</f>
        <v>30.1</v>
      </c>
    </row>
    <row r="2836" spans="1:2">
      <c r="A2836" s="3">
        <f ca="1">IFERROR(__xludf.DUMMYFUNCTION("""COMPUTED_VALUE"""),42467.6666666666)</f>
        <v>42467.666666666599</v>
      </c>
      <c r="B2836" s="1">
        <f ca="1">IFERROR(__xludf.DUMMYFUNCTION("""COMPUTED_VALUE"""),29.57)</f>
        <v>29.57</v>
      </c>
    </row>
    <row r="2837" spans="1:2">
      <c r="A2837" s="3">
        <f ca="1">IFERROR(__xludf.DUMMYFUNCTION("""COMPUTED_VALUE"""),42468.6666666666)</f>
        <v>42468.666666666599</v>
      </c>
      <c r="B2837" s="1">
        <f ca="1">IFERROR(__xludf.DUMMYFUNCTION("""COMPUTED_VALUE"""),29.73)</f>
        <v>29.73</v>
      </c>
    </row>
    <row r="2838" spans="1:2">
      <c r="A2838" s="3">
        <f ca="1">IFERROR(__xludf.DUMMYFUNCTION("""COMPUTED_VALUE"""),42471.6666666666)</f>
        <v>42471.666666666599</v>
      </c>
      <c r="B2838" s="1">
        <f ca="1">IFERROR(__xludf.DUMMYFUNCTION("""COMPUTED_VALUE"""),29.8)</f>
        <v>29.8</v>
      </c>
    </row>
    <row r="2839" spans="1:2">
      <c r="A2839" s="3">
        <f ca="1">IFERROR(__xludf.DUMMYFUNCTION("""COMPUTED_VALUE"""),42472.6666666666)</f>
        <v>42472.666666666599</v>
      </c>
      <c r="B2839" s="1">
        <f ca="1">IFERROR(__xludf.DUMMYFUNCTION("""COMPUTED_VALUE"""),30.16)</f>
        <v>30.16</v>
      </c>
    </row>
    <row r="2840" spans="1:2">
      <c r="A2840" s="3">
        <f ca="1">IFERROR(__xludf.DUMMYFUNCTION("""COMPUTED_VALUE"""),42473.6666666666)</f>
        <v>42473.666666666599</v>
      </c>
      <c r="B2840" s="1">
        <f ca="1">IFERROR(__xludf.DUMMYFUNCTION("""COMPUTED_VALUE"""),30.74)</f>
        <v>30.74</v>
      </c>
    </row>
    <row r="2841" spans="1:2">
      <c r="A2841" s="3">
        <f ca="1">IFERROR(__xludf.DUMMYFUNCTION("""COMPUTED_VALUE"""),42474.6666666666)</f>
        <v>42474.666666666599</v>
      </c>
      <c r="B2841" s="1">
        <f ca="1">IFERROR(__xludf.DUMMYFUNCTION("""COMPUTED_VALUE"""),31.04)</f>
        <v>31.04</v>
      </c>
    </row>
    <row r="2842" spans="1:2">
      <c r="A2842" s="3">
        <f ca="1">IFERROR(__xludf.DUMMYFUNCTION("""COMPUTED_VALUE"""),42475.6666666666)</f>
        <v>42475.666666666599</v>
      </c>
      <c r="B2842" s="1">
        <f ca="1">IFERROR(__xludf.DUMMYFUNCTION("""COMPUTED_VALUE"""),31.29)</f>
        <v>31.29</v>
      </c>
    </row>
    <row r="2843" spans="1:2">
      <c r="A2843" s="3">
        <f ca="1">IFERROR(__xludf.DUMMYFUNCTION("""COMPUTED_VALUE"""),42478.6666666666)</f>
        <v>42478.666666666599</v>
      </c>
      <c r="B2843" s="1">
        <f ca="1">IFERROR(__xludf.DUMMYFUNCTION("""COMPUTED_VALUE"""),31.77)</f>
        <v>31.77</v>
      </c>
    </row>
    <row r="2844" spans="1:2">
      <c r="A2844" s="3">
        <f ca="1">IFERROR(__xludf.DUMMYFUNCTION("""COMPUTED_VALUE"""),42479.6666666666)</f>
        <v>42479.666666666599</v>
      </c>
      <c r="B2844" s="1">
        <f ca="1">IFERROR(__xludf.DUMMYFUNCTION("""COMPUTED_VALUE"""),31.4)</f>
        <v>31.4</v>
      </c>
    </row>
    <row r="2845" spans="1:2">
      <c r="A2845" s="3">
        <f ca="1">IFERROR(__xludf.DUMMYFUNCTION("""COMPUTED_VALUE"""),42480.6666666666)</f>
        <v>42480.666666666599</v>
      </c>
      <c r="B2845" s="1">
        <f ca="1">IFERROR(__xludf.DUMMYFUNCTION("""COMPUTED_VALUE"""),31.65)</f>
        <v>31.65</v>
      </c>
    </row>
    <row r="2846" spans="1:2">
      <c r="A2846" s="3">
        <f ca="1">IFERROR(__xludf.DUMMYFUNCTION("""COMPUTED_VALUE"""),42481.6666666666)</f>
        <v>42481.666666666599</v>
      </c>
      <c r="B2846" s="1">
        <f ca="1">IFERROR(__xludf.DUMMYFUNCTION("""COMPUTED_VALUE"""),31.55)</f>
        <v>31.55</v>
      </c>
    </row>
    <row r="2847" spans="1:2">
      <c r="A2847" s="3">
        <f ca="1">IFERROR(__xludf.DUMMYFUNCTION("""COMPUTED_VALUE"""),42482.6666666666)</f>
        <v>42482.666666666599</v>
      </c>
      <c r="B2847" s="1">
        <f ca="1">IFERROR(__xludf.DUMMYFUNCTION("""COMPUTED_VALUE"""),31.03)</f>
        <v>31.03</v>
      </c>
    </row>
    <row r="2848" spans="1:2">
      <c r="A2848" s="3">
        <f ca="1">IFERROR(__xludf.DUMMYFUNCTION("""COMPUTED_VALUE"""),42485.6666666666)</f>
        <v>42485.666666666599</v>
      </c>
      <c r="B2848" s="1">
        <f ca="1">IFERROR(__xludf.DUMMYFUNCTION("""COMPUTED_VALUE"""),31.31)</f>
        <v>31.31</v>
      </c>
    </row>
    <row r="2849" spans="1:2">
      <c r="A2849" s="3">
        <f ca="1">IFERROR(__xludf.DUMMYFUNCTION("""COMPUTED_VALUE"""),42486.6666666666)</f>
        <v>42486.666666666599</v>
      </c>
      <c r="B2849" s="1">
        <f ca="1">IFERROR(__xludf.DUMMYFUNCTION("""COMPUTED_VALUE"""),30.84)</f>
        <v>30.84</v>
      </c>
    </row>
    <row r="2850" spans="1:2">
      <c r="A2850" s="3">
        <f ca="1">IFERROR(__xludf.DUMMYFUNCTION("""COMPUTED_VALUE"""),42487.6666666666)</f>
        <v>42487.666666666599</v>
      </c>
      <c r="B2850" s="1">
        <f ca="1">IFERROR(__xludf.DUMMYFUNCTION("""COMPUTED_VALUE"""),30.33)</f>
        <v>30.33</v>
      </c>
    </row>
    <row r="2851" spans="1:2">
      <c r="A2851" s="3">
        <f ca="1">IFERROR(__xludf.DUMMYFUNCTION("""COMPUTED_VALUE"""),42488.6666666666)</f>
        <v>42488.666666666599</v>
      </c>
      <c r="B2851" s="1">
        <f ca="1">IFERROR(__xludf.DUMMYFUNCTION("""COMPUTED_VALUE"""),30.1)</f>
        <v>30.1</v>
      </c>
    </row>
    <row r="2852" spans="1:2">
      <c r="A2852" s="3">
        <f ca="1">IFERROR(__xludf.DUMMYFUNCTION("""COMPUTED_VALUE"""),42489.6666666666)</f>
        <v>42489.666666666599</v>
      </c>
      <c r="B2852" s="1">
        <f ca="1">IFERROR(__xludf.DUMMYFUNCTION("""COMPUTED_VALUE"""),32.98)</f>
        <v>32.979999999999997</v>
      </c>
    </row>
    <row r="2853" spans="1:2">
      <c r="A2853" s="3">
        <f ca="1">IFERROR(__xludf.DUMMYFUNCTION("""COMPUTED_VALUE"""),42492.6666666666)</f>
        <v>42492.666666666599</v>
      </c>
      <c r="B2853" s="1">
        <f ca="1">IFERROR(__xludf.DUMMYFUNCTION("""COMPUTED_VALUE"""),34.19)</f>
        <v>34.19</v>
      </c>
    </row>
    <row r="2854" spans="1:2">
      <c r="A2854" s="3">
        <f ca="1">IFERROR(__xludf.DUMMYFUNCTION("""COMPUTED_VALUE"""),42493.6666666666)</f>
        <v>42493.666666666599</v>
      </c>
      <c r="B2854" s="1">
        <f ca="1">IFERROR(__xludf.DUMMYFUNCTION("""COMPUTED_VALUE"""),33.57)</f>
        <v>33.57</v>
      </c>
    </row>
    <row r="2855" spans="1:2">
      <c r="A2855" s="3">
        <f ca="1">IFERROR(__xludf.DUMMYFUNCTION("""COMPUTED_VALUE"""),42494.6666666666)</f>
        <v>42494.666666666599</v>
      </c>
      <c r="B2855" s="1">
        <f ca="1">IFERROR(__xludf.DUMMYFUNCTION("""COMPUTED_VALUE"""),33.55)</f>
        <v>33.549999999999997</v>
      </c>
    </row>
    <row r="2856" spans="1:2">
      <c r="A2856" s="3">
        <f ca="1">IFERROR(__xludf.DUMMYFUNCTION("""COMPUTED_VALUE"""),42495.6666666666)</f>
        <v>42495.666666666599</v>
      </c>
      <c r="B2856" s="1">
        <f ca="1">IFERROR(__xludf.DUMMYFUNCTION("""COMPUTED_VALUE"""),32.95)</f>
        <v>32.950000000000003</v>
      </c>
    </row>
    <row r="2857" spans="1:2">
      <c r="A2857" s="3">
        <f ca="1">IFERROR(__xludf.DUMMYFUNCTION("""COMPUTED_VALUE"""),42496.6666666666)</f>
        <v>42496.666666666599</v>
      </c>
      <c r="B2857" s="1">
        <f ca="1">IFERROR(__xludf.DUMMYFUNCTION("""COMPUTED_VALUE"""),33.7)</f>
        <v>33.700000000000003</v>
      </c>
    </row>
    <row r="2858" spans="1:2">
      <c r="A2858" s="3">
        <f ca="1">IFERROR(__xludf.DUMMYFUNCTION("""COMPUTED_VALUE"""),42499.6666666666)</f>
        <v>42499.666666666599</v>
      </c>
      <c r="B2858" s="1">
        <f ca="1">IFERROR(__xludf.DUMMYFUNCTION("""COMPUTED_VALUE"""),33.99)</f>
        <v>33.99</v>
      </c>
    </row>
    <row r="2859" spans="1:2">
      <c r="A2859" s="3">
        <f ca="1">IFERROR(__xludf.DUMMYFUNCTION("""COMPUTED_VALUE"""),42500.6666666666)</f>
        <v>42500.666666666599</v>
      </c>
      <c r="B2859" s="1">
        <f ca="1">IFERROR(__xludf.DUMMYFUNCTION("""COMPUTED_VALUE"""),35.15)</f>
        <v>35.15</v>
      </c>
    </row>
    <row r="2860" spans="1:2">
      <c r="A2860" s="3">
        <f ca="1">IFERROR(__xludf.DUMMYFUNCTION("""COMPUTED_VALUE"""),42501.6666666666)</f>
        <v>42501.666666666599</v>
      </c>
      <c r="B2860" s="1">
        <f ca="1">IFERROR(__xludf.DUMMYFUNCTION("""COMPUTED_VALUE"""),35.66)</f>
        <v>35.659999999999997</v>
      </c>
    </row>
    <row r="2861" spans="1:2">
      <c r="A2861" s="3">
        <f ca="1">IFERROR(__xludf.DUMMYFUNCTION("""COMPUTED_VALUE"""),42502.6666666666)</f>
        <v>42502.666666666599</v>
      </c>
      <c r="B2861" s="1">
        <f ca="1">IFERROR(__xludf.DUMMYFUNCTION("""COMPUTED_VALUE"""),35.9)</f>
        <v>35.9</v>
      </c>
    </row>
    <row r="2862" spans="1:2">
      <c r="A2862" s="3">
        <f ca="1">IFERROR(__xludf.DUMMYFUNCTION("""COMPUTED_VALUE"""),42503.6666666666)</f>
        <v>42503.666666666599</v>
      </c>
      <c r="B2862" s="1">
        <f ca="1">IFERROR(__xludf.DUMMYFUNCTION("""COMPUTED_VALUE"""),35.5)</f>
        <v>35.5</v>
      </c>
    </row>
    <row r="2863" spans="1:2">
      <c r="A2863" s="3">
        <f ca="1">IFERROR(__xludf.DUMMYFUNCTION("""COMPUTED_VALUE"""),42506.6666666666)</f>
        <v>42506.666666666599</v>
      </c>
      <c r="B2863" s="1">
        <f ca="1">IFERROR(__xludf.DUMMYFUNCTION("""COMPUTED_VALUE"""),35.53)</f>
        <v>35.53</v>
      </c>
    </row>
    <row r="2864" spans="1:2">
      <c r="A2864" s="3">
        <f ca="1">IFERROR(__xludf.DUMMYFUNCTION("""COMPUTED_VALUE"""),42507.6666666666)</f>
        <v>42507.666666666599</v>
      </c>
      <c r="B2864" s="1">
        <f ca="1">IFERROR(__xludf.DUMMYFUNCTION("""COMPUTED_VALUE"""),34.76)</f>
        <v>34.76</v>
      </c>
    </row>
    <row r="2865" spans="1:2">
      <c r="A2865" s="3">
        <f ca="1">IFERROR(__xludf.DUMMYFUNCTION("""COMPUTED_VALUE"""),42508.6666666666)</f>
        <v>42508.666666666599</v>
      </c>
      <c r="B2865" s="1">
        <f ca="1">IFERROR(__xludf.DUMMYFUNCTION("""COMPUTED_VALUE"""),34.87)</f>
        <v>34.869999999999997</v>
      </c>
    </row>
    <row r="2866" spans="1:2">
      <c r="A2866" s="3">
        <f ca="1">IFERROR(__xludf.DUMMYFUNCTION("""COMPUTED_VALUE"""),42509.6666666666)</f>
        <v>42509.666666666599</v>
      </c>
      <c r="B2866" s="1">
        <f ca="1">IFERROR(__xludf.DUMMYFUNCTION("""COMPUTED_VALUE"""),34.93)</f>
        <v>34.93</v>
      </c>
    </row>
    <row r="2867" spans="1:2">
      <c r="A2867" s="3">
        <f ca="1">IFERROR(__xludf.DUMMYFUNCTION("""COMPUTED_VALUE"""),42510.6666666666)</f>
        <v>42510.666666666599</v>
      </c>
      <c r="B2867" s="1">
        <f ca="1">IFERROR(__xludf.DUMMYFUNCTION("""COMPUTED_VALUE"""),35.14)</f>
        <v>35.14</v>
      </c>
    </row>
    <row r="2868" spans="1:2">
      <c r="A2868" s="3">
        <f ca="1">IFERROR(__xludf.DUMMYFUNCTION("""COMPUTED_VALUE"""),42513.6666666666)</f>
        <v>42513.666666666599</v>
      </c>
      <c r="B2868" s="1">
        <f ca="1">IFERROR(__xludf.DUMMYFUNCTION("""COMPUTED_VALUE"""),34.84)</f>
        <v>34.840000000000003</v>
      </c>
    </row>
    <row r="2869" spans="1:2">
      <c r="A2869" s="3">
        <f ca="1">IFERROR(__xludf.DUMMYFUNCTION("""COMPUTED_VALUE"""),42514.6666666666)</f>
        <v>42514.666666666599</v>
      </c>
      <c r="B2869" s="1">
        <f ca="1">IFERROR(__xludf.DUMMYFUNCTION("""COMPUTED_VALUE"""),35.21)</f>
        <v>35.21</v>
      </c>
    </row>
    <row r="2870" spans="1:2">
      <c r="A2870" s="3">
        <f ca="1">IFERROR(__xludf.DUMMYFUNCTION("""COMPUTED_VALUE"""),42515.6666666666)</f>
        <v>42515.666666666599</v>
      </c>
      <c r="B2870" s="1">
        <f ca="1">IFERROR(__xludf.DUMMYFUNCTION("""COMPUTED_VALUE"""),35.42)</f>
        <v>35.42</v>
      </c>
    </row>
    <row r="2871" spans="1:2">
      <c r="A2871" s="3">
        <f ca="1">IFERROR(__xludf.DUMMYFUNCTION("""COMPUTED_VALUE"""),42516.6666666666)</f>
        <v>42516.666666666599</v>
      </c>
      <c r="B2871" s="1">
        <f ca="1">IFERROR(__xludf.DUMMYFUNCTION("""COMPUTED_VALUE"""),35.75)</f>
        <v>35.75</v>
      </c>
    </row>
    <row r="2872" spans="1:2">
      <c r="A2872" s="3">
        <f ca="1">IFERROR(__xludf.DUMMYFUNCTION("""COMPUTED_VALUE"""),42517.6666666666)</f>
        <v>42517.666666666599</v>
      </c>
      <c r="B2872" s="1">
        <f ca="1">IFERROR(__xludf.DUMMYFUNCTION("""COMPUTED_VALUE"""),35.61)</f>
        <v>35.61</v>
      </c>
    </row>
    <row r="2873" spans="1:2">
      <c r="A2873" s="3">
        <f ca="1">IFERROR(__xludf.DUMMYFUNCTION("""COMPUTED_VALUE"""),42521.6666666666)</f>
        <v>42521.666666666599</v>
      </c>
      <c r="B2873" s="1">
        <f ca="1">IFERROR(__xludf.DUMMYFUNCTION("""COMPUTED_VALUE"""),36.14)</f>
        <v>36.14</v>
      </c>
    </row>
    <row r="2874" spans="1:2">
      <c r="A2874" s="3">
        <f ca="1">IFERROR(__xludf.DUMMYFUNCTION("""COMPUTED_VALUE"""),42522.6666666666)</f>
        <v>42522.666666666599</v>
      </c>
      <c r="B2874" s="1">
        <f ca="1">IFERROR(__xludf.DUMMYFUNCTION("""COMPUTED_VALUE"""),35.97)</f>
        <v>35.97</v>
      </c>
    </row>
    <row r="2875" spans="1:2">
      <c r="A2875" s="3">
        <f ca="1">IFERROR(__xludf.DUMMYFUNCTION("""COMPUTED_VALUE"""),42523.6666666666)</f>
        <v>42523.666666666599</v>
      </c>
      <c r="B2875" s="1">
        <f ca="1">IFERROR(__xludf.DUMMYFUNCTION("""COMPUTED_VALUE"""),36.41)</f>
        <v>36.409999999999997</v>
      </c>
    </row>
    <row r="2876" spans="1:2">
      <c r="A2876" s="3">
        <f ca="1">IFERROR(__xludf.DUMMYFUNCTION("""COMPUTED_VALUE"""),42524.6666666666)</f>
        <v>42524.666666666599</v>
      </c>
      <c r="B2876" s="1">
        <f ca="1">IFERROR(__xludf.DUMMYFUNCTION("""COMPUTED_VALUE"""),36.28)</f>
        <v>36.28</v>
      </c>
    </row>
    <row r="2877" spans="1:2">
      <c r="A2877" s="3">
        <f ca="1">IFERROR(__xludf.DUMMYFUNCTION("""COMPUTED_VALUE"""),42527.6666666666)</f>
        <v>42527.666666666599</v>
      </c>
      <c r="B2877" s="1">
        <f ca="1">IFERROR(__xludf.DUMMYFUNCTION("""COMPUTED_VALUE"""),36.34)</f>
        <v>36.340000000000003</v>
      </c>
    </row>
    <row r="2878" spans="1:2">
      <c r="A2878" s="3">
        <f ca="1">IFERROR(__xludf.DUMMYFUNCTION("""COMPUTED_VALUE"""),42528.6666666666)</f>
        <v>42528.666666666599</v>
      </c>
      <c r="B2878" s="1">
        <f ca="1">IFERROR(__xludf.DUMMYFUNCTION("""COMPUTED_VALUE"""),36.19)</f>
        <v>36.19</v>
      </c>
    </row>
    <row r="2879" spans="1:2">
      <c r="A2879" s="3">
        <f ca="1">IFERROR(__xludf.DUMMYFUNCTION("""COMPUTED_VALUE"""),42529.6666666666)</f>
        <v>42529.666666666599</v>
      </c>
      <c r="B2879" s="1">
        <f ca="1">IFERROR(__xludf.DUMMYFUNCTION("""COMPUTED_VALUE"""),36.33)</f>
        <v>36.33</v>
      </c>
    </row>
    <row r="2880" spans="1:2">
      <c r="A2880" s="3">
        <f ca="1">IFERROR(__xludf.DUMMYFUNCTION("""COMPUTED_VALUE"""),42530.6666666666)</f>
        <v>42530.666666666599</v>
      </c>
      <c r="B2880" s="1">
        <f ca="1">IFERROR(__xludf.DUMMYFUNCTION("""COMPUTED_VALUE"""),36.38)</f>
        <v>36.380000000000003</v>
      </c>
    </row>
    <row r="2881" spans="1:2">
      <c r="A2881" s="3">
        <f ca="1">IFERROR(__xludf.DUMMYFUNCTION("""COMPUTED_VALUE"""),42531.6666666666)</f>
        <v>42531.666666666599</v>
      </c>
      <c r="B2881" s="1">
        <f ca="1">IFERROR(__xludf.DUMMYFUNCTION("""COMPUTED_VALUE"""),35.9)</f>
        <v>35.9</v>
      </c>
    </row>
    <row r="2882" spans="1:2">
      <c r="A2882" s="3">
        <f ca="1">IFERROR(__xludf.DUMMYFUNCTION("""COMPUTED_VALUE"""),42534.6666666666)</f>
        <v>42534.666666666599</v>
      </c>
      <c r="B2882" s="1">
        <f ca="1">IFERROR(__xludf.DUMMYFUNCTION("""COMPUTED_VALUE"""),35.76)</f>
        <v>35.76</v>
      </c>
    </row>
    <row r="2883" spans="1:2">
      <c r="A2883" s="3">
        <f ca="1">IFERROR(__xludf.DUMMYFUNCTION("""COMPUTED_VALUE"""),42535.6666666666)</f>
        <v>42535.666666666599</v>
      </c>
      <c r="B2883" s="1">
        <f ca="1">IFERROR(__xludf.DUMMYFUNCTION("""COMPUTED_VALUE"""),35.97)</f>
        <v>35.97</v>
      </c>
    </row>
    <row r="2884" spans="1:2">
      <c r="A2884" s="3">
        <f ca="1">IFERROR(__xludf.DUMMYFUNCTION("""COMPUTED_VALUE"""),42536.6666666666)</f>
        <v>42536.666666666599</v>
      </c>
      <c r="B2884" s="1">
        <f ca="1">IFERROR(__xludf.DUMMYFUNCTION("""COMPUTED_VALUE"""),35.71)</f>
        <v>35.71</v>
      </c>
    </row>
    <row r="2885" spans="1:2">
      <c r="A2885" s="3">
        <f ca="1">IFERROR(__xludf.DUMMYFUNCTION("""COMPUTED_VALUE"""),42537.6666666666)</f>
        <v>42537.666666666599</v>
      </c>
      <c r="B2885" s="1">
        <f ca="1">IFERROR(__xludf.DUMMYFUNCTION("""COMPUTED_VALUE"""),35.88)</f>
        <v>35.880000000000003</v>
      </c>
    </row>
    <row r="2886" spans="1:2">
      <c r="A2886" s="3">
        <f ca="1">IFERROR(__xludf.DUMMYFUNCTION("""COMPUTED_VALUE"""),42538.6666666666)</f>
        <v>42538.666666666599</v>
      </c>
      <c r="B2886" s="1">
        <f ca="1">IFERROR(__xludf.DUMMYFUNCTION("""COMPUTED_VALUE"""),35.32)</f>
        <v>35.32</v>
      </c>
    </row>
    <row r="2887" spans="1:2">
      <c r="A2887" s="3">
        <f ca="1">IFERROR(__xludf.DUMMYFUNCTION("""COMPUTED_VALUE"""),42541.6666666666)</f>
        <v>42541.666666666599</v>
      </c>
      <c r="B2887" s="1">
        <f ca="1">IFERROR(__xludf.DUMMYFUNCTION("""COMPUTED_VALUE"""),35.7)</f>
        <v>35.700000000000003</v>
      </c>
    </row>
    <row r="2888" spans="1:2">
      <c r="A2888" s="3">
        <f ca="1">IFERROR(__xludf.DUMMYFUNCTION("""COMPUTED_VALUE"""),42542.6666666666)</f>
        <v>42542.666666666599</v>
      </c>
      <c r="B2888" s="1">
        <f ca="1">IFERROR(__xludf.DUMMYFUNCTION("""COMPUTED_VALUE"""),35.79)</f>
        <v>35.79</v>
      </c>
    </row>
    <row r="2889" spans="1:2">
      <c r="A2889" s="3">
        <f ca="1">IFERROR(__xludf.DUMMYFUNCTION("""COMPUTED_VALUE"""),42543.6666666666)</f>
        <v>42543.666666666599</v>
      </c>
      <c r="B2889" s="1">
        <f ca="1">IFERROR(__xludf.DUMMYFUNCTION("""COMPUTED_VALUE"""),35.53)</f>
        <v>35.53</v>
      </c>
    </row>
    <row r="2890" spans="1:2">
      <c r="A2890" s="3">
        <f ca="1">IFERROR(__xludf.DUMMYFUNCTION("""COMPUTED_VALUE"""),42544.6666666666)</f>
        <v>42544.666666666599</v>
      </c>
      <c r="B2890" s="1">
        <f ca="1">IFERROR(__xludf.DUMMYFUNCTION("""COMPUTED_VALUE"""),36.1)</f>
        <v>36.1</v>
      </c>
    </row>
    <row r="2891" spans="1:2">
      <c r="A2891" s="3">
        <f ca="1">IFERROR(__xludf.DUMMYFUNCTION("""COMPUTED_VALUE"""),42545.6666666666)</f>
        <v>42545.666666666599</v>
      </c>
      <c r="B2891" s="1">
        <f ca="1">IFERROR(__xludf.DUMMYFUNCTION("""COMPUTED_VALUE"""),34.95)</f>
        <v>34.950000000000003</v>
      </c>
    </row>
    <row r="2892" spans="1:2">
      <c r="A2892" s="3">
        <f ca="1">IFERROR(__xludf.DUMMYFUNCTION("""COMPUTED_VALUE"""),42548.6666666666)</f>
        <v>42548.666666666599</v>
      </c>
      <c r="B2892" s="1">
        <f ca="1">IFERROR(__xludf.DUMMYFUNCTION("""COMPUTED_VALUE"""),34.57)</f>
        <v>34.57</v>
      </c>
    </row>
    <row r="2893" spans="1:2">
      <c r="A2893" s="3">
        <f ca="1">IFERROR(__xludf.DUMMYFUNCTION("""COMPUTED_VALUE"""),42549.6666666666)</f>
        <v>42549.666666666599</v>
      </c>
      <c r="B2893" s="1">
        <f ca="1">IFERROR(__xludf.DUMMYFUNCTION("""COMPUTED_VALUE"""),35.4)</f>
        <v>35.4</v>
      </c>
    </row>
    <row r="2894" spans="1:2">
      <c r="A2894" s="3">
        <f ca="1">IFERROR(__xludf.DUMMYFUNCTION("""COMPUTED_VALUE"""),42550.6666666666)</f>
        <v>42550.666666666599</v>
      </c>
      <c r="B2894" s="1">
        <f ca="1">IFERROR(__xludf.DUMMYFUNCTION("""COMPUTED_VALUE"""),35.78)</f>
        <v>35.78</v>
      </c>
    </row>
    <row r="2895" spans="1:2">
      <c r="A2895" s="3">
        <f ca="1">IFERROR(__xludf.DUMMYFUNCTION("""COMPUTED_VALUE"""),42551.6666666666)</f>
        <v>42551.666666666599</v>
      </c>
      <c r="B2895" s="1">
        <f ca="1">IFERROR(__xludf.DUMMYFUNCTION("""COMPUTED_VALUE"""),35.78)</f>
        <v>35.78</v>
      </c>
    </row>
    <row r="2896" spans="1:2">
      <c r="A2896" s="3">
        <f ca="1">IFERROR(__xludf.DUMMYFUNCTION("""COMPUTED_VALUE"""),42552.6666666666)</f>
        <v>42552.666666666599</v>
      </c>
      <c r="B2896" s="1">
        <f ca="1">IFERROR(__xludf.DUMMYFUNCTION("""COMPUTED_VALUE"""),36.28)</f>
        <v>36.28</v>
      </c>
    </row>
    <row r="2897" spans="1:2">
      <c r="A2897" s="3">
        <f ca="1">IFERROR(__xludf.DUMMYFUNCTION("""COMPUTED_VALUE"""),42556.6666666666)</f>
        <v>42556.666666666599</v>
      </c>
      <c r="B2897" s="1">
        <f ca="1">IFERROR(__xludf.DUMMYFUNCTION("""COMPUTED_VALUE"""),36.41)</f>
        <v>36.409999999999997</v>
      </c>
    </row>
    <row r="2898" spans="1:2">
      <c r="A2898" s="3">
        <f ca="1">IFERROR(__xludf.DUMMYFUNCTION("""COMPUTED_VALUE"""),42557.6666666666)</f>
        <v>42557.666666666599</v>
      </c>
      <c r="B2898" s="1">
        <f ca="1">IFERROR(__xludf.DUMMYFUNCTION("""COMPUTED_VALUE"""),36.88)</f>
        <v>36.880000000000003</v>
      </c>
    </row>
    <row r="2899" spans="1:2">
      <c r="A2899" s="3">
        <f ca="1">IFERROR(__xludf.DUMMYFUNCTION("""COMPUTED_VALUE"""),42558.6666666666)</f>
        <v>42558.666666666599</v>
      </c>
      <c r="B2899" s="1">
        <f ca="1">IFERROR(__xludf.DUMMYFUNCTION("""COMPUTED_VALUE"""),36.83)</f>
        <v>36.83</v>
      </c>
    </row>
    <row r="2900" spans="1:2">
      <c r="A2900" s="3">
        <f ca="1">IFERROR(__xludf.DUMMYFUNCTION("""COMPUTED_VALUE"""),42559.6666666666)</f>
        <v>42559.666666666599</v>
      </c>
      <c r="B2900" s="1">
        <f ca="1">IFERROR(__xludf.DUMMYFUNCTION("""COMPUTED_VALUE"""),37.29)</f>
        <v>37.29</v>
      </c>
    </row>
    <row r="2901" spans="1:2">
      <c r="A2901" s="3">
        <f ca="1">IFERROR(__xludf.DUMMYFUNCTION("""COMPUTED_VALUE"""),42562.6666666666)</f>
        <v>42562.666666666599</v>
      </c>
      <c r="B2901" s="1">
        <f ca="1">IFERROR(__xludf.DUMMYFUNCTION("""COMPUTED_VALUE"""),37.69)</f>
        <v>37.69</v>
      </c>
    </row>
    <row r="2902" spans="1:2">
      <c r="A2902" s="3">
        <f ca="1">IFERROR(__xludf.DUMMYFUNCTION("""COMPUTED_VALUE"""),42563.6666666666)</f>
        <v>42563.666666666599</v>
      </c>
      <c r="B2902" s="1">
        <f ca="1">IFERROR(__xludf.DUMMYFUNCTION("""COMPUTED_VALUE"""),37.41)</f>
        <v>37.409999999999997</v>
      </c>
    </row>
    <row r="2903" spans="1:2">
      <c r="A2903" s="3">
        <f ca="1">IFERROR(__xludf.DUMMYFUNCTION("""COMPUTED_VALUE"""),42564.6666666666)</f>
        <v>42564.666666666599</v>
      </c>
      <c r="B2903" s="1">
        <f ca="1">IFERROR(__xludf.DUMMYFUNCTION("""COMPUTED_VALUE"""),37.13)</f>
        <v>37.130000000000003</v>
      </c>
    </row>
    <row r="2904" spans="1:2">
      <c r="A2904" s="3">
        <f ca="1">IFERROR(__xludf.DUMMYFUNCTION("""COMPUTED_VALUE"""),42565.6666666666)</f>
        <v>42565.666666666599</v>
      </c>
      <c r="B2904" s="1">
        <f ca="1">IFERROR(__xludf.DUMMYFUNCTION("""COMPUTED_VALUE"""),37.06)</f>
        <v>37.06</v>
      </c>
    </row>
    <row r="2905" spans="1:2">
      <c r="A2905" s="3">
        <f ca="1">IFERROR(__xludf.DUMMYFUNCTION("""COMPUTED_VALUE"""),42566.6666666666)</f>
        <v>42566.666666666599</v>
      </c>
      <c r="B2905" s="1">
        <f ca="1">IFERROR(__xludf.DUMMYFUNCTION("""COMPUTED_VALUE"""),36.77)</f>
        <v>36.770000000000003</v>
      </c>
    </row>
    <row r="2906" spans="1:2">
      <c r="A2906" s="3">
        <f ca="1">IFERROR(__xludf.DUMMYFUNCTION("""COMPUTED_VALUE"""),42569.6666666666)</f>
        <v>42569.666666666599</v>
      </c>
      <c r="B2906" s="1">
        <f ca="1">IFERROR(__xludf.DUMMYFUNCTION("""COMPUTED_VALUE"""),36.8)</f>
        <v>36.799999999999997</v>
      </c>
    </row>
    <row r="2907" spans="1:2">
      <c r="A2907" s="3">
        <f ca="1">IFERROR(__xludf.DUMMYFUNCTION("""COMPUTED_VALUE"""),42570.6666666666)</f>
        <v>42570.666666666599</v>
      </c>
      <c r="B2907" s="1">
        <f ca="1">IFERROR(__xludf.DUMMYFUNCTION("""COMPUTED_VALUE"""),37)</f>
        <v>37</v>
      </c>
    </row>
    <row r="2908" spans="1:2">
      <c r="A2908" s="3">
        <f ca="1">IFERROR(__xludf.DUMMYFUNCTION("""COMPUTED_VALUE"""),42571.6666666666)</f>
        <v>42571.666666666599</v>
      </c>
      <c r="B2908" s="1">
        <f ca="1">IFERROR(__xludf.DUMMYFUNCTION("""COMPUTED_VALUE"""),37.29)</f>
        <v>37.29</v>
      </c>
    </row>
    <row r="2909" spans="1:2">
      <c r="A2909" s="3">
        <f ca="1">IFERROR(__xludf.DUMMYFUNCTION("""COMPUTED_VALUE"""),42572.6666666666)</f>
        <v>42572.666666666599</v>
      </c>
      <c r="B2909" s="1">
        <f ca="1">IFERROR(__xludf.DUMMYFUNCTION("""COMPUTED_VALUE"""),37.22)</f>
        <v>37.22</v>
      </c>
    </row>
    <row r="2910" spans="1:2">
      <c r="A2910" s="3">
        <f ca="1">IFERROR(__xludf.DUMMYFUNCTION("""COMPUTED_VALUE"""),42573.6666666666)</f>
        <v>42573.666666666599</v>
      </c>
      <c r="B2910" s="1">
        <f ca="1">IFERROR(__xludf.DUMMYFUNCTION("""COMPUTED_VALUE"""),37.24)</f>
        <v>37.24</v>
      </c>
    </row>
    <row r="2911" spans="1:2">
      <c r="A2911" s="3">
        <f ca="1">IFERROR(__xludf.DUMMYFUNCTION("""COMPUTED_VALUE"""),42576.6666666666)</f>
        <v>42576.666666666599</v>
      </c>
      <c r="B2911" s="1">
        <f ca="1">IFERROR(__xludf.DUMMYFUNCTION("""COMPUTED_VALUE"""),36.98)</f>
        <v>36.979999999999997</v>
      </c>
    </row>
    <row r="2912" spans="1:2">
      <c r="A2912" s="3">
        <f ca="1">IFERROR(__xludf.DUMMYFUNCTION("""COMPUTED_VALUE"""),42577.6666666666)</f>
        <v>42577.666666666599</v>
      </c>
      <c r="B2912" s="1">
        <f ca="1">IFERROR(__xludf.DUMMYFUNCTION("""COMPUTED_VALUE"""),36.78)</f>
        <v>36.78</v>
      </c>
    </row>
    <row r="2913" spans="1:2">
      <c r="A2913" s="3">
        <f ca="1">IFERROR(__xludf.DUMMYFUNCTION("""COMPUTED_VALUE"""),42578.6666666666)</f>
        <v>42578.666666666599</v>
      </c>
      <c r="B2913" s="1">
        <f ca="1">IFERROR(__xludf.DUMMYFUNCTION("""COMPUTED_VALUE"""),36.83)</f>
        <v>36.83</v>
      </c>
    </row>
    <row r="2914" spans="1:2">
      <c r="A2914" s="3">
        <f ca="1">IFERROR(__xludf.DUMMYFUNCTION("""COMPUTED_VALUE"""),42579.6666666666)</f>
        <v>42579.666666666599</v>
      </c>
      <c r="B2914" s="1">
        <f ca="1">IFERROR(__xludf.DUMMYFUNCTION("""COMPUTED_VALUE"""),37.63)</f>
        <v>37.630000000000003</v>
      </c>
    </row>
    <row r="2915" spans="1:2">
      <c r="A2915" s="3">
        <f ca="1">IFERROR(__xludf.DUMMYFUNCTION("""COMPUTED_VALUE"""),42580.6666666666)</f>
        <v>42580.666666666599</v>
      </c>
      <c r="B2915" s="1">
        <f ca="1">IFERROR(__xludf.DUMMYFUNCTION("""COMPUTED_VALUE"""),37.94)</f>
        <v>37.94</v>
      </c>
    </row>
    <row r="2916" spans="1:2">
      <c r="A2916" s="3">
        <f ca="1">IFERROR(__xludf.DUMMYFUNCTION("""COMPUTED_VALUE"""),42583.6666666666)</f>
        <v>42583.666666666599</v>
      </c>
      <c r="B2916" s="1">
        <f ca="1">IFERROR(__xludf.DUMMYFUNCTION("""COMPUTED_VALUE"""),38.39)</f>
        <v>38.39</v>
      </c>
    </row>
    <row r="2917" spans="1:2">
      <c r="A2917" s="3">
        <f ca="1">IFERROR(__xludf.DUMMYFUNCTION("""COMPUTED_VALUE"""),42584.6666666666)</f>
        <v>42584.666666666599</v>
      </c>
      <c r="B2917" s="1">
        <f ca="1">IFERROR(__xludf.DUMMYFUNCTION("""COMPUTED_VALUE"""),38.03)</f>
        <v>38.03</v>
      </c>
    </row>
    <row r="2918" spans="1:2">
      <c r="A2918" s="3">
        <f ca="1">IFERROR(__xludf.DUMMYFUNCTION("""COMPUTED_VALUE"""),42585.6666666666)</f>
        <v>42585.666666666599</v>
      </c>
      <c r="B2918" s="1">
        <f ca="1">IFERROR(__xludf.DUMMYFUNCTION("""COMPUTED_VALUE"""),37.73)</f>
        <v>37.729999999999997</v>
      </c>
    </row>
    <row r="2919" spans="1:2">
      <c r="A2919" s="3">
        <f ca="1">IFERROR(__xludf.DUMMYFUNCTION("""COMPUTED_VALUE"""),42586.6666666666)</f>
        <v>42586.666666666599</v>
      </c>
      <c r="B2919" s="1">
        <f ca="1">IFERROR(__xludf.DUMMYFUNCTION("""COMPUTED_VALUE"""),38.04)</f>
        <v>38.04</v>
      </c>
    </row>
    <row r="2920" spans="1:2">
      <c r="A2920" s="3">
        <f ca="1">IFERROR(__xludf.DUMMYFUNCTION("""COMPUTED_VALUE"""),42587.6666666666)</f>
        <v>42587.666666666599</v>
      </c>
      <c r="B2920" s="1">
        <f ca="1">IFERROR(__xludf.DUMMYFUNCTION("""COMPUTED_VALUE"""),38.3)</f>
        <v>38.299999999999997</v>
      </c>
    </row>
    <row r="2921" spans="1:2">
      <c r="A2921" s="3">
        <f ca="1">IFERROR(__xludf.DUMMYFUNCTION("""COMPUTED_VALUE"""),42590.6666666666)</f>
        <v>42590.666666666599</v>
      </c>
      <c r="B2921" s="1">
        <f ca="1">IFERROR(__xludf.DUMMYFUNCTION("""COMPUTED_VALUE"""),38.33)</f>
        <v>38.33</v>
      </c>
    </row>
    <row r="2922" spans="1:2">
      <c r="A2922" s="3">
        <f ca="1">IFERROR(__xludf.DUMMYFUNCTION("""COMPUTED_VALUE"""),42591.6666666666)</f>
        <v>42591.666666666599</v>
      </c>
      <c r="B2922" s="1">
        <f ca="1">IFERROR(__xludf.DUMMYFUNCTION("""COMPUTED_VALUE"""),38.42)</f>
        <v>38.42</v>
      </c>
    </row>
    <row r="2923" spans="1:2">
      <c r="A2923" s="3">
        <f ca="1">IFERROR(__xludf.DUMMYFUNCTION("""COMPUTED_VALUE"""),42592.6666666666)</f>
        <v>42592.666666666599</v>
      </c>
      <c r="B2923" s="1">
        <f ca="1">IFERROR(__xludf.DUMMYFUNCTION("""COMPUTED_VALUE"""),38.43)</f>
        <v>38.43</v>
      </c>
    </row>
    <row r="2924" spans="1:2">
      <c r="A2924" s="3">
        <f ca="1">IFERROR(__xludf.DUMMYFUNCTION("""COMPUTED_VALUE"""),42593.6666666666)</f>
        <v>42593.666666666599</v>
      </c>
      <c r="B2924" s="1">
        <f ca="1">IFERROR(__xludf.DUMMYFUNCTION("""COMPUTED_VALUE"""),38.56)</f>
        <v>38.56</v>
      </c>
    </row>
    <row r="2925" spans="1:2">
      <c r="A2925" s="3">
        <f ca="1">IFERROR(__xludf.DUMMYFUNCTION("""COMPUTED_VALUE"""),42594.6666666666)</f>
        <v>42594.666666666599</v>
      </c>
      <c r="B2925" s="1">
        <f ca="1">IFERROR(__xludf.DUMMYFUNCTION("""COMPUTED_VALUE"""),38.63)</f>
        <v>38.630000000000003</v>
      </c>
    </row>
    <row r="2926" spans="1:2">
      <c r="A2926" s="3">
        <f ca="1">IFERROR(__xludf.DUMMYFUNCTION("""COMPUTED_VALUE"""),42597.6666666666)</f>
        <v>42597.666666666599</v>
      </c>
      <c r="B2926" s="1">
        <f ca="1">IFERROR(__xludf.DUMMYFUNCTION("""COMPUTED_VALUE"""),38.42)</f>
        <v>38.42</v>
      </c>
    </row>
    <row r="2927" spans="1:2">
      <c r="A2927" s="3">
        <f ca="1">IFERROR(__xludf.DUMMYFUNCTION("""COMPUTED_VALUE"""),42598.6666666666)</f>
        <v>42598.666666666599</v>
      </c>
      <c r="B2927" s="1">
        <f ca="1">IFERROR(__xludf.DUMMYFUNCTION("""COMPUTED_VALUE"""),38.2)</f>
        <v>38.200000000000003</v>
      </c>
    </row>
    <row r="2928" spans="1:2">
      <c r="A2928" s="3">
        <f ca="1">IFERROR(__xludf.DUMMYFUNCTION("""COMPUTED_VALUE"""),42599.6666666666)</f>
        <v>42599.666666666599</v>
      </c>
      <c r="B2928" s="1">
        <f ca="1">IFERROR(__xludf.DUMMYFUNCTION("""COMPUTED_VALUE"""),38.23)</f>
        <v>38.229999999999997</v>
      </c>
    </row>
    <row r="2929" spans="1:2">
      <c r="A2929" s="3">
        <f ca="1">IFERROR(__xludf.DUMMYFUNCTION("""COMPUTED_VALUE"""),42600.6666666666)</f>
        <v>42600.666666666599</v>
      </c>
      <c r="B2929" s="1">
        <f ca="1">IFERROR(__xludf.DUMMYFUNCTION("""COMPUTED_VALUE"""),38.22)</f>
        <v>38.22</v>
      </c>
    </row>
    <row r="2930" spans="1:2">
      <c r="A2930" s="3">
        <f ca="1">IFERROR(__xludf.DUMMYFUNCTION("""COMPUTED_VALUE"""),42601.6666666666)</f>
        <v>42601.666666666599</v>
      </c>
      <c r="B2930" s="1">
        <f ca="1">IFERROR(__xludf.DUMMYFUNCTION("""COMPUTED_VALUE"""),37.87)</f>
        <v>37.869999999999997</v>
      </c>
    </row>
    <row r="2931" spans="1:2">
      <c r="A2931" s="3">
        <f ca="1">IFERROR(__xludf.DUMMYFUNCTION("""COMPUTED_VALUE"""),42604.6666666666)</f>
        <v>42604.666666666599</v>
      </c>
      <c r="B2931" s="1">
        <f ca="1">IFERROR(__xludf.DUMMYFUNCTION("""COMPUTED_VALUE"""),37.97)</f>
        <v>37.97</v>
      </c>
    </row>
    <row r="2932" spans="1:2">
      <c r="A2932" s="3">
        <f ca="1">IFERROR(__xludf.DUMMYFUNCTION("""COMPUTED_VALUE"""),42605.6666666666)</f>
        <v>42605.666666666599</v>
      </c>
      <c r="B2932" s="1">
        <f ca="1">IFERROR(__xludf.DUMMYFUNCTION("""COMPUTED_VALUE"""),38.12)</f>
        <v>38.119999999999997</v>
      </c>
    </row>
    <row r="2933" spans="1:2">
      <c r="A2933" s="3">
        <f ca="1">IFERROR(__xludf.DUMMYFUNCTION("""COMPUTED_VALUE"""),42606.6666666666)</f>
        <v>42606.666666666599</v>
      </c>
      <c r="B2933" s="1">
        <f ca="1">IFERROR(__xludf.DUMMYFUNCTION("""COMPUTED_VALUE"""),37.86)</f>
        <v>37.86</v>
      </c>
    </row>
    <row r="2934" spans="1:2">
      <c r="A2934" s="3">
        <f ca="1">IFERROR(__xludf.DUMMYFUNCTION("""COMPUTED_VALUE"""),42607.6666666666)</f>
        <v>42607.666666666599</v>
      </c>
      <c r="B2934" s="1">
        <f ca="1">IFERROR(__xludf.DUMMYFUNCTION("""COMPUTED_VALUE"""),37.96)</f>
        <v>37.96</v>
      </c>
    </row>
    <row r="2935" spans="1:2">
      <c r="A2935" s="3">
        <f ca="1">IFERROR(__xludf.DUMMYFUNCTION("""COMPUTED_VALUE"""),42608.6666666666)</f>
        <v>42608.666666666599</v>
      </c>
      <c r="B2935" s="1">
        <f ca="1">IFERROR(__xludf.DUMMYFUNCTION("""COMPUTED_VALUE"""),38.45)</f>
        <v>38.450000000000003</v>
      </c>
    </row>
    <row r="2936" spans="1:2">
      <c r="A2936" s="3">
        <f ca="1">IFERROR(__xludf.DUMMYFUNCTION("""COMPUTED_VALUE"""),42611.6666666666)</f>
        <v>42611.666666666599</v>
      </c>
      <c r="B2936" s="1">
        <f ca="1">IFERROR(__xludf.DUMMYFUNCTION("""COMPUTED_VALUE"""),38.56)</f>
        <v>38.56</v>
      </c>
    </row>
    <row r="2937" spans="1:2">
      <c r="A2937" s="3">
        <f ca="1">IFERROR(__xludf.DUMMYFUNCTION("""COMPUTED_VALUE"""),42612.6666666666)</f>
        <v>42612.666666666599</v>
      </c>
      <c r="B2937" s="1">
        <f ca="1">IFERROR(__xludf.DUMMYFUNCTION("""COMPUTED_VALUE"""),38.38)</f>
        <v>38.380000000000003</v>
      </c>
    </row>
    <row r="2938" spans="1:2">
      <c r="A2938" s="3">
        <f ca="1">IFERROR(__xludf.DUMMYFUNCTION("""COMPUTED_VALUE"""),42613.6666666666)</f>
        <v>42613.666666666599</v>
      </c>
      <c r="B2938" s="1">
        <f ca="1">IFERROR(__xludf.DUMMYFUNCTION("""COMPUTED_VALUE"""),38.46)</f>
        <v>38.46</v>
      </c>
    </row>
    <row r="2939" spans="1:2">
      <c r="A2939" s="3">
        <f ca="1">IFERROR(__xludf.DUMMYFUNCTION("""COMPUTED_VALUE"""),42614.6666666666)</f>
        <v>42614.666666666599</v>
      </c>
      <c r="B2939" s="1">
        <f ca="1">IFERROR(__xludf.DUMMYFUNCTION("""COMPUTED_VALUE"""),38.53)</f>
        <v>38.53</v>
      </c>
    </row>
    <row r="2940" spans="1:2">
      <c r="A2940" s="3">
        <f ca="1">IFERROR(__xludf.DUMMYFUNCTION("""COMPUTED_VALUE"""),42615.6666666666)</f>
        <v>42615.666666666599</v>
      </c>
      <c r="B2940" s="1">
        <f ca="1">IFERROR(__xludf.DUMMYFUNCTION("""COMPUTED_VALUE"""),38.62)</f>
        <v>38.619999999999997</v>
      </c>
    </row>
    <row r="2941" spans="1:2">
      <c r="A2941" s="3">
        <f ca="1">IFERROR(__xludf.DUMMYFUNCTION("""COMPUTED_VALUE"""),42619.6666666666)</f>
        <v>42619.666666666599</v>
      </c>
      <c r="B2941" s="1">
        <f ca="1">IFERROR(__xludf.DUMMYFUNCTION("""COMPUTED_VALUE"""),39.44)</f>
        <v>39.44</v>
      </c>
    </row>
    <row r="2942" spans="1:2">
      <c r="A2942" s="3">
        <f ca="1">IFERROR(__xludf.DUMMYFUNCTION("""COMPUTED_VALUE"""),42620.6666666666)</f>
        <v>42620.666666666599</v>
      </c>
      <c r="B2942" s="1">
        <f ca="1">IFERROR(__xludf.DUMMYFUNCTION("""COMPUTED_VALUE"""),39.22)</f>
        <v>39.22</v>
      </c>
    </row>
    <row r="2943" spans="1:2">
      <c r="A2943" s="3">
        <f ca="1">IFERROR(__xludf.DUMMYFUNCTION("""COMPUTED_VALUE"""),42621.6666666666)</f>
        <v>42621.666666666599</v>
      </c>
      <c r="B2943" s="1">
        <f ca="1">IFERROR(__xludf.DUMMYFUNCTION("""COMPUTED_VALUE"""),39.2)</f>
        <v>39.200000000000003</v>
      </c>
    </row>
    <row r="2944" spans="1:2">
      <c r="A2944" s="3">
        <f ca="1">IFERROR(__xludf.DUMMYFUNCTION("""COMPUTED_VALUE"""),42622.6666666666)</f>
        <v>42622.666666666599</v>
      </c>
      <c r="B2944" s="1">
        <f ca="1">IFERROR(__xludf.DUMMYFUNCTION("""COMPUTED_VALUE"""),38.01)</f>
        <v>38.01</v>
      </c>
    </row>
    <row r="2945" spans="1:2">
      <c r="A2945" s="3">
        <f ca="1">IFERROR(__xludf.DUMMYFUNCTION("""COMPUTED_VALUE"""),42625.6666666666)</f>
        <v>42625.666666666599</v>
      </c>
      <c r="B2945" s="1">
        <f ca="1">IFERROR(__xludf.DUMMYFUNCTION("""COMPUTED_VALUE"""),38.57)</f>
        <v>38.57</v>
      </c>
    </row>
    <row r="2946" spans="1:2">
      <c r="A2946" s="3">
        <f ca="1">IFERROR(__xludf.DUMMYFUNCTION("""COMPUTED_VALUE"""),42626.6666666666)</f>
        <v>42626.666666666599</v>
      </c>
      <c r="B2946" s="1">
        <f ca="1">IFERROR(__xludf.DUMMYFUNCTION("""COMPUTED_VALUE"""),38.05)</f>
        <v>38.049999999999997</v>
      </c>
    </row>
    <row r="2947" spans="1:2">
      <c r="A2947" s="3">
        <f ca="1">IFERROR(__xludf.DUMMYFUNCTION("""COMPUTED_VALUE"""),42627.6666666666)</f>
        <v>42627.666666666599</v>
      </c>
      <c r="B2947" s="1">
        <f ca="1">IFERROR(__xludf.DUMMYFUNCTION("""COMPUTED_VALUE"""),38.05)</f>
        <v>38.049999999999997</v>
      </c>
    </row>
    <row r="2948" spans="1:2">
      <c r="A2948" s="3">
        <f ca="1">IFERROR(__xludf.DUMMYFUNCTION("""COMPUTED_VALUE"""),42628.6666666666)</f>
        <v>42628.666666666599</v>
      </c>
      <c r="B2948" s="1">
        <f ca="1">IFERROR(__xludf.DUMMYFUNCTION("""COMPUTED_VALUE"""),38.48)</f>
        <v>38.479999999999997</v>
      </c>
    </row>
    <row r="2949" spans="1:2">
      <c r="A2949" s="3">
        <f ca="1">IFERROR(__xludf.DUMMYFUNCTION("""COMPUTED_VALUE"""),42629.6666666666)</f>
        <v>42629.666666666599</v>
      </c>
      <c r="B2949" s="1">
        <f ca="1">IFERROR(__xludf.DUMMYFUNCTION("""COMPUTED_VALUE"""),38.93)</f>
        <v>38.93</v>
      </c>
    </row>
    <row r="2950" spans="1:2">
      <c r="A2950" s="3">
        <f ca="1">IFERROR(__xludf.DUMMYFUNCTION("""COMPUTED_VALUE"""),42632.6666666666)</f>
        <v>42632.666666666599</v>
      </c>
      <c r="B2950" s="1">
        <f ca="1">IFERROR(__xludf.DUMMYFUNCTION("""COMPUTED_VALUE"""),38.76)</f>
        <v>38.76</v>
      </c>
    </row>
    <row r="2951" spans="1:2">
      <c r="A2951" s="3">
        <f ca="1">IFERROR(__xludf.DUMMYFUNCTION("""COMPUTED_VALUE"""),42633.6666666666)</f>
        <v>42633.666666666599</v>
      </c>
      <c r="B2951" s="1">
        <f ca="1">IFERROR(__xludf.DUMMYFUNCTION("""COMPUTED_VALUE"""),39.01)</f>
        <v>39.01</v>
      </c>
    </row>
    <row r="2952" spans="1:2">
      <c r="A2952" s="3">
        <f ca="1">IFERROR(__xludf.DUMMYFUNCTION("""COMPUTED_VALUE"""),42634.6666666666)</f>
        <v>42634.666666666599</v>
      </c>
      <c r="B2952" s="1">
        <f ca="1">IFERROR(__xludf.DUMMYFUNCTION("""COMPUTED_VALUE"""),39.49)</f>
        <v>39.49</v>
      </c>
    </row>
    <row r="2953" spans="1:2">
      <c r="A2953" s="3">
        <f ca="1">IFERROR(__xludf.DUMMYFUNCTION("""COMPUTED_VALUE"""),42635.6666666666)</f>
        <v>42635.666666666599</v>
      </c>
      <c r="B2953" s="1">
        <f ca="1">IFERROR(__xludf.DUMMYFUNCTION("""COMPUTED_VALUE"""),40.24)</f>
        <v>40.24</v>
      </c>
    </row>
    <row r="2954" spans="1:2">
      <c r="A2954" s="3">
        <f ca="1">IFERROR(__xludf.DUMMYFUNCTION("""COMPUTED_VALUE"""),42636.6666666666)</f>
        <v>42636.666666666599</v>
      </c>
      <c r="B2954" s="1">
        <f ca="1">IFERROR(__xludf.DUMMYFUNCTION("""COMPUTED_VALUE"""),40.29)</f>
        <v>40.29</v>
      </c>
    </row>
    <row r="2955" spans="1:2">
      <c r="A2955" s="3">
        <f ca="1">IFERROR(__xludf.DUMMYFUNCTION("""COMPUTED_VALUE"""),42639.6666666666)</f>
        <v>42639.666666666599</v>
      </c>
      <c r="B2955" s="1">
        <f ca="1">IFERROR(__xludf.DUMMYFUNCTION("""COMPUTED_VALUE"""),39.96)</f>
        <v>39.96</v>
      </c>
    </row>
    <row r="2956" spans="1:2">
      <c r="A2956" s="3">
        <f ca="1">IFERROR(__xludf.DUMMYFUNCTION("""COMPUTED_VALUE"""),42640.6666666666)</f>
        <v>42640.666666666599</v>
      </c>
      <c r="B2956" s="1">
        <f ca="1">IFERROR(__xludf.DUMMYFUNCTION("""COMPUTED_VALUE"""),40.81)</f>
        <v>40.81</v>
      </c>
    </row>
    <row r="2957" spans="1:2">
      <c r="A2957" s="3">
        <f ca="1">IFERROR(__xludf.DUMMYFUNCTION("""COMPUTED_VALUE"""),42641.6666666666)</f>
        <v>42641.666666666599</v>
      </c>
      <c r="B2957" s="1">
        <f ca="1">IFERROR(__xludf.DUMMYFUNCTION("""COMPUTED_VALUE"""),41.44)</f>
        <v>41.44</v>
      </c>
    </row>
    <row r="2958" spans="1:2">
      <c r="A2958" s="3">
        <f ca="1">IFERROR(__xludf.DUMMYFUNCTION("""COMPUTED_VALUE"""),42642.6666666666)</f>
        <v>42642.666666666599</v>
      </c>
      <c r="B2958" s="1">
        <f ca="1">IFERROR(__xludf.DUMMYFUNCTION("""COMPUTED_VALUE"""),41.45)</f>
        <v>41.45</v>
      </c>
    </row>
    <row r="2959" spans="1:2">
      <c r="A2959" s="3">
        <f ca="1">IFERROR(__xludf.DUMMYFUNCTION("""COMPUTED_VALUE"""),42643.6666666666)</f>
        <v>42643.666666666599</v>
      </c>
      <c r="B2959" s="1">
        <f ca="1">IFERROR(__xludf.DUMMYFUNCTION("""COMPUTED_VALUE"""),41.87)</f>
        <v>41.87</v>
      </c>
    </row>
    <row r="2960" spans="1:2">
      <c r="A2960" s="3">
        <f ca="1">IFERROR(__xludf.DUMMYFUNCTION("""COMPUTED_VALUE"""),42646.6666666666)</f>
        <v>42646.666666666599</v>
      </c>
      <c r="B2960" s="1">
        <f ca="1">IFERROR(__xludf.DUMMYFUNCTION("""COMPUTED_VALUE"""),41.84)</f>
        <v>41.84</v>
      </c>
    </row>
    <row r="2961" spans="1:2">
      <c r="A2961" s="3">
        <f ca="1">IFERROR(__xludf.DUMMYFUNCTION("""COMPUTED_VALUE"""),42647.6666666666)</f>
        <v>42647.666666666599</v>
      </c>
      <c r="B2961" s="1">
        <f ca="1">IFERROR(__xludf.DUMMYFUNCTION("""COMPUTED_VALUE"""),41.7)</f>
        <v>41.7</v>
      </c>
    </row>
    <row r="2962" spans="1:2">
      <c r="A2962" s="3">
        <f ca="1">IFERROR(__xludf.DUMMYFUNCTION("""COMPUTED_VALUE"""),42648.6666666666)</f>
        <v>42648.666666666599</v>
      </c>
      <c r="B2962" s="1">
        <f ca="1">IFERROR(__xludf.DUMMYFUNCTION("""COMPUTED_VALUE"""),42.22)</f>
        <v>42.22</v>
      </c>
    </row>
    <row r="2963" spans="1:2">
      <c r="A2963" s="3">
        <f ca="1">IFERROR(__xludf.DUMMYFUNCTION("""COMPUTED_VALUE"""),42649.6666666666)</f>
        <v>42649.666666666599</v>
      </c>
      <c r="B2963" s="1">
        <f ca="1">IFERROR(__xludf.DUMMYFUNCTION("""COMPUTED_VALUE"""),42.08)</f>
        <v>42.08</v>
      </c>
    </row>
    <row r="2964" spans="1:2">
      <c r="A2964" s="3">
        <f ca="1">IFERROR(__xludf.DUMMYFUNCTION("""COMPUTED_VALUE"""),42650.6666666666)</f>
        <v>42650.666666666599</v>
      </c>
      <c r="B2964" s="1">
        <f ca="1">IFERROR(__xludf.DUMMYFUNCTION("""COMPUTED_VALUE"""),41.97)</f>
        <v>41.97</v>
      </c>
    </row>
    <row r="2965" spans="1:2">
      <c r="A2965" s="3">
        <f ca="1">IFERROR(__xludf.DUMMYFUNCTION("""COMPUTED_VALUE"""),42653.6666666666)</f>
        <v>42653.666666666599</v>
      </c>
      <c r="B2965" s="1">
        <f ca="1">IFERROR(__xludf.DUMMYFUNCTION("""COMPUTED_VALUE"""),42.09)</f>
        <v>42.09</v>
      </c>
    </row>
    <row r="2966" spans="1:2">
      <c r="A2966" s="3">
        <f ca="1">IFERROR(__xludf.DUMMYFUNCTION("""COMPUTED_VALUE"""),42654.6666666666)</f>
        <v>42654.666666666599</v>
      </c>
      <c r="B2966" s="1">
        <f ca="1">IFERROR(__xludf.DUMMYFUNCTION("""COMPUTED_VALUE"""),41.55)</f>
        <v>41.55</v>
      </c>
    </row>
    <row r="2967" spans="1:2">
      <c r="A2967" s="3">
        <f ca="1">IFERROR(__xludf.DUMMYFUNCTION("""COMPUTED_VALUE"""),42655.6666666666)</f>
        <v>42655.666666666599</v>
      </c>
      <c r="B2967" s="1">
        <f ca="1">IFERROR(__xludf.DUMMYFUNCTION("""COMPUTED_VALUE"""),41.7)</f>
        <v>41.7</v>
      </c>
    </row>
    <row r="2968" spans="1:2">
      <c r="A2968" s="3">
        <f ca="1">IFERROR(__xludf.DUMMYFUNCTION("""COMPUTED_VALUE"""),42656.6666666666)</f>
        <v>42656.666666666599</v>
      </c>
      <c r="B2968" s="1">
        <f ca="1">IFERROR(__xludf.DUMMYFUNCTION("""COMPUTED_VALUE"""),41.46)</f>
        <v>41.46</v>
      </c>
    </row>
    <row r="2969" spans="1:2">
      <c r="A2969" s="3">
        <f ca="1">IFERROR(__xludf.DUMMYFUNCTION("""COMPUTED_VALUE"""),42657.6666666666)</f>
        <v>42657.666666666599</v>
      </c>
      <c r="B2969" s="1">
        <f ca="1">IFERROR(__xludf.DUMMYFUNCTION("""COMPUTED_VALUE"""),41.15)</f>
        <v>41.15</v>
      </c>
    </row>
    <row r="2970" spans="1:2">
      <c r="A2970" s="3">
        <f ca="1">IFERROR(__xludf.DUMMYFUNCTION("""COMPUTED_VALUE"""),42660.6666666666)</f>
        <v>42660.666666666599</v>
      </c>
      <c r="B2970" s="1">
        <f ca="1">IFERROR(__xludf.DUMMYFUNCTION("""COMPUTED_VALUE"""),40.65)</f>
        <v>40.65</v>
      </c>
    </row>
    <row r="2971" spans="1:2">
      <c r="A2971" s="3">
        <f ca="1">IFERROR(__xludf.DUMMYFUNCTION("""COMPUTED_VALUE"""),42661.6666666666)</f>
        <v>42661.666666666599</v>
      </c>
      <c r="B2971" s="1">
        <f ca="1">IFERROR(__xludf.DUMMYFUNCTION("""COMPUTED_VALUE"""),40.88)</f>
        <v>40.880000000000003</v>
      </c>
    </row>
    <row r="2972" spans="1:2">
      <c r="A2972" s="3">
        <f ca="1">IFERROR(__xludf.DUMMYFUNCTION("""COMPUTED_VALUE"""),42662.6666666666)</f>
        <v>42662.666666666599</v>
      </c>
      <c r="B2972" s="1">
        <f ca="1">IFERROR(__xludf.DUMMYFUNCTION("""COMPUTED_VALUE"""),40.88)</f>
        <v>40.880000000000003</v>
      </c>
    </row>
    <row r="2973" spans="1:2">
      <c r="A2973" s="3">
        <f ca="1">IFERROR(__xludf.DUMMYFUNCTION("""COMPUTED_VALUE"""),42663.6666666666)</f>
        <v>42663.666666666599</v>
      </c>
      <c r="B2973" s="1">
        <f ca="1">IFERROR(__xludf.DUMMYFUNCTION("""COMPUTED_VALUE"""),40.52)</f>
        <v>40.520000000000003</v>
      </c>
    </row>
    <row r="2974" spans="1:2">
      <c r="A2974" s="3">
        <f ca="1">IFERROR(__xludf.DUMMYFUNCTION("""COMPUTED_VALUE"""),42664.6666666666)</f>
        <v>42664.666666666599</v>
      </c>
      <c r="B2974" s="1">
        <f ca="1">IFERROR(__xludf.DUMMYFUNCTION("""COMPUTED_VALUE"""),40.95)</f>
        <v>40.950000000000003</v>
      </c>
    </row>
    <row r="2975" spans="1:2">
      <c r="A2975" s="3">
        <f ca="1">IFERROR(__xludf.DUMMYFUNCTION("""COMPUTED_VALUE"""),42667.6666666666)</f>
        <v>42667.666666666599</v>
      </c>
      <c r="B2975" s="1">
        <f ca="1">IFERROR(__xludf.DUMMYFUNCTION("""COMPUTED_VALUE"""),41.9)</f>
        <v>41.9</v>
      </c>
    </row>
    <row r="2976" spans="1:2">
      <c r="A2976" s="3">
        <f ca="1">IFERROR(__xludf.DUMMYFUNCTION("""COMPUTED_VALUE"""),42668.6666666666)</f>
        <v>42668.666666666599</v>
      </c>
      <c r="B2976" s="1">
        <f ca="1">IFERROR(__xludf.DUMMYFUNCTION("""COMPUTED_VALUE"""),41.76)</f>
        <v>41.76</v>
      </c>
    </row>
    <row r="2977" spans="1:2">
      <c r="A2977" s="3">
        <f ca="1">IFERROR(__xludf.DUMMYFUNCTION("""COMPUTED_VALUE"""),42669.6666666666)</f>
        <v>42669.666666666599</v>
      </c>
      <c r="B2977" s="1">
        <f ca="1">IFERROR(__xludf.DUMMYFUNCTION("""COMPUTED_VALUE"""),41.13)</f>
        <v>41.13</v>
      </c>
    </row>
    <row r="2978" spans="1:2">
      <c r="A2978" s="3">
        <f ca="1">IFERROR(__xludf.DUMMYFUNCTION("""COMPUTED_VALUE"""),42670.6666666666)</f>
        <v>42670.666666666599</v>
      </c>
      <c r="B2978" s="1">
        <f ca="1">IFERROR(__xludf.DUMMYFUNCTION("""COMPUTED_VALUE"""),40.92)</f>
        <v>40.92</v>
      </c>
    </row>
    <row r="2979" spans="1:2">
      <c r="A2979" s="3">
        <f ca="1">IFERROR(__xludf.DUMMYFUNCTION("""COMPUTED_VALUE"""),42671.6666666666)</f>
        <v>42671.666666666599</v>
      </c>
      <c r="B2979" s="1">
        <f ca="1">IFERROR(__xludf.DUMMYFUNCTION("""COMPUTED_VALUE"""),38.82)</f>
        <v>38.82</v>
      </c>
    </row>
    <row r="2980" spans="1:2">
      <c r="A2980" s="3">
        <f ca="1">IFERROR(__xludf.DUMMYFUNCTION("""COMPUTED_VALUE"""),42674.6666666666)</f>
        <v>42674.666666666599</v>
      </c>
      <c r="B2980" s="1">
        <f ca="1">IFERROR(__xludf.DUMMYFUNCTION("""COMPUTED_VALUE"""),39.49)</f>
        <v>39.49</v>
      </c>
    </row>
    <row r="2981" spans="1:2">
      <c r="A2981" s="3">
        <f ca="1">IFERROR(__xludf.DUMMYFUNCTION("""COMPUTED_VALUE"""),42675.6666666666)</f>
        <v>42675.666666666599</v>
      </c>
      <c r="B2981" s="1">
        <f ca="1">IFERROR(__xludf.DUMMYFUNCTION("""COMPUTED_VALUE"""),39.27)</f>
        <v>39.270000000000003</v>
      </c>
    </row>
    <row r="2982" spans="1:2">
      <c r="A2982" s="3">
        <f ca="1">IFERROR(__xludf.DUMMYFUNCTION("""COMPUTED_VALUE"""),42676.6666666666)</f>
        <v>42676.666666666599</v>
      </c>
      <c r="B2982" s="1">
        <f ca="1">IFERROR(__xludf.DUMMYFUNCTION("""COMPUTED_VALUE"""),38.28)</f>
        <v>38.28</v>
      </c>
    </row>
    <row r="2983" spans="1:2">
      <c r="A2983" s="3">
        <f ca="1">IFERROR(__xludf.DUMMYFUNCTION("""COMPUTED_VALUE"""),42677.6666666666)</f>
        <v>42677.666666666599</v>
      </c>
      <c r="B2983" s="1">
        <f ca="1">IFERROR(__xludf.DUMMYFUNCTION("""COMPUTED_VALUE"""),38.35)</f>
        <v>38.35</v>
      </c>
    </row>
    <row r="2984" spans="1:2">
      <c r="A2984" s="3">
        <f ca="1">IFERROR(__xludf.DUMMYFUNCTION("""COMPUTED_VALUE"""),42678.6666666666)</f>
        <v>42678.666666666599</v>
      </c>
      <c r="B2984" s="1">
        <f ca="1">IFERROR(__xludf.DUMMYFUNCTION("""COMPUTED_VALUE"""),37.75)</f>
        <v>37.75</v>
      </c>
    </row>
    <row r="2985" spans="1:2">
      <c r="A2985" s="3">
        <f ca="1">IFERROR(__xludf.DUMMYFUNCTION("""COMPUTED_VALUE"""),42681.6666666666)</f>
        <v>42681.666666666599</v>
      </c>
      <c r="B2985" s="1">
        <f ca="1">IFERROR(__xludf.DUMMYFUNCTION("""COMPUTED_VALUE"""),39.25)</f>
        <v>39.25</v>
      </c>
    </row>
    <row r="2986" spans="1:2">
      <c r="A2986" s="3">
        <f ca="1">IFERROR(__xludf.DUMMYFUNCTION("""COMPUTED_VALUE"""),42682.6666666666)</f>
        <v>42682.666666666599</v>
      </c>
      <c r="B2986" s="1">
        <f ca="1">IFERROR(__xludf.DUMMYFUNCTION("""COMPUTED_VALUE"""),39.39)</f>
        <v>39.39</v>
      </c>
    </row>
    <row r="2987" spans="1:2">
      <c r="A2987" s="3">
        <f ca="1">IFERROR(__xludf.DUMMYFUNCTION("""COMPUTED_VALUE"""),42683.6666666666)</f>
        <v>42683.666666666599</v>
      </c>
      <c r="B2987" s="1">
        <f ca="1">IFERROR(__xludf.DUMMYFUNCTION("""COMPUTED_VALUE"""),38.59)</f>
        <v>38.590000000000003</v>
      </c>
    </row>
    <row r="2988" spans="1:2">
      <c r="A2988" s="3">
        <f ca="1">IFERROR(__xludf.DUMMYFUNCTION("""COMPUTED_VALUE"""),42684.6666666666)</f>
        <v>42684.666666666599</v>
      </c>
      <c r="B2988" s="1">
        <f ca="1">IFERROR(__xludf.DUMMYFUNCTION("""COMPUTED_VALUE"""),37.12)</f>
        <v>37.119999999999997</v>
      </c>
    </row>
    <row r="2989" spans="1:2">
      <c r="A2989" s="3">
        <f ca="1">IFERROR(__xludf.DUMMYFUNCTION("""COMPUTED_VALUE"""),42685.6666666666)</f>
        <v>42685.666666666599</v>
      </c>
      <c r="B2989" s="1">
        <f ca="1">IFERROR(__xludf.DUMMYFUNCTION("""COMPUTED_VALUE"""),36.95)</f>
        <v>36.950000000000003</v>
      </c>
    </row>
    <row r="2990" spans="1:2">
      <c r="A2990" s="3">
        <f ca="1">IFERROR(__xludf.DUMMYFUNCTION("""COMPUTED_VALUE"""),42688.6666666666)</f>
        <v>42688.666666666599</v>
      </c>
      <c r="B2990" s="1">
        <f ca="1">IFERROR(__xludf.DUMMYFUNCTION("""COMPUTED_VALUE"""),35.95)</f>
        <v>35.950000000000003</v>
      </c>
    </row>
    <row r="2991" spans="1:2">
      <c r="A2991" s="3">
        <f ca="1">IFERROR(__xludf.DUMMYFUNCTION("""COMPUTED_VALUE"""),42689.6666666666)</f>
        <v>42689.666666666599</v>
      </c>
      <c r="B2991" s="1">
        <f ca="1">IFERROR(__xludf.DUMMYFUNCTION("""COMPUTED_VALUE"""),37.16)</f>
        <v>37.159999999999997</v>
      </c>
    </row>
    <row r="2992" spans="1:2">
      <c r="A2992" s="3">
        <f ca="1">IFERROR(__xludf.DUMMYFUNCTION("""COMPUTED_VALUE"""),42690.6666666666)</f>
        <v>42690.666666666599</v>
      </c>
      <c r="B2992" s="1">
        <f ca="1">IFERROR(__xludf.DUMMYFUNCTION("""COMPUTED_VALUE"""),37.32)</f>
        <v>37.32</v>
      </c>
    </row>
    <row r="2993" spans="1:2">
      <c r="A2993" s="3">
        <f ca="1">IFERROR(__xludf.DUMMYFUNCTION("""COMPUTED_VALUE"""),42691.6666666666)</f>
        <v>42691.666666666599</v>
      </c>
      <c r="B2993" s="1">
        <f ca="1">IFERROR(__xludf.DUMMYFUNCTION("""COMPUTED_VALUE"""),37.82)</f>
        <v>37.82</v>
      </c>
    </row>
    <row r="2994" spans="1:2">
      <c r="A2994" s="3">
        <f ca="1">IFERROR(__xludf.DUMMYFUNCTION("""COMPUTED_VALUE"""),42692.6666666666)</f>
        <v>42692.666666666599</v>
      </c>
      <c r="B2994" s="1">
        <f ca="1">IFERROR(__xludf.DUMMYFUNCTION("""COMPUTED_VALUE"""),38.01)</f>
        <v>38.01</v>
      </c>
    </row>
    <row r="2995" spans="1:2">
      <c r="A2995" s="3">
        <f ca="1">IFERROR(__xludf.DUMMYFUNCTION("""COMPUTED_VALUE"""),42695.6666666666)</f>
        <v>42695.666666666599</v>
      </c>
      <c r="B2995" s="1">
        <f ca="1">IFERROR(__xludf.DUMMYFUNCTION("""COMPUTED_VALUE"""),39)</f>
        <v>39</v>
      </c>
    </row>
    <row r="2996" spans="1:2">
      <c r="A2996" s="3">
        <f ca="1">IFERROR(__xludf.DUMMYFUNCTION("""COMPUTED_VALUE"""),42696.6666666666)</f>
        <v>42696.666666666599</v>
      </c>
      <c r="B2996" s="1">
        <f ca="1">IFERROR(__xludf.DUMMYFUNCTION("""COMPUTED_VALUE"""),39.27)</f>
        <v>39.270000000000003</v>
      </c>
    </row>
    <row r="2997" spans="1:2">
      <c r="A2997" s="3">
        <f ca="1">IFERROR(__xludf.DUMMYFUNCTION("""COMPUTED_VALUE"""),42697.6666666666)</f>
        <v>42697.666666666599</v>
      </c>
      <c r="B2997" s="1">
        <f ca="1">IFERROR(__xludf.DUMMYFUNCTION("""COMPUTED_VALUE"""),39.01)</f>
        <v>39.01</v>
      </c>
    </row>
    <row r="2998" spans="1:2">
      <c r="A2998" s="3">
        <f ca="1">IFERROR(__xludf.DUMMYFUNCTION("""COMPUTED_VALUE"""),42699.6666666666)</f>
        <v>42699.666666666599</v>
      </c>
      <c r="B2998" s="1">
        <f ca="1">IFERROR(__xludf.DUMMYFUNCTION("""COMPUTED_VALUE"""),39.02)</f>
        <v>39.020000000000003</v>
      </c>
    </row>
    <row r="2999" spans="1:2">
      <c r="A2999" s="3">
        <f ca="1">IFERROR(__xludf.DUMMYFUNCTION("""COMPUTED_VALUE"""),42702.6666666666)</f>
        <v>42702.666666666599</v>
      </c>
      <c r="B2999" s="1">
        <f ca="1">IFERROR(__xludf.DUMMYFUNCTION("""COMPUTED_VALUE"""),38.34)</f>
        <v>38.340000000000003</v>
      </c>
    </row>
    <row r="3000" spans="1:2">
      <c r="A3000" s="3">
        <f ca="1">IFERROR(__xludf.DUMMYFUNCTION("""COMPUTED_VALUE"""),42703.6666666666)</f>
        <v>42703.666666666599</v>
      </c>
      <c r="B3000" s="1">
        <f ca="1">IFERROR(__xludf.DUMMYFUNCTION("""COMPUTED_VALUE"""),38.13)</f>
        <v>38.130000000000003</v>
      </c>
    </row>
    <row r="3001" spans="1:2">
      <c r="A3001" s="3">
        <f ca="1">IFERROR(__xludf.DUMMYFUNCTION("""COMPUTED_VALUE"""),42704.6666666666)</f>
        <v>42704.666666666599</v>
      </c>
      <c r="B3001" s="1">
        <f ca="1">IFERROR(__xludf.DUMMYFUNCTION("""COMPUTED_VALUE"""),37.53)</f>
        <v>37.53</v>
      </c>
    </row>
    <row r="3002" spans="1:2">
      <c r="A3002" s="3">
        <f ca="1">IFERROR(__xludf.DUMMYFUNCTION("""COMPUTED_VALUE"""),42705.6666666666)</f>
        <v>42705.666666666599</v>
      </c>
      <c r="B3002" s="1">
        <f ca="1">IFERROR(__xludf.DUMMYFUNCTION("""COMPUTED_VALUE"""),37.18)</f>
        <v>37.18</v>
      </c>
    </row>
    <row r="3003" spans="1:2">
      <c r="A3003" s="3">
        <f ca="1">IFERROR(__xludf.DUMMYFUNCTION("""COMPUTED_VALUE"""),42706.6666666666)</f>
        <v>42706.666666666599</v>
      </c>
      <c r="B3003" s="1">
        <f ca="1">IFERROR(__xludf.DUMMYFUNCTION("""COMPUTED_VALUE"""),37.02)</f>
        <v>37.020000000000003</v>
      </c>
    </row>
    <row r="3004" spans="1:2">
      <c r="A3004" s="3">
        <f ca="1">IFERROR(__xludf.DUMMYFUNCTION("""COMPUTED_VALUE"""),42709.6666666666)</f>
        <v>42709.666666666599</v>
      </c>
      <c r="B3004" s="1">
        <f ca="1">IFERROR(__xludf.DUMMYFUNCTION("""COMPUTED_VALUE"""),37.97)</f>
        <v>37.97</v>
      </c>
    </row>
    <row r="3005" spans="1:2">
      <c r="A3005" s="3">
        <f ca="1">IFERROR(__xludf.DUMMYFUNCTION("""COMPUTED_VALUE"""),42710.6666666666)</f>
        <v>42710.666666666599</v>
      </c>
      <c r="B3005" s="1">
        <f ca="1">IFERROR(__xludf.DUMMYFUNCTION("""COMPUTED_VALUE"""),38.24)</f>
        <v>38.24</v>
      </c>
    </row>
    <row r="3006" spans="1:2">
      <c r="A3006" s="3">
        <f ca="1">IFERROR(__xludf.DUMMYFUNCTION("""COMPUTED_VALUE"""),42711.6666666666)</f>
        <v>42711.666666666599</v>
      </c>
      <c r="B3006" s="1">
        <f ca="1">IFERROR(__xludf.DUMMYFUNCTION("""COMPUTED_VALUE"""),38.52)</f>
        <v>38.520000000000003</v>
      </c>
    </row>
    <row r="3007" spans="1:2">
      <c r="A3007" s="3">
        <f ca="1">IFERROR(__xludf.DUMMYFUNCTION("""COMPUTED_VALUE"""),42712.6666666666)</f>
        <v>42712.666666666599</v>
      </c>
      <c r="B3007" s="1">
        <f ca="1">IFERROR(__xludf.DUMMYFUNCTION("""COMPUTED_VALUE"""),38.37)</f>
        <v>38.369999999999997</v>
      </c>
    </row>
    <row r="3008" spans="1:2">
      <c r="A3008" s="3">
        <f ca="1">IFERROR(__xludf.DUMMYFUNCTION("""COMPUTED_VALUE"""),42713.6666666666)</f>
        <v>42713.666666666599</v>
      </c>
      <c r="B3008" s="1">
        <f ca="1">IFERROR(__xludf.DUMMYFUNCTION("""COMPUTED_VALUE"""),38.43)</f>
        <v>38.43</v>
      </c>
    </row>
    <row r="3009" spans="1:2">
      <c r="A3009" s="3">
        <f ca="1">IFERROR(__xludf.DUMMYFUNCTION("""COMPUTED_VALUE"""),42716.6666666666)</f>
        <v>42716.666666666599</v>
      </c>
      <c r="B3009" s="1">
        <f ca="1">IFERROR(__xludf.DUMMYFUNCTION("""COMPUTED_VALUE"""),38.01)</f>
        <v>38.01</v>
      </c>
    </row>
    <row r="3010" spans="1:2">
      <c r="A3010" s="3">
        <f ca="1">IFERROR(__xludf.DUMMYFUNCTION("""COMPUTED_VALUE"""),42717.6666666666)</f>
        <v>42717.666666666599</v>
      </c>
      <c r="B3010" s="1">
        <f ca="1">IFERROR(__xludf.DUMMYFUNCTION("""COMPUTED_VALUE"""),38.72)</f>
        <v>38.72</v>
      </c>
    </row>
    <row r="3011" spans="1:2">
      <c r="A3011" s="3">
        <f ca="1">IFERROR(__xludf.DUMMYFUNCTION("""COMPUTED_VALUE"""),42718.6666666666)</f>
        <v>42718.666666666599</v>
      </c>
      <c r="B3011" s="1">
        <f ca="1">IFERROR(__xludf.DUMMYFUNCTION("""COMPUTED_VALUE"""),38.44)</f>
        <v>38.44</v>
      </c>
    </row>
    <row r="3012" spans="1:2">
      <c r="A3012" s="3">
        <f ca="1">IFERROR(__xludf.DUMMYFUNCTION("""COMPUTED_VALUE"""),42719.6666666666)</f>
        <v>42719.666666666599</v>
      </c>
      <c r="B3012" s="1">
        <f ca="1">IFERROR(__xludf.DUMMYFUNCTION("""COMPUTED_VALUE"""),38.05)</f>
        <v>38.049999999999997</v>
      </c>
    </row>
    <row r="3013" spans="1:2">
      <c r="A3013" s="3">
        <f ca="1">IFERROR(__xludf.DUMMYFUNCTION("""COMPUTED_VALUE"""),42720.6666666666)</f>
        <v>42720.666666666599</v>
      </c>
      <c r="B3013" s="1">
        <f ca="1">IFERROR(__xludf.DUMMYFUNCTION("""COMPUTED_VALUE"""),37.89)</f>
        <v>37.89</v>
      </c>
    </row>
    <row r="3014" spans="1:2">
      <c r="A3014" s="3">
        <f ca="1">IFERROR(__xludf.DUMMYFUNCTION("""COMPUTED_VALUE"""),42723.6666666666)</f>
        <v>42723.666666666599</v>
      </c>
      <c r="B3014" s="1">
        <f ca="1">IFERROR(__xludf.DUMMYFUNCTION("""COMPUTED_VALUE"""),38.3)</f>
        <v>38.299999999999997</v>
      </c>
    </row>
    <row r="3015" spans="1:2">
      <c r="A3015" s="3">
        <f ca="1">IFERROR(__xludf.DUMMYFUNCTION("""COMPUTED_VALUE"""),42724.6666666666)</f>
        <v>42724.666666666599</v>
      </c>
      <c r="B3015" s="1">
        <f ca="1">IFERROR(__xludf.DUMMYFUNCTION("""COMPUTED_VALUE"""),38.56)</f>
        <v>38.56</v>
      </c>
    </row>
    <row r="3016" spans="1:2">
      <c r="A3016" s="3">
        <f ca="1">IFERROR(__xludf.DUMMYFUNCTION("""COMPUTED_VALUE"""),42725.6666666666)</f>
        <v>42725.666666666599</v>
      </c>
      <c r="B3016" s="1">
        <f ca="1">IFERROR(__xludf.DUMMYFUNCTION("""COMPUTED_VALUE"""),38.53)</f>
        <v>38.53</v>
      </c>
    </row>
    <row r="3017" spans="1:2">
      <c r="A3017" s="3">
        <f ca="1">IFERROR(__xludf.DUMMYFUNCTION("""COMPUTED_VALUE"""),42726.6666666666)</f>
        <v>42726.666666666599</v>
      </c>
      <c r="B3017" s="1">
        <f ca="1">IFERROR(__xludf.DUMMYFUNCTION("""COMPUTED_VALUE"""),38.32)</f>
        <v>38.32</v>
      </c>
    </row>
    <row r="3018" spans="1:2">
      <c r="A3018" s="3">
        <f ca="1">IFERROR(__xludf.DUMMYFUNCTION("""COMPUTED_VALUE"""),42727.6666666666)</f>
        <v>42727.666666666599</v>
      </c>
      <c r="B3018" s="1">
        <f ca="1">IFERROR(__xludf.DUMMYFUNCTION("""COMPUTED_VALUE"""),38.03)</f>
        <v>38.03</v>
      </c>
    </row>
    <row r="3019" spans="1:2">
      <c r="A3019" s="3">
        <f ca="1">IFERROR(__xludf.DUMMYFUNCTION("""COMPUTED_VALUE"""),42731.6666666666)</f>
        <v>42731.666666666599</v>
      </c>
      <c r="B3019" s="1">
        <f ca="1">IFERROR(__xludf.DUMMYFUNCTION("""COMPUTED_VALUE"""),38.57)</f>
        <v>38.57</v>
      </c>
    </row>
    <row r="3020" spans="1:2">
      <c r="A3020" s="3">
        <f ca="1">IFERROR(__xludf.DUMMYFUNCTION("""COMPUTED_VALUE"""),42732.6666666666)</f>
        <v>42732.666666666599</v>
      </c>
      <c r="B3020" s="1">
        <f ca="1">IFERROR(__xludf.DUMMYFUNCTION("""COMPUTED_VALUE"""),38.61)</f>
        <v>38.61</v>
      </c>
    </row>
    <row r="3021" spans="1:2">
      <c r="A3021" s="3">
        <f ca="1">IFERROR(__xludf.DUMMYFUNCTION("""COMPUTED_VALUE"""),42733.6666666666)</f>
        <v>42733.666666666599</v>
      </c>
      <c r="B3021" s="1">
        <f ca="1">IFERROR(__xludf.DUMMYFUNCTION("""COMPUTED_VALUE"""),38.26)</f>
        <v>38.26</v>
      </c>
    </row>
    <row r="3022" spans="1:2">
      <c r="A3022" s="3">
        <f ca="1">IFERROR(__xludf.DUMMYFUNCTION("""COMPUTED_VALUE"""),42734.6666666666)</f>
        <v>42734.666666666599</v>
      </c>
      <c r="B3022" s="1">
        <f ca="1">IFERROR(__xludf.DUMMYFUNCTION("""COMPUTED_VALUE"""),37.49)</f>
        <v>37.49</v>
      </c>
    </row>
    <row r="3023" spans="1:2">
      <c r="A3023" s="3">
        <f ca="1">IFERROR(__xludf.DUMMYFUNCTION("""COMPUTED_VALUE"""),42738.6666666666)</f>
        <v>42738.666666666599</v>
      </c>
      <c r="B3023" s="1">
        <f ca="1">IFERROR(__xludf.DUMMYFUNCTION("""COMPUTED_VALUE"""),37.68)</f>
        <v>37.68</v>
      </c>
    </row>
    <row r="3024" spans="1:2">
      <c r="A3024" s="3">
        <f ca="1">IFERROR(__xludf.DUMMYFUNCTION("""COMPUTED_VALUE"""),42739.6666666666)</f>
        <v>42739.666666666599</v>
      </c>
      <c r="B3024" s="1">
        <f ca="1">IFERROR(__xludf.DUMMYFUNCTION("""COMPUTED_VALUE"""),37.86)</f>
        <v>37.86</v>
      </c>
    </row>
    <row r="3025" spans="1:2">
      <c r="A3025" s="3">
        <f ca="1">IFERROR(__xludf.DUMMYFUNCTION("""COMPUTED_VALUE"""),42740.6666666666)</f>
        <v>42740.666666666599</v>
      </c>
      <c r="B3025" s="1">
        <f ca="1">IFERROR(__xludf.DUMMYFUNCTION("""COMPUTED_VALUE"""),39.02)</f>
        <v>39.020000000000003</v>
      </c>
    </row>
    <row r="3026" spans="1:2">
      <c r="A3026" s="3">
        <f ca="1">IFERROR(__xludf.DUMMYFUNCTION("""COMPUTED_VALUE"""),42741.6666666666)</f>
        <v>42741.666666666599</v>
      </c>
      <c r="B3026" s="1">
        <f ca="1">IFERROR(__xludf.DUMMYFUNCTION("""COMPUTED_VALUE"""),39.8)</f>
        <v>39.799999999999997</v>
      </c>
    </row>
    <row r="3027" spans="1:2">
      <c r="A3027" s="3">
        <f ca="1">IFERROR(__xludf.DUMMYFUNCTION("""COMPUTED_VALUE"""),42744.6666666666)</f>
        <v>42744.666666666599</v>
      </c>
      <c r="B3027" s="1">
        <f ca="1">IFERROR(__xludf.DUMMYFUNCTION("""COMPUTED_VALUE"""),39.85)</f>
        <v>39.85</v>
      </c>
    </row>
    <row r="3028" spans="1:2">
      <c r="A3028" s="3">
        <f ca="1">IFERROR(__xludf.DUMMYFUNCTION("""COMPUTED_VALUE"""),42745.6666666666)</f>
        <v>42745.666666666599</v>
      </c>
      <c r="B3028" s="1">
        <f ca="1">IFERROR(__xludf.DUMMYFUNCTION("""COMPUTED_VALUE"""),39.8)</f>
        <v>39.799999999999997</v>
      </c>
    </row>
    <row r="3029" spans="1:2">
      <c r="A3029" s="3">
        <f ca="1">IFERROR(__xludf.DUMMYFUNCTION("""COMPUTED_VALUE"""),42746.6666666666)</f>
        <v>42746.666666666599</v>
      </c>
      <c r="B3029" s="1">
        <f ca="1">IFERROR(__xludf.DUMMYFUNCTION("""COMPUTED_VALUE"""),39.95)</f>
        <v>39.950000000000003</v>
      </c>
    </row>
    <row r="3030" spans="1:2">
      <c r="A3030" s="3">
        <f ca="1">IFERROR(__xludf.DUMMYFUNCTION("""COMPUTED_VALUE"""),42747.6666666666)</f>
        <v>42747.666666666599</v>
      </c>
      <c r="B3030" s="1">
        <f ca="1">IFERROR(__xludf.DUMMYFUNCTION("""COMPUTED_VALUE"""),40.68)</f>
        <v>40.68</v>
      </c>
    </row>
    <row r="3031" spans="1:2">
      <c r="A3031" s="3">
        <f ca="1">IFERROR(__xludf.DUMMYFUNCTION("""COMPUTED_VALUE"""),42748.6666666666)</f>
        <v>42748.666666666599</v>
      </c>
      <c r="B3031" s="1">
        <f ca="1">IFERROR(__xludf.DUMMYFUNCTION("""COMPUTED_VALUE"""),40.86)</f>
        <v>40.86</v>
      </c>
    </row>
    <row r="3032" spans="1:2">
      <c r="A3032" s="3">
        <f ca="1">IFERROR(__xludf.DUMMYFUNCTION("""COMPUTED_VALUE"""),42752.6666666666)</f>
        <v>42752.666666666599</v>
      </c>
      <c r="B3032" s="1">
        <f ca="1">IFERROR(__xludf.DUMMYFUNCTION("""COMPUTED_VALUE"""),40.49)</f>
        <v>40.49</v>
      </c>
    </row>
    <row r="3033" spans="1:2">
      <c r="A3033" s="3">
        <f ca="1">IFERROR(__xludf.DUMMYFUNCTION("""COMPUTED_VALUE"""),42753.6666666666)</f>
        <v>42753.666666666599</v>
      </c>
      <c r="B3033" s="1">
        <f ca="1">IFERROR(__xludf.DUMMYFUNCTION("""COMPUTED_VALUE"""),40.37)</f>
        <v>40.369999999999997</v>
      </c>
    </row>
    <row r="3034" spans="1:2">
      <c r="A3034" s="3">
        <f ca="1">IFERROR(__xludf.DUMMYFUNCTION("""COMPUTED_VALUE"""),42754.6666666666)</f>
        <v>42754.666666666599</v>
      </c>
      <c r="B3034" s="1">
        <f ca="1">IFERROR(__xludf.DUMMYFUNCTION("""COMPUTED_VALUE"""),40.45)</f>
        <v>40.450000000000003</v>
      </c>
    </row>
    <row r="3035" spans="1:2">
      <c r="A3035" s="3">
        <f ca="1">IFERROR(__xludf.DUMMYFUNCTION("""COMPUTED_VALUE"""),42755.6666666666)</f>
        <v>42755.666666666599</v>
      </c>
      <c r="B3035" s="1">
        <f ca="1">IFERROR(__xludf.DUMMYFUNCTION("""COMPUTED_VALUE"""),40.42)</f>
        <v>40.42</v>
      </c>
    </row>
    <row r="3036" spans="1:2">
      <c r="A3036" s="3">
        <f ca="1">IFERROR(__xludf.DUMMYFUNCTION("""COMPUTED_VALUE"""),42758.6666666666)</f>
        <v>42758.666666666599</v>
      </c>
      <c r="B3036" s="1">
        <f ca="1">IFERROR(__xludf.DUMMYFUNCTION("""COMPUTED_VALUE"""),40.89)</f>
        <v>40.89</v>
      </c>
    </row>
    <row r="3037" spans="1:2">
      <c r="A3037" s="3">
        <f ca="1">IFERROR(__xludf.DUMMYFUNCTION("""COMPUTED_VALUE"""),42759.6666666666)</f>
        <v>42759.666666666599</v>
      </c>
      <c r="B3037" s="1">
        <f ca="1">IFERROR(__xludf.DUMMYFUNCTION("""COMPUTED_VALUE"""),41.12)</f>
        <v>41.12</v>
      </c>
    </row>
    <row r="3038" spans="1:2">
      <c r="A3038" s="3">
        <f ca="1">IFERROR(__xludf.DUMMYFUNCTION("""COMPUTED_VALUE"""),42760.6666666666)</f>
        <v>42760.666666666599</v>
      </c>
      <c r="B3038" s="1">
        <f ca="1">IFERROR(__xludf.DUMMYFUNCTION("""COMPUTED_VALUE"""),41.83)</f>
        <v>41.83</v>
      </c>
    </row>
    <row r="3039" spans="1:2">
      <c r="A3039" s="3">
        <f ca="1">IFERROR(__xludf.DUMMYFUNCTION("""COMPUTED_VALUE"""),42761.6666666666)</f>
        <v>42761.666666666599</v>
      </c>
      <c r="B3039" s="1">
        <f ca="1">IFERROR(__xludf.DUMMYFUNCTION("""COMPUTED_VALUE"""),41.96)</f>
        <v>41.96</v>
      </c>
    </row>
    <row r="3040" spans="1:2">
      <c r="A3040" s="3">
        <f ca="1">IFERROR(__xludf.DUMMYFUNCTION("""COMPUTED_VALUE"""),42762.6666666666)</f>
        <v>42762.666666666599</v>
      </c>
      <c r="B3040" s="1">
        <f ca="1">IFERROR(__xludf.DUMMYFUNCTION("""COMPUTED_VALUE"""),41.79)</f>
        <v>41.79</v>
      </c>
    </row>
    <row r="3041" spans="1:2">
      <c r="A3041" s="3">
        <f ca="1">IFERROR(__xludf.DUMMYFUNCTION("""COMPUTED_VALUE"""),42765.6666666666)</f>
        <v>42765.666666666599</v>
      </c>
      <c r="B3041" s="1">
        <f ca="1">IFERROR(__xludf.DUMMYFUNCTION("""COMPUTED_VALUE"""),41.52)</f>
        <v>41.52</v>
      </c>
    </row>
    <row r="3042" spans="1:2">
      <c r="A3042" s="3">
        <f ca="1">IFERROR(__xludf.DUMMYFUNCTION("""COMPUTED_VALUE"""),42766.6666666666)</f>
        <v>42766.666666666599</v>
      </c>
      <c r="B3042" s="1">
        <f ca="1">IFERROR(__xludf.DUMMYFUNCTION("""COMPUTED_VALUE"""),41.17)</f>
        <v>41.17</v>
      </c>
    </row>
    <row r="3043" spans="1:2">
      <c r="A3043" s="3">
        <f ca="1">IFERROR(__xludf.DUMMYFUNCTION("""COMPUTED_VALUE"""),42767.6666666666)</f>
        <v>42767.666666666599</v>
      </c>
      <c r="B3043" s="1">
        <f ca="1">IFERROR(__xludf.DUMMYFUNCTION("""COMPUTED_VALUE"""),41.62)</f>
        <v>41.62</v>
      </c>
    </row>
    <row r="3044" spans="1:2">
      <c r="A3044" s="3">
        <f ca="1">IFERROR(__xludf.DUMMYFUNCTION("""COMPUTED_VALUE"""),42768.6666666666)</f>
        <v>42768.666666666599</v>
      </c>
      <c r="B3044" s="1">
        <f ca="1">IFERROR(__xludf.DUMMYFUNCTION("""COMPUTED_VALUE"""),42)</f>
        <v>42</v>
      </c>
    </row>
    <row r="3045" spans="1:2">
      <c r="A3045" s="3">
        <f ca="1">IFERROR(__xludf.DUMMYFUNCTION("""COMPUTED_VALUE"""),42769.6666666666)</f>
        <v>42769.666666666599</v>
      </c>
      <c r="B3045" s="1">
        <f ca="1">IFERROR(__xludf.DUMMYFUNCTION("""COMPUTED_VALUE"""),40.51)</f>
        <v>40.51</v>
      </c>
    </row>
    <row r="3046" spans="1:2">
      <c r="A3046" s="3">
        <f ca="1">IFERROR(__xludf.DUMMYFUNCTION("""COMPUTED_VALUE"""),42772.6666666666)</f>
        <v>42772.666666666599</v>
      </c>
      <c r="B3046" s="1">
        <f ca="1">IFERROR(__xludf.DUMMYFUNCTION("""COMPUTED_VALUE"""),40.38)</f>
        <v>40.380000000000003</v>
      </c>
    </row>
    <row r="3047" spans="1:2">
      <c r="A3047" s="3">
        <f ca="1">IFERROR(__xludf.DUMMYFUNCTION("""COMPUTED_VALUE"""),42773.6666666666)</f>
        <v>42773.666666666599</v>
      </c>
      <c r="B3047" s="1">
        <f ca="1">IFERROR(__xludf.DUMMYFUNCTION("""COMPUTED_VALUE"""),40.63)</f>
        <v>40.630000000000003</v>
      </c>
    </row>
    <row r="3048" spans="1:2">
      <c r="A3048" s="3">
        <f ca="1">IFERROR(__xludf.DUMMYFUNCTION("""COMPUTED_VALUE"""),42774.6666666666)</f>
        <v>42774.666666666599</v>
      </c>
      <c r="B3048" s="1">
        <f ca="1">IFERROR(__xludf.DUMMYFUNCTION("""COMPUTED_VALUE"""),40.99)</f>
        <v>40.99</v>
      </c>
    </row>
    <row r="3049" spans="1:2">
      <c r="A3049" s="3">
        <f ca="1">IFERROR(__xludf.DUMMYFUNCTION("""COMPUTED_VALUE"""),42775.6666666666)</f>
        <v>42775.666666666599</v>
      </c>
      <c r="B3049" s="1">
        <f ca="1">IFERROR(__xludf.DUMMYFUNCTION("""COMPUTED_VALUE"""),41.07)</f>
        <v>41.07</v>
      </c>
    </row>
    <row r="3050" spans="1:2">
      <c r="A3050" s="3">
        <f ca="1">IFERROR(__xludf.DUMMYFUNCTION("""COMPUTED_VALUE"""),42776.6666666666)</f>
        <v>42776.666666666599</v>
      </c>
      <c r="B3050" s="1">
        <f ca="1">IFERROR(__xludf.DUMMYFUNCTION("""COMPUTED_VALUE"""),41.37)</f>
        <v>41.37</v>
      </c>
    </row>
    <row r="3051" spans="1:2">
      <c r="A3051" s="3">
        <f ca="1">IFERROR(__xludf.DUMMYFUNCTION("""COMPUTED_VALUE"""),42779.6666666666)</f>
        <v>42779.666666666599</v>
      </c>
      <c r="B3051" s="1">
        <f ca="1">IFERROR(__xludf.DUMMYFUNCTION("""COMPUTED_VALUE"""),41.83)</f>
        <v>41.83</v>
      </c>
    </row>
    <row r="3052" spans="1:2">
      <c r="A3052" s="3">
        <f ca="1">IFERROR(__xludf.DUMMYFUNCTION("""COMPUTED_VALUE"""),42780.6666666666)</f>
        <v>42780.666666666599</v>
      </c>
      <c r="B3052" s="1">
        <f ca="1">IFERROR(__xludf.DUMMYFUNCTION("""COMPUTED_VALUE"""),41.82)</f>
        <v>41.82</v>
      </c>
    </row>
    <row r="3053" spans="1:2">
      <c r="A3053" s="3">
        <f ca="1">IFERROR(__xludf.DUMMYFUNCTION("""COMPUTED_VALUE"""),42781.6666666666)</f>
        <v>42781.666666666599</v>
      </c>
      <c r="B3053" s="1">
        <f ca="1">IFERROR(__xludf.DUMMYFUNCTION("""COMPUTED_VALUE"""),42.14)</f>
        <v>42.14</v>
      </c>
    </row>
    <row r="3054" spans="1:2">
      <c r="A3054" s="3">
        <f ca="1">IFERROR(__xludf.DUMMYFUNCTION("""COMPUTED_VALUE"""),42782.6666666666)</f>
        <v>42782.666666666599</v>
      </c>
      <c r="B3054" s="1">
        <f ca="1">IFERROR(__xludf.DUMMYFUNCTION("""COMPUTED_VALUE"""),42.21)</f>
        <v>42.21</v>
      </c>
    </row>
    <row r="3055" spans="1:2">
      <c r="A3055" s="3">
        <f ca="1">IFERROR(__xludf.DUMMYFUNCTION("""COMPUTED_VALUE"""),42783.6666666666)</f>
        <v>42783.666666666599</v>
      </c>
      <c r="B3055" s="1">
        <f ca="1">IFERROR(__xludf.DUMMYFUNCTION("""COMPUTED_VALUE"""),42.25)</f>
        <v>42.25</v>
      </c>
    </row>
    <row r="3056" spans="1:2">
      <c r="A3056" s="3">
        <f ca="1">IFERROR(__xludf.DUMMYFUNCTION("""COMPUTED_VALUE"""),42787.6666666666)</f>
        <v>42787.666666666599</v>
      </c>
      <c r="B3056" s="1">
        <f ca="1">IFERROR(__xludf.DUMMYFUNCTION("""COMPUTED_VALUE"""),42.82)</f>
        <v>42.82</v>
      </c>
    </row>
    <row r="3057" spans="1:2">
      <c r="A3057" s="3">
        <f ca="1">IFERROR(__xludf.DUMMYFUNCTION("""COMPUTED_VALUE"""),42788.6666666666)</f>
        <v>42788.666666666599</v>
      </c>
      <c r="B3057" s="1">
        <f ca="1">IFERROR(__xludf.DUMMYFUNCTION("""COMPUTED_VALUE"""),42.78)</f>
        <v>42.78</v>
      </c>
    </row>
    <row r="3058" spans="1:2">
      <c r="A3058" s="3">
        <f ca="1">IFERROR(__xludf.DUMMYFUNCTION("""COMPUTED_VALUE"""),42789.6666666666)</f>
        <v>42789.666666666599</v>
      </c>
      <c r="B3058" s="1">
        <f ca="1">IFERROR(__xludf.DUMMYFUNCTION("""COMPUTED_VALUE"""),42.61)</f>
        <v>42.61</v>
      </c>
    </row>
    <row r="3059" spans="1:2">
      <c r="A3059" s="3">
        <f ca="1">IFERROR(__xludf.DUMMYFUNCTION("""COMPUTED_VALUE"""),42790.6666666666)</f>
        <v>42790.666666666599</v>
      </c>
      <c r="B3059" s="1">
        <f ca="1">IFERROR(__xludf.DUMMYFUNCTION("""COMPUTED_VALUE"""),42.26)</f>
        <v>42.26</v>
      </c>
    </row>
    <row r="3060" spans="1:2">
      <c r="A3060" s="3">
        <f ca="1">IFERROR(__xludf.DUMMYFUNCTION("""COMPUTED_VALUE"""),42793.6666666666)</f>
        <v>42793.666666666599</v>
      </c>
      <c r="B3060" s="1">
        <f ca="1">IFERROR(__xludf.DUMMYFUNCTION("""COMPUTED_VALUE"""),42.43)</f>
        <v>42.43</v>
      </c>
    </row>
    <row r="3061" spans="1:2">
      <c r="A3061" s="3">
        <f ca="1">IFERROR(__xludf.DUMMYFUNCTION("""COMPUTED_VALUE"""),42794.6666666666)</f>
        <v>42794.666666666599</v>
      </c>
      <c r="B3061" s="1">
        <f ca="1">IFERROR(__xludf.DUMMYFUNCTION("""COMPUTED_VALUE"""),42.25)</f>
        <v>42.25</v>
      </c>
    </row>
    <row r="3062" spans="1:2">
      <c r="A3062" s="3">
        <f ca="1">IFERROR(__xludf.DUMMYFUNCTION("""COMPUTED_VALUE"""),42795.6666666666)</f>
        <v>42795.666666666599</v>
      </c>
      <c r="B3062" s="1">
        <f ca="1">IFERROR(__xludf.DUMMYFUNCTION("""COMPUTED_VALUE"""),42.65)</f>
        <v>42.65</v>
      </c>
    </row>
    <row r="3063" spans="1:2">
      <c r="A3063" s="3">
        <f ca="1">IFERROR(__xludf.DUMMYFUNCTION("""COMPUTED_VALUE"""),42796.6666666666)</f>
        <v>42796.666666666599</v>
      </c>
      <c r="B3063" s="1">
        <f ca="1">IFERROR(__xludf.DUMMYFUNCTION("""COMPUTED_VALUE"""),42.45)</f>
        <v>42.45</v>
      </c>
    </row>
    <row r="3064" spans="1:2">
      <c r="A3064" s="3">
        <f ca="1">IFERROR(__xludf.DUMMYFUNCTION("""COMPUTED_VALUE"""),42797.6666666666)</f>
        <v>42797.666666666599</v>
      </c>
      <c r="B3064" s="1">
        <f ca="1">IFERROR(__xludf.DUMMYFUNCTION("""COMPUTED_VALUE"""),42.49)</f>
        <v>42.49</v>
      </c>
    </row>
    <row r="3065" spans="1:2">
      <c r="A3065" s="3">
        <f ca="1">IFERROR(__xludf.DUMMYFUNCTION("""COMPUTED_VALUE"""),42800.6666666666)</f>
        <v>42800.666666666599</v>
      </c>
      <c r="B3065" s="1">
        <f ca="1">IFERROR(__xludf.DUMMYFUNCTION("""COMPUTED_VALUE"""),42.33)</f>
        <v>42.33</v>
      </c>
    </row>
    <row r="3066" spans="1:2">
      <c r="A3066" s="3">
        <f ca="1">IFERROR(__xludf.DUMMYFUNCTION("""COMPUTED_VALUE"""),42801.6666666666)</f>
        <v>42801.666666666599</v>
      </c>
      <c r="B3066" s="1">
        <f ca="1">IFERROR(__xludf.DUMMYFUNCTION("""COMPUTED_VALUE"""),42.3)</f>
        <v>42.3</v>
      </c>
    </row>
    <row r="3067" spans="1:2">
      <c r="A3067" s="3">
        <f ca="1">IFERROR(__xludf.DUMMYFUNCTION("""COMPUTED_VALUE"""),42802.6666666666)</f>
        <v>42802.666666666599</v>
      </c>
      <c r="B3067" s="1">
        <f ca="1">IFERROR(__xludf.DUMMYFUNCTION("""COMPUTED_VALUE"""),42.53)</f>
        <v>42.53</v>
      </c>
    </row>
    <row r="3068" spans="1:2">
      <c r="A3068" s="3">
        <f ca="1">IFERROR(__xludf.DUMMYFUNCTION("""COMPUTED_VALUE"""),42803.6666666666)</f>
        <v>42803.666666666599</v>
      </c>
      <c r="B3068" s="1">
        <f ca="1">IFERROR(__xludf.DUMMYFUNCTION("""COMPUTED_VALUE"""),42.65)</f>
        <v>42.65</v>
      </c>
    </row>
    <row r="3069" spans="1:2">
      <c r="A3069" s="3">
        <f ca="1">IFERROR(__xludf.DUMMYFUNCTION("""COMPUTED_VALUE"""),42804.6666666666)</f>
        <v>42804.666666666599</v>
      </c>
      <c r="B3069" s="1">
        <f ca="1">IFERROR(__xludf.DUMMYFUNCTION("""COMPUTED_VALUE"""),42.62)</f>
        <v>42.62</v>
      </c>
    </row>
    <row r="3070" spans="1:2">
      <c r="A3070" s="3">
        <f ca="1">IFERROR(__xludf.DUMMYFUNCTION("""COMPUTED_VALUE"""),42807.6666666666)</f>
        <v>42807.666666666599</v>
      </c>
      <c r="B3070" s="1">
        <f ca="1">IFERROR(__xludf.DUMMYFUNCTION("""COMPUTED_VALUE"""),42.73)</f>
        <v>42.73</v>
      </c>
    </row>
    <row r="3071" spans="1:2">
      <c r="A3071" s="3">
        <f ca="1">IFERROR(__xludf.DUMMYFUNCTION("""COMPUTED_VALUE"""),42808.6666666666)</f>
        <v>42808.666666666599</v>
      </c>
      <c r="B3071" s="1">
        <f ca="1">IFERROR(__xludf.DUMMYFUNCTION("""COMPUTED_VALUE"""),42.63)</f>
        <v>42.63</v>
      </c>
    </row>
    <row r="3072" spans="1:2">
      <c r="A3072" s="3">
        <f ca="1">IFERROR(__xludf.DUMMYFUNCTION("""COMPUTED_VALUE"""),42809.6666666666)</f>
        <v>42809.666666666599</v>
      </c>
      <c r="B3072" s="1">
        <f ca="1">IFERROR(__xludf.DUMMYFUNCTION("""COMPUTED_VALUE"""),42.65)</f>
        <v>42.65</v>
      </c>
    </row>
    <row r="3073" spans="1:2">
      <c r="A3073" s="3">
        <f ca="1">IFERROR(__xludf.DUMMYFUNCTION("""COMPUTED_VALUE"""),42810.6666666666)</f>
        <v>42810.666666666599</v>
      </c>
      <c r="B3073" s="1">
        <f ca="1">IFERROR(__xludf.DUMMYFUNCTION("""COMPUTED_VALUE"""),42.67)</f>
        <v>42.67</v>
      </c>
    </row>
    <row r="3074" spans="1:2">
      <c r="A3074" s="3">
        <f ca="1">IFERROR(__xludf.DUMMYFUNCTION("""COMPUTED_VALUE"""),42811.6666666666)</f>
        <v>42811.666666666599</v>
      </c>
      <c r="B3074" s="1">
        <f ca="1">IFERROR(__xludf.DUMMYFUNCTION("""COMPUTED_VALUE"""),42.62)</f>
        <v>42.62</v>
      </c>
    </row>
    <row r="3075" spans="1:2">
      <c r="A3075" s="3">
        <f ca="1">IFERROR(__xludf.DUMMYFUNCTION("""COMPUTED_VALUE"""),42814.6666666666)</f>
        <v>42814.666666666599</v>
      </c>
      <c r="B3075" s="1">
        <f ca="1">IFERROR(__xludf.DUMMYFUNCTION("""COMPUTED_VALUE"""),42.85)</f>
        <v>42.85</v>
      </c>
    </row>
    <row r="3076" spans="1:2">
      <c r="A3076" s="3">
        <f ca="1">IFERROR(__xludf.DUMMYFUNCTION("""COMPUTED_VALUE"""),42815.6666666666)</f>
        <v>42815.666666666599</v>
      </c>
      <c r="B3076" s="1">
        <f ca="1">IFERROR(__xludf.DUMMYFUNCTION("""COMPUTED_VALUE"""),42.16)</f>
        <v>42.16</v>
      </c>
    </row>
    <row r="3077" spans="1:2">
      <c r="A3077" s="3">
        <f ca="1">IFERROR(__xludf.DUMMYFUNCTION("""COMPUTED_VALUE"""),42816.6666666666)</f>
        <v>42816.666666666599</v>
      </c>
      <c r="B3077" s="1">
        <f ca="1">IFERROR(__xludf.DUMMYFUNCTION("""COMPUTED_VALUE"""),42.4)</f>
        <v>42.4</v>
      </c>
    </row>
    <row r="3078" spans="1:2">
      <c r="A3078" s="3">
        <f ca="1">IFERROR(__xludf.DUMMYFUNCTION("""COMPUTED_VALUE"""),42817.6666666666)</f>
        <v>42817.666666666599</v>
      </c>
      <c r="B3078" s="1">
        <f ca="1">IFERROR(__xludf.DUMMYFUNCTION("""COMPUTED_VALUE"""),42.37)</f>
        <v>42.37</v>
      </c>
    </row>
    <row r="3079" spans="1:2">
      <c r="A3079" s="3">
        <f ca="1">IFERROR(__xludf.DUMMYFUNCTION("""COMPUTED_VALUE"""),42818.6666666666)</f>
        <v>42818.666666666599</v>
      </c>
      <c r="B3079" s="1">
        <f ca="1">IFERROR(__xludf.DUMMYFUNCTION("""COMPUTED_VALUE"""),42.28)</f>
        <v>42.28</v>
      </c>
    </row>
    <row r="3080" spans="1:2">
      <c r="A3080" s="3">
        <f ca="1">IFERROR(__xludf.DUMMYFUNCTION("""COMPUTED_VALUE"""),42821.6666666666)</f>
        <v>42821.666666666599</v>
      </c>
      <c r="B3080" s="1">
        <f ca="1">IFERROR(__xludf.DUMMYFUNCTION("""COMPUTED_VALUE"""),42.34)</f>
        <v>42.34</v>
      </c>
    </row>
    <row r="3081" spans="1:2">
      <c r="A3081" s="3">
        <f ca="1">IFERROR(__xludf.DUMMYFUNCTION("""COMPUTED_VALUE"""),42822.6666666666)</f>
        <v>42822.666666666599</v>
      </c>
      <c r="B3081" s="1">
        <f ca="1">IFERROR(__xludf.DUMMYFUNCTION("""COMPUTED_VALUE"""),42.8)</f>
        <v>42.8</v>
      </c>
    </row>
    <row r="3082" spans="1:2">
      <c r="A3082" s="3">
        <f ca="1">IFERROR(__xludf.DUMMYFUNCTION("""COMPUTED_VALUE"""),42823.6666666666)</f>
        <v>42823.666666666599</v>
      </c>
      <c r="B3082" s="1">
        <f ca="1">IFERROR(__xludf.DUMMYFUNCTION("""COMPUTED_VALUE"""),43.72)</f>
        <v>43.72</v>
      </c>
    </row>
    <row r="3083" spans="1:2">
      <c r="A3083" s="3">
        <f ca="1">IFERROR(__xludf.DUMMYFUNCTION("""COMPUTED_VALUE"""),42824.6666666666)</f>
        <v>42824.666666666599</v>
      </c>
      <c r="B3083" s="1">
        <f ca="1">IFERROR(__xludf.DUMMYFUNCTION("""COMPUTED_VALUE"""),43.82)</f>
        <v>43.82</v>
      </c>
    </row>
    <row r="3084" spans="1:2">
      <c r="A3084" s="3">
        <f ca="1">IFERROR(__xludf.DUMMYFUNCTION("""COMPUTED_VALUE"""),42825.6666666666)</f>
        <v>42825.666666666599</v>
      </c>
      <c r="B3084" s="1">
        <f ca="1">IFERROR(__xludf.DUMMYFUNCTION("""COMPUTED_VALUE"""),44.33)</f>
        <v>44.33</v>
      </c>
    </row>
    <row r="3085" spans="1:2">
      <c r="A3085" s="3">
        <f ca="1">IFERROR(__xludf.DUMMYFUNCTION("""COMPUTED_VALUE"""),42828.6666666666)</f>
        <v>42828.666666666599</v>
      </c>
      <c r="B3085" s="1">
        <f ca="1">IFERROR(__xludf.DUMMYFUNCTION("""COMPUTED_VALUE"""),44.58)</f>
        <v>44.58</v>
      </c>
    </row>
    <row r="3086" spans="1:2">
      <c r="A3086" s="3">
        <f ca="1">IFERROR(__xludf.DUMMYFUNCTION("""COMPUTED_VALUE"""),42829.6666666666)</f>
        <v>42829.666666666599</v>
      </c>
      <c r="B3086" s="1">
        <f ca="1">IFERROR(__xludf.DUMMYFUNCTION("""COMPUTED_VALUE"""),45.34)</f>
        <v>45.34</v>
      </c>
    </row>
    <row r="3087" spans="1:2">
      <c r="A3087" s="3">
        <f ca="1">IFERROR(__xludf.DUMMYFUNCTION("""COMPUTED_VALUE"""),42830.6666666666)</f>
        <v>42830.666666666599</v>
      </c>
      <c r="B3087" s="1">
        <f ca="1">IFERROR(__xludf.DUMMYFUNCTION("""COMPUTED_VALUE"""),45.46)</f>
        <v>45.46</v>
      </c>
    </row>
    <row r="3088" spans="1:2">
      <c r="A3088" s="3">
        <f ca="1">IFERROR(__xludf.DUMMYFUNCTION("""COMPUTED_VALUE"""),42831.6666666666)</f>
        <v>42831.666666666599</v>
      </c>
      <c r="B3088" s="1">
        <f ca="1">IFERROR(__xludf.DUMMYFUNCTION("""COMPUTED_VALUE"""),44.91)</f>
        <v>44.91</v>
      </c>
    </row>
    <row r="3089" spans="1:2">
      <c r="A3089" s="3">
        <f ca="1">IFERROR(__xludf.DUMMYFUNCTION("""COMPUTED_VALUE"""),42832.6666666666)</f>
        <v>42832.666666666599</v>
      </c>
      <c r="B3089" s="1">
        <f ca="1">IFERROR(__xludf.DUMMYFUNCTION("""COMPUTED_VALUE"""),44.74)</f>
        <v>44.74</v>
      </c>
    </row>
    <row r="3090" spans="1:2">
      <c r="A3090" s="3">
        <f ca="1">IFERROR(__xludf.DUMMYFUNCTION("""COMPUTED_VALUE"""),42835.6666666666)</f>
        <v>42835.666666666599</v>
      </c>
      <c r="B3090" s="1">
        <f ca="1">IFERROR(__xludf.DUMMYFUNCTION("""COMPUTED_VALUE"""),45.35)</f>
        <v>45.35</v>
      </c>
    </row>
    <row r="3091" spans="1:2">
      <c r="A3091" s="3">
        <f ca="1">IFERROR(__xludf.DUMMYFUNCTION("""COMPUTED_VALUE"""),42836.6666666666)</f>
        <v>42836.666666666599</v>
      </c>
      <c r="B3091" s="1">
        <f ca="1">IFERROR(__xludf.DUMMYFUNCTION("""COMPUTED_VALUE"""),45.12)</f>
        <v>45.12</v>
      </c>
    </row>
    <row r="3092" spans="1:2">
      <c r="A3092" s="3">
        <f ca="1">IFERROR(__xludf.DUMMYFUNCTION("""COMPUTED_VALUE"""),42837.6666666666)</f>
        <v>42837.666666666599</v>
      </c>
      <c r="B3092" s="1">
        <f ca="1">IFERROR(__xludf.DUMMYFUNCTION("""COMPUTED_VALUE"""),44.81)</f>
        <v>44.81</v>
      </c>
    </row>
    <row r="3093" spans="1:2">
      <c r="A3093" s="3">
        <f ca="1">IFERROR(__xludf.DUMMYFUNCTION("""COMPUTED_VALUE"""),42838.6666666666)</f>
        <v>42838.666666666599</v>
      </c>
      <c r="B3093" s="1">
        <f ca="1">IFERROR(__xludf.DUMMYFUNCTION("""COMPUTED_VALUE"""),44.23)</f>
        <v>44.23</v>
      </c>
    </row>
    <row r="3094" spans="1:2">
      <c r="A3094" s="3">
        <f ca="1">IFERROR(__xludf.DUMMYFUNCTION("""COMPUTED_VALUE"""),42842.6666666666)</f>
        <v>42842.666666666599</v>
      </c>
      <c r="B3094" s="1">
        <f ca="1">IFERROR(__xludf.DUMMYFUNCTION("""COMPUTED_VALUE"""),45.1)</f>
        <v>45.1</v>
      </c>
    </row>
    <row r="3095" spans="1:2">
      <c r="A3095" s="3">
        <f ca="1">IFERROR(__xludf.DUMMYFUNCTION("""COMPUTED_VALUE"""),42843.6666666666)</f>
        <v>42843.666666666599</v>
      </c>
      <c r="B3095" s="1">
        <f ca="1">IFERROR(__xludf.DUMMYFUNCTION("""COMPUTED_VALUE"""),45.19)</f>
        <v>45.19</v>
      </c>
    </row>
    <row r="3096" spans="1:2">
      <c r="A3096" s="3">
        <f ca="1">IFERROR(__xludf.DUMMYFUNCTION("""COMPUTED_VALUE"""),42844.6666666666)</f>
        <v>42844.666666666599</v>
      </c>
      <c r="B3096" s="1">
        <f ca="1">IFERROR(__xludf.DUMMYFUNCTION("""COMPUTED_VALUE"""),44.96)</f>
        <v>44.96</v>
      </c>
    </row>
    <row r="3097" spans="1:2">
      <c r="A3097" s="3">
        <f ca="1">IFERROR(__xludf.DUMMYFUNCTION("""COMPUTED_VALUE"""),42845.6666666666)</f>
        <v>42845.666666666599</v>
      </c>
      <c r="B3097" s="1">
        <f ca="1">IFERROR(__xludf.DUMMYFUNCTION("""COMPUTED_VALUE"""),45.1)</f>
        <v>45.1</v>
      </c>
    </row>
    <row r="3098" spans="1:2">
      <c r="A3098" s="3">
        <f ca="1">IFERROR(__xludf.DUMMYFUNCTION("""COMPUTED_VALUE"""),42846.6666666666)</f>
        <v>42846.666666666599</v>
      </c>
      <c r="B3098" s="1">
        <f ca="1">IFERROR(__xludf.DUMMYFUNCTION("""COMPUTED_VALUE"""),44.93)</f>
        <v>44.93</v>
      </c>
    </row>
    <row r="3099" spans="1:2">
      <c r="A3099" s="3">
        <f ca="1">IFERROR(__xludf.DUMMYFUNCTION("""COMPUTED_VALUE"""),42849.6666666666)</f>
        <v>42849.666666666599</v>
      </c>
      <c r="B3099" s="1">
        <f ca="1">IFERROR(__xludf.DUMMYFUNCTION("""COMPUTED_VALUE"""),45.37)</f>
        <v>45.37</v>
      </c>
    </row>
    <row r="3100" spans="1:2">
      <c r="A3100" s="3">
        <f ca="1">IFERROR(__xludf.DUMMYFUNCTION("""COMPUTED_VALUE"""),42850.6666666666)</f>
        <v>42850.666666666599</v>
      </c>
      <c r="B3100" s="1">
        <f ca="1">IFERROR(__xludf.DUMMYFUNCTION("""COMPUTED_VALUE"""),45.38)</f>
        <v>45.38</v>
      </c>
    </row>
    <row r="3101" spans="1:2">
      <c r="A3101" s="3">
        <f ca="1">IFERROR(__xludf.DUMMYFUNCTION("""COMPUTED_VALUE"""),42851.6666666666)</f>
        <v>42851.666666666599</v>
      </c>
      <c r="B3101" s="1">
        <f ca="1">IFERROR(__xludf.DUMMYFUNCTION("""COMPUTED_VALUE"""),45.46)</f>
        <v>45.46</v>
      </c>
    </row>
    <row r="3102" spans="1:2">
      <c r="A3102" s="3">
        <f ca="1">IFERROR(__xludf.DUMMYFUNCTION("""COMPUTED_VALUE"""),42852.6666666666)</f>
        <v>42852.666666666599</v>
      </c>
      <c r="B3102" s="1">
        <f ca="1">IFERROR(__xludf.DUMMYFUNCTION("""COMPUTED_VALUE"""),45.92)</f>
        <v>45.92</v>
      </c>
    </row>
    <row r="3103" spans="1:2">
      <c r="A3103" s="3">
        <f ca="1">IFERROR(__xludf.DUMMYFUNCTION("""COMPUTED_VALUE"""),42853.6666666666)</f>
        <v>42853.666666666599</v>
      </c>
      <c r="B3103" s="1">
        <f ca="1">IFERROR(__xludf.DUMMYFUNCTION("""COMPUTED_VALUE"""),46.25)</f>
        <v>46.25</v>
      </c>
    </row>
    <row r="3104" spans="1:2">
      <c r="A3104" s="3">
        <f ca="1">IFERROR(__xludf.DUMMYFUNCTION("""COMPUTED_VALUE"""),42856.6666666666)</f>
        <v>42856.666666666599</v>
      </c>
      <c r="B3104" s="1">
        <f ca="1">IFERROR(__xludf.DUMMYFUNCTION("""COMPUTED_VALUE"""),47.41)</f>
        <v>47.41</v>
      </c>
    </row>
    <row r="3105" spans="1:2">
      <c r="A3105" s="3">
        <f ca="1">IFERROR(__xludf.DUMMYFUNCTION("""COMPUTED_VALUE"""),42857.6666666666)</f>
        <v>42857.666666666599</v>
      </c>
      <c r="B3105" s="1">
        <f ca="1">IFERROR(__xludf.DUMMYFUNCTION("""COMPUTED_VALUE"""),47.35)</f>
        <v>47.35</v>
      </c>
    </row>
    <row r="3106" spans="1:2">
      <c r="A3106" s="3">
        <f ca="1">IFERROR(__xludf.DUMMYFUNCTION("""COMPUTED_VALUE"""),42858.6666666666)</f>
        <v>42858.666666666599</v>
      </c>
      <c r="B3106" s="1">
        <f ca="1">IFERROR(__xludf.DUMMYFUNCTION("""COMPUTED_VALUE"""),47.05)</f>
        <v>47.05</v>
      </c>
    </row>
    <row r="3107" spans="1:2">
      <c r="A3107" s="3">
        <f ca="1">IFERROR(__xludf.DUMMYFUNCTION("""COMPUTED_VALUE"""),42859.6666666666)</f>
        <v>42859.666666666599</v>
      </c>
      <c r="B3107" s="1">
        <f ca="1">IFERROR(__xludf.DUMMYFUNCTION("""COMPUTED_VALUE"""),46.88)</f>
        <v>46.88</v>
      </c>
    </row>
    <row r="3108" spans="1:2">
      <c r="A3108" s="3">
        <f ca="1">IFERROR(__xludf.DUMMYFUNCTION("""COMPUTED_VALUE"""),42860.6666666666)</f>
        <v>42860.666666666599</v>
      </c>
      <c r="B3108" s="1">
        <f ca="1">IFERROR(__xludf.DUMMYFUNCTION("""COMPUTED_VALUE"""),46.71)</f>
        <v>46.71</v>
      </c>
    </row>
    <row r="3109" spans="1:2">
      <c r="A3109" s="3">
        <f ca="1">IFERROR(__xludf.DUMMYFUNCTION("""COMPUTED_VALUE"""),42863.6666666666)</f>
        <v>42863.666666666599</v>
      </c>
      <c r="B3109" s="1">
        <f ca="1">IFERROR(__xludf.DUMMYFUNCTION("""COMPUTED_VALUE"""),47.45)</f>
        <v>47.45</v>
      </c>
    </row>
    <row r="3110" spans="1:2">
      <c r="A3110" s="3">
        <f ca="1">IFERROR(__xludf.DUMMYFUNCTION("""COMPUTED_VALUE"""),42864.6666666666)</f>
        <v>42864.666666666599</v>
      </c>
      <c r="B3110" s="1">
        <f ca="1">IFERROR(__xludf.DUMMYFUNCTION("""COMPUTED_VALUE"""),47.64)</f>
        <v>47.64</v>
      </c>
    </row>
    <row r="3111" spans="1:2">
      <c r="A3111" s="3">
        <f ca="1">IFERROR(__xludf.DUMMYFUNCTION("""COMPUTED_VALUE"""),42865.6666666666)</f>
        <v>42865.666666666599</v>
      </c>
      <c r="B3111" s="1">
        <f ca="1">IFERROR(__xludf.DUMMYFUNCTION("""COMPUTED_VALUE"""),47.45)</f>
        <v>47.45</v>
      </c>
    </row>
    <row r="3112" spans="1:2">
      <c r="A3112" s="3">
        <f ca="1">IFERROR(__xludf.DUMMYFUNCTION("""COMPUTED_VALUE"""),42866.6666666666)</f>
        <v>42866.666666666599</v>
      </c>
      <c r="B3112" s="1">
        <f ca="1">IFERROR(__xludf.DUMMYFUNCTION("""COMPUTED_VALUE"""),47.38)</f>
        <v>47.38</v>
      </c>
    </row>
    <row r="3113" spans="1:2">
      <c r="A3113" s="3">
        <f ca="1">IFERROR(__xludf.DUMMYFUNCTION("""COMPUTED_VALUE"""),42867.6666666666)</f>
        <v>42867.666666666599</v>
      </c>
      <c r="B3113" s="1">
        <f ca="1">IFERROR(__xludf.DUMMYFUNCTION("""COMPUTED_VALUE"""),48.07)</f>
        <v>48.07</v>
      </c>
    </row>
    <row r="3114" spans="1:2">
      <c r="A3114" s="3">
        <f ca="1">IFERROR(__xludf.DUMMYFUNCTION("""COMPUTED_VALUE"""),42870.6666666666)</f>
        <v>42870.666666666599</v>
      </c>
      <c r="B3114" s="1">
        <f ca="1">IFERROR(__xludf.DUMMYFUNCTION("""COMPUTED_VALUE"""),47.9)</f>
        <v>47.9</v>
      </c>
    </row>
    <row r="3115" spans="1:2">
      <c r="A3115" s="3">
        <f ca="1">IFERROR(__xludf.DUMMYFUNCTION("""COMPUTED_VALUE"""),42871.6666666666)</f>
        <v>42871.666666666599</v>
      </c>
      <c r="B3115" s="1">
        <f ca="1">IFERROR(__xludf.DUMMYFUNCTION("""COMPUTED_VALUE"""),48.3)</f>
        <v>48.3</v>
      </c>
    </row>
    <row r="3116" spans="1:2">
      <c r="A3116" s="3">
        <f ca="1">IFERROR(__xludf.DUMMYFUNCTION("""COMPUTED_VALUE"""),42872.6666666666)</f>
        <v>42872.666666666599</v>
      </c>
      <c r="B3116" s="1">
        <f ca="1">IFERROR(__xludf.DUMMYFUNCTION("""COMPUTED_VALUE"""),47.24)</f>
        <v>47.24</v>
      </c>
    </row>
    <row r="3117" spans="1:2">
      <c r="A3117" s="3">
        <f ca="1">IFERROR(__xludf.DUMMYFUNCTION("""COMPUTED_VALUE"""),42873.6666666666)</f>
        <v>42873.666666666599</v>
      </c>
      <c r="B3117" s="1">
        <f ca="1">IFERROR(__xludf.DUMMYFUNCTION("""COMPUTED_VALUE"""),47.92)</f>
        <v>47.92</v>
      </c>
    </row>
    <row r="3118" spans="1:2">
      <c r="A3118" s="3">
        <f ca="1">IFERROR(__xludf.DUMMYFUNCTION("""COMPUTED_VALUE"""),42874.6666666666)</f>
        <v>42874.666666666599</v>
      </c>
      <c r="B3118" s="1">
        <f ca="1">IFERROR(__xludf.DUMMYFUNCTION("""COMPUTED_VALUE"""),47.99)</f>
        <v>47.99</v>
      </c>
    </row>
    <row r="3119" spans="1:2">
      <c r="A3119" s="3">
        <f ca="1">IFERROR(__xludf.DUMMYFUNCTION("""COMPUTED_VALUE"""),42877.6666666666)</f>
        <v>42877.666666666599</v>
      </c>
      <c r="B3119" s="1">
        <f ca="1">IFERROR(__xludf.DUMMYFUNCTION("""COMPUTED_VALUE"""),48.53)</f>
        <v>48.53</v>
      </c>
    </row>
    <row r="3120" spans="1:2">
      <c r="A3120" s="3">
        <f ca="1">IFERROR(__xludf.DUMMYFUNCTION("""COMPUTED_VALUE"""),42878.6666666666)</f>
        <v>42878.666666666599</v>
      </c>
      <c r="B3120" s="1">
        <f ca="1">IFERROR(__xludf.DUMMYFUNCTION("""COMPUTED_VALUE"""),48.58)</f>
        <v>48.58</v>
      </c>
    </row>
    <row r="3121" spans="1:2">
      <c r="A3121" s="3">
        <f ca="1">IFERROR(__xludf.DUMMYFUNCTION("""COMPUTED_VALUE"""),42879.6666666666)</f>
        <v>42879.666666666599</v>
      </c>
      <c r="B3121" s="1">
        <f ca="1">IFERROR(__xludf.DUMMYFUNCTION("""COMPUTED_VALUE"""),49.02)</f>
        <v>49.02</v>
      </c>
    </row>
    <row r="3122" spans="1:2">
      <c r="A3122" s="3">
        <f ca="1">IFERROR(__xludf.DUMMYFUNCTION("""COMPUTED_VALUE"""),42880.6666666666)</f>
        <v>42880.666666666599</v>
      </c>
      <c r="B3122" s="1">
        <f ca="1">IFERROR(__xludf.DUMMYFUNCTION("""COMPUTED_VALUE"""),49.67)</f>
        <v>49.67</v>
      </c>
    </row>
    <row r="3123" spans="1:2">
      <c r="A3123" s="3">
        <f ca="1">IFERROR(__xludf.DUMMYFUNCTION("""COMPUTED_VALUE"""),42881.6666666666)</f>
        <v>42881.666666666599</v>
      </c>
      <c r="B3123" s="1">
        <f ca="1">IFERROR(__xludf.DUMMYFUNCTION("""COMPUTED_VALUE"""),49.79)</f>
        <v>49.79</v>
      </c>
    </row>
    <row r="3124" spans="1:2">
      <c r="A3124" s="3">
        <f ca="1">IFERROR(__xludf.DUMMYFUNCTION("""COMPUTED_VALUE"""),42885.6666666666)</f>
        <v>42885.666666666599</v>
      </c>
      <c r="B3124" s="1">
        <f ca="1">IFERROR(__xludf.DUMMYFUNCTION("""COMPUTED_VALUE"""),49.84)</f>
        <v>49.84</v>
      </c>
    </row>
    <row r="3125" spans="1:2">
      <c r="A3125" s="3">
        <f ca="1">IFERROR(__xludf.DUMMYFUNCTION("""COMPUTED_VALUE"""),42886.6666666666)</f>
        <v>42886.666666666599</v>
      </c>
      <c r="B3125" s="1">
        <f ca="1">IFERROR(__xludf.DUMMYFUNCTION("""COMPUTED_VALUE"""),49.73)</f>
        <v>49.73</v>
      </c>
    </row>
    <row r="3126" spans="1:2">
      <c r="A3126" s="3">
        <f ca="1">IFERROR(__xludf.DUMMYFUNCTION("""COMPUTED_VALUE"""),42887.6666666666)</f>
        <v>42887.666666666599</v>
      </c>
      <c r="B3126" s="1">
        <f ca="1">IFERROR(__xludf.DUMMYFUNCTION("""COMPUTED_VALUE"""),49.8)</f>
        <v>49.8</v>
      </c>
    </row>
    <row r="3127" spans="1:2">
      <c r="A3127" s="3">
        <f ca="1">IFERROR(__xludf.DUMMYFUNCTION("""COMPUTED_VALUE"""),42888.6666666666)</f>
        <v>42888.666666666599</v>
      </c>
      <c r="B3127" s="1">
        <f ca="1">IFERROR(__xludf.DUMMYFUNCTION("""COMPUTED_VALUE"""),50.34)</f>
        <v>50.34</v>
      </c>
    </row>
    <row r="3128" spans="1:2">
      <c r="A3128" s="3">
        <f ca="1">IFERROR(__xludf.DUMMYFUNCTION("""COMPUTED_VALUE"""),42891.6666666666)</f>
        <v>42891.666666666599</v>
      </c>
      <c r="B3128" s="1">
        <f ca="1">IFERROR(__xludf.DUMMYFUNCTION("""COMPUTED_VALUE"""),50.57)</f>
        <v>50.57</v>
      </c>
    </row>
    <row r="3129" spans="1:2">
      <c r="A3129" s="3">
        <f ca="1">IFERROR(__xludf.DUMMYFUNCTION("""COMPUTED_VALUE"""),42892.6666666666)</f>
        <v>42892.666666666599</v>
      </c>
      <c r="B3129" s="1">
        <f ca="1">IFERROR(__xludf.DUMMYFUNCTION("""COMPUTED_VALUE"""),50.15)</f>
        <v>50.15</v>
      </c>
    </row>
    <row r="3130" spans="1:2">
      <c r="A3130" s="3">
        <f ca="1">IFERROR(__xludf.DUMMYFUNCTION("""COMPUTED_VALUE"""),42893.6666666666)</f>
        <v>42893.666666666599</v>
      </c>
      <c r="B3130" s="1">
        <f ca="1">IFERROR(__xludf.DUMMYFUNCTION("""COMPUTED_VALUE"""),50.5)</f>
        <v>50.5</v>
      </c>
    </row>
    <row r="3131" spans="1:2">
      <c r="A3131" s="3">
        <f ca="1">IFERROR(__xludf.DUMMYFUNCTION("""COMPUTED_VALUE"""),42894.6666666666)</f>
        <v>42894.666666666599</v>
      </c>
      <c r="B3131" s="1">
        <f ca="1">IFERROR(__xludf.DUMMYFUNCTION("""COMPUTED_VALUE"""),50.51)</f>
        <v>50.51</v>
      </c>
    </row>
    <row r="3132" spans="1:2">
      <c r="A3132" s="3">
        <f ca="1">IFERROR(__xludf.DUMMYFUNCTION("""COMPUTED_VALUE"""),42895.6666666666)</f>
        <v>42895.666666666599</v>
      </c>
      <c r="B3132" s="1">
        <f ca="1">IFERROR(__xludf.DUMMYFUNCTION("""COMPUTED_VALUE"""),48.92)</f>
        <v>48.92</v>
      </c>
    </row>
    <row r="3133" spans="1:2">
      <c r="A3133" s="3">
        <f ca="1">IFERROR(__xludf.DUMMYFUNCTION("""COMPUTED_VALUE"""),42898.6666666666)</f>
        <v>42898.666666666599</v>
      </c>
      <c r="B3133" s="1">
        <f ca="1">IFERROR(__xludf.DUMMYFUNCTION("""COMPUTED_VALUE"""),48.25)</f>
        <v>48.25</v>
      </c>
    </row>
    <row r="3134" spans="1:2">
      <c r="A3134" s="3">
        <f ca="1">IFERROR(__xludf.DUMMYFUNCTION("""COMPUTED_VALUE"""),42899.6666666666)</f>
        <v>42899.666666666599</v>
      </c>
      <c r="B3134" s="1">
        <f ca="1">IFERROR(__xludf.DUMMYFUNCTION("""COMPUTED_VALUE"""),49.04)</f>
        <v>49.04</v>
      </c>
    </row>
    <row r="3135" spans="1:2">
      <c r="A3135" s="3">
        <f ca="1">IFERROR(__xludf.DUMMYFUNCTION("""COMPUTED_VALUE"""),42900.6666666666)</f>
        <v>42900.666666666599</v>
      </c>
      <c r="B3135" s="1">
        <f ca="1">IFERROR(__xludf.DUMMYFUNCTION("""COMPUTED_VALUE"""),48.82)</f>
        <v>48.82</v>
      </c>
    </row>
    <row r="3136" spans="1:2">
      <c r="A3136" s="3">
        <f ca="1">IFERROR(__xludf.DUMMYFUNCTION("""COMPUTED_VALUE"""),42901.6666666666)</f>
        <v>42901.666666666599</v>
      </c>
      <c r="B3136" s="1">
        <f ca="1">IFERROR(__xludf.DUMMYFUNCTION("""COMPUTED_VALUE"""),48.21)</f>
        <v>48.21</v>
      </c>
    </row>
    <row r="3137" spans="1:2">
      <c r="A3137" s="3">
        <f ca="1">IFERROR(__xludf.DUMMYFUNCTION("""COMPUTED_VALUE"""),42902.6666666666)</f>
        <v>42902.666666666599</v>
      </c>
      <c r="B3137" s="1">
        <f ca="1">IFERROR(__xludf.DUMMYFUNCTION("""COMPUTED_VALUE"""),49.39)</f>
        <v>49.39</v>
      </c>
    </row>
    <row r="3138" spans="1:2">
      <c r="A3138" s="3">
        <f ca="1">IFERROR(__xludf.DUMMYFUNCTION("""COMPUTED_VALUE"""),42905.6666666666)</f>
        <v>42905.666666666599</v>
      </c>
      <c r="B3138" s="1">
        <f ca="1">IFERROR(__xludf.DUMMYFUNCTION("""COMPUTED_VALUE"""),49.76)</f>
        <v>49.76</v>
      </c>
    </row>
    <row r="3139" spans="1:2">
      <c r="A3139" s="3">
        <f ca="1">IFERROR(__xludf.DUMMYFUNCTION("""COMPUTED_VALUE"""),42906.6666666666)</f>
        <v>42906.666666666599</v>
      </c>
      <c r="B3139" s="1">
        <f ca="1">IFERROR(__xludf.DUMMYFUNCTION("""COMPUTED_VALUE"""),49.63)</f>
        <v>49.63</v>
      </c>
    </row>
    <row r="3140" spans="1:2">
      <c r="A3140" s="3">
        <f ca="1">IFERROR(__xludf.DUMMYFUNCTION("""COMPUTED_VALUE"""),42907.6666666666)</f>
        <v>42907.666666666599</v>
      </c>
      <c r="B3140" s="1">
        <f ca="1">IFERROR(__xludf.DUMMYFUNCTION("""COMPUTED_VALUE"""),50.11)</f>
        <v>50.11</v>
      </c>
    </row>
    <row r="3141" spans="1:2">
      <c r="A3141" s="3">
        <f ca="1">IFERROR(__xludf.DUMMYFUNCTION("""COMPUTED_VALUE"""),42908.6666666666)</f>
        <v>42908.666666666599</v>
      </c>
      <c r="B3141" s="1">
        <f ca="1">IFERROR(__xludf.DUMMYFUNCTION("""COMPUTED_VALUE"""),50.07)</f>
        <v>50.07</v>
      </c>
    </row>
    <row r="3142" spans="1:2">
      <c r="A3142" s="3">
        <f ca="1">IFERROR(__xludf.DUMMYFUNCTION("""COMPUTED_VALUE"""),42909.6666666666)</f>
        <v>42909.666666666599</v>
      </c>
      <c r="B3142" s="1">
        <f ca="1">IFERROR(__xludf.DUMMYFUNCTION("""COMPUTED_VALUE"""),50.19)</f>
        <v>50.19</v>
      </c>
    </row>
    <row r="3143" spans="1:2">
      <c r="A3143" s="3">
        <f ca="1">IFERROR(__xludf.DUMMYFUNCTION("""COMPUTED_VALUE"""),42912.6666666666)</f>
        <v>42912.666666666599</v>
      </c>
      <c r="B3143" s="1">
        <f ca="1">IFERROR(__xludf.DUMMYFUNCTION("""COMPUTED_VALUE"""),49.7)</f>
        <v>49.7</v>
      </c>
    </row>
    <row r="3144" spans="1:2">
      <c r="A3144" s="3">
        <f ca="1">IFERROR(__xludf.DUMMYFUNCTION("""COMPUTED_VALUE"""),42913.6666666666)</f>
        <v>42913.666666666599</v>
      </c>
      <c r="B3144" s="1">
        <f ca="1">IFERROR(__xludf.DUMMYFUNCTION("""COMPUTED_VALUE"""),48.84)</f>
        <v>48.84</v>
      </c>
    </row>
    <row r="3145" spans="1:2">
      <c r="A3145" s="3">
        <f ca="1">IFERROR(__xludf.DUMMYFUNCTION("""COMPUTED_VALUE"""),42914.6666666666)</f>
        <v>42914.666666666599</v>
      </c>
      <c r="B3145" s="1">
        <f ca="1">IFERROR(__xludf.DUMMYFUNCTION("""COMPUTED_VALUE"""),49.52)</f>
        <v>49.52</v>
      </c>
    </row>
    <row r="3146" spans="1:2">
      <c r="A3146" s="3">
        <f ca="1">IFERROR(__xludf.DUMMYFUNCTION("""COMPUTED_VALUE"""),42915.6666666666)</f>
        <v>42915.666666666599</v>
      </c>
      <c r="B3146" s="1">
        <f ca="1">IFERROR(__xludf.DUMMYFUNCTION("""COMPUTED_VALUE"""),48.8)</f>
        <v>48.8</v>
      </c>
    </row>
    <row r="3147" spans="1:2">
      <c r="A3147" s="3">
        <f ca="1">IFERROR(__xludf.DUMMYFUNCTION("""COMPUTED_VALUE"""),42916.6666666666)</f>
        <v>42916.666666666599</v>
      </c>
      <c r="B3147" s="1">
        <f ca="1">IFERROR(__xludf.DUMMYFUNCTION("""COMPUTED_VALUE"""),48.4)</f>
        <v>48.4</v>
      </c>
    </row>
    <row r="3148" spans="1:2">
      <c r="A3148" s="3">
        <f ca="1">IFERROR(__xludf.DUMMYFUNCTION("""COMPUTED_VALUE"""),42919.6666666666)</f>
        <v>42919.666666666599</v>
      </c>
      <c r="B3148" s="1">
        <f ca="1">IFERROR(__xludf.DUMMYFUNCTION("""COMPUTED_VALUE"""),47.68)</f>
        <v>47.68</v>
      </c>
    </row>
    <row r="3149" spans="1:2">
      <c r="A3149" s="3">
        <f ca="1">IFERROR(__xludf.DUMMYFUNCTION("""COMPUTED_VALUE"""),42921.6666666666)</f>
        <v>42921.666666666599</v>
      </c>
      <c r="B3149" s="1">
        <f ca="1">IFERROR(__xludf.DUMMYFUNCTION("""COMPUTED_VALUE"""),48.57)</f>
        <v>48.57</v>
      </c>
    </row>
    <row r="3150" spans="1:2">
      <c r="A3150" s="3">
        <f ca="1">IFERROR(__xludf.DUMMYFUNCTION("""COMPUTED_VALUE"""),42922.6666666666)</f>
        <v>42922.666666666599</v>
      </c>
      <c r="B3150" s="1">
        <f ca="1">IFERROR(__xludf.DUMMYFUNCTION("""COMPUTED_VALUE"""),48.26)</f>
        <v>48.26</v>
      </c>
    </row>
    <row r="3151" spans="1:2">
      <c r="A3151" s="3">
        <f ca="1">IFERROR(__xludf.DUMMYFUNCTION("""COMPUTED_VALUE"""),42923.6666666666)</f>
        <v>42923.666666666599</v>
      </c>
      <c r="B3151" s="1">
        <f ca="1">IFERROR(__xludf.DUMMYFUNCTION("""COMPUTED_VALUE"""),48.94)</f>
        <v>48.94</v>
      </c>
    </row>
    <row r="3152" spans="1:2">
      <c r="A3152" s="3">
        <f ca="1">IFERROR(__xludf.DUMMYFUNCTION("""COMPUTED_VALUE"""),42926.6666666666)</f>
        <v>42926.666666666599</v>
      </c>
      <c r="B3152" s="1">
        <f ca="1">IFERROR(__xludf.DUMMYFUNCTION("""COMPUTED_VALUE"""),49.82)</f>
        <v>49.82</v>
      </c>
    </row>
    <row r="3153" spans="1:2">
      <c r="A3153" s="3">
        <f ca="1">IFERROR(__xludf.DUMMYFUNCTION("""COMPUTED_VALUE"""),42927.6666666666)</f>
        <v>42927.666666666599</v>
      </c>
      <c r="B3153" s="1">
        <f ca="1">IFERROR(__xludf.DUMMYFUNCTION("""COMPUTED_VALUE"""),49.71)</f>
        <v>49.71</v>
      </c>
    </row>
    <row r="3154" spans="1:2">
      <c r="A3154" s="3">
        <f ca="1">IFERROR(__xludf.DUMMYFUNCTION("""COMPUTED_VALUE"""),42928.6666666666)</f>
        <v>42928.666666666599</v>
      </c>
      <c r="B3154" s="1">
        <f ca="1">IFERROR(__xludf.DUMMYFUNCTION("""COMPUTED_VALUE"""),50.33)</f>
        <v>50.33</v>
      </c>
    </row>
    <row r="3155" spans="1:2">
      <c r="A3155" s="3">
        <f ca="1">IFERROR(__xludf.DUMMYFUNCTION("""COMPUTED_VALUE"""),42929.6666666666)</f>
        <v>42929.666666666599</v>
      </c>
      <c r="B3155" s="1">
        <f ca="1">IFERROR(__xludf.DUMMYFUNCTION("""COMPUTED_VALUE"""),50.03)</f>
        <v>50.03</v>
      </c>
    </row>
    <row r="3156" spans="1:2">
      <c r="A3156" s="3">
        <f ca="1">IFERROR(__xludf.DUMMYFUNCTION("""COMPUTED_VALUE"""),42930.6666666666)</f>
        <v>42930.666666666599</v>
      </c>
      <c r="B3156" s="1">
        <f ca="1">IFERROR(__xludf.DUMMYFUNCTION("""COMPUTED_VALUE"""),50.09)</f>
        <v>50.09</v>
      </c>
    </row>
    <row r="3157" spans="1:2">
      <c r="A3157" s="3">
        <f ca="1">IFERROR(__xludf.DUMMYFUNCTION("""COMPUTED_VALUE"""),42933.6666666666)</f>
        <v>42933.666666666599</v>
      </c>
      <c r="B3157" s="1">
        <f ca="1">IFERROR(__xludf.DUMMYFUNCTION("""COMPUTED_VALUE"""),50.5)</f>
        <v>50.5</v>
      </c>
    </row>
    <row r="3158" spans="1:2">
      <c r="A3158" s="3">
        <f ca="1">IFERROR(__xludf.DUMMYFUNCTION("""COMPUTED_VALUE"""),42934.6666666666)</f>
        <v>42934.666666666599</v>
      </c>
      <c r="B3158" s="1">
        <f ca="1">IFERROR(__xludf.DUMMYFUNCTION("""COMPUTED_VALUE"""),51.22)</f>
        <v>51.22</v>
      </c>
    </row>
    <row r="3159" spans="1:2">
      <c r="A3159" s="3">
        <f ca="1">IFERROR(__xludf.DUMMYFUNCTION("""COMPUTED_VALUE"""),42935.6666666666)</f>
        <v>42935.666666666599</v>
      </c>
      <c r="B3159" s="1">
        <f ca="1">IFERROR(__xludf.DUMMYFUNCTION("""COMPUTED_VALUE"""),51.34)</f>
        <v>51.34</v>
      </c>
    </row>
    <row r="3160" spans="1:2">
      <c r="A3160" s="3">
        <f ca="1">IFERROR(__xludf.DUMMYFUNCTION("""COMPUTED_VALUE"""),42936.6666666666)</f>
        <v>42936.666666666599</v>
      </c>
      <c r="B3160" s="1">
        <f ca="1">IFERROR(__xludf.DUMMYFUNCTION("""COMPUTED_VALUE"""),51.44)</f>
        <v>51.44</v>
      </c>
    </row>
    <row r="3161" spans="1:2">
      <c r="A3161" s="3">
        <f ca="1">IFERROR(__xludf.DUMMYFUNCTION("""COMPUTED_VALUE"""),42937.6666666666)</f>
        <v>42937.666666666599</v>
      </c>
      <c r="B3161" s="1">
        <f ca="1">IFERROR(__xludf.DUMMYFUNCTION("""COMPUTED_VALUE"""),51.28)</f>
        <v>51.28</v>
      </c>
    </row>
    <row r="3162" spans="1:2">
      <c r="A3162" s="3">
        <f ca="1">IFERROR(__xludf.DUMMYFUNCTION("""COMPUTED_VALUE"""),42940.6666666666)</f>
        <v>42940.666666666599</v>
      </c>
      <c r="B3162" s="1">
        <f ca="1">IFERROR(__xludf.DUMMYFUNCTION("""COMPUTED_VALUE"""),51.95)</f>
        <v>51.95</v>
      </c>
    </row>
    <row r="3163" spans="1:2">
      <c r="A3163" s="3">
        <f ca="1">IFERROR(__xludf.DUMMYFUNCTION("""COMPUTED_VALUE"""),42941.6666666666)</f>
        <v>42941.666666666599</v>
      </c>
      <c r="B3163" s="1">
        <f ca="1">IFERROR(__xludf.DUMMYFUNCTION("""COMPUTED_VALUE"""),51.99)</f>
        <v>51.99</v>
      </c>
    </row>
    <row r="3164" spans="1:2">
      <c r="A3164" s="3">
        <f ca="1">IFERROR(__xludf.DUMMYFUNCTION("""COMPUTED_VALUE"""),42942.6666666666)</f>
        <v>42942.666666666599</v>
      </c>
      <c r="B3164" s="1">
        <f ca="1">IFERROR(__xludf.DUMMYFUNCTION("""COMPUTED_VALUE"""),52.64)</f>
        <v>52.64</v>
      </c>
    </row>
    <row r="3165" spans="1:2">
      <c r="A3165" s="3">
        <f ca="1">IFERROR(__xludf.DUMMYFUNCTION("""COMPUTED_VALUE"""),42943.6666666666)</f>
        <v>42943.666666666599</v>
      </c>
      <c r="B3165" s="1">
        <f ca="1">IFERROR(__xludf.DUMMYFUNCTION("""COMPUTED_VALUE"""),52.3)</f>
        <v>52.3</v>
      </c>
    </row>
    <row r="3166" spans="1:2">
      <c r="A3166" s="3">
        <f ca="1">IFERROR(__xludf.DUMMYFUNCTION("""COMPUTED_VALUE"""),42944.6666666666)</f>
        <v>42944.666666666599</v>
      </c>
      <c r="B3166" s="1">
        <f ca="1">IFERROR(__xludf.DUMMYFUNCTION("""COMPUTED_VALUE"""),51)</f>
        <v>51</v>
      </c>
    </row>
    <row r="3167" spans="1:2">
      <c r="A3167" s="3">
        <f ca="1">IFERROR(__xludf.DUMMYFUNCTION("""COMPUTED_VALUE"""),42947.6666666666)</f>
        <v>42947.666666666599</v>
      </c>
      <c r="B3167" s="1">
        <f ca="1">IFERROR(__xludf.DUMMYFUNCTION("""COMPUTED_VALUE"""),49.39)</f>
        <v>49.39</v>
      </c>
    </row>
    <row r="3168" spans="1:2">
      <c r="A3168" s="3">
        <f ca="1">IFERROR(__xludf.DUMMYFUNCTION("""COMPUTED_VALUE"""),42948.6666666666)</f>
        <v>42948.666666666599</v>
      </c>
      <c r="B3168" s="1">
        <f ca="1">IFERROR(__xludf.DUMMYFUNCTION("""COMPUTED_VALUE"""),49.81)</f>
        <v>49.81</v>
      </c>
    </row>
    <row r="3169" spans="1:2">
      <c r="A3169" s="3">
        <f ca="1">IFERROR(__xludf.DUMMYFUNCTION("""COMPUTED_VALUE"""),42949.6666666666)</f>
        <v>42949.666666666599</v>
      </c>
      <c r="B3169" s="1">
        <f ca="1">IFERROR(__xludf.DUMMYFUNCTION("""COMPUTED_VALUE"""),49.79)</f>
        <v>49.79</v>
      </c>
    </row>
    <row r="3170" spans="1:2">
      <c r="A3170" s="3">
        <f ca="1">IFERROR(__xludf.DUMMYFUNCTION("""COMPUTED_VALUE"""),42950.6666666666)</f>
        <v>42950.666666666599</v>
      </c>
      <c r="B3170" s="1">
        <f ca="1">IFERROR(__xludf.DUMMYFUNCTION("""COMPUTED_VALUE"""),49.35)</f>
        <v>49.35</v>
      </c>
    </row>
    <row r="3171" spans="1:2">
      <c r="A3171" s="3">
        <f ca="1">IFERROR(__xludf.DUMMYFUNCTION("""COMPUTED_VALUE"""),42951.6666666666)</f>
        <v>42951.666666666599</v>
      </c>
      <c r="B3171" s="1">
        <f ca="1">IFERROR(__xludf.DUMMYFUNCTION("""COMPUTED_VALUE"""),49.38)</f>
        <v>49.38</v>
      </c>
    </row>
    <row r="3172" spans="1:2">
      <c r="A3172" s="3">
        <f ca="1">IFERROR(__xludf.DUMMYFUNCTION("""COMPUTED_VALUE"""),42954.6666666666)</f>
        <v>42954.666666666599</v>
      </c>
      <c r="B3172" s="1">
        <f ca="1">IFERROR(__xludf.DUMMYFUNCTION("""COMPUTED_VALUE"""),49.61)</f>
        <v>49.61</v>
      </c>
    </row>
    <row r="3173" spans="1:2">
      <c r="A3173" s="3">
        <f ca="1">IFERROR(__xludf.DUMMYFUNCTION("""COMPUTED_VALUE"""),42955.6666666666)</f>
        <v>42955.666666666599</v>
      </c>
      <c r="B3173" s="1">
        <f ca="1">IFERROR(__xludf.DUMMYFUNCTION("""COMPUTED_VALUE"""),49.49)</f>
        <v>49.49</v>
      </c>
    </row>
    <row r="3174" spans="1:2">
      <c r="A3174" s="3">
        <f ca="1">IFERROR(__xludf.DUMMYFUNCTION("""COMPUTED_VALUE"""),42956.6666666666)</f>
        <v>42956.666666666599</v>
      </c>
      <c r="B3174" s="1">
        <f ca="1">IFERROR(__xludf.DUMMYFUNCTION("""COMPUTED_VALUE"""),49.1)</f>
        <v>49.1</v>
      </c>
    </row>
    <row r="3175" spans="1:2">
      <c r="A3175" s="3">
        <f ca="1">IFERROR(__xludf.DUMMYFUNCTION("""COMPUTED_VALUE"""),42957.6666666666)</f>
        <v>42957.666666666599</v>
      </c>
      <c r="B3175" s="1">
        <f ca="1">IFERROR(__xludf.DUMMYFUNCTION("""COMPUTED_VALUE"""),47.85)</f>
        <v>47.85</v>
      </c>
    </row>
    <row r="3176" spans="1:2">
      <c r="A3176" s="3">
        <f ca="1">IFERROR(__xludf.DUMMYFUNCTION("""COMPUTED_VALUE"""),42958.6666666666)</f>
        <v>42958.666666666599</v>
      </c>
      <c r="B3176" s="1">
        <f ca="1">IFERROR(__xludf.DUMMYFUNCTION("""COMPUTED_VALUE"""),48.4)</f>
        <v>48.4</v>
      </c>
    </row>
    <row r="3177" spans="1:2">
      <c r="A3177" s="3">
        <f ca="1">IFERROR(__xludf.DUMMYFUNCTION("""COMPUTED_VALUE"""),42961.6666666666)</f>
        <v>42961.666666666599</v>
      </c>
      <c r="B3177" s="1">
        <f ca="1">IFERROR(__xludf.DUMMYFUNCTION("""COMPUTED_VALUE"""),49.17)</f>
        <v>49.17</v>
      </c>
    </row>
    <row r="3178" spans="1:2">
      <c r="A3178" s="3">
        <f ca="1">IFERROR(__xludf.DUMMYFUNCTION("""COMPUTED_VALUE"""),42962.6666666666)</f>
        <v>42962.666666666599</v>
      </c>
      <c r="B3178" s="1">
        <f ca="1">IFERROR(__xludf.DUMMYFUNCTION("""COMPUTED_VALUE"""),49.14)</f>
        <v>49.14</v>
      </c>
    </row>
    <row r="3179" spans="1:2">
      <c r="A3179" s="3">
        <f ca="1">IFERROR(__xludf.DUMMYFUNCTION("""COMPUTED_VALUE"""),42963.6666666666)</f>
        <v>42963.666666666599</v>
      </c>
      <c r="B3179" s="1">
        <f ca="1">IFERROR(__xludf.DUMMYFUNCTION("""COMPUTED_VALUE"""),48.91)</f>
        <v>48.91</v>
      </c>
    </row>
    <row r="3180" spans="1:2">
      <c r="A3180" s="3">
        <f ca="1">IFERROR(__xludf.DUMMYFUNCTION("""COMPUTED_VALUE"""),42964.6666666666)</f>
        <v>42964.666666666599</v>
      </c>
      <c r="B3180" s="1">
        <f ca="1">IFERROR(__xludf.DUMMYFUNCTION("""COMPUTED_VALUE"""),48.03)</f>
        <v>48.03</v>
      </c>
    </row>
    <row r="3181" spans="1:2">
      <c r="A3181" s="3">
        <f ca="1">IFERROR(__xludf.DUMMYFUNCTION("""COMPUTED_VALUE"""),42965.6666666666)</f>
        <v>42965.666666666599</v>
      </c>
      <c r="B3181" s="1">
        <f ca="1">IFERROR(__xludf.DUMMYFUNCTION("""COMPUTED_VALUE"""),47.92)</f>
        <v>47.92</v>
      </c>
    </row>
    <row r="3182" spans="1:2">
      <c r="A3182" s="3">
        <f ca="1">IFERROR(__xludf.DUMMYFUNCTION("""COMPUTED_VALUE"""),42968.6666666666)</f>
        <v>42968.666666666599</v>
      </c>
      <c r="B3182" s="1">
        <f ca="1">IFERROR(__xludf.DUMMYFUNCTION("""COMPUTED_VALUE"""),47.66)</f>
        <v>47.66</v>
      </c>
    </row>
    <row r="3183" spans="1:2">
      <c r="A3183" s="3">
        <f ca="1">IFERROR(__xludf.DUMMYFUNCTION("""COMPUTED_VALUE"""),42969.6666666666)</f>
        <v>42969.666666666599</v>
      </c>
      <c r="B3183" s="1">
        <f ca="1">IFERROR(__xludf.DUMMYFUNCTION("""COMPUTED_VALUE"""),48.35)</f>
        <v>48.35</v>
      </c>
    </row>
    <row r="3184" spans="1:2">
      <c r="A3184" s="3">
        <f ca="1">IFERROR(__xludf.DUMMYFUNCTION("""COMPUTED_VALUE"""),42970.6666666666)</f>
        <v>42970.666666666599</v>
      </c>
      <c r="B3184" s="1">
        <f ca="1">IFERROR(__xludf.DUMMYFUNCTION("""COMPUTED_VALUE"""),47.9)</f>
        <v>47.9</v>
      </c>
    </row>
    <row r="3185" spans="1:2">
      <c r="A3185" s="3">
        <f ca="1">IFERROR(__xludf.DUMMYFUNCTION("""COMPUTED_VALUE"""),42971.6666666666)</f>
        <v>42971.666666666599</v>
      </c>
      <c r="B3185" s="1">
        <f ca="1">IFERROR(__xludf.DUMMYFUNCTION("""COMPUTED_VALUE"""),47.62)</f>
        <v>47.62</v>
      </c>
    </row>
    <row r="3186" spans="1:2">
      <c r="A3186" s="3">
        <f ca="1">IFERROR(__xludf.DUMMYFUNCTION("""COMPUTED_VALUE"""),42972.6666666666)</f>
        <v>42972.666666666599</v>
      </c>
      <c r="B3186" s="1">
        <f ca="1">IFERROR(__xludf.DUMMYFUNCTION("""COMPUTED_VALUE"""),47.26)</f>
        <v>47.26</v>
      </c>
    </row>
    <row r="3187" spans="1:2">
      <c r="A3187" s="3">
        <f ca="1">IFERROR(__xludf.DUMMYFUNCTION("""COMPUTED_VALUE"""),42975.6666666666)</f>
        <v>42975.666666666599</v>
      </c>
      <c r="B3187" s="1">
        <f ca="1">IFERROR(__xludf.DUMMYFUNCTION("""COMPUTED_VALUE"""),47.3)</f>
        <v>47.3</v>
      </c>
    </row>
    <row r="3188" spans="1:2">
      <c r="A3188" s="3">
        <f ca="1">IFERROR(__xludf.DUMMYFUNCTION("""COMPUTED_VALUE"""),42976.6666666666)</f>
        <v>42976.666666666599</v>
      </c>
      <c r="B3188" s="1">
        <f ca="1">IFERROR(__xludf.DUMMYFUNCTION("""COMPUTED_VALUE"""),47.7)</f>
        <v>47.7</v>
      </c>
    </row>
    <row r="3189" spans="1:2">
      <c r="A3189" s="3">
        <f ca="1">IFERROR(__xludf.DUMMYFUNCTION("""COMPUTED_VALUE"""),42977.6666666666)</f>
        <v>42977.666666666599</v>
      </c>
      <c r="B3189" s="1">
        <f ca="1">IFERROR(__xludf.DUMMYFUNCTION("""COMPUTED_VALUE"""),48.38)</f>
        <v>48.38</v>
      </c>
    </row>
    <row r="3190" spans="1:2">
      <c r="A3190" s="3">
        <f ca="1">IFERROR(__xludf.DUMMYFUNCTION("""COMPUTED_VALUE"""),42978.6666666666)</f>
        <v>42978.666666666599</v>
      </c>
      <c r="B3190" s="1">
        <f ca="1">IFERROR(__xludf.DUMMYFUNCTION("""COMPUTED_VALUE"""),49.03)</f>
        <v>49.03</v>
      </c>
    </row>
    <row r="3191" spans="1:2">
      <c r="A3191" s="3">
        <f ca="1">IFERROR(__xludf.DUMMYFUNCTION("""COMPUTED_VALUE"""),42979.6666666666)</f>
        <v>42979.666666666599</v>
      </c>
      <c r="B3191" s="1">
        <f ca="1">IFERROR(__xludf.DUMMYFUNCTION("""COMPUTED_VALUE"""),48.91)</f>
        <v>48.91</v>
      </c>
    </row>
    <row r="3192" spans="1:2">
      <c r="A3192" s="3">
        <f ca="1">IFERROR(__xludf.DUMMYFUNCTION("""COMPUTED_VALUE"""),42983.6666666666)</f>
        <v>42983.666666666599</v>
      </c>
      <c r="B3192" s="1">
        <f ca="1">IFERROR(__xludf.DUMMYFUNCTION("""COMPUTED_VALUE"""),48.26)</f>
        <v>48.26</v>
      </c>
    </row>
    <row r="3193" spans="1:2">
      <c r="A3193" s="3">
        <f ca="1">IFERROR(__xludf.DUMMYFUNCTION("""COMPUTED_VALUE"""),42984.6666666666)</f>
        <v>42984.666666666599</v>
      </c>
      <c r="B3193" s="1">
        <f ca="1">IFERROR(__xludf.DUMMYFUNCTION("""COMPUTED_VALUE"""),48.39)</f>
        <v>48.39</v>
      </c>
    </row>
    <row r="3194" spans="1:2">
      <c r="A3194" s="3">
        <f ca="1">IFERROR(__xludf.DUMMYFUNCTION("""COMPUTED_VALUE"""),42985.6666666666)</f>
        <v>42985.666666666599</v>
      </c>
      <c r="B3194" s="1">
        <f ca="1">IFERROR(__xludf.DUMMYFUNCTION("""COMPUTED_VALUE"""),48.97)</f>
        <v>48.97</v>
      </c>
    </row>
    <row r="3195" spans="1:2">
      <c r="A3195" s="3">
        <f ca="1">IFERROR(__xludf.DUMMYFUNCTION("""COMPUTED_VALUE"""),42986.6666666666)</f>
        <v>42986.666666666599</v>
      </c>
      <c r="B3195" s="1">
        <f ca="1">IFERROR(__xludf.DUMMYFUNCTION("""COMPUTED_VALUE"""),48.3)</f>
        <v>48.3</v>
      </c>
    </row>
    <row r="3196" spans="1:2">
      <c r="A3196" s="3">
        <f ca="1">IFERROR(__xludf.DUMMYFUNCTION("""COMPUTED_VALUE"""),42989.6666666666)</f>
        <v>42989.666666666599</v>
      </c>
      <c r="B3196" s="1">
        <f ca="1">IFERROR(__xludf.DUMMYFUNCTION("""COMPUTED_VALUE"""),48.9)</f>
        <v>48.9</v>
      </c>
    </row>
    <row r="3197" spans="1:2">
      <c r="A3197" s="3">
        <f ca="1">IFERROR(__xludf.DUMMYFUNCTION("""COMPUTED_VALUE"""),42990.6666666666)</f>
        <v>42990.666666666599</v>
      </c>
      <c r="B3197" s="1">
        <f ca="1">IFERROR(__xludf.DUMMYFUNCTION("""COMPUTED_VALUE"""),49.13)</f>
        <v>49.13</v>
      </c>
    </row>
    <row r="3198" spans="1:2">
      <c r="A3198" s="3">
        <f ca="1">IFERROR(__xludf.DUMMYFUNCTION("""COMPUTED_VALUE"""),42991.6666666666)</f>
        <v>42991.666666666599</v>
      </c>
      <c r="B3198" s="1">
        <f ca="1">IFERROR(__xludf.DUMMYFUNCTION("""COMPUTED_VALUE"""),49.98)</f>
        <v>49.98</v>
      </c>
    </row>
    <row r="3199" spans="1:2">
      <c r="A3199" s="3">
        <f ca="1">IFERROR(__xludf.DUMMYFUNCTION("""COMPUTED_VALUE"""),42992.6666666666)</f>
        <v>42992.666666666599</v>
      </c>
      <c r="B3199" s="1">
        <f ca="1">IFERROR(__xludf.DUMMYFUNCTION("""COMPUTED_VALUE"""),49.61)</f>
        <v>49.61</v>
      </c>
    </row>
    <row r="3200" spans="1:2">
      <c r="A3200" s="3">
        <f ca="1">IFERROR(__xludf.DUMMYFUNCTION("""COMPUTED_VALUE"""),42993.6666666666)</f>
        <v>42993.666666666599</v>
      </c>
      <c r="B3200" s="1">
        <f ca="1">IFERROR(__xludf.DUMMYFUNCTION("""COMPUTED_VALUE"""),49.34)</f>
        <v>49.34</v>
      </c>
    </row>
    <row r="3201" spans="1:2">
      <c r="A3201" s="3">
        <f ca="1">IFERROR(__xludf.DUMMYFUNCTION("""COMPUTED_VALUE"""),42996.6666666666)</f>
        <v>42996.666666666599</v>
      </c>
      <c r="B3201" s="1">
        <f ca="1">IFERROR(__xludf.DUMMYFUNCTION("""COMPUTED_VALUE"""),48.71)</f>
        <v>48.71</v>
      </c>
    </row>
    <row r="3202" spans="1:2">
      <c r="A3202" s="3">
        <f ca="1">IFERROR(__xludf.DUMMYFUNCTION("""COMPUTED_VALUE"""),42997.6666666666)</f>
        <v>42997.666666666599</v>
      </c>
      <c r="B3202" s="1">
        <f ca="1">IFERROR(__xludf.DUMMYFUNCTION("""COMPUTED_VALUE"""),48.49)</f>
        <v>48.49</v>
      </c>
    </row>
    <row r="3203" spans="1:2">
      <c r="A3203" s="3">
        <f ca="1">IFERROR(__xludf.DUMMYFUNCTION("""COMPUTED_VALUE"""),42998.6666666666)</f>
        <v>42998.666666666599</v>
      </c>
      <c r="B3203" s="1">
        <f ca="1">IFERROR(__xludf.DUMMYFUNCTION("""COMPUTED_VALUE"""),48.66)</f>
        <v>48.66</v>
      </c>
    </row>
    <row r="3204" spans="1:2">
      <c r="A3204" s="3">
        <f ca="1">IFERROR(__xludf.DUMMYFUNCTION("""COMPUTED_VALUE"""),42999.6666666666)</f>
        <v>42999.666666666599</v>
      </c>
      <c r="B3204" s="1">
        <f ca="1">IFERROR(__xludf.DUMMYFUNCTION("""COMPUTED_VALUE"""),48.23)</f>
        <v>48.23</v>
      </c>
    </row>
    <row r="3205" spans="1:2">
      <c r="A3205" s="3">
        <f ca="1">IFERROR(__xludf.DUMMYFUNCTION("""COMPUTED_VALUE"""),43000.6666666666)</f>
        <v>43000.666666666599</v>
      </c>
      <c r="B3205" s="1">
        <f ca="1">IFERROR(__xludf.DUMMYFUNCTION("""COMPUTED_VALUE"""),47.76)</f>
        <v>47.76</v>
      </c>
    </row>
    <row r="3206" spans="1:2">
      <c r="A3206" s="3">
        <f ca="1">IFERROR(__xludf.DUMMYFUNCTION("""COMPUTED_VALUE"""),43003.6666666666)</f>
        <v>43003.666666666599</v>
      </c>
      <c r="B3206" s="1">
        <f ca="1">IFERROR(__xludf.DUMMYFUNCTION("""COMPUTED_VALUE"""),46.99)</f>
        <v>46.99</v>
      </c>
    </row>
    <row r="3207" spans="1:2">
      <c r="A3207" s="3">
        <f ca="1">IFERROR(__xludf.DUMMYFUNCTION("""COMPUTED_VALUE"""),43004.6666666666)</f>
        <v>43004.666666666599</v>
      </c>
      <c r="B3207" s="1">
        <f ca="1">IFERROR(__xludf.DUMMYFUNCTION("""COMPUTED_VALUE"""),46.93)</f>
        <v>46.93</v>
      </c>
    </row>
    <row r="3208" spans="1:2">
      <c r="A3208" s="3">
        <f ca="1">IFERROR(__xludf.DUMMYFUNCTION("""COMPUTED_VALUE"""),43005.6666666666)</f>
        <v>43005.666666666599</v>
      </c>
      <c r="B3208" s="1">
        <f ca="1">IFERROR(__xludf.DUMMYFUNCTION("""COMPUTED_VALUE"""),47.54)</f>
        <v>47.54</v>
      </c>
    </row>
    <row r="3209" spans="1:2">
      <c r="A3209" s="3">
        <f ca="1">IFERROR(__xludf.DUMMYFUNCTION("""COMPUTED_VALUE"""),43006.6666666666)</f>
        <v>43006.666666666599</v>
      </c>
      <c r="B3209" s="1">
        <f ca="1">IFERROR(__xludf.DUMMYFUNCTION("""COMPUTED_VALUE"""),47.82)</f>
        <v>47.82</v>
      </c>
    </row>
    <row r="3210" spans="1:2">
      <c r="A3210" s="3">
        <f ca="1">IFERROR(__xludf.DUMMYFUNCTION("""COMPUTED_VALUE"""),43007.6666666666)</f>
        <v>43007.666666666599</v>
      </c>
      <c r="B3210" s="1">
        <f ca="1">IFERROR(__xludf.DUMMYFUNCTION("""COMPUTED_VALUE"""),48.07)</f>
        <v>48.07</v>
      </c>
    </row>
    <row r="3211" spans="1:2">
      <c r="A3211" s="3">
        <f ca="1">IFERROR(__xludf.DUMMYFUNCTION("""COMPUTED_VALUE"""),43010.6666666666)</f>
        <v>43010.666666666599</v>
      </c>
      <c r="B3211" s="1">
        <f ca="1">IFERROR(__xludf.DUMMYFUNCTION("""COMPUTED_VALUE"""),47.96)</f>
        <v>47.96</v>
      </c>
    </row>
    <row r="3212" spans="1:2">
      <c r="A3212" s="3">
        <f ca="1">IFERROR(__xludf.DUMMYFUNCTION("""COMPUTED_VALUE"""),43011.6666666666)</f>
        <v>43011.666666666599</v>
      </c>
      <c r="B3212" s="1">
        <f ca="1">IFERROR(__xludf.DUMMYFUNCTION("""COMPUTED_VALUE"""),47.86)</f>
        <v>47.86</v>
      </c>
    </row>
    <row r="3213" spans="1:2">
      <c r="A3213" s="3">
        <f ca="1">IFERROR(__xludf.DUMMYFUNCTION("""COMPUTED_VALUE"""),43012.6666666666)</f>
        <v>43012.666666666599</v>
      </c>
      <c r="B3213" s="1">
        <f ca="1">IFERROR(__xludf.DUMMYFUNCTION("""COMPUTED_VALUE"""),48.27)</f>
        <v>48.27</v>
      </c>
    </row>
    <row r="3214" spans="1:2">
      <c r="A3214" s="3">
        <f ca="1">IFERROR(__xludf.DUMMYFUNCTION("""COMPUTED_VALUE"""),43013.6666666666)</f>
        <v>43013.666666666599</v>
      </c>
      <c r="B3214" s="1">
        <f ca="1">IFERROR(__xludf.DUMMYFUNCTION("""COMPUTED_VALUE"""),49.04)</f>
        <v>49.04</v>
      </c>
    </row>
    <row r="3215" spans="1:2">
      <c r="A3215" s="3">
        <f ca="1">IFERROR(__xludf.DUMMYFUNCTION("""COMPUTED_VALUE"""),43014.6666666666)</f>
        <v>43014.666666666599</v>
      </c>
      <c r="B3215" s="1">
        <f ca="1">IFERROR(__xludf.DUMMYFUNCTION("""COMPUTED_VALUE"""),49.48)</f>
        <v>49.48</v>
      </c>
    </row>
    <row r="3216" spans="1:2">
      <c r="A3216" s="3">
        <f ca="1">IFERROR(__xludf.DUMMYFUNCTION("""COMPUTED_VALUE"""),43017.6666666666)</f>
        <v>43017.666666666599</v>
      </c>
      <c r="B3216" s="1">
        <f ca="1">IFERROR(__xludf.DUMMYFUNCTION("""COMPUTED_VALUE"""),49.55)</f>
        <v>49.55</v>
      </c>
    </row>
    <row r="3217" spans="1:2">
      <c r="A3217" s="3">
        <f ca="1">IFERROR(__xludf.DUMMYFUNCTION("""COMPUTED_VALUE"""),43018.6666666666)</f>
        <v>43018.666666666599</v>
      </c>
      <c r="B3217" s="1">
        <f ca="1">IFERROR(__xludf.DUMMYFUNCTION("""COMPUTED_VALUE"""),49.36)</f>
        <v>49.36</v>
      </c>
    </row>
    <row r="3218" spans="1:2">
      <c r="A3218" s="3">
        <f ca="1">IFERROR(__xludf.DUMMYFUNCTION("""COMPUTED_VALUE"""),43019.6666666666)</f>
        <v>43019.666666666599</v>
      </c>
      <c r="B3218" s="1">
        <f ca="1">IFERROR(__xludf.DUMMYFUNCTION("""COMPUTED_VALUE"""),49.75)</f>
        <v>49.75</v>
      </c>
    </row>
    <row r="3219" spans="1:2">
      <c r="A3219" s="3">
        <f ca="1">IFERROR(__xludf.DUMMYFUNCTION("""COMPUTED_VALUE"""),43020.6666666666)</f>
        <v>43020.666666666599</v>
      </c>
      <c r="B3219" s="1">
        <f ca="1">IFERROR(__xludf.DUMMYFUNCTION("""COMPUTED_VALUE"""),50.05)</f>
        <v>50.05</v>
      </c>
    </row>
    <row r="3220" spans="1:2">
      <c r="A3220" s="3">
        <f ca="1">IFERROR(__xludf.DUMMYFUNCTION("""COMPUTED_VALUE"""),43021.6666666666)</f>
        <v>43021.666666666599</v>
      </c>
      <c r="B3220" s="1">
        <f ca="1">IFERROR(__xludf.DUMMYFUNCTION("""COMPUTED_VALUE"""),50.15)</f>
        <v>50.15</v>
      </c>
    </row>
    <row r="3221" spans="1:2">
      <c r="A3221" s="3">
        <f ca="1">IFERROR(__xludf.DUMMYFUNCTION("""COMPUTED_VALUE"""),43024.6666666666)</f>
        <v>43024.666666666599</v>
      </c>
      <c r="B3221" s="1">
        <f ca="1">IFERROR(__xludf.DUMMYFUNCTION("""COMPUTED_VALUE"""),50.32)</f>
        <v>50.32</v>
      </c>
    </row>
    <row r="3222" spans="1:2">
      <c r="A3222" s="3">
        <f ca="1">IFERROR(__xludf.DUMMYFUNCTION("""COMPUTED_VALUE"""),43025.6666666666)</f>
        <v>43025.666666666599</v>
      </c>
      <c r="B3222" s="1">
        <f ca="1">IFERROR(__xludf.DUMMYFUNCTION("""COMPUTED_VALUE"""),50.46)</f>
        <v>50.46</v>
      </c>
    </row>
    <row r="3223" spans="1:2">
      <c r="A3223" s="3">
        <f ca="1">IFERROR(__xludf.DUMMYFUNCTION("""COMPUTED_VALUE"""),43026.6666666666)</f>
        <v>43026.666666666599</v>
      </c>
      <c r="B3223" s="1">
        <f ca="1">IFERROR(__xludf.DUMMYFUNCTION("""COMPUTED_VALUE"""),49.85)</f>
        <v>49.85</v>
      </c>
    </row>
    <row r="3224" spans="1:2">
      <c r="A3224" s="3">
        <f ca="1">IFERROR(__xludf.DUMMYFUNCTION("""COMPUTED_VALUE"""),43027.6666666666)</f>
        <v>43027.666666666599</v>
      </c>
      <c r="B3224" s="1">
        <f ca="1">IFERROR(__xludf.DUMMYFUNCTION("""COMPUTED_VALUE"""),49.33)</f>
        <v>49.33</v>
      </c>
    </row>
    <row r="3225" spans="1:2">
      <c r="A3225" s="3">
        <f ca="1">IFERROR(__xludf.DUMMYFUNCTION("""COMPUTED_VALUE"""),43028.6666666666)</f>
        <v>43028.666666666599</v>
      </c>
      <c r="B3225" s="1">
        <f ca="1">IFERROR(__xludf.DUMMYFUNCTION("""COMPUTED_VALUE"""),49.15)</f>
        <v>49.15</v>
      </c>
    </row>
    <row r="3226" spans="1:2">
      <c r="A3226" s="3">
        <f ca="1">IFERROR(__xludf.DUMMYFUNCTION("""COMPUTED_VALUE"""),43031.6666666666)</f>
        <v>43031.666666666599</v>
      </c>
      <c r="B3226" s="1">
        <f ca="1">IFERROR(__xludf.DUMMYFUNCTION("""COMPUTED_VALUE"""),48.32)</f>
        <v>48.32</v>
      </c>
    </row>
    <row r="3227" spans="1:2">
      <c r="A3227" s="3">
        <f ca="1">IFERROR(__xludf.DUMMYFUNCTION("""COMPUTED_VALUE"""),43032.6666666666)</f>
        <v>43032.666666666599</v>
      </c>
      <c r="B3227" s="1">
        <f ca="1">IFERROR(__xludf.DUMMYFUNCTION("""COMPUTED_VALUE"""),48.8)</f>
        <v>48.8</v>
      </c>
    </row>
    <row r="3228" spans="1:2">
      <c r="A3228" s="3">
        <f ca="1">IFERROR(__xludf.DUMMYFUNCTION("""COMPUTED_VALUE"""),43033.6666666666)</f>
        <v>43033.666666666599</v>
      </c>
      <c r="B3228" s="1">
        <f ca="1">IFERROR(__xludf.DUMMYFUNCTION("""COMPUTED_VALUE"""),48.65)</f>
        <v>48.65</v>
      </c>
    </row>
    <row r="3229" spans="1:2">
      <c r="A3229" s="3">
        <f ca="1">IFERROR(__xludf.DUMMYFUNCTION("""COMPUTED_VALUE"""),43034.6666666666)</f>
        <v>43034.666666666599</v>
      </c>
      <c r="B3229" s="1">
        <f ca="1">IFERROR(__xludf.DUMMYFUNCTION("""COMPUTED_VALUE"""),48.62)</f>
        <v>48.62</v>
      </c>
    </row>
    <row r="3230" spans="1:2">
      <c r="A3230" s="3">
        <f ca="1">IFERROR(__xludf.DUMMYFUNCTION("""COMPUTED_VALUE"""),43035.6666666666)</f>
        <v>43035.666666666599</v>
      </c>
      <c r="B3230" s="1">
        <f ca="1">IFERROR(__xludf.DUMMYFUNCTION("""COMPUTED_VALUE"""),55.05)</f>
        <v>55.05</v>
      </c>
    </row>
    <row r="3231" spans="1:2">
      <c r="A3231" s="3">
        <f ca="1">IFERROR(__xludf.DUMMYFUNCTION("""COMPUTED_VALUE"""),43038.6666666666)</f>
        <v>43038.666666666599</v>
      </c>
      <c r="B3231" s="1">
        <f ca="1">IFERROR(__xludf.DUMMYFUNCTION("""COMPUTED_VALUE"""),55.54)</f>
        <v>55.54</v>
      </c>
    </row>
    <row r="3232" spans="1:2">
      <c r="A3232" s="3">
        <f ca="1">IFERROR(__xludf.DUMMYFUNCTION("""COMPUTED_VALUE"""),43039.6666666666)</f>
        <v>43039.666666666599</v>
      </c>
      <c r="B3232" s="1">
        <f ca="1">IFERROR(__xludf.DUMMYFUNCTION("""COMPUTED_VALUE"""),55.26)</f>
        <v>55.26</v>
      </c>
    </row>
    <row r="3233" spans="1:2">
      <c r="A3233" s="3">
        <f ca="1">IFERROR(__xludf.DUMMYFUNCTION("""COMPUTED_VALUE"""),43040.6666666666)</f>
        <v>43040.666666666599</v>
      </c>
      <c r="B3233" s="1">
        <f ca="1">IFERROR(__xludf.DUMMYFUNCTION("""COMPUTED_VALUE"""),55.18)</f>
        <v>55.18</v>
      </c>
    </row>
    <row r="3234" spans="1:2">
      <c r="A3234" s="3">
        <f ca="1">IFERROR(__xludf.DUMMYFUNCTION("""COMPUTED_VALUE"""),43041.6666666666)</f>
        <v>43041.666666666599</v>
      </c>
      <c r="B3234" s="1">
        <f ca="1">IFERROR(__xludf.DUMMYFUNCTION("""COMPUTED_VALUE"""),54.71)</f>
        <v>54.71</v>
      </c>
    </row>
    <row r="3235" spans="1:2">
      <c r="A3235" s="3">
        <f ca="1">IFERROR(__xludf.DUMMYFUNCTION("""COMPUTED_VALUE"""),43042.6666666666)</f>
        <v>43042.666666666599</v>
      </c>
      <c r="B3235" s="1">
        <f ca="1">IFERROR(__xludf.DUMMYFUNCTION("""COMPUTED_VALUE"""),55.58)</f>
        <v>55.58</v>
      </c>
    </row>
    <row r="3236" spans="1:2">
      <c r="A3236" s="3">
        <f ca="1">IFERROR(__xludf.DUMMYFUNCTION("""COMPUTED_VALUE"""),43045.6666666666)</f>
        <v>43045.666666666599</v>
      </c>
      <c r="B3236" s="1">
        <f ca="1">IFERROR(__xludf.DUMMYFUNCTION("""COMPUTED_VALUE"""),56.03)</f>
        <v>56.03</v>
      </c>
    </row>
    <row r="3237" spans="1:2">
      <c r="A3237" s="3">
        <f ca="1">IFERROR(__xludf.DUMMYFUNCTION("""COMPUTED_VALUE"""),43046.6666666666)</f>
        <v>43046.666666666599</v>
      </c>
      <c r="B3237" s="1">
        <f ca="1">IFERROR(__xludf.DUMMYFUNCTION("""COMPUTED_VALUE"""),56.16)</f>
        <v>56.16</v>
      </c>
    </row>
    <row r="3238" spans="1:2">
      <c r="A3238" s="3">
        <f ca="1">IFERROR(__xludf.DUMMYFUNCTION("""COMPUTED_VALUE"""),43047.6666666666)</f>
        <v>43047.666666666599</v>
      </c>
      <c r="B3238" s="1">
        <f ca="1">IFERROR(__xludf.DUMMYFUNCTION("""COMPUTED_VALUE"""),56.64)</f>
        <v>56.64</v>
      </c>
    </row>
    <row r="3239" spans="1:2">
      <c r="A3239" s="3">
        <f ca="1">IFERROR(__xludf.DUMMYFUNCTION("""COMPUTED_VALUE"""),43048.6666666666)</f>
        <v>43048.666666666599</v>
      </c>
      <c r="B3239" s="1">
        <f ca="1">IFERROR(__xludf.DUMMYFUNCTION("""COMPUTED_VALUE"""),56.46)</f>
        <v>56.46</v>
      </c>
    </row>
    <row r="3240" spans="1:2">
      <c r="A3240" s="3">
        <f ca="1">IFERROR(__xludf.DUMMYFUNCTION("""COMPUTED_VALUE"""),43049.6666666666)</f>
        <v>43049.666666666599</v>
      </c>
      <c r="B3240" s="1">
        <f ca="1">IFERROR(__xludf.DUMMYFUNCTION("""COMPUTED_VALUE"""),56.27)</f>
        <v>56.27</v>
      </c>
    </row>
    <row r="3241" spans="1:2">
      <c r="A3241" s="3">
        <f ca="1">IFERROR(__xludf.DUMMYFUNCTION("""COMPUTED_VALUE"""),43052.6666666666)</f>
        <v>43052.666666666599</v>
      </c>
      <c r="B3241" s="1">
        <f ca="1">IFERROR(__xludf.DUMMYFUNCTION("""COMPUTED_VALUE"""),56.46)</f>
        <v>56.46</v>
      </c>
    </row>
    <row r="3242" spans="1:2">
      <c r="A3242" s="3">
        <f ca="1">IFERROR(__xludf.DUMMYFUNCTION("""COMPUTED_VALUE"""),43053.6666666666)</f>
        <v>43053.666666666599</v>
      </c>
      <c r="B3242" s="1">
        <f ca="1">IFERROR(__xludf.DUMMYFUNCTION("""COMPUTED_VALUE"""),56.84)</f>
        <v>56.84</v>
      </c>
    </row>
    <row r="3243" spans="1:2">
      <c r="A3243" s="3">
        <f ca="1">IFERROR(__xludf.DUMMYFUNCTION("""COMPUTED_VALUE"""),43054.6666666666)</f>
        <v>43054.666666666599</v>
      </c>
      <c r="B3243" s="1">
        <f ca="1">IFERROR(__xludf.DUMMYFUNCTION("""COMPUTED_VALUE"""),56.33)</f>
        <v>56.33</v>
      </c>
    </row>
    <row r="3244" spans="1:2">
      <c r="A3244" s="3">
        <f ca="1">IFERROR(__xludf.DUMMYFUNCTION("""COMPUTED_VALUE"""),43055.6666666666)</f>
        <v>43055.666666666599</v>
      </c>
      <c r="B3244" s="1">
        <f ca="1">IFERROR(__xludf.DUMMYFUNCTION("""COMPUTED_VALUE"""),56.86)</f>
        <v>56.86</v>
      </c>
    </row>
    <row r="3245" spans="1:2">
      <c r="A3245" s="3">
        <f ca="1">IFERROR(__xludf.DUMMYFUNCTION("""COMPUTED_VALUE"""),43056.6666666666)</f>
        <v>43056.666666666599</v>
      </c>
      <c r="B3245" s="1">
        <f ca="1">IFERROR(__xludf.DUMMYFUNCTION("""COMPUTED_VALUE"""),56.49)</f>
        <v>56.49</v>
      </c>
    </row>
    <row r="3246" spans="1:2">
      <c r="A3246" s="3">
        <f ca="1">IFERROR(__xludf.DUMMYFUNCTION("""COMPUTED_VALUE"""),43059.6666666666)</f>
        <v>43059.666666666599</v>
      </c>
      <c r="B3246" s="1">
        <f ca="1">IFERROR(__xludf.DUMMYFUNCTION("""COMPUTED_VALUE"""),56.32)</f>
        <v>56.32</v>
      </c>
    </row>
    <row r="3247" spans="1:2">
      <c r="A3247" s="3">
        <f ca="1">IFERROR(__xludf.DUMMYFUNCTION("""COMPUTED_VALUE"""),43060.6666666666)</f>
        <v>43060.666666666599</v>
      </c>
      <c r="B3247" s="1">
        <f ca="1">IFERROR(__xludf.DUMMYFUNCTION("""COMPUTED_VALUE"""),56.97)</f>
        <v>56.97</v>
      </c>
    </row>
    <row r="3248" spans="1:2">
      <c r="A3248" s="3">
        <f ca="1">IFERROR(__xludf.DUMMYFUNCTION("""COMPUTED_VALUE"""),43061.6666666666)</f>
        <v>43061.666666666599</v>
      </c>
      <c r="B3248" s="1">
        <f ca="1">IFERROR(__xludf.DUMMYFUNCTION("""COMPUTED_VALUE"""),57.81)</f>
        <v>57.81</v>
      </c>
    </row>
    <row r="3249" spans="1:2">
      <c r="A3249" s="3">
        <f ca="1">IFERROR(__xludf.DUMMYFUNCTION("""COMPUTED_VALUE"""),43063.5416666666)</f>
        <v>43063.541666666599</v>
      </c>
      <c r="B3249" s="1">
        <f ca="1">IFERROR(__xludf.DUMMYFUNCTION("""COMPUTED_VALUE"""),59.3)</f>
        <v>59.3</v>
      </c>
    </row>
    <row r="3250" spans="1:2">
      <c r="A3250" s="3">
        <f ca="1">IFERROR(__xludf.DUMMYFUNCTION("""COMPUTED_VALUE"""),43066.6666666666)</f>
        <v>43066.666666666599</v>
      </c>
      <c r="B3250" s="1">
        <f ca="1">IFERROR(__xludf.DUMMYFUNCTION("""COMPUTED_VALUE"""),59.79)</f>
        <v>59.79</v>
      </c>
    </row>
    <row r="3251" spans="1:2">
      <c r="A3251" s="3">
        <f ca="1">IFERROR(__xludf.DUMMYFUNCTION("""COMPUTED_VALUE"""),43067.6666666666)</f>
        <v>43067.666666666599</v>
      </c>
      <c r="B3251" s="1">
        <f ca="1">IFERROR(__xludf.DUMMYFUNCTION("""COMPUTED_VALUE"""),59.68)</f>
        <v>59.68</v>
      </c>
    </row>
    <row r="3252" spans="1:2">
      <c r="A3252" s="3">
        <f ca="1">IFERROR(__xludf.DUMMYFUNCTION("""COMPUTED_VALUE"""),43068.6666666666)</f>
        <v>43068.666666666599</v>
      </c>
      <c r="B3252" s="1">
        <f ca="1">IFERROR(__xludf.DUMMYFUNCTION("""COMPUTED_VALUE"""),58.06)</f>
        <v>58.06</v>
      </c>
    </row>
    <row r="3253" spans="1:2">
      <c r="A3253" s="3">
        <f ca="1">IFERROR(__xludf.DUMMYFUNCTION("""COMPUTED_VALUE"""),43069.6666666666)</f>
        <v>43069.666666666599</v>
      </c>
      <c r="B3253" s="1">
        <f ca="1">IFERROR(__xludf.DUMMYFUNCTION("""COMPUTED_VALUE"""),58.84)</f>
        <v>58.84</v>
      </c>
    </row>
    <row r="3254" spans="1:2">
      <c r="A3254" s="3">
        <f ca="1">IFERROR(__xludf.DUMMYFUNCTION("""COMPUTED_VALUE"""),43070.6666666666)</f>
        <v>43070.666666666599</v>
      </c>
      <c r="B3254" s="1">
        <f ca="1">IFERROR(__xludf.DUMMYFUNCTION("""COMPUTED_VALUE"""),58.12)</f>
        <v>58.12</v>
      </c>
    </row>
    <row r="3255" spans="1:2">
      <c r="A3255" s="3">
        <f ca="1">IFERROR(__xludf.DUMMYFUNCTION("""COMPUTED_VALUE"""),43073.6666666666)</f>
        <v>43073.666666666599</v>
      </c>
      <c r="B3255" s="1">
        <f ca="1">IFERROR(__xludf.DUMMYFUNCTION("""COMPUTED_VALUE"""),56.7)</f>
        <v>56.7</v>
      </c>
    </row>
    <row r="3256" spans="1:2">
      <c r="A3256" s="3">
        <f ca="1">IFERROR(__xludf.DUMMYFUNCTION("""COMPUTED_VALUE"""),43074.6666666666)</f>
        <v>43074.666666666599</v>
      </c>
      <c r="B3256" s="1">
        <f ca="1">IFERROR(__xludf.DUMMYFUNCTION("""COMPUTED_VALUE"""),57.08)</f>
        <v>57.08</v>
      </c>
    </row>
    <row r="3257" spans="1:2">
      <c r="A3257" s="3">
        <f ca="1">IFERROR(__xludf.DUMMYFUNCTION("""COMPUTED_VALUE"""),43075.6666666666)</f>
        <v>43075.666666666599</v>
      </c>
      <c r="B3257" s="1">
        <f ca="1">IFERROR(__xludf.DUMMYFUNCTION("""COMPUTED_VALUE"""),57.62)</f>
        <v>57.62</v>
      </c>
    </row>
    <row r="3258" spans="1:2">
      <c r="A3258" s="3">
        <f ca="1">IFERROR(__xludf.DUMMYFUNCTION("""COMPUTED_VALUE"""),43076.6666666666)</f>
        <v>43076.666666666599</v>
      </c>
      <c r="B3258" s="1">
        <f ca="1">IFERROR(__xludf.DUMMYFUNCTION("""COMPUTED_VALUE"""),57.99)</f>
        <v>57.99</v>
      </c>
    </row>
    <row r="3259" spans="1:2">
      <c r="A3259" s="3">
        <f ca="1">IFERROR(__xludf.DUMMYFUNCTION("""COMPUTED_VALUE"""),43077.6666666666)</f>
        <v>43077.666666666599</v>
      </c>
      <c r="B3259" s="1">
        <f ca="1">IFERROR(__xludf.DUMMYFUNCTION("""COMPUTED_VALUE"""),58.1)</f>
        <v>58.1</v>
      </c>
    </row>
    <row r="3260" spans="1:2">
      <c r="A3260" s="3">
        <f ca="1">IFERROR(__xludf.DUMMYFUNCTION("""COMPUTED_VALUE"""),43080.6666666666)</f>
        <v>43080.666666666599</v>
      </c>
      <c r="B3260" s="1">
        <f ca="1">IFERROR(__xludf.DUMMYFUNCTION("""COMPUTED_VALUE"""),58.45)</f>
        <v>58.45</v>
      </c>
    </row>
    <row r="3261" spans="1:2">
      <c r="A3261" s="3">
        <f ca="1">IFERROR(__xludf.DUMMYFUNCTION("""COMPUTED_VALUE"""),43081.6666666666)</f>
        <v>43081.666666666599</v>
      </c>
      <c r="B3261" s="1">
        <f ca="1">IFERROR(__xludf.DUMMYFUNCTION("""COMPUTED_VALUE"""),58.25)</f>
        <v>58.25</v>
      </c>
    </row>
    <row r="3262" spans="1:2">
      <c r="A3262" s="3">
        <f ca="1">IFERROR(__xludf.DUMMYFUNCTION("""COMPUTED_VALUE"""),43082.6666666666)</f>
        <v>43082.666666666599</v>
      </c>
      <c r="B3262" s="1">
        <f ca="1">IFERROR(__xludf.DUMMYFUNCTION("""COMPUTED_VALUE"""),58.21)</f>
        <v>58.21</v>
      </c>
    </row>
    <row r="3263" spans="1:2">
      <c r="A3263" s="3">
        <f ca="1">IFERROR(__xludf.DUMMYFUNCTION("""COMPUTED_VALUE"""),43083.6666666666)</f>
        <v>43083.666666666599</v>
      </c>
      <c r="B3263" s="1">
        <f ca="1">IFERROR(__xludf.DUMMYFUNCTION("""COMPUTED_VALUE"""),58.71)</f>
        <v>58.71</v>
      </c>
    </row>
    <row r="3264" spans="1:2">
      <c r="A3264" s="3">
        <f ca="1">IFERROR(__xludf.DUMMYFUNCTION("""COMPUTED_VALUE"""),43084.6666666666)</f>
        <v>43084.666666666599</v>
      </c>
      <c r="B3264" s="1">
        <f ca="1">IFERROR(__xludf.DUMMYFUNCTION("""COMPUTED_VALUE"""),58.96)</f>
        <v>58.96</v>
      </c>
    </row>
    <row r="3265" spans="1:2">
      <c r="A3265" s="3">
        <f ca="1">IFERROR(__xludf.DUMMYFUNCTION("""COMPUTED_VALUE"""),43087.6666666666)</f>
        <v>43087.666666666599</v>
      </c>
      <c r="B3265" s="1">
        <f ca="1">IFERROR(__xludf.DUMMYFUNCTION("""COMPUTED_VALUE"""),59.53)</f>
        <v>59.53</v>
      </c>
    </row>
    <row r="3266" spans="1:2">
      <c r="A3266" s="3">
        <f ca="1">IFERROR(__xludf.DUMMYFUNCTION("""COMPUTED_VALUE"""),43088.6666666666)</f>
        <v>43088.666666666599</v>
      </c>
      <c r="B3266" s="1">
        <f ca="1">IFERROR(__xludf.DUMMYFUNCTION("""COMPUTED_VALUE"""),59.37)</f>
        <v>59.37</v>
      </c>
    </row>
    <row r="3267" spans="1:2">
      <c r="A3267" s="3">
        <f ca="1">IFERROR(__xludf.DUMMYFUNCTION("""COMPUTED_VALUE"""),43089.6666666666)</f>
        <v>43089.666666666599</v>
      </c>
      <c r="B3267" s="1">
        <f ca="1">IFERROR(__xludf.DUMMYFUNCTION("""COMPUTED_VALUE"""),58.88)</f>
        <v>58.88</v>
      </c>
    </row>
    <row r="3268" spans="1:2">
      <c r="A3268" s="3">
        <f ca="1">IFERROR(__xludf.DUMMYFUNCTION("""COMPUTED_VALUE"""),43090.6666666666)</f>
        <v>43090.666666666599</v>
      </c>
      <c r="B3268" s="1">
        <f ca="1">IFERROR(__xludf.DUMMYFUNCTION("""COMPUTED_VALUE"""),58.74)</f>
        <v>58.74</v>
      </c>
    </row>
    <row r="3269" spans="1:2">
      <c r="A3269" s="3">
        <f ca="1">IFERROR(__xludf.DUMMYFUNCTION("""COMPUTED_VALUE"""),43091.6666666666)</f>
        <v>43091.666666666599</v>
      </c>
      <c r="B3269" s="1">
        <f ca="1">IFERROR(__xludf.DUMMYFUNCTION("""COMPUTED_VALUE"""),58.42)</f>
        <v>58.42</v>
      </c>
    </row>
    <row r="3270" spans="1:2">
      <c r="A3270" s="3">
        <f ca="1">IFERROR(__xludf.DUMMYFUNCTION("""COMPUTED_VALUE"""),43095.6666666666)</f>
        <v>43095.666666666599</v>
      </c>
      <c r="B3270" s="1">
        <f ca="1">IFERROR(__xludf.DUMMYFUNCTION("""COMPUTED_VALUE"""),58.84)</f>
        <v>58.84</v>
      </c>
    </row>
    <row r="3271" spans="1:2">
      <c r="A3271" s="3">
        <f ca="1">IFERROR(__xludf.DUMMYFUNCTION("""COMPUTED_VALUE"""),43096.6666666666)</f>
        <v>43096.666666666599</v>
      </c>
      <c r="B3271" s="1">
        <f ca="1">IFERROR(__xludf.DUMMYFUNCTION("""COMPUTED_VALUE"""),59.11)</f>
        <v>59.11</v>
      </c>
    </row>
    <row r="3272" spans="1:2">
      <c r="A3272" s="3">
        <f ca="1">IFERROR(__xludf.DUMMYFUNCTION("""COMPUTED_VALUE"""),43097.6666666666)</f>
        <v>43097.666666666599</v>
      </c>
      <c r="B3272" s="1">
        <f ca="1">IFERROR(__xludf.DUMMYFUNCTION("""COMPUTED_VALUE"""),59.31)</f>
        <v>59.31</v>
      </c>
    </row>
    <row r="3273" spans="1:2">
      <c r="A3273" s="3">
        <f ca="1">IFERROR(__xludf.DUMMYFUNCTION("""COMPUTED_VALUE"""),43098.6666666666)</f>
        <v>43098.666666666599</v>
      </c>
      <c r="B3273" s="1">
        <f ca="1">IFERROR(__xludf.DUMMYFUNCTION("""COMPUTED_VALUE"""),58.47)</f>
        <v>58.47</v>
      </c>
    </row>
    <row r="3274" spans="1:2">
      <c r="A3274" s="3">
        <f ca="1">IFERROR(__xludf.DUMMYFUNCTION("""COMPUTED_VALUE"""),43102.6666666666)</f>
        <v>43102.666666666599</v>
      </c>
      <c r="B3274" s="1">
        <f ca="1">IFERROR(__xludf.DUMMYFUNCTION("""COMPUTED_VALUE"""),59.45)</f>
        <v>59.45</v>
      </c>
    </row>
    <row r="3275" spans="1:2">
      <c r="A3275" s="3">
        <f ca="1">IFERROR(__xludf.DUMMYFUNCTION("""COMPUTED_VALUE"""),43103.6666666666)</f>
        <v>43103.666666666599</v>
      </c>
      <c r="B3275" s="1">
        <f ca="1">IFERROR(__xludf.DUMMYFUNCTION("""COMPUTED_VALUE"""),60.21)</f>
        <v>60.21</v>
      </c>
    </row>
    <row r="3276" spans="1:2">
      <c r="A3276" s="3">
        <f ca="1">IFERROR(__xludf.DUMMYFUNCTION("""COMPUTED_VALUE"""),43104.6666666666)</f>
        <v>43104.666666666599</v>
      </c>
      <c r="B3276" s="1">
        <f ca="1">IFERROR(__xludf.DUMMYFUNCTION("""COMPUTED_VALUE"""),60.48)</f>
        <v>60.48</v>
      </c>
    </row>
    <row r="3277" spans="1:2">
      <c r="A3277" s="3">
        <f ca="1">IFERROR(__xludf.DUMMYFUNCTION("""COMPUTED_VALUE"""),43105.6666666666)</f>
        <v>43105.666666666599</v>
      </c>
      <c r="B3277" s="1">
        <f ca="1">IFERROR(__xludf.DUMMYFUNCTION("""COMPUTED_VALUE"""),61.46)</f>
        <v>61.46</v>
      </c>
    </row>
    <row r="3278" spans="1:2">
      <c r="A3278" s="3">
        <f ca="1">IFERROR(__xludf.DUMMYFUNCTION("""COMPUTED_VALUE"""),43108.6666666666)</f>
        <v>43108.666666666599</v>
      </c>
      <c r="B3278" s="1">
        <f ca="1">IFERROR(__xludf.DUMMYFUNCTION("""COMPUTED_VALUE"""),62.34)</f>
        <v>62.34</v>
      </c>
    </row>
    <row r="3279" spans="1:2">
      <c r="A3279" s="3">
        <f ca="1">IFERROR(__xludf.DUMMYFUNCTION("""COMPUTED_VALUE"""),43109.6666666666)</f>
        <v>43109.666666666599</v>
      </c>
      <c r="B3279" s="1">
        <f ca="1">IFERROR(__xludf.DUMMYFUNCTION("""COMPUTED_VALUE"""),62.64)</f>
        <v>62.64</v>
      </c>
    </row>
    <row r="3280" spans="1:2">
      <c r="A3280" s="3">
        <f ca="1">IFERROR(__xludf.DUMMYFUNCTION("""COMPUTED_VALUE"""),43110.6666666666)</f>
        <v>43110.666666666599</v>
      </c>
      <c r="B3280" s="1">
        <f ca="1">IFERROR(__xludf.DUMMYFUNCTION("""COMPUTED_VALUE"""),62.72)</f>
        <v>62.72</v>
      </c>
    </row>
    <row r="3281" spans="1:2">
      <c r="A3281" s="3">
        <f ca="1">IFERROR(__xludf.DUMMYFUNCTION("""COMPUTED_VALUE"""),43111.6666666666)</f>
        <v>43111.666666666599</v>
      </c>
      <c r="B3281" s="1">
        <f ca="1">IFERROR(__xludf.DUMMYFUNCTION("""COMPUTED_VALUE"""),63.83)</f>
        <v>63.83</v>
      </c>
    </row>
    <row r="3282" spans="1:2">
      <c r="A3282" s="3">
        <f ca="1">IFERROR(__xludf.DUMMYFUNCTION("""COMPUTED_VALUE"""),43112.6666666666)</f>
        <v>43112.666666666599</v>
      </c>
      <c r="B3282" s="1">
        <f ca="1">IFERROR(__xludf.DUMMYFUNCTION("""COMPUTED_VALUE"""),65.26)</f>
        <v>65.260000000000005</v>
      </c>
    </row>
    <row r="3283" spans="1:2">
      <c r="A3283" s="3">
        <f ca="1">IFERROR(__xludf.DUMMYFUNCTION("""COMPUTED_VALUE"""),43116.6666666666)</f>
        <v>43116.666666666599</v>
      </c>
      <c r="B3283" s="1">
        <f ca="1">IFERROR(__xludf.DUMMYFUNCTION("""COMPUTED_VALUE"""),65.24)</f>
        <v>65.239999999999995</v>
      </c>
    </row>
    <row r="3284" spans="1:2">
      <c r="A3284" s="3">
        <f ca="1">IFERROR(__xludf.DUMMYFUNCTION("""COMPUTED_VALUE"""),43117.6666666666)</f>
        <v>43117.666666666599</v>
      </c>
      <c r="B3284" s="1">
        <f ca="1">IFERROR(__xludf.DUMMYFUNCTION("""COMPUTED_VALUE"""),64.75)</f>
        <v>64.75</v>
      </c>
    </row>
    <row r="3285" spans="1:2">
      <c r="A3285" s="3">
        <f ca="1">IFERROR(__xludf.DUMMYFUNCTION("""COMPUTED_VALUE"""),43118.6666666666)</f>
        <v>43118.666666666599</v>
      </c>
      <c r="B3285" s="1">
        <f ca="1">IFERROR(__xludf.DUMMYFUNCTION("""COMPUTED_VALUE"""),64.67)</f>
        <v>64.67</v>
      </c>
    </row>
    <row r="3286" spans="1:2">
      <c r="A3286" s="3">
        <f ca="1">IFERROR(__xludf.DUMMYFUNCTION("""COMPUTED_VALUE"""),43119.6666666666)</f>
        <v>43119.666666666599</v>
      </c>
      <c r="B3286" s="1">
        <f ca="1">IFERROR(__xludf.DUMMYFUNCTION("""COMPUTED_VALUE"""),64.73)</f>
        <v>64.73</v>
      </c>
    </row>
    <row r="3287" spans="1:2">
      <c r="A3287" s="3">
        <f ca="1">IFERROR(__xludf.DUMMYFUNCTION("""COMPUTED_VALUE"""),43122.6666666666)</f>
        <v>43122.666666666599</v>
      </c>
      <c r="B3287" s="1">
        <f ca="1">IFERROR(__xludf.DUMMYFUNCTION("""COMPUTED_VALUE"""),66.37)</f>
        <v>66.37</v>
      </c>
    </row>
    <row r="3288" spans="1:2">
      <c r="A3288" s="3">
        <f ca="1">IFERROR(__xludf.DUMMYFUNCTION("""COMPUTED_VALUE"""),43123.6666666666)</f>
        <v>43123.666666666599</v>
      </c>
      <c r="B3288" s="1">
        <f ca="1">IFERROR(__xludf.DUMMYFUNCTION("""COMPUTED_VALUE"""),68.13)</f>
        <v>68.13</v>
      </c>
    </row>
    <row r="3289" spans="1:2">
      <c r="A3289" s="3">
        <f ca="1">IFERROR(__xludf.DUMMYFUNCTION("""COMPUTED_VALUE"""),43124.6666666666)</f>
        <v>43124.666666666599</v>
      </c>
      <c r="B3289" s="1">
        <f ca="1">IFERROR(__xludf.DUMMYFUNCTION("""COMPUTED_VALUE"""),67.88)</f>
        <v>67.88</v>
      </c>
    </row>
    <row r="3290" spans="1:2">
      <c r="A3290" s="3">
        <f ca="1">IFERROR(__xludf.DUMMYFUNCTION("""COMPUTED_VALUE"""),43125.6666666666)</f>
        <v>43125.666666666599</v>
      </c>
      <c r="B3290" s="1">
        <f ca="1">IFERROR(__xludf.DUMMYFUNCTION("""COMPUTED_VALUE"""),68.9)</f>
        <v>68.900000000000006</v>
      </c>
    </row>
    <row r="3291" spans="1:2">
      <c r="A3291" s="3">
        <f ca="1">IFERROR(__xludf.DUMMYFUNCTION("""COMPUTED_VALUE"""),43126.6666666666)</f>
        <v>43126.666666666599</v>
      </c>
      <c r="B3291" s="1">
        <f ca="1">IFERROR(__xludf.DUMMYFUNCTION("""COMPUTED_VALUE"""),70.1)</f>
        <v>70.099999999999994</v>
      </c>
    </row>
    <row r="3292" spans="1:2">
      <c r="A3292" s="3">
        <f ca="1">IFERROR(__xludf.DUMMYFUNCTION("""COMPUTED_VALUE"""),43129.6666666666)</f>
        <v>43129.666666666599</v>
      </c>
      <c r="B3292" s="1">
        <f ca="1">IFERROR(__xludf.DUMMYFUNCTION("""COMPUTED_VALUE"""),70.88)</f>
        <v>70.88</v>
      </c>
    </row>
    <row r="3293" spans="1:2">
      <c r="A3293" s="3">
        <f ca="1">IFERROR(__xludf.DUMMYFUNCTION("""COMPUTED_VALUE"""),43130.6666666666)</f>
        <v>43130.666666666599</v>
      </c>
      <c r="B3293" s="1">
        <f ca="1">IFERROR(__xludf.DUMMYFUNCTION("""COMPUTED_VALUE"""),71.89)</f>
        <v>71.89</v>
      </c>
    </row>
    <row r="3294" spans="1:2">
      <c r="A3294" s="3">
        <f ca="1">IFERROR(__xludf.DUMMYFUNCTION("""COMPUTED_VALUE"""),43131.6666666666)</f>
        <v>43131.666666666599</v>
      </c>
      <c r="B3294" s="1">
        <f ca="1">IFERROR(__xludf.DUMMYFUNCTION("""COMPUTED_VALUE"""),72.54)</f>
        <v>72.540000000000006</v>
      </c>
    </row>
    <row r="3295" spans="1:2">
      <c r="A3295" s="3">
        <f ca="1">IFERROR(__xludf.DUMMYFUNCTION("""COMPUTED_VALUE"""),43132.6666666666)</f>
        <v>43132.666666666599</v>
      </c>
      <c r="B3295" s="1">
        <f ca="1">IFERROR(__xludf.DUMMYFUNCTION("""COMPUTED_VALUE"""),69.5)</f>
        <v>69.5</v>
      </c>
    </row>
    <row r="3296" spans="1:2">
      <c r="A3296" s="3">
        <f ca="1">IFERROR(__xludf.DUMMYFUNCTION("""COMPUTED_VALUE"""),43133.6666666666)</f>
        <v>43133.666666666599</v>
      </c>
      <c r="B3296" s="1">
        <f ca="1">IFERROR(__xludf.DUMMYFUNCTION("""COMPUTED_VALUE"""),71.5)</f>
        <v>71.5</v>
      </c>
    </row>
    <row r="3297" spans="1:2">
      <c r="A3297" s="3">
        <f ca="1">IFERROR(__xludf.DUMMYFUNCTION("""COMPUTED_VALUE"""),43136.6666666666)</f>
        <v>43136.666666666599</v>
      </c>
      <c r="B3297" s="1">
        <f ca="1">IFERROR(__xludf.DUMMYFUNCTION("""COMPUTED_VALUE"""),69.5)</f>
        <v>69.5</v>
      </c>
    </row>
    <row r="3298" spans="1:2">
      <c r="A3298" s="3">
        <f ca="1">IFERROR(__xludf.DUMMYFUNCTION("""COMPUTED_VALUE"""),43137.6666666666)</f>
        <v>43137.666666666599</v>
      </c>
      <c r="B3298" s="1">
        <f ca="1">IFERROR(__xludf.DUMMYFUNCTION("""COMPUTED_VALUE"""),72.14)</f>
        <v>72.14</v>
      </c>
    </row>
    <row r="3299" spans="1:2">
      <c r="A3299" s="3">
        <f ca="1">IFERROR(__xludf.DUMMYFUNCTION("""COMPUTED_VALUE"""),43138.6666666666)</f>
        <v>43138.666666666599</v>
      </c>
      <c r="B3299" s="1">
        <f ca="1">IFERROR(__xludf.DUMMYFUNCTION("""COMPUTED_VALUE"""),70.84)</f>
        <v>70.84</v>
      </c>
    </row>
    <row r="3300" spans="1:2">
      <c r="A3300" s="3">
        <f ca="1">IFERROR(__xludf.DUMMYFUNCTION("""COMPUTED_VALUE"""),43139.6666666666)</f>
        <v>43139.666666666599</v>
      </c>
      <c r="B3300" s="1">
        <f ca="1">IFERROR(__xludf.DUMMYFUNCTION("""COMPUTED_VALUE"""),67.53)</f>
        <v>67.53</v>
      </c>
    </row>
    <row r="3301" spans="1:2">
      <c r="A3301" s="3">
        <f ca="1">IFERROR(__xludf.DUMMYFUNCTION("""COMPUTED_VALUE"""),43140.6666666666)</f>
        <v>43140.666666666599</v>
      </c>
      <c r="B3301" s="1">
        <f ca="1">IFERROR(__xludf.DUMMYFUNCTION("""COMPUTED_VALUE"""),66.98)</f>
        <v>66.98</v>
      </c>
    </row>
    <row r="3302" spans="1:2">
      <c r="A3302" s="3">
        <f ca="1">IFERROR(__xludf.DUMMYFUNCTION("""COMPUTED_VALUE"""),43143.6666666666)</f>
        <v>43143.666666666599</v>
      </c>
      <c r="B3302" s="1">
        <f ca="1">IFERROR(__xludf.DUMMYFUNCTION("""COMPUTED_VALUE"""),69.31)</f>
        <v>69.31</v>
      </c>
    </row>
    <row r="3303" spans="1:2">
      <c r="A3303" s="3">
        <f ca="1">IFERROR(__xludf.DUMMYFUNCTION("""COMPUTED_VALUE"""),43144.6666666666)</f>
        <v>43144.666666666599</v>
      </c>
      <c r="B3303" s="1">
        <f ca="1">IFERROR(__xludf.DUMMYFUNCTION("""COMPUTED_VALUE"""),70.73)</f>
        <v>70.73</v>
      </c>
    </row>
    <row r="3304" spans="1:2">
      <c r="A3304" s="3">
        <f ca="1">IFERROR(__xludf.DUMMYFUNCTION("""COMPUTED_VALUE"""),43145.6666666666)</f>
        <v>43145.666666666599</v>
      </c>
      <c r="B3304" s="1">
        <f ca="1">IFERROR(__xludf.DUMMYFUNCTION("""COMPUTED_VALUE"""),72.55)</f>
        <v>72.55</v>
      </c>
    </row>
    <row r="3305" spans="1:2">
      <c r="A3305" s="3">
        <f ca="1">IFERROR(__xludf.DUMMYFUNCTION("""COMPUTED_VALUE"""),43146.6666666666)</f>
        <v>43146.666666666599</v>
      </c>
      <c r="B3305" s="1">
        <f ca="1">IFERROR(__xludf.DUMMYFUNCTION("""COMPUTED_VALUE"""),73.09)</f>
        <v>73.09</v>
      </c>
    </row>
    <row r="3306" spans="1:2">
      <c r="A3306" s="3">
        <f ca="1">IFERROR(__xludf.DUMMYFUNCTION("""COMPUTED_VALUE"""),43147.6666666666)</f>
        <v>43147.666666666599</v>
      </c>
      <c r="B3306" s="1">
        <f ca="1">IFERROR(__xludf.DUMMYFUNCTION("""COMPUTED_VALUE"""),72.43)</f>
        <v>72.430000000000007</v>
      </c>
    </row>
    <row r="3307" spans="1:2">
      <c r="A3307" s="3">
        <f ca="1">IFERROR(__xludf.DUMMYFUNCTION("""COMPUTED_VALUE"""),43151.6666666666)</f>
        <v>43151.666666666599</v>
      </c>
      <c r="B3307" s="1">
        <f ca="1">IFERROR(__xludf.DUMMYFUNCTION("""COMPUTED_VALUE"""),73.42)</f>
        <v>73.42</v>
      </c>
    </row>
    <row r="3308" spans="1:2">
      <c r="A3308" s="3">
        <f ca="1">IFERROR(__xludf.DUMMYFUNCTION("""COMPUTED_VALUE"""),43152.6666666666)</f>
        <v>43152.666666666599</v>
      </c>
      <c r="B3308" s="1">
        <f ca="1">IFERROR(__xludf.DUMMYFUNCTION("""COMPUTED_VALUE"""),74.15)</f>
        <v>74.150000000000006</v>
      </c>
    </row>
    <row r="3309" spans="1:2">
      <c r="A3309" s="3">
        <f ca="1">IFERROR(__xludf.DUMMYFUNCTION("""COMPUTED_VALUE"""),43153.6666666666)</f>
        <v>43153.666666666599</v>
      </c>
      <c r="B3309" s="1">
        <f ca="1">IFERROR(__xludf.DUMMYFUNCTION("""COMPUTED_VALUE"""),74.27)</f>
        <v>74.27</v>
      </c>
    </row>
    <row r="3310" spans="1:2">
      <c r="A3310" s="3">
        <f ca="1">IFERROR(__xludf.DUMMYFUNCTION("""COMPUTED_VALUE"""),43154.6666666666)</f>
        <v>43154.666666666599</v>
      </c>
      <c r="B3310" s="1">
        <f ca="1">IFERROR(__xludf.DUMMYFUNCTION("""COMPUTED_VALUE"""),75)</f>
        <v>75</v>
      </c>
    </row>
    <row r="3311" spans="1:2">
      <c r="A3311" s="3">
        <f ca="1">IFERROR(__xludf.DUMMYFUNCTION("""COMPUTED_VALUE"""),43157.6666666666)</f>
        <v>43157.666666666599</v>
      </c>
      <c r="B3311" s="1">
        <f ca="1">IFERROR(__xludf.DUMMYFUNCTION("""COMPUTED_VALUE"""),76.1)</f>
        <v>76.099999999999994</v>
      </c>
    </row>
    <row r="3312" spans="1:2">
      <c r="A3312" s="3">
        <f ca="1">IFERROR(__xludf.DUMMYFUNCTION("""COMPUTED_VALUE"""),43158.6666666666)</f>
        <v>43158.666666666599</v>
      </c>
      <c r="B3312" s="1">
        <f ca="1">IFERROR(__xludf.DUMMYFUNCTION("""COMPUTED_VALUE"""),75.6)</f>
        <v>75.599999999999994</v>
      </c>
    </row>
    <row r="3313" spans="1:2">
      <c r="A3313" s="3">
        <f ca="1">IFERROR(__xludf.DUMMYFUNCTION("""COMPUTED_VALUE"""),43159.6666666666)</f>
        <v>43159.666666666599</v>
      </c>
      <c r="B3313" s="1">
        <f ca="1">IFERROR(__xludf.DUMMYFUNCTION("""COMPUTED_VALUE"""),75.62)</f>
        <v>75.62</v>
      </c>
    </row>
    <row r="3314" spans="1:2">
      <c r="A3314" s="3">
        <f ca="1">IFERROR(__xludf.DUMMYFUNCTION("""COMPUTED_VALUE"""),43160.6666666666)</f>
        <v>43160.666666666599</v>
      </c>
      <c r="B3314" s="1">
        <f ca="1">IFERROR(__xludf.DUMMYFUNCTION("""COMPUTED_VALUE"""),74.67)</f>
        <v>74.67</v>
      </c>
    </row>
    <row r="3315" spans="1:2">
      <c r="A3315" s="3">
        <f ca="1">IFERROR(__xludf.DUMMYFUNCTION("""COMPUTED_VALUE"""),43161.6666666666)</f>
        <v>43161.666666666599</v>
      </c>
      <c r="B3315" s="1">
        <f ca="1">IFERROR(__xludf.DUMMYFUNCTION("""COMPUTED_VALUE"""),75.01)</f>
        <v>75.010000000000005</v>
      </c>
    </row>
    <row r="3316" spans="1:2">
      <c r="A3316" s="3">
        <f ca="1">IFERROR(__xludf.DUMMYFUNCTION("""COMPUTED_VALUE"""),43164.6666666666)</f>
        <v>43164.666666666599</v>
      </c>
      <c r="B3316" s="1">
        <f ca="1">IFERROR(__xludf.DUMMYFUNCTION("""COMPUTED_VALUE"""),76.18)</f>
        <v>76.180000000000007</v>
      </c>
    </row>
    <row r="3317" spans="1:2">
      <c r="A3317" s="3">
        <f ca="1">IFERROR(__xludf.DUMMYFUNCTION("""COMPUTED_VALUE"""),43165.6666666666)</f>
        <v>43165.666666666599</v>
      </c>
      <c r="B3317" s="1">
        <f ca="1">IFERROR(__xludf.DUMMYFUNCTION("""COMPUTED_VALUE"""),76.88)</f>
        <v>76.88</v>
      </c>
    </row>
    <row r="3318" spans="1:2">
      <c r="A3318" s="3">
        <f ca="1">IFERROR(__xludf.DUMMYFUNCTION("""COMPUTED_VALUE"""),43166.6666666666)</f>
        <v>43166.666666666599</v>
      </c>
      <c r="B3318" s="1">
        <f ca="1">IFERROR(__xludf.DUMMYFUNCTION("""COMPUTED_VALUE"""),77.25)</f>
        <v>77.25</v>
      </c>
    </row>
    <row r="3319" spans="1:2">
      <c r="A3319" s="3">
        <f ca="1">IFERROR(__xludf.DUMMYFUNCTION("""COMPUTED_VALUE"""),43167.6666666666)</f>
        <v>43167.666666666599</v>
      </c>
      <c r="B3319" s="1">
        <f ca="1">IFERROR(__xludf.DUMMYFUNCTION("""COMPUTED_VALUE"""),77.59)</f>
        <v>77.59</v>
      </c>
    </row>
    <row r="3320" spans="1:2">
      <c r="A3320" s="3">
        <f ca="1">IFERROR(__xludf.DUMMYFUNCTION("""COMPUTED_VALUE"""),43168.6666666666)</f>
        <v>43168.666666666599</v>
      </c>
      <c r="B3320" s="1">
        <f ca="1">IFERROR(__xludf.DUMMYFUNCTION("""COMPUTED_VALUE"""),78.94)</f>
        <v>78.94</v>
      </c>
    </row>
    <row r="3321" spans="1:2">
      <c r="A3321" s="3">
        <f ca="1">IFERROR(__xludf.DUMMYFUNCTION("""COMPUTED_VALUE"""),43171.6666666666)</f>
        <v>43171.666666666599</v>
      </c>
      <c r="B3321" s="1">
        <f ca="1">IFERROR(__xludf.DUMMYFUNCTION("""COMPUTED_VALUE"""),79.92)</f>
        <v>79.92</v>
      </c>
    </row>
    <row r="3322" spans="1:2">
      <c r="A3322" s="3">
        <f ca="1">IFERROR(__xludf.DUMMYFUNCTION("""COMPUTED_VALUE"""),43172.6666666666)</f>
        <v>43172.666666666599</v>
      </c>
      <c r="B3322" s="1">
        <f ca="1">IFERROR(__xludf.DUMMYFUNCTION("""COMPUTED_VALUE"""),79.41)</f>
        <v>79.41</v>
      </c>
    </row>
    <row r="3323" spans="1:2">
      <c r="A3323" s="3">
        <f ca="1">IFERROR(__xludf.DUMMYFUNCTION("""COMPUTED_VALUE"""),43173.6666666666)</f>
        <v>43173.666666666599</v>
      </c>
      <c r="B3323" s="1">
        <f ca="1">IFERROR(__xludf.DUMMYFUNCTION("""COMPUTED_VALUE"""),79.55)</f>
        <v>79.55</v>
      </c>
    </row>
    <row r="3324" spans="1:2">
      <c r="A3324" s="3">
        <f ca="1">IFERROR(__xludf.DUMMYFUNCTION("""COMPUTED_VALUE"""),43174.6666666666)</f>
        <v>43174.666666666599</v>
      </c>
      <c r="B3324" s="1">
        <f ca="1">IFERROR(__xludf.DUMMYFUNCTION("""COMPUTED_VALUE"""),79.12)</f>
        <v>79.12</v>
      </c>
    </row>
    <row r="3325" spans="1:2">
      <c r="A3325" s="3">
        <f ca="1">IFERROR(__xludf.DUMMYFUNCTION("""COMPUTED_VALUE"""),43175.6666666666)</f>
        <v>43175.666666666599</v>
      </c>
      <c r="B3325" s="1">
        <f ca="1">IFERROR(__xludf.DUMMYFUNCTION("""COMPUTED_VALUE"""),78.58)</f>
        <v>78.58</v>
      </c>
    </row>
    <row r="3326" spans="1:2">
      <c r="A3326" s="3">
        <f ca="1">IFERROR(__xludf.DUMMYFUNCTION("""COMPUTED_VALUE"""),43178.6666666666)</f>
        <v>43178.666666666599</v>
      </c>
      <c r="B3326" s="1">
        <f ca="1">IFERROR(__xludf.DUMMYFUNCTION("""COMPUTED_VALUE"""),77.25)</f>
        <v>77.25</v>
      </c>
    </row>
    <row r="3327" spans="1:2">
      <c r="A3327" s="3">
        <f ca="1">IFERROR(__xludf.DUMMYFUNCTION("""COMPUTED_VALUE"""),43179.6666666666)</f>
        <v>43179.666666666599</v>
      </c>
      <c r="B3327" s="1">
        <f ca="1">IFERROR(__xludf.DUMMYFUNCTION("""COMPUTED_VALUE"""),79.33)</f>
        <v>79.33</v>
      </c>
    </row>
    <row r="3328" spans="1:2">
      <c r="A3328" s="3">
        <f ca="1">IFERROR(__xludf.DUMMYFUNCTION("""COMPUTED_VALUE"""),43180.6666666666)</f>
        <v>43180.666666666599</v>
      </c>
      <c r="B3328" s="1">
        <f ca="1">IFERROR(__xludf.DUMMYFUNCTION("""COMPUTED_VALUE"""),79.09)</f>
        <v>79.09</v>
      </c>
    </row>
    <row r="3329" spans="1:2">
      <c r="A3329" s="3">
        <f ca="1">IFERROR(__xludf.DUMMYFUNCTION("""COMPUTED_VALUE"""),43181.6666666666)</f>
        <v>43181.666666666599</v>
      </c>
      <c r="B3329" s="1">
        <f ca="1">IFERROR(__xludf.DUMMYFUNCTION("""COMPUTED_VALUE"""),77.25)</f>
        <v>77.25</v>
      </c>
    </row>
    <row r="3330" spans="1:2">
      <c r="A3330" s="3">
        <f ca="1">IFERROR(__xludf.DUMMYFUNCTION("""COMPUTED_VALUE"""),43182.6666666666)</f>
        <v>43182.666666666599</v>
      </c>
      <c r="B3330" s="1">
        <f ca="1">IFERROR(__xludf.DUMMYFUNCTION("""COMPUTED_VALUE"""),74.78)</f>
        <v>74.78</v>
      </c>
    </row>
    <row r="3331" spans="1:2">
      <c r="A3331" s="3">
        <f ca="1">IFERROR(__xludf.DUMMYFUNCTION("""COMPUTED_VALUE"""),43185.6666666666)</f>
        <v>43185.666666666599</v>
      </c>
      <c r="B3331" s="1">
        <f ca="1">IFERROR(__xludf.DUMMYFUNCTION("""COMPUTED_VALUE"""),77.79)</f>
        <v>77.790000000000006</v>
      </c>
    </row>
    <row r="3332" spans="1:2">
      <c r="A3332" s="3">
        <f ca="1">IFERROR(__xludf.DUMMYFUNCTION("""COMPUTED_VALUE"""),43186.6666666666)</f>
        <v>43186.666666666599</v>
      </c>
      <c r="B3332" s="1">
        <f ca="1">IFERROR(__xludf.DUMMYFUNCTION("""COMPUTED_VALUE"""),74.85)</f>
        <v>74.849999999999994</v>
      </c>
    </row>
    <row r="3333" spans="1:2">
      <c r="A3333" s="3">
        <f ca="1">IFERROR(__xludf.DUMMYFUNCTION("""COMPUTED_VALUE"""),43187.6666666666)</f>
        <v>43187.666666666599</v>
      </c>
      <c r="B3333" s="1">
        <f ca="1">IFERROR(__xludf.DUMMYFUNCTION("""COMPUTED_VALUE"""),71.57)</f>
        <v>71.569999999999993</v>
      </c>
    </row>
    <row r="3334" spans="1:2">
      <c r="A3334" s="3">
        <f ca="1">IFERROR(__xludf.DUMMYFUNCTION("""COMPUTED_VALUE"""),43188.6666666666)</f>
        <v>43188.666666666599</v>
      </c>
      <c r="B3334" s="1">
        <f ca="1">IFERROR(__xludf.DUMMYFUNCTION("""COMPUTED_VALUE"""),72.37)</f>
        <v>72.37</v>
      </c>
    </row>
    <row r="3335" spans="1:2">
      <c r="A3335" s="3">
        <f ca="1">IFERROR(__xludf.DUMMYFUNCTION("""COMPUTED_VALUE"""),43192.6666666666)</f>
        <v>43192.666666666599</v>
      </c>
      <c r="B3335" s="1">
        <f ca="1">IFERROR(__xludf.DUMMYFUNCTION("""COMPUTED_VALUE"""),68.6)</f>
        <v>68.599999999999994</v>
      </c>
    </row>
    <row r="3336" spans="1:2">
      <c r="A3336" s="3">
        <f ca="1">IFERROR(__xludf.DUMMYFUNCTION("""COMPUTED_VALUE"""),43193.6666666666)</f>
        <v>43193.666666666599</v>
      </c>
      <c r="B3336" s="1">
        <f ca="1">IFERROR(__xludf.DUMMYFUNCTION("""COMPUTED_VALUE"""),69.6)</f>
        <v>69.599999999999994</v>
      </c>
    </row>
    <row r="3337" spans="1:2">
      <c r="A3337" s="3">
        <f ca="1">IFERROR(__xludf.DUMMYFUNCTION("""COMPUTED_VALUE"""),43194.6666666666)</f>
        <v>43194.666666666599</v>
      </c>
      <c r="B3337" s="1">
        <f ca="1">IFERROR(__xludf.DUMMYFUNCTION("""COMPUTED_VALUE"""),70.53)</f>
        <v>70.53</v>
      </c>
    </row>
    <row r="3338" spans="1:2">
      <c r="A3338" s="3">
        <f ca="1">IFERROR(__xludf.DUMMYFUNCTION("""COMPUTED_VALUE"""),43195.6666666666)</f>
        <v>43195.666666666599</v>
      </c>
      <c r="B3338" s="1">
        <f ca="1">IFERROR(__xludf.DUMMYFUNCTION("""COMPUTED_VALUE"""),72.59)</f>
        <v>72.59</v>
      </c>
    </row>
    <row r="3339" spans="1:2">
      <c r="A3339" s="3">
        <f ca="1">IFERROR(__xludf.DUMMYFUNCTION("""COMPUTED_VALUE"""),43196.6666666666)</f>
        <v>43196.666666666599</v>
      </c>
      <c r="B3339" s="1">
        <f ca="1">IFERROR(__xludf.DUMMYFUNCTION("""COMPUTED_VALUE"""),70.26)</f>
        <v>70.260000000000005</v>
      </c>
    </row>
    <row r="3340" spans="1:2">
      <c r="A3340" s="3">
        <f ca="1">IFERROR(__xludf.DUMMYFUNCTION("""COMPUTED_VALUE"""),43199.6666666666)</f>
        <v>43199.666666666599</v>
      </c>
      <c r="B3340" s="1">
        <f ca="1">IFERROR(__xludf.DUMMYFUNCTION("""COMPUTED_VALUE"""),70.3)</f>
        <v>70.3</v>
      </c>
    </row>
    <row r="3341" spans="1:2">
      <c r="A3341" s="3">
        <f ca="1">IFERROR(__xludf.DUMMYFUNCTION("""COMPUTED_VALUE"""),43200.6666666666)</f>
        <v>43200.666666666599</v>
      </c>
      <c r="B3341" s="1">
        <f ca="1">IFERROR(__xludf.DUMMYFUNCTION("""COMPUTED_VALUE"""),71.81)</f>
        <v>71.81</v>
      </c>
    </row>
    <row r="3342" spans="1:2">
      <c r="A3342" s="3">
        <f ca="1">IFERROR(__xludf.DUMMYFUNCTION("""COMPUTED_VALUE"""),43201.6666666666)</f>
        <v>43201.666666666599</v>
      </c>
      <c r="B3342" s="1">
        <f ca="1">IFERROR(__xludf.DUMMYFUNCTION("""COMPUTED_VALUE"""),71.35)</f>
        <v>71.349999999999994</v>
      </c>
    </row>
    <row r="3343" spans="1:2">
      <c r="A3343" s="3">
        <f ca="1">IFERROR(__xludf.DUMMYFUNCTION("""COMPUTED_VALUE"""),43202.6666666666)</f>
        <v>43202.666666666599</v>
      </c>
      <c r="B3343" s="1">
        <f ca="1">IFERROR(__xludf.DUMMYFUNCTION("""COMPUTED_VALUE"""),72.43)</f>
        <v>72.430000000000007</v>
      </c>
    </row>
    <row r="3344" spans="1:2">
      <c r="A3344" s="3">
        <f ca="1">IFERROR(__xludf.DUMMYFUNCTION("""COMPUTED_VALUE"""),43203.6666666666)</f>
        <v>43203.666666666599</v>
      </c>
      <c r="B3344" s="1">
        <f ca="1">IFERROR(__xludf.DUMMYFUNCTION("""COMPUTED_VALUE"""),71.54)</f>
        <v>71.540000000000006</v>
      </c>
    </row>
    <row r="3345" spans="1:2">
      <c r="A3345" s="3">
        <f ca="1">IFERROR(__xludf.DUMMYFUNCTION("""COMPUTED_VALUE"""),43206.6666666666)</f>
        <v>43206.666666666599</v>
      </c>
      <c r="B3345" s="1">
        <f ca="1">IFERROR(__xludf.DUMMYFUNCTION("""COMPUTED_VALUE"""),72.08)</f>
        <v>72.08</v>
      </c>
    </row>
    <row r="3346" spans="1:2">
      <c r="A3346" s="3">
        <f ca="1">IFERROR(__xludf.DUMMYFUNCTION("""COMPUTED_VALUE"""),43207.6666666666)</f>
        <v>43207.666666666599</v>
      </c>
      <c r="B3346" s="1">
        <f ca="1">IFERROR(__xludf.DUMMYFUNCTION("""COMPUTED_VALUE"""),75.19)</f>
        <v>75.19</v>
      </c>
    </row>
    <row r="3347" spans="1:2">
      <c r="A3347" s="3">
        <f ca="1">IFERROR(__xludf.DUMMYFUNCTION("""COMPUTED_VALUE"""),43208.6666666666)</f>
        <v>43208.666666666599</v>
      </c>
      <c r="B3347" s="1">
        <f ca="1">IFERROR(__xludf.DUMMYFUNCTION("""COMPUTED_VALUE"""),76.39)</f>
        <v>76.39</v>
      </c>
    </row>
    <row r="3348" spans="1:2">
      <c r="A3348" s="3">
        <f ca="1">IFERROR(__xludf.DUMMYFUNCTION("""COMPUTED_VALUE"""),43209.6666666666)</f>
        <v>43209.666666666599</v>
      </c>
      <c r="B3348" s="1">
        <f ca="1">IFERROR(__xludf.DUMMYFUNCTION("""COMPUTED_VALUE"""),77.85)</f>
        <v>77.849999999999994</v>
      </c>
    </row>
    <row r="3349" spans="1:2">
      <c r="A3349" s="3">
        <f ca="1">IFERROR(__xludf.DUMMYFUNCTION("""COMPUTED_VALUE"""),43210.6666666666)</f>
        <v>43210.666666666599</v>
      </c>
      <c r="B3349" s="1">
        <f ca="1">IFERROR(__xludf.DUMMYFUNCTION("""COMPUTED_VALUE"""),76.37)</f>
        <v>76.37</v>
      </c>
    </row>
    <row r="3350" spans="1:2">
      <c r="A3350" s="3">
        <f ca="1">IFERROR(__xludf.DUMMYFUNCTION("""COMPUTED_VALUE"""),43213.6666666666)</f>
        <v>43213.666666666599</v>
      </c>
      <c r="B3350" s="1">
        <f ca="1">IFERROR(__xludf.DUMMYFUNCTION("""COMPUTED_VALUE"""),75.89)</f>
        <v>75.89</v>
      </c>
    </row>
    <row r="3351" spans="1:2">
      <c r="A3351" s="3">
        <f ca="1">IFERROR(__xludf.DUMMYFUNCTION("""COMPUTED_VALUE"""),43214.6666666666)</f>
        <v>43214.666666666599</v>
      </c>
      <c r="B3351" s="1">
        <f ca="1">IFERROR(__xludf.DUMMYFUNCTION("""COMPUTED_VALUE"""),73)</f>
        <v>73</v>
      </c>
    </row>
    <row r="3352" spans="1:2">
      <c r="A3352" s="3">
        <f ca="1">IFERROR(__xludf.DUMMYFUNCTION("""COMPUTED_VALUE"""),43215.6666666666)</f>
        <v>43215.666666666599</v>
      </c>
      <c r="B3352" s="1">
        <f ca="1">IFERROR(__xludf.DUMMYFUNCTION("""COMPUTED_VALUE"""),73.01)</f>
        <v>73.010000000000005</v>
      </c>
    </row>
    <row r="3353" spans="1:2">
      <c r="A3353" s="3">
        <f ca="1">IFERROR(__xludf.DUMMYFUNCTION("""COMPUTED_VALUE"""),43216.6666666666)</f>
        <v>43216.666666666599</v>
      </c>
      <c r="B3353" s="1">
        <f ca="1">IFERROR(__xludf.DUMMYFUNCTION("""COMPUTED_VALUE"""),75.9)</f>
        <v>75.900000000000006</v>
      </c>
    </row>
    <row r="3354" spans="1:2">
      <c r="A3354" s="3">
        <f ca="1">IFERROR(__xludf.DUMMYFUNCTION("""COMPUTED_VALUE"""),43217.6666666666)</f>
        <v>43217.666666666599</v>
      </c>
      <c r="B3354" s="1">
        <f ca="1">IFERROR(__xludf.DUMMYFUNCTION("""COMPUTED_VALUE"""),78.63)</f>
        <v>78.63</v>
      </c>
    </row>
    <row r="3355" spans="1:2">
      <c r="A3355" s="3">
        <f ca="1">IFERROR(__xludf.DUMMYFUNCTION("""COMPUTED_VALUE"""),43220.6666666666)</f>
        <v>43220.666666666599</v>
      </c>
      <c r="B3355" s="1">
        <f ca="1">IFERROR(__xludf.DUMMYFUNCTION("""COMPUTED_VALUE"""),78.31)</f>
        <v>78.31</v>
      </c>
    </row>
    <row r="3356" spans="1:2">
      <c r="A3356" s="3">
        <f ca="1">IFERROR(__xludf.DUMMYFUNCTION("""COMPUTED_VALUE"""),43221.6666666666)</f>
        <v>43221.666666666599</v>
      </c>
      <c r="B3356" s="1">
        <f ca="1">IFERROR(__xludf.DUMMYFUNCTION("""COMPUTED_VALUE"""),79.11)</f>
        <v>79.11</v>
      </c>
    </row>
    <row r="3357" spans="1:2">
      <c r="A3357" s="3">
        <f ca="1">IFERROR(__xludf.DUMMYFUNCTION("""COMPUTED_VALUE"""),43222.6666666666)</f>
        <v>43222.666666666599</v>
      </c>
      <c r="B3357" s="1">
        <f ca="1">IFERROR(__xludf.DUMMYFUNCTION("""COMPUTED_VALUE"""),78.48)</f>
        <v>78.48</v>
      </c>
    </row>
    <row r="3358" spans="1:2">
      <c r="A3358" s="3">
        <f ca="1">IFERROR(__xludf.DUMMYFUNCTION("""COMPUTED_VALUE"""),43223.6666666666)</f>
        <v>43223.666666666599</v>
      </c>
      <c r="B3358" s="1">
        <f ca="1">IFERROR(__xludf.DUMMYFUNCTION("""COMPUTED_VALUE"""),78.6)</f>
        <v>78.599999999999994</v>
      </c>
    </row>
    <row r="3359" spans="1:2">
      <c r="A3359" s="3">
        <f ca="1">IFERROR(__xludf.DUMMYFUNCTION("""COMPUTED_VALUE"""),43224.6666666666)</f>
        <v>43224.666666666599</v>
      </c>
      <c r="B3359" s="1">
        <f ca="1">IFERROR(__xludf.DUMMYFUNCTION("""COMPUTED_VALUE"""),79.05)</f>
        <v>79.05</v>
      </c>
    </row>
    <row r="3360" spans="1:2">
      <c r="A3360" s="3">
        <f ca="1">IFERROR(__xludf.DUMMYFUNCTION("""COMPUTED_VALUE"""),43227.6666666666)</f>
        <v>43227.666666666599</v>
      </c>
      <c r="B3360" s="1">
        <f ca="1">IFERROR(__xludf.DUMMYFUNCTION("""COMPUTED_VALUE"""),80.01)</f>
        <v>80.010000000000005</v>
      </c>
    </row>
    <row r="3361" spans="1:2">
      <c r="A3361" s="3">
        <f ca="1">IFERROR(__xludf.DUMMYFUNCTION("""COMPUTED_VALUE"""),43228.6666666666)</f>
        <v>43228.666666666599</v>
      </c>
      <c r="B3361" s="1">
        <f ca="1">IFERROR(__xludf.DUMMYFUNCTION("""COMPUTED_VALUE"""),79.62)</f>
        <v>79.62</v>
      </c>
    </row>
    <row r="3362" spans="1:2">
      <c r="A3362" s="3">
        <f ca="1">IFERROR(__xludf.DUMMYFUNCTION("""COMPUTED_VALUE"""),43229.6666666666)</f>
        <v>43229.666666666599</v>
      </c>
      <c r="B3362" s="1">
        <f ca="1">IFERROR(__xludf.DUMMYFUNCTION("""COMPUTED_VALUE"""),80.4)</f>
        <v>80.400000000000006</v>
      </c>
    </row>
    <row r="3363" spans="1:2">
      <c r="A3363" s="3">
        <f ca="1">IFERROR(__xludf.DUMMYFUNCTION("""COMPUTED_VALUE"""),43230.6666666666)</f>
        <v>43230.666666666599</v>
      </c>
      <c r="B3363" s="1">
        <f ca="1">IFERROR(__xludf.DUMMYFUNCTION("""COMPUTED_VALUE"""),80.45)</f>
        <v>80.45</v>
      </c>
    </row>
    <row r="3364" spans="1:2">
      <c r="A3364" s="3">
        <f ca="1">IFERROR(__xludf.DUMMYFUNCTION("""COMPUTED_VALUE"""),43231.6666666666)</f>
        <v>43231.666666666599</v>
      </c>
      <c r="B3364" s="1">
        <f ca="1">IFERROR(__xludf.DUMMYFUNCTION("""COMPUTED_VALUE"""),80.15)</f>
        <v>80.150000000000006</v>
      </c>
    </row>
    <row r="3365" spans="1:2">
      <c r="A3365" s="3">
        <f ca="1">IFERROR(__xludf.DUMMYFUNCTION("""COMPUTED_VALUE"""),43234.6666666666)</f>
        <v>43234.666666666599</v>
      </c>
      <c r="B3365" s="1">
        <f ca="1">IFERROR(__xludf.DUMMYFUNCTION("""COMPUTED_VALUE"""),80.08)</f>
        <v>80.08</v>
      </c>
    </row>
    <row r="3366" spans="1:2">
      <c r="A3366" s="3">
        <f ca="1">IFERROR(__xludf.DUMMYFUNCTION("""COMPUTED_VALUE"""),43235.6666666666)</f>
        <v>43235.666666666599</v>
      </c>
      <c r="B3366" s="1">
        <f ca="1">IFERROR(__xludf.DUMMYFUNCTION("""COMPUTED_VALUE"""),78.81)</f>
        <v>78.81</v>
      </c>
    </row>
    <row r="3367" spans="1:2">
      <c r="A3367" s="3">
        <f ca="1">IFERROR(__xludf.DUMMYFUNCTION("""COMPUTED_VALUE"""),43236.6666666666)</f>
        <v>43236.666666666599</v>
      </c>
      <c r="B3367" s="1">
        <f ca="1">IFERROR(__xludf.DUMMYFUNCTION("""COMPUTED_VALUE"""),79.36)</f>
        <v>79.36</v>
      </c>
    </row>
    <row r="3368" spans="1:2">
      <c r="A3368" s="3">
        <f ca="1">IFERROR(__xludf.DUMMYFUNCTION("""COMPUTED_VALUE"""),43237.6666666666)</f>
        <v>43237.666666666599</v>
      </c>
      <c r="B3368" s="1">
        <f ca="1">IFERROR(__xludf.DUMMYFUNCTION("""COMPUTED_VALUE"""),79.09)</f>
        <v>79.09</v>
      </c>
    </row>
    <row r="3369" spans="1:2">
      <c r="A3369" s="3">
        <f ca="1">IFERROR(__xludf.DUMMYFUNCTION("""COMPUTED_VALUE"""),43238.6666666666)</f>
        <v>43238.666666666599</v>
      </c>
      <c r="B3369" s="1">
        <f ca="1">IFERROR(__xludf.DUMMYFUNCTION("""COMPUTED_VALUE"""),78.72)</f>
        <v>78.72</v>
      </c>
    </row>
    <row r="3370" spans="1:2">
      <c r="A3370" s="3">
        <f ca="1">IFERROR(__xludf.DUMMYFUNCTION("""COMPUTED_VALUE"""),43241.6666666666)</f>
        <v>43241.666666666599</v>
      </c>
      <c r="B3370" s="1">
        <f ca="1">IFERROR(__xludf.DUMMYFUNCTION("""COMPUTED_VALUE"""),79.27)</f>
        <v>79.27</v>
      </c>
    </row>
    <row r="3371" spans="1:2">
      <c r="A3371" s="3">
        <f ca="1">IFERROR(__xludf.DUMMYFUNCTION("""COMPUTED_VALUE"""),43242.6666666666)</f>
        <v>43242.666666666599</v>
      </c>
      <c r="B3371" s="1">
        <f ca="1">IFERROR(__xludf.DUMMYFUNCTION("""COMPUTED_VALUE"""),79.07)</f>
        <v>79.069999999999993</v>
      </c>
    </row>
    <row r="3372" spans="1:2">
      <c r="A3372" s="3">
        <f ca="1">IFERROR(__xludf.DUMMYFUNCTION("""COMPUTED_VALUE"""),43243.6666666666)</f>
        <v>43243.666666666599</v>
      </c>
      <c r="B3372" s="1">
        <f ca="1">IFERROR(__xludf.DUMMYFUNCTION("""COMPUTED_VALUE"""),80.09)</f>
        <v>80.09</v>
      </c>
    </row>
    <row r="3373" spans="1:2">
      <c r="A3373" s="3">
        <f ca="1">IFERROR(__xludf.DUMMYFUNCTION("""COMPUTED_VALUE"""),43244.6666666666)</f>
        <v>43244.666666666599</v>
      </c>
      <c r="B3373" s="1">
        <f ca="1">IFERROR(__xludf.DUMMYFUNCTION("""COMPUTED_VALUE"""),80.15)</f>
        <v>80.150000000000006</v>
      </c>
    </row>
    <row r="3374" spans="1:2">
      <c r="A3374" s="3">
        <f ca="1">IFERROR(__xludf.DUMMYFUNCTION("""COMPUTED_VALUE"""),43245.6666666666)</f>
        <v>43245.666666666599</v>
      </c>
      <c r="B3374" s="1">
        <f ca="1">IFERROR(__xludf.DUMMYFUNCTION("""COMPUTED_VALUE"""),80.51)</f>
        <v>80.510000000000005</v>
      </c>
    </row>
    <row r="3375" spans="1:2">
      <c r="A3375" s="3">
        <f ca="1">IFERROR(__xludf.DUMMYFUNCTION("""COMPUTED_VALUE"""),43249.6666666666)</f>
        <v>43249.666666666599</v>
      </c>
      <c r="B3375" s="1">
        <f ca="1">IFERROR(__xludf.DUMMYFUNCTION("""COMPUTED_VALUE"""),80.64)</f>
        <v>80.64</v>
      </c>
    </row>
    <row r="3376" spans="1:2">
      <c r="A3376" s="3">
        <f ca="1">IFERROR(__xludf.DUMMYFUNCTION("""COMPUTED_VALUE"""),43250.6666666666)</f>
        <v>43250.666666666599</v>
      </c>
      <c r="B3376" s="1">
        <f ca="1">IFERROR(__xludf.DUMMYFUNCTION("""COMPUTED_VALUE"""),81.24)</f>
        <v>81.239999999999995</v>
      </c>
    </row>
    <row r="3377" spans="1:2">
      <c r="A3377" s="3">
        <f ca="1">IFERROR(__xludf.DUMMYFUNCTION("""COMPUTED_VALUE"""),43251.6666666666)</f>
        <v>43251.666666666599</v>
      </c>
      <c r="B3377" s="1">
        <f ca="1">IFERROR(__xludf.DUMMYFUNCTION("""COMPUTED_VALUE"""),81.48)</f>
        <v>81.48</v>
      </c>
    </row>
    <row r="3378" spans="1:2">
      <c r="A3378" s="3">
        <f ca="1">IFERROR(__xludf.DUMMYFUNCTION("""COMPUTED_VALUE"""),43252.6666666666)</f>
        <v>43252.666666666599</v>
      </c>
      <c r="B3378" s="1">
        <f ca="1">IFERROR(__xludf.DUMMYFUNCTION("""COMPUTED_VALUE"""),82.08)</f>
        <v>82.08</v>
      </c>
    </row>
    <row r="3379" spans="1:2">
      <c r="A3379" s="3">
        <f ca="1">IFERROR(__xludf.DUMMYFUNCTION("""COMPUTED_VALUE"""),43255.6666666666)</f>
        <v>43255.666666666599</v>
      </c>
      <c r="B3379" s="1">
        <f ca="1">IFERROR(__xludf.DUMMYFUNCTION("""COMPUTED_VALUE"""),83.26)</f>
        <v>83.26</v>
      </c>
    </row>
    <row r="3380" spans="1:2">
      <c r="A3380" s="3">
        <f ca="1">IFERROR(__xludf.DUMMYFUNCTION("""COMPUTED_VALUE"""),43256.6666666666)</f>
        <v>43256.666666666599</v>
      </c>
      <c r="B3380" s="1">
        <f ca="1">IFERROR(__xludf.DUMMYFUNCTION("""COMPUTED_VALUE"""),84.82)</f>
        <v>84.82</v>
      </c>
    </row>
    <row r="3381" spans="1:2">
      <c r="A3381" s="3">
        <f ca="1">IFERROR(__xludf.DUMMYFUNCTION("""COMPUTED_VALUE"""),43257.6666666666)</f>
        <v>43257.666666666599</v>
      </c>
      <c r="B3381" s="1">
        <f ca="1">IFERROR(__xludf.DUMMYFUNCTION("""COMPUTED_VALUE"""),84.79)</f>
        <v>84.79</v>
      </c>
    </row>
    <row r="3382" spans="1:2">
      <c r="A3382" s="3">
        <f ca="1">IFERROR(__xludf.DUMMYFUNCTION("""COMPUTED_VALUE"""),43258.6666666666)</f>
        <v>43258.666666666599</v>
      </c>
      <c r="B3382" s="1">
        <f ca="1">IFERROR(__xludf.DUMMYFUNCTION("""COMPUTED_VALUE"""),84.47)</f>
        <v>84.47</v>
      </c>
    </row>
    <row r="3383" spans="1:2">
      <c r="A3383" s="3">
        <f ca="1">IFERROR(__xludf.DUMMYFUNCTION("""COMPUTED_VALUE"""),43259.6666666666)</f>
        <v>43259.666666666599</v>
      </c>
      <c r="B3383" s="1">
        <f ca="1">IFERROR(__xludf.DUMMYFUNCTION("""COMPUTED_VALUE"""),84.2)</f>
        <v>84.2</v>
      </c>
    </row>
    <row r="3384" spans="1:2">
      <c r="A3384" s="3">
        <f ca="1">IFERROR(__xludf.DUMMYFUNCTION("""COMPUTED_VALUE"""),43262.6666666666)</f>
        <v>43262.666666666599</v>
      </c>
      <c r="B3384" s="1">
        <f ca="1">IFERROR(__xludf.DUMMYFUNCTION("""COMPUTED_VALUE"""),84.46)</f>
        <v>84.46</v>
      </c>
    </row>
    <row r="3385" spans="1:2">
      <c r="A3385" s="3">
        <f ca="1">IFERROR(__xludf.DUMMYFUNCTION("""COMPUTED_VALUE"""),43263.6666666666)</f>
        <v>43263.666666666599</v>
      </c>
      <c r="B3385" s="1">
        <f ca="1">IFERROR(__xludf.DUMMYFUNCTION("""COMPUTED_VALUE"""),84.94)</f>
        <v>84.94</v>
      </c>
    </row>
    <row r="3386" spans="1:2">
      <c r="A3386" s="3">
        <f ca="1">IFERROR(__xludf.DUMMYFUNCTION("""COMPUTED_VALUE"""),43264.6666666666)</f>
        <v>43264.666666666599</v>
      </c>
      <c r="B3386" s="1">
        <f ca="1">IFERROR(__xludf.DUMMYFUNCTION("""COMPUTED_VALUE"""),85.24)</f>
        <v>85.24</v>
      </c>
    </row>
    <row r="3387" spans="1:2">
      <c r="A3387" s="3">
        <f ca="1">IFERROR(__xludf.DUMMYFUNCTION("""COMPUTED_VALUE"""),43265.6666666666)</f>
        <v>43265.666666666599</v>
      </c>
      <c r="B3387" s="1">
        <f ca="1">IFERROR(__xludf.DUMMYFUNCTION("""COMPUTED_VALUE"""),86.19)</f>
        <v>86.19</v>
      </c>
    </row>
    <row r="3388" spans="1:2">
      <c r="A3388" s="3">
        <f ca="1">IFERROR(__xludf.DUMMYFUNCTION("""COMPUTED_VALUE"""),43266.6666666666)</f>
        <v>43266.666666666599</v>
      </c>
      <c r="B3388" s="1">
        <f ca="1">IFERROR(__xludf.DUMMYFUNCTION("""COMPUTED_VALUE"""),85.8)</f>
        <v>85.8</v>
      </c>
    </row>
    <row r="3389" spans="1:2">
      <c r="A3389" s="3">
        <f ca="1">IFERROR(__xludf.DUMMYFUNCTION("""COMPUTED_VALUE"""),43269.6666666666)</f>
        <v>43269.666666666599</v>
      </c>
      <c r="B3389" s="1">
        <f ca="1">IFERROR(__xludf.DUMMYFUNCTION("""COMPUTED_VALUE"""),86.19)</f>
        <v>86.19</v>
      </c>
    </row>
    <row r="3390" spans="1:2">
      <c r="A3390" s="3">
        <f ca="1">IFERROR(__xludf.DUMMYFUNCTION("""COMPUTED_VALUE"""),43270.6666666666)</f>
        <v>43270.666666666599</v>
      </c>
      <c r="B3390" s="1">
        <f ca="1">IFERROR(__xludf.DUMMYFUNCTION("""COMPUTED_VALUE"""),86.74)</f>
        <v>86.74</v>
      </c>
    </row>
    <row r="3391" spans="1:2">
      <c r="A3391" s="3">
        <f ca="1">IFERROR(__xludf.DUMMYFUNCTION("""COMPUTED_VALUE"""),43271.6666666666)</f>
        <v>43271.666666666599</v>
      </c>
      <c r="B3391" s="1">
        <f ca="1">IFERROR(__xludf.DUMMYFUNCTION("""COMPUTED_VALUE"""),87.5)</f>
        <v>87.5</v>
      </c>
    </row>
    <row r="3392" spans="1:2">
      <c r="A3392" s="3">
        <f ca="1">IFERROR(__xludf.DUMMYFUNCTION("""COMPUTED_VALUE"""),43272.6666666666)</f>
        <v>43272.666666666599</v>
      </c>
      <c r="B3392" s="1">
        <f ca="1">IFERROR(__xludf.DUMMYFUNCTION("""COMPUTED_VALUE"""),86.51)</f>
        <v>86.51</v>
      </c>
    </row>
    <row r="3393" spans="1:2">
      <c r="A3393" s="3">
        <f ca="1">IFERROR(__xludf.DUMMYFUNCTION("""COMPUTED_VALUE"""),43273.6666666666)</f>
        <v>43273.666666666599</v>
      </c>
      <c r="B3393" s="1">
        <f ca="1">IFERROR(__xludf.DUMMYFUNCTION("""COMPUTED_VALUE"""),85.78)</f>
        <v>85.78</v>
      </c>
    </row>
    <row r="3394" spans="1:2">
      <c r="A3394" s="3">
        <f ca="1">IFERROR(__xludf.DUMMYFUNCTION("""COMPUTED_VALUE"""),43276.6666666666)</f>
        <v>43276.666666666599</v>
      </c>
      <c r="B3394" s="1">
        <f ca="1">IFERROR(__xludf.DUMMYFUNCTION("""COMPUTED_VALUE"""),83.16)</f>
        <v>83.16</v>
      </c>
    </row>
    <row r="3395" spans="1:2">
      <c r="A3395" s="3">
        <f ca="1">IFERROR(__xludf.DUMMYFUNCTION("""COMPUTED_VALUE"""),43277.6666666666)</f>
        <v>43277.666666666599</v>
      </c>
      <c r="B3395" s="1">
        <f ca="1">IFERROR(__xludf.DUMMYFUNCTION("""COMPUTED_VALUE"""),84.55)</f>
        <v>84.55</v>
      </c>
    </row>
    <row r="3396" spans="1:2">
      <c r="A3396" s="3">
        <f ca="1">IFERROR(__xludf.DUMMYFUNCTION("""COMPUTED_VALUE"""),43278.6666666666)</f>
        <v>43278.666666666599</v>
      </c>
      <c r="B3396" s="1">
        <f ca="1">IFERROR(__xludf.DUMMYFUNCTION("""COMPUTED_VALUE"""),83.03)</f>
        <v>83.03</v>
      </c>
    </row>
    <row r="3397" spans="1:2">
      <c r="A3397" s="3">
        <f ca="1">IFERROR(__xludf.DUMMYFUNCTION("""COMPUTED_VALUE"""),43279.6666666666)</f>
        <v>43279.666666666599</v>
      </c>
      <c r="B3397" s="1">
        <f ca="1">IFERROR(__xludf.DUMMYFUNCTION("""COMPUTED_VALUE"""),85.07)</f>
        <v>85.07</v>
      </c>
    </row>
    <row r="3398" spans="1:2">
      <c r="A3398" s="3">
        <f ca="1">IFERROR(__xludf.DUMMYFUNCTION("""COMPUTED_VALUE"""),43280.6666666666)</f>
        <v>43280.666666666599</v>
      </c>
      <c r="B3398" s="1">
        <f ca="1">IFERROR(__xludf.DUMMYFUNCTION("""COMPUTED_VALUE"""),84.99)</f>
        <v>84.99</v>
      </c>
    </row>
    <row r="3399" spans="1:2">
      <c r="A3399" s="3">
        <f ca="1">IFERROR(__xludf.DUMMYFUNCTION("""COMPUTED_VALUE"""),43283.6666666666)</f>
        <v>43283.666666666599</v>
      </c>
      <c r="B3399" s="1">
        <f ca="1">IFERROR(__xludf.DUMMYFUNCTION("""COMPUTED_VALUE"""),85.69)</f>
        <v>85.69</v>
      </c>
    </row>
    <row r="3400" spans="1:2">
      <c r="A3400" s="3">
        <f ca="1">IFERROR(__xludf.DUMMYFUNCTION("""COMPUTED_VALUE"""),43284.5416666666)</f>
        <v>43284.541666666599</v>
      </c>
      <c r="B3400" s="1">
        <f ca="1">IFERROR(__xludf.DUMMYFUNCTION("""COMPUTED_VALUE"""),84.7)</f>
        <v>84.7</v>
      </c>
    </row>
    <row r="3401" spans="1:2">
      <c r="A3401" s="3">
        <f ca="1">IFERROR(__xludf.DUMMYFUNCTION("""COMPUTED_VALUE"""),43286.6666666666)</f>
        <v>43286.666666666599</v>
      </c>
      <c r="B3401" s="1">
        <f ca="1">IFERROR(__xludf.DUMMYFUNCTION("""COMPUTED_VALUE"""),84.99)</f>
        <v>84.99</v>
      </c>
    </row>
    <row r="3402" spans="1:2">
      <c r="A3402" s="3">
        <f ca="1">IFERROR(__xludf.DUMMYFUNCTION("""COMPUTED_VALUE"""),43287.6666666666)</f>
        <v>43287.666666666599</v>
      </c>
      <c r="B3402" s="1">
        <f ca="1">IFERROR(__xludf.DUMMYFUNCTION("""COMPUTED_VALUE"""),85.53)</f>
        <v>85.53</v>
      </c>
    </row>
    <row r="3403" spans="1:2">
      <c r="A3403" s="3">
        <f ca="1">IFERROR(__xludf.DUMMYFUNCTION("""COMPUTED_VALUE"""),43290.6666666666)</f>
        <v>43290.666666666599</v>
      </c>
      <c r="B3403" s="1">
        <f ca="1">IFERROR(__xludf.DUMMYFUNCTION("""COMPUTED_VALUE"""),86.95)</f>
        <v>86.95</v>
      </c>
    </row>
    <row r="3404" spans="1:2">
      <c r="A3404" s="3">
        <f ca="1">IFERROR(__xludf.DUMMYFUNCTION("""COMPUTED_VALUE"""),43291.6666666666)</f>
        <v>43291.666666666599</v>
      </c>
      <c r="B3404" s="1">
        <f ca="1">IFERROR(__xludf.DUMMYFUNCTION("""COMPUTED_VALUE"""),87.15)</f>
        <v>87.15</v>
      </c>
    </row>
    <row r="3405" spans="1:2">
      <c r="A3405" s="3">
        <f ca="1">IFERROR(__xludf.DUMMYFUNCTION("""COMPUTED_VALUE"""),43292.6666666666)</f>
        <v>43292.666666666599</v>
      </c>
      <c r="B3405" s="1">
        <f ca="1">IFERROR(__xludf.DUMMYFUNCTION("""COMPUTED_VALUE"""),87.75)</f>
        <v>87.75</v>
      </c>
    </row>
    <row r="3406" spans="1:2">
      <c r="A3406" s="3">
        <f ca="1">IFERROR(__xludf.DUMMYFUNCTION("""COMPUTED_VALUE"""),43293.6666666666)</f>
        <v>43293.666666666599</v>
      </c>
      <c r="B3406" s="1">
        <f ca="1">IFERROR(__xludf.DUMMYFUNCTION("""COMPUTED_VALUE"""),89.83)</f>
        <v>89.83</v>
      </c>
    </row>
    <row r="3407" spans="1:2">
      <c r="A3407" s="3">
        <f ca="1">IFERROR(__xludf.DUMMYFUNCTION("""COMPUTED_VALUE"""),43294.6666666666)</f>
        <v>43294.666666666599</v>
      </c>
      <c r="B3407" s="1">
        <f ca="1">IFERROR(__xludf.DUMMYFUNCTION("""COMPUTED_VALUE"""),90.65)</f>
        <v>90.65</v>
      </c>
    </row>
    <row r="3408" spans="1:2">
      <c r="A3408" s="3">
        <f ca="1">IFERROR(__xludf.DUMMYFUNCTION("""COMPUTED_VALUE"""),43297.6666666666)</f>
        <v>43297.666666666599</v>
      </c>
      <c r="B3408" s="1">
        <f ca="1">IFERROR(__xludf.DUMMYFUNCTION("""COMPUTED_VALUE"""),91.12)</f>
        <v>91.12</v>
      </c>
    </row>
    <row r="3409" spans="1:2">
      <c r="A3409" s="3">
        <f ca="1">IFERROR(__xludf.DUMMYFUNCTION("""COMPUTED_VALUE"""),43298.6666666666)</f>
        <v>43298.666666666599</v>
      </c>
      <c r="B3409" s="1">
        <f ca="1">IFERROR(__xludf.DUMMYFUNCTION("""COMPUTED_VALUE"""),92.2)</f>
        <v>92.2</v>
      </c>
    </row>
    <row r="3410" spans="1:2">
      <c r="A3410" s="3">
        <f ca="1">IFERROR(__xludf.DUMMYFUNCTION("""COMPUTED_VALUE"""),43299.6666666666)</f>
        <v>43299.666666666599</v>
      </c>
      <c r="B3410" s="1">
        <f ca="1">IFERROR(__xludf.DUMMYFUNCTION("""COMPUTED_VALUE"""),92.15)</f>
        <v>92.15</v>
      </c>
    </row>
    <row r="3411" spans="1:2">
      <c r="A3411" s="3">
        <f ca="1">IFERROR(__xludf.DUMMYFUNCTION("""COMPUTED_VALUE"""),43300.6666666666)</f>
        <v>43300.666666666599</v>
      </c>
      <c r="B3411" s="1">
        <f ca="1">IFERROR(__xludf.DUMMYFUNCTION("""COMPUTED_VALUE"""),90.65)</f>
        <v>90.65</v>
      </c>
    </row>
    <row r="3412" spans="1:2">
      <c r="A3412" s="3">
        <f ca="1">IFERROR(__xludf.DUMMYFUNCTION("""COMPUTED_VALUE"""),43301.6666666666)</f>
        <v>43301.666666666599</v>
      </c>
      <c r="B3412" s="1">
        <f ca="1">IFERROR(__xludf.DUMMYFUNCTION("""COMPUTED_VALUE"""),90.69)</f>
        <v>90.69</v>
      </c>
    </row>
    <row r="3413" spans="1:2">
      <c r="A3413" s="3">
        <f ca="1">IFERROR(__xludf.DUMMYFUNCTION("""COMPUTED_VALUE"""),43304.6666666666)</f>
        <v>43304.666666666599</v>
      </c>
      <c r="B3413" s="1">
        <f ca="1">IFERROR(__xludf.DUMMYFUNCTION("""COMPUTED_VALUE"""),90.1)</f>
        <v>90.1</v>
      </c>
    </row>
    <row r="3414" spans="1:2">
      <c r="A3414" s="3">
        <f ca="1">IFERROR(__xludf.DUMMYFUNCTION("""COMPUTED_VALUE"""),43305.6666666666)</f>
        <v>43305.666666666599</v>
      </c>
      <c r="B3414" s="1">
        <f ca="1">IFERROR(__xludf.DUMMYFUNCTION("""COMPUTED_VALUE"""),91.46)</f>
        <v>91.46</v>
      </c>
    </row>
    <row r="3415" spans="1:2">
      <c r="A3415" s="3">
        <f ca="1">IFERROR(__xludf.DUMMYFUNCTION("""COMPUTED_VALUE"""),43306.6666666666)</f>
        <v>43306.666666666599</v>
      </c>
      <c r="B3415" s="1">
        <f ca="1">IFERROR(__xludf.DUMMYFUNCTION("""COMPUTED_VALUE"""),93.18)</f>
        <v>93.18</v>
      </c>
    </row>
    <row r="3416" spans="1:2">
      <c r="A3416" s="3">
        <f ca="1">IFERROR(__xludf.DUMMYFUNCTION("""COMPUTED_VALUE"""),43307.6666666666)</f>
        <v>43307.666666666599</v>
      </c>
      <c r="B3416" s="1">
        <f ca="1">IFERROR(__xludf.DUMMYFUNCTION("""COMPUTED_VALUE"""),90.4)</f>
        <v>90.4</v>
      </c>
    </row>
    <row r="3417" spans="1:2">
      <c r="A3417" s="3">
        <f ca="1">IFERROR(__xludf.DUMMYFUNCTION("""COMPUTED_VALUE"""),43308.6666666666)</f>
        <v>43308.666666666599</v>
      </c>
      <c r="B3417" s="1">
        <f ca="1">IFERROR(__xludf.DUMMYFUNCTION("""COMPUTED_VALUE"""),90.86)</f>
        <v>90.86</v>
      </c>
    </row>
    <row r="3418" spans="1:2">
      <c r="A3418" s="3">
        <f ca="1">IFERROR(__xludf.DUMMYFUNCTION("""COMPUTED_VALUE"""),43311.6666666666)</f>
        <v>43311.666666666599</v>
      </c>
      <c r="B3418" s="1">
        <f ca="1">IFERROR(__xludf.DUMMYFUNCTION("""COMPUTED_VALUE"""),88.96)</f>
        <v>88.96</v>
      </c>
    </row>
    <row r="3419" spans="1:2">
      <c r="A3419" s="3">
        <f ca="1">IFERROR(__xludf.DUMMYFUNCTION("""COMPUTED_VALUE"""),43312.6666666666)</f>
        <v>43312.666666666599</v>
      </c>
      <c r="B3419" s="1">
        <f ca="1">IFERROR(__xludf.DUMMYFUNCTION("""COMPUTED_VALUE"""),88.87)</f>
        <v>88.87</v>
      </c>
    </row>
    <row r="3420" spans="1:2">
      <c r="A3420" s="3">
        <f ca="1">IFERROR(__xludf.DUMMYFUNCTION("""COMPUTED_VALUE"""),43313.6666666666)</f>
        <v>43313.666666666599</v>
      </c>
      <c r="B3420" s="1">
        <f ca="1">IFERROR(__xludf.DUMMYFUNCTION("""COMPUTED_VALUE"""),89.86)</f>
        <v>89.86</v>
      </c>
    </row>
    <row r="3421" spans="1:2">
      <c r="A3421" s="3">
        <f ca="1">IFERROR(__xludf.DUMMYFUNCTION("""COMPUTED_VALUE"""),43314.6666666666)</f>
        <v>43314.666666666599</v>
      </c>
      <c r="B3421" s="1">
        <f ca="1">IFERROR(__xludf.DUMMYFUNCTION("""COMPUTED_VALUE"""),91.72)</f>
        <v>91.72</v>
      </c>
    </row>
    <row r="3422" spans="1:2">
      <c r="A3422" s="3">
        <f ca="1">IFERROR(__xludf.DUMMYFUNCTION("""COMPUTED_VALUE"""),43315.6666666666)</f>
        <v>43315.666666666599</v>
      </c>
      <c r="B3422" s="1">
        <f ca="1">IFERROR(__xludf.DUMMYFUNCTION("""COMPUTED_VALUE"""),91.16)</f>
        <v>91.16</v>
      </c>
    </row>
    <row r="3423" spans="1:2">
      <c r="A3423" s="3">
        <f ca="1">IFERROR(__xludf.DUMMYFUNCTION("""COMPUTED_VALUE"""),43318.6666666666)</f>
        <v>43318.666666666599</v>
      </c>
      <c r="B3423" s="1">
        <f ca="1">IFERROR(__xludf.DUMMYFUNCTION("""COMPUTED_VALUE"""),92.39)</f>
        <v>92.39</v>
      </c>
    </row>
    <row r="3424" spans="1:2">
      <c r="A3424" s="3">
        <f ca="1">IFERROR(__xludf.DUMMYFUNCTION("""COMPUTED_VALUE"""),43319.6666666666)</f>
        <v>43319.666666666599</v>
      </c>
      <c r="B3424" s="1">
        <f ca="1">IFERROR(__xludf.DUMMYFUNCTION("""COMPUTED_VALUE"""),93.12)</f>
        <v>93.12</v>
      </c>
    </row>
    <row r="3425" spans="1:2">
      <c r="A3425" s="3">
        <f ca="1">IFERROR(__xludf.DUMMYFUNCTION("""COMPUTED_VALUE"""),43320.6666666666)</f>
        <v>43320.666666666599</v>
      </c>
      <c r="B3425" s="1">
        <f ca="1">IFERROR(__xludf.DUMMYFUNCTION("""COMPUTED_VALUE"""),94.33)</f>
        <v>94.33</v>
      </c>
    </row>
    <row r="3426" spans="1:2">
      <c r="A3426" s="3">
        <f ca="1">IFERROR(__xludf.DUMMYFUNCTION("""COMPUTED_VALUE"""),43321.6666666666)</f>
        <v>43321.666666666599</v>
      </c>
      <c r="B3426" s="1">
        <f ca="1">IFERROR(__xludf.DUMMYFUNCTION("""COMPUTED_VALUE"""),94.93)</f>
        <v>94.93</v>
      </c>
    </row>
    <row r="3427" spans="1:2">
      <c r="A3427" s="3">
        <f ca="1">IFERROR(__xludf.DUMMYFUNCTION("""COMPUTED_VALUE"""),43322.6666666666)</f>
        <v>43322.666666666599</v>
      </c>
      <c r="B3427" s="1">
        <f ca="1">IFERROR(__xludf.DUMMYFUNCTION("""COMPUTED_VALUE"""),94.32)</f>
        <v>94.32</v>
      </c>
    </row>
    <row r="3428" spans="1:2">
      <c r="A3428" s="3">
        <f ca="1">IFERROR(__xludf.DUMMYFUNCTION("""COMPUTED_VALUE"""),43325.6666666666)</f>
        <v>43325.666666666599</v>
      </c>
      <c r="B3428" s="1">
        <f ca="1">IFERROR(__xludf.DUMMYFUNCTION("""COMPUTED_VALUE"""),94.81)</f>
        <v>94.81</v>
      </c>
    </row>
    <row r="3429" spans="1:2">
      <c r="A3429" s="3">
        <f ca="1">IFERROR(__xludf.DUMMYFUNCTION("""COMPUTED_VALUE"""),43326.6666666666)</f>
        <v>43326.666666666599</v>
      </c>
      <c r="B3429" s="1">
        <f ca="1">IFERROR(__xludf.DUMMYFUNCTION("""COMPUTED_VALUE"""),95.98)</f>
        <v>95.98</v>
      </c>
    </row>
    <row r="3430" spans="1:2">
      <c r="A3430" s="3">
        <f ca="1">IFERROR(__xludf.DUMMYFUNCTION("""COMPUTED_VALUE"""),43327.6666666666)</f>
        <v>43327.666666666599</v>
      </c>
      <c r="B3430" s="1">
        <f ca="1">IFERROR(__xludf.DUMMYFUNCTION("""COMPUTED_VALUE"""),94.13)</f>
        <v>94.13</v>
      </c>
    </row>
    <row r="3431" spans="1:2">
      <c r="A3431" s="3">
        <f ca="1">IFERROR(__xludf.DUMMYFUNCTION("""COMPUTED_VALUE"""),43328.6666666666)</f>
        <v>43328.666666666599</v>
      </c>
      <c r="B3431" s="1">
        <f ca="1">IFERROR(__xludf.DUMMYFUNCTION("""COMPUTED_VALUE"""),94.33)</f>
        <v>94.33</v>
      </c>
    </row>
    <row r="3432" spans="1:2">
      <c r="A3432" s="3">
        <f ca="1">IFERROR(__xludf.DUMMYFUNCTION("""COMPUTED_VALUE"""),43329.6666666666)</f>
        <v>43329.666666666599</v>
      </c>
      <c r="B3432" s="1">
        <f ca="1">IFERROR(__xludf.DUMMYFUNCTION("""COMPUTED_VALUE"""),94.11)</f>
        <v>94.11</v>
      </c>
    </row>
    <row r="3433" spans="1:2">
      <c r="A3433" s="3">
        <f ca="1">IFERROR(__xludf.DUMMYFUNCTION("""COMPUTED_VALUE"""),43332.6666666666)</f>
        <v>43332.666666666599</v>
      </c>
      <c r="B3433" s="1">
        <f ca="1">IFERROR(__xludf.DUMMYFUNCTION("""COMPUTED_VALUE"""),93.84)</f>
        <v>93.84</v>
      </c>
    </row>
    <row r="3434" spans="1:2">
      <c r="A3434" s="3">
        <f ca="1">IFERROR(__xludf.DUMMYFUNCTION("""COMPUTED_VALUE"""),43333.6666666666)</f>
        <v>43333.666666666599</v>
      </c>
      <c r="B3434" s="1">
        <f ca="1">IFERROR(__xludf.DUMMYFUNCTION("""COMPUTED_VALUE"""),94.17)</f>
        <v>94.17</v>
      </c>
    </row>
    <row r="3435" spans="1:2">
      <c r="A3435" s="3">
        <f ca="1">IFERROR(__xludf.DUMMYFUNCTION("""COMPUTED_VALUE"""),43334.6666666666)</f>
        <v>43334.666666666599</v>
      </c>
      <c r="B3435" s="1">
        <f ca="1">IFERROR(__xludf.DUMMYFUNCTION("""COMPUTED_VALUE"""),95.25)</f>
        <v>95.25</v>
      </c>
    </row>
    <row r="3436" spans="1:2">
      <c r="A3436" s="3">
        <f ca="1">IFERROR(__xludf.DUMMYFUNCTION("""COMPUTED_VALUE"""),43335.6666666666)</f>
        <v>43335.666666666599</v>
      </c>
      <c r="B3436" s="1">
        <f ca="1">IFERROR(__xludf.DUMMYFUNCTION("""COMPUTED_VALUE"""),95.15)</f>
        <v>95.15</v>
      </c>
    </row>
    <row r="3437" spans="1:2">
      <c r="A3437" s="3">
        <f ca="1">IFERROR(__xludf.DUMMYFUNCTION("""COMPUTED_VALUE"""),43336.6666666666)</f>
        <v>43336.666666666599</v>
      </c>
      <c r="B3437" s="1">
        <f ca="1">IFERROR(__xludf.DUMMYFUNCTION("""COMPUTED_VALUE"""),95.27)</f>
        <v>95.27</v>
      </c>
    </row>
    <row r="3438" spans="1:2">
      <c r="A3438" s="3">
        <f ca="1">IFERROR(__xludf.DUMMYFUNCTION("""COMPUTED_VALUE"""),43339.6666666666)</f>
        <v>43339.666666666599</v>
      </c>
      <c r="B3438" s="1">
        <f ca="1">IFERROR(__xludf.DUMMYFUNCTION("""COMPUTED_VALUE"""),96.38)</f>
        <v>96.38</v>
      </c>
    </row>
    <row r="3439" spans="1:2">
      <c r="A3439" s="3">
        <f ca="1">IFERROR(__xludf.DUMMYFUNCTION("""COMPUTED_VALUE"""),43340.6666666666)</f>
        <v>43340.666666666599</v>
      </c>
      <c r="B3439" s="1">
        <f ca="1">IFERROR(__xludf.DUMMYFUNCTION("""COMPUTED_VALUE"""),96.64)</f>
        <v>96.64</v>
      </c>
    </row>
    <row r="3440" spans="1:2">
      <c r="A3440" s="3">
        <f ca="1">IFERROR(__xludf.DUMMYFUNCTION("""COMPUTED_VALUE"""),43341.6666666666)</f>
        <v>43341.666666666599</v>
      </c>
      <c r="B3440" s="1">
        <f ca="1">IFERROR(__xludf.DUMMYFUNCTION("""COMPUTED_VALUE"""),99.91)</f>
        <v>99.91</v>
      </c>
    </row>
    <row r="3441" spans="1:2">
      <c r="A3441" s="3">
        <f ca="1">IFERROR(__xludf.DUMMYFUNCTION("""COMPUTED_VALUE"""),43342.6666666666)</f>
        <v>43342.666666666599</v>
      </c>
      <c r="B3441" s="1">
        <f ca="1">IFERROR(__xludf.DUMMYFUNCTION("""COMPUTED_VALUE"""),100.12)</f>
        <v>100.12</v>
      </c>
    </row>
    <row r="3442" spans="1:2">
      <c r="A3442" s="3">
        <f ca="1">IFERROR(__xludf.DUMMYFUNCTION("""COMPUTED_VALUE"""),43343.6666666666)</f>
        <v>43343.666666666599</v>
      </c>
      <c r="B3442" s="1">
        <f ca="1">IFERROR(__xludf.DUMMYFUNCTION("""COMPUTED_VALUE"""),100.64)</f>
        <v>100.64</v>
      </c>
    </row>
    <row r="3443" spans="1:2">
      <c r="A3443" s="3">
        <f ca="1">IFERROR(__xludf.DUMMYFUNCTION("""COMPUTED_VALUE"""),43347.6666666666)</f>
        <v>43347.666666666599</v>
      </c>
      <c r="B3443" s="1">
        <f ca="1">IFERROR(__xludf.DUMMYFUNCTION("""COMPUTED_VALUE"""),101.98)</f>
        <v>101.98</v>
      </c>
    </row>
    <row r="3444" spans="1:2">
      <c r="A3444" s="3">
        <f ca="1">IFERROR(__xludf.DUMMYFUNCTION("""COMPUTED_VALUE"""),43348.6666666666)</f>
        <v>43348.666666666599</v>
      </c>
      <c r="B3444" s="1">
        <f ca="1">IFERROR(__xludf.DUMMYFUNCTION("""COMPUTED_VALUE"""),99.74)</f>
        <v>99.74</v>
      </c>
    </row>
    <row r="3445" spans="1:2">
      <c r="A3445" s="3">
        <f ca="1">IFERROR(__xludf.DUMMYFUNCTION("""COMPUTED_VALUE"""),43349.6666666666)</f>
        <v>43349.666666666599</v>
      </c>
      <c r="B3445" s="1">
        <f ca="1">IFERROR(__xludf.DUMMYFUNCTION("""COMPUTED_VALUE"""),97.92)</f>
        <v>97.92</v>
      </c>
    </row>
    <row r="3446" spans="1:2">
      <c r="A3446" s="3">
        <f ca="1">IFERROR(__xludf.DUMMYFUNCTION("""COMPUTED_VALUE"""),43350.6666666666)</f>
        <v>43350.666666666599</v>
      </c>
      <c r="B3446" s="1">
        <f ca="1">IFERROR(__xludf.DUMMYFUNCTION("""COMPUTED_VALUE"""),97.6)</f>
        <v>97.6</v>
      </c>
    </row>
    <row r="3447" spans="1:2">
      <c r="A3447" s="3">
        <f ca="1">IFERROR(__xludf.DUMMYFUNCTION("""COMPUTED_VALUE"""),43353.6666666666)</f>
        <v>43353.666666666599</v>
      </c>
      <c r="B3447" s="1">
        <f ca="1">IFERROR(__xludf.DUMMYFUNCTION("""COMPUTED_VALUE"""),96.95)</f>
        <v>96.95</v>
      </c>
    </row>
    <row r="3448" spans="1:2">
      <c r="A3448" s="3">
        <f ca="1">IFERROR(__xludf.DUMMYFUNCTION("""COMPUTED_VALUE"""),43354.6666666666)</f>
        <v>43354.666666666599</v>
      </c>
      <c r="B3448" s="1">
        <f ca="1">IFERROR(__xludf.DUMMYFUNCTION("""COMPUTED_VALUE"""),99.36)</f>
        <v>99.36</v>
      </c>
    </row>
    <row r="3449" spans="1:2">
      <c r="A3449" s="3">
        <f ca="1">IFERROR(__xludf.DUMMYFUNCTION("""COMPUTED_VALUE"""),43355.6666666666)</f>
        <v>43355.666666666599</v>
      </c>
      <c r="B3449" s="1">
        <f ca="1">IFERROR(__xludf.DUMMYFUNCTION("""COMPUTED_VALUE"""),99.5)</f>
        <v>99.5</v>
      </c>
    </row>
    <row r="3450" spans="1:2">
      <c r="A3450" s="3">
        <f ca="1">IFERROR(__xludf.DUMMYFUNCTION("""COMPUTED_VALUE"""),43356.6666666666)</f>
        <v>43356.666666666599</v>
      </c>
      <c r="B3450" s="1">
        <f ca="1">IFERROR(__xludf.DUMMYFUNCTION("""COMPUTED_VALUE"""),99.49)</f>
        <v>99.49</v>
      </c>
    </row>
    <row r="3451" spans="1:2">
      <c r="A3451" s="3">
        <f ca="1">IFERROR(__xludf.DUMMYFUNCTION("""COMPUTED_VALUE"""),43357.6666666666)</f>
        <v>43357.666666666599</v>
      </c>
      <c r="B3451" s="1">
        <f ca="1">IFERROR(__xludf.DUMMYFUNCTION("""COMPUTED_VALUE"""),98.51)</f>
        <v>98.51</v>
      </c>
    </row>
    <row r="3452" spans="1:2">
      <c r="A3452" s="3">
        <f ca="1">IFERROR(__xludf.DUMMYFUNCTION("""COMPUTED_VALUE"""),43360.6666666666)</f>
        <v>43360.666666666599</v>
      </c>
      <c r="B3452" s="1">
        <f ca="1">IFERROR(__xludf.DUMMYFUNCTION("""COMPUTED_VALUE"""),95.4)</f>
        <v>95.4</v>
      </c>
    </row>
    <row r="3453" spans="1:2">
      <c r="A3453" s="3">
        <f ca="1">IFERROR(__xludf.DUMMYFUNCTION("""COMPUTED_VALUE"""),43361.6666666666)</f>
        <v>43361.666666666599</v>
      </c>
      <c r="B3453" s="1">
        <f ca="1">IFERROR(__xludf.DUMMYFUNCTION("""COMPUTED_VALUE"""),97.05)</f>
        <v>97.05</v>
      </c>
    </row>
    <row r="3454" spans="1:2">
      <c r="A3454" s="3">
        <f ca="1">IFERROR(__xludf.DUMMYFUNCTION("""COMPUTED_VALUE"""),43362.6666666666)</f>
        <v>43362.666666666599</v>
      </c>
      <c r="B3454" s="1">
        <f ca="1">IFERROR(__xludf.DUMMYFUNCTION("""COMPUTED_VALUE"""),96.32)</f>
        <v>96.32</v>
      </c>
    </row>
    <row r="3455" spans="1:2">
      <c r="A3455" s="3">
        <f ca="1">IFERROR(__xludf.DUMMYFUNCTION("""COMPUTED_VALUE"""),43363.6666666666)</f>
        <v>43363.666666666599</v>
      </c>
      <c r="B3455" s="1">
        <f ca="1">IFERROR(__xludf.DUMMYFUNCTION("""COMPUTED_VALUE"""),97.22)</f>
        <v>97.22</v>
      </c>
    </row>
    <row r="3456" spans="1:2">
      <c r="A3456" s="3">
        <f ca="1">IFERROR(__xludf.DUMMYFUNCTION("""COMPUTED_VALUE"""),43364.6666666666)</f>
        <v>43364.666666666599</v>
      </c>
      <c r="B3456" s="1">
        <f ca="1">IFERROR(__xludf.DUMMYFUNCTION("""COMPUTED_VALUE"""),95.75)</f>
        <v>95.75</v>
      </c>
    </row>
    <row r="3457" spans="1:2">
      <c r="A3457" s="3">
        <f ca="1">IFERROR(__xludf.DUMMYFUNCTION("""COMPUTED_VALUE"""),43367.6666666666)</f>
        <v>43367.666666666599</v>
      </c>
      <c r="B3457" s="1">
        <f ca="1">IFERROR(__xludf.DUMMYFUNCTION("""COMPUTED_VALUE"""),96.72)</f>
        <v>96.72</v>
      </c>
    </row>
    <row r="3458" spans="1:2">
      <c r="A3458" s="3">
        <f ca="1">IFERROR(__xludf.DUMMYFUNCTION("""COMPUTED_VALUE"""),43368.6666666666)</f>
        <v>43368.666666666599</v>
      </c>
      <c r="B3458" s="1">
        <f ca="1">IFERROR(__xludf.DUMMYFUNCTION("""COMPUTED_VALUE"""),98.73)</f>
        <v>98.73</v>
      </c>
    </row>
    <row r="3459" spans="1:2">
      <c r="A3459" s="3">
        <f ca="1">IFERROR(__xludf.DUMMYFUNCTION("""COMPUTED_VALUE"""),43369.6666666666)</f>
        <v>43369.666666666599</v>
      </c>
      <c r="B3459" s="1">
        <f ca="1">IFERROR(__xludf.DUMMYFUNCTION("""COMPUTED_VALUE"""),98.74)</f>
        <v>98.74</v>
      </c>
    </row>
    <row r="3460" spans="1:2">
      <c r="A3460" s="3">
        <f ca="1">IFERROR(__xludf.DUMMYFUNCTION("""COMPUTED_VALUE"""),43370.6666666666)</f>
        <v>43370.666666666599</v>
      </c>
      <c r="B3460" s="1">
        <f ca="1">IFERROR(__xludf.DUMMYFUNCTION("""COMPUTED_VALUE"""),100.65)</f>
        <v>100.65</v>
      </c>
    </row>
    <row r="3461" spans="1:2">
      <c r="A3461" s="3">
        <f ca="1">IFERROR(__xludf.DUMMYFUNCTION("""COMPUTED_VALUE"""),43371.6666666666)</f>
        <v>43371.666666666599</v>
      </c>
      <c r="B3461" s="1">
        <f ca="1">IFERROR(__xludf.DUMMYFUNCTION("""COMPUTED_VALUE"""),100.15)</f>
        <v>100.15</v>
      </c>
    </row>
    <row r="3462" spans="1:2">
      <c r="A3462" s="3">
        <f ca="1">IFERROR(__xludf.DUMMYFUNCTION("""COMPUTED_VALUE"""),43374.6666666666)</f>
        <v>43374.666666666599</v>
      </c>
      <c r="B3462" s="1">
        <f ca="1">IFERROR(__xludf.DUMMYFUNCTION("""COMPUTED_VALUE"""),100.22)</f>
        <v>100.22</v>
      </c>
    </row>
    <row r="3463" spans="1:2">
      <c r="A3463" s="3">
        <f ca="1">IFERROR(__xludf.DUMMYFUNCTION("""COMPUTED_VALUE"""),43375.6666666666)</f>
        <v>43375.666666666599</v>
      </c>
      <c r="B3463" s="1">
        <f ca="1">IFERROR(__xludf.DUMMYFUNCTION("""COMPUTED_VALUE"""),98.57)</f>
        <v>98.57</v>
      </c>
    </row>
    <row r="3464" spans="1:2">
      <c r="A3464" s="3">
        <f ca="1">IFERROR(__xludf.DUMMYFUNCTION("""COMPUTED_VALUE"""),43376.6666666666)</f>
        <v>43376.666666666599</v>
      </c>
      <c r="B3464" s="1">
        <f ca="1">IFERROR(__xludf.DUMMYFUNCTION("""COMPUTED_VALUE"""),97.64)</f>
        <v>97.64</v>
      </c>
    </row>
    <row r="3465" spans="1:2">
      <c r="A3465" s="3">
        <f ca="1">IFERROR(__xludf.DUMMYFUNCTION("""COMPUTED_VALUE"""),43377.6666666666)</f>
        <v>43377.666666666599</v>
      </c>
      <c r="B3465" s="1">
        <f ca="1">IFERROR(__xludf.DUMMYFUNCTION("""COMPUTED_VALUE"""),95.47)</f>
        <v>95.47</v>
      </c>
    </row>
    <row r="3466" spans="1:2">
      <c r="A3466" s="3">
        <f ca="1">IFERROR(__xludf.DUMMYFUNCTION("""COMPUTED_VALUE"""),43378.6666666666)</f>
        <v>43378.666666666599</v>
      </c>
      <c r="B3466" s="1">
        <f ca="1">IFERROR(__xludf.DUMMYFUNCTION("""COMPUTED_VALUE"""),94.48)</f>
        <v>94.48</v>
      </c>
    </row>
    <row r="3467" spans="1:2">
      <c r="A3467" s="3">
        <f ca="1">IFERROR(__xludf.DUMMYFUNCTION("""COMPUTED_VALUE"""),43381.6666666666)</f>
        <v>43381.666666666599</v>
      </c>
      <c r="B3467" s="1">
        <f ca="1">IFERROR(__xludf.DUMMYFUNCTION("""COMPUTED_VALUE"""),93.22)</f>
        <v>93.22</v>
      </c>
    </row>
    <row r="3468" spans="1:2">
      <c r="A3468" s="3">
        <f ca="1">IFERROR(__xludf.DUMMYFUNCTION("""COMPUTED_VALUE"""),43382.6666666666)</f>
        <v>43382.666666666599</v>
      </c>
      <c r="B3468" s="1">
        <f ca="1">IFERROR(__xludf.DUMMYFUNCTION("""COMPUTED_VALUE"""),93.52)</f>
        <v>93.52</v>
      </c>
    </row>
    <row r="3469" spans="1:2">
      <c r="A3469" s="3">
        <f ca="1">IFERROR(__xludf.DUMMYFUNCTION("""COMPUTED_VALUE"""),43383.6666666666)</f>
        <v>43383.666666666599</v>
      </c>
      <c r="B3469" s="1">
        <f ca="1">IFERROR(__xludf.DUMMYFUNCTION("""COMPUTED_VALUE"""),87.76)</f>
        <v>87.76</v>
      </c>
    </row>
    <row r="3470" spans="1:2">
      <c r="A3470" s="3">
        <f ca="1">IFERROR(__xludf.DUMMYFUNCTION("""COMPUTED_VALUE"""),43384.6666666666)</f>
        <v>43384.666666666599</v>
      </c>
      <c r="B3470" s="1">
        <f ca="1">IFERROR(__xludf.DUMMYFUNCTION("""COMPUTED_VALUE"""),85.97)</f>
        <v>85.97</v>
      </c>
    </row>
    <row r="3471" spans="1:2">
      <c r="A3471" s="3">
        <f ca="1">IFERROR(__xludf.DUMMYFUNCTION("""COMPUTED_VALUE"""),43385.6666666666)</f>
        <v>43385.666666666599</v>
      </c>
      <c r="B3471" s="1">
        <f ca="1">IFERROR(__xludf.DUMMYFUNCTION("""COMPUTED_VALUE"""),89.43)</f>
        <v>89.43</v>
      </c>
    </row>
    <row r="3472" spans="1:2">
      <c r="A3472" s="3">
        <f ca="1">IFERROR(__xludf.DUMMYFUNCTION("""COMPUTED_VALUE"""),43388.6666666666)</f>
        <v>43388.666666666599</v>
      </c>
      <c r="B3472" s="1">
        <f ca="1">IFERROR(__xludf.DUMMYFUNCTION("""COMPUTED_VALUE"""),88.05)</f>
        <v>88.05</v>
      </c>
    </row>
    <row r="3473" spans="1:2">
      <c r="A3473" s="3">
        <f ca="1">IFERROR(__xludf.DUMMYFUNCTION("""COMPUTED_VALUE"""),43389.6666666666)</f>
        <v>43389.666666666599</v>
      </c>
      <c r="B3473" s="1">
        <f ca="1">IFERROR(__xludf.DUMMYFUNCTION("""COMPUTED_VALUE"""),91)</f>
        <v>91</v>
      </c>
    </row>
    <row r="3474" spans="1:2">
      <c r="A3474" s="3">
        <f ca="1">IFERROR(__xludf.DUMMYFUNCTION("""COMPUTED_VALUE"""),43390.6666666666)</f>
        <v>43390.666666666599</v>
      </c>
      <c r="B3474" s="1">
        <f ca="1">IFERROR(__xludf.DUMMYFUNCTION("""COMPUTED_VALUE"""),91.59)</f>
        <v>91.59</v>
      </c>
    </row>
    <row r="3475" spans="1:2">
      <c r="A3475" s="3">
        <f ca="1">IFERROR(__xludf.DUMMYFUNCTION("""COMPUTED_VALUE"""),43391.6666666666)</f>
        <v>43391.666666666599</v>
      </c>
      <c r="B3475" s="1">
        <f ca="1">IFERROR(__xludf.DUMMYFUNCTION("""COMPUTED_VALUE"""),88.54)</f>
        <v>88.54</v>
      </c>
    </row>
    <row r="3476" spans="1:2">
      <c r="A3476" s="3">
        <f ca="1">IFERROR(__xludf.DUMMYFUNCTION("""COMPUTED_VALUE"""),43392.6666666666)</f>
        <v>43392.666666666599</v>
      </c>
      <c r="B3476" s="1">
        <f ca="1">IFERROR(__xludf.DUMMYFUNCTION("""COMPUTED_VALUE"""),88.2)</f>
        <v>88.2</v>
      </c>
    </row>
    <row r="3477" spans="1:2">
      <c r="A3477" s="3">
        <f ca="1">IFERROR(__xludf.DUMMYFUNCTION("""COMPUTED_VALUE"""),43395.6666666666)</f>
        <v>43395.666666666599</v>
      </c>
      <c r="B3477" s="1">
        <f ca="1">IFERROR(__xludf.DUMMYFUNCTION("""COMPUTED_VALUE"""),89.47)</f>
        <v>89.47</v>
      </c>
    </row>
    <row r="3478" spans="1:2">
      <c r="A3478" s="3">
        <f ca="1">IFERROR(__xludf.DUMMYFUNCTION("""COMPUTED_VALUE"""),43396.6666666666)</f>
        <v>43396.666666666599</v>
      </c>
      <c r="B3478" s="1">
        <f ca="1">IFERROR(__xludf.DUMMYFUNCTION("""COMPUTED_VALUE"""),88.44)</f>
        <v>88.44</v>
      </c>
    </row>
    <row r="3479" spans="1:2">
      <c r="A3479" s="3">
        <f ca="1">IFERROR(__xludf.DUMMYFUNCTION("""COMPUTED_VALUE"""),43397.6666666666)</f>
        <v>43397.666666666599</v>
      </c>
      <c r="B3479" s="1">
        <f ca="1">IFERROR(__xludf.DUMMYFUNCTION("""COMPUTED_VALUE"""),83.21)</f>
        <v>83.21</v>
      </c>
    </row>
    <row r="3480" spans="1:2">
      <c r="A3480" s="3">
        <f ca="1">IFERROR(__xludf.DUMMYFUNCTION("""COMPUTED_VALUE"""),43398.6666666666)</f>
        <v>43398.666666666599</v>
      </c>
      <c r="B3480" s="1">
        <f ca="1">IFERROR(__xludf.DUMMYFUNCTION("""COMPUTED_VALUE"""),89.11)</f>
        <v>89.11</v>
      </c>
    </row>
    <row r="3481" spans="1:2">
      <c r="A3481" s="3">
        <f ca="1">IFERROR(__xludf.DUMMYFUNCTION("""COMPUTED_VALUE"""),43399.6666666666)</f>
        <v>43399.666666666599</v>
      </c>
      <c r="B3481" s="1">
        <f ca="1">IFERROR(__xludf.DUMMYFUNCTION("""COMPUTED_VALUE"""),82.14)</f>
        <v>82.14</v>
      </c>
    </row>
    <row r="3482" spans="1:2">
      <c r="A3482" s="3">
        <f ca="1">IFERROR(__xludf.DUMMYFUNCTION("""COMPUTED_VALUE"""),43402.6666666666)</f>
        <v>43402.666666666599</v>
      </c>
      <c r="B3482" s="1">
        <f ca="1">IFERROR(__xludf.DUMMYFUNCTION("""COMPUTED_VALUE"""),76.94)</f>
        <v>76.94</v>
      </c>
    </row>
    <row r="3483" spans="1:2">
      <c r="A3483" s="3">
        <f ca="1">IFERROR(__xludf.DUMMYFUNCTION("""COMPUTED_VALUE"""),43403.6666666666)</f>
        <v>43403.666666666599</v>
      </c>
      <c r="B3483" s="1">
        <f ca="1">IFERROR(__xludf.DUMMYFUNCTION("""COMPUTED_VALUE"""),76.52)</f>
        <v>76.52</v>
      </c>
    </row>
    <row r="3484" spans="1:2">
      <c r="A3484" s="3">
        <f ca="1">IFERROR(__xludf.DUMMYFUNCTION("""COMPUTED_VALUE"""),43404.6666666666)</f>
        <v>43404.666666666599</v>
      </c>
      <c r="B3484" s="1">
        <f ca="1">IFERROR(__xludf.DUMMYFUNCTION("""COMPUTED_VALUE"""),79.9)</f>
        <v>79.900000000000006</v>
      </c>
    </row>
    <row r="3485" spans="1:2">
      <c r="A3485" s="3">
        <f ca="1">IFERROR(__xludf.DUMMYFUNCTION("""COMPUTED_VALUE"""),43405.6666666666)</f>
        <v>43405.666666666599</v>
      </c>
      <c r="B3485" s="1">
        <f ca="1">IFERROR(__xludf.DUMMYFUNCTION("""COMPUTED_VALUE"""),83.28)</f>
        <v>83.28</v>
      </c>
    </row>
    <row r="3486" spans="1:2">
      <c r="A3486" s="3">
        <f ca="1">IFERROR(__xludf.DUMMYFUNCTION("""COMPUTED_VALUE"""),43406.6666666666)</f>
        <v>43406.666666666599</v>
      </c>
      <c r="B3486" s="1">
        <f ca="1">IFERROR(__xludf.DUMMYFUNCTION("""COMPUTED_VALUE"""),83.28)</f>
        <v>83.28</v>
      </c>
    </row>
    <row r="3487" spans="1:2">
      <c r="A3487" s="3">
        <f ca="1">IFERROR(__xludf.DUMMYFUNCTION("""COMPUTED_VALUE"""),43409.6666666666)</f>
        <v>43409.666666666599</v>
      </c>
      <c r="B3487" s="1">
        <f ca="1">IFERROR(__xludf.DUMMYFUNCTION("""COMPUTED_VALUE"""),81.39)</f>
        <v>81.39</v>
      </c>
    </row>
    <row r="3488" spans="1:2">
      <c r="A3488" s="3">
        <f ca="1">IFERROR(__xludf.DUMMYFUNCTION("""COMPUTED_VALUE"""),43410.6666666666)</f>
        <v>43410.666666666599</v>
      </c>
      <c r="B3488" s="1">
        <f ca="1">IFERROR(__xludf.DUMMYFUNCTION("""COMPUTED_VALUE"""),82.14)</f>
        <v>82.14</v>
      </c>
    </row>
    <row r="3489" spans="1:2">
      <c r="A3489" s="3">
        <f ca="1">IFERROR(__xludf.DUMMYFUNCTION("""COMPUTED_VALUE"""),43411.6666666666)</f>
        <v>43411.666666666599</v>
      </c>
      <c r="B3489" s="1">
        <f ca="1">IFERROR(__xludf.DUMMYFUNCTION("""COMPUTED_VALUE"""),87.77)</f>
        <v>87.77</v>
      </c>
    </row>
    <row r="3490" spans="1:2">
      <c r="A3490" s="3">
        <f ca="1">IFERROR(__xludf.DUMMYFUNCTION("""COMPUTED_VALUE"""),43412.6666666666)</f>
        <v>43412.666666666599</v>
      </c>
      <c r="B3490" s="1">
        <f ca="1">IFERROR(__xludf.DUMMYFUNCTION("""COMPUTED_VALUE"""),87.75)</f>
        <v>87.75</v>
      </c>
    </row>
    <row r="3491" spans="1:2">
      <c r="A3491" s="3">
        <f ca="1">IFERROR(__xludf.DUMMYFUNCTION("""COMPUTED_VALUE"""),43413.6666666666)</f>
        <v>43413.666666666599</v>
      </c>
      <c r="B3491" s="1">
        <f ca="1">IFERROR(__xludf.DUMMYFUNCTION("""COMPUTED_VALUE"""),85.62)</f>
        <v>85.62</v>
      </c>
    </row>
    <row r="3492" spans="1:2">
      <c r="A3492" s="3">
        <f ca="1">IFERROR(__xludf.DUMMYFUNCTION("""COMPUTED_VALUE"""),43416.6666666666)</f>
        <v>43416.666666666599</v>
      </c>
      <c r="B3492" s="1">
        <f ca="1">IFERROR(__xludf.DUMMYFUNCTION("""COMPUTED_VALUE"""),81.84)</f>
        <v>81.84</v>
      </c>
    </row>
    <row r="3493" spans="1:2">
      <c r="A3493" s="3">
        <f ca="1">IFERROR(__xludf.DUMMYFUNCTION("""COMPUTED_VALUE"""),43417.6666666666)</f>
        <v>43417.666666666599</v>
      </c>
      <c r="B3493" s="1">
        <f ca="1">IFERROR(__xludf.DUMMYFUNCTION("""COMPUTED_VALUE"""),81.56)</f>
        <v>81.56</v>
      </c>
    </row>
    <row r="3494" spans="1:2">
      <c r="A3494" s="3">
        <f ca="1">IFERROR(__xludf.DUMMYFUNCTION("""COMPUTED_VALUE"""),43418.6666666666)</f>
        <v>43418.666666666599</v>
      </c>
      <c r="B3494" s="1">
        <f ca="1">IFERROR(__xludf.DUMMYFUNCTION("""COMPUTED_VALUE"""),79.95)</f>
        <v>79.95</v>
      </c>
    </row>
    <row r="3495" spans="1:2">
      <c r="A3495" s="3">
        <f ca="1">IFERROR(__xludf.DUMMYFUNCTION("""COMPUTED_VALUE"""),43419.6666666666)</f>
        <v>43419.666666666599</v>
      </c>
      <c r="B3495" s="1">
        <f ca="1">IFERROR(__xludf.DUMMYFUNCTION("""COMPUTED_VALUE"""),80.97)</f>
        <v>80.97</v>
      </c>
    </row>
    <row r="3496" spans="1:2">
      <c r="A3496" s="3">
        <f ca="1">IFERROR(__xludf.DUMMYFUNCTION("""COMPUTED_VALUE"""),43420.6666666666)</f>
        <v>43420.666666666599</v>
      </c>
      <c r="B3496" s="1">
        <f ca="1">IFERROR(__xludf.DUMMYFUNCTION("""COMPUTED_VALUE"""),79.67)</f>
        <v>79.67</v>
      </c>
    </row>
    <row r="3497" spans="1:2">
      <c r="A3497" s="3">
        <f ca="1">IFERROR(__xludf.DUMMYFUNCTION("""COMPUTED_VALUE"""),43423.6666666666)</f>
        <v>43423.666666666599</v>
      </c>
      <c r="B3497" s="1">
        <f ca="1">IFERROR(__xludf.DUMMYFUNCTION("""COMPUTED_VALUE"""),75.61)</f>
        <v>75.61</v>
      </c>
    </row>
    <row r="3498" spans="1:2">
      <c r="A3498" s="3">
        <f ca="1">IFERROR(__xludf.DUMMYFUNCTION("""COMPUTED_VALUE"""),43424.6666666666)</f>
        <v>43424.666666666599</v>
      </c>
      <c r="B3498" s="1">
        <f ca="1">IFERROR(__xludf.DUMMYFUNCTION("""COMPUTED_VALUE"""),74.77)</f>
        <v>74.77</v>
      </c>
    </row>
    <row r="3499" spans="1:2">
      <c r="A3499" s="3">
        <f ca="1">IFERROR(__xludf.DUMMYFUNCTION("""COMPUTED_VALUE"""),43425.6666666666)</f>
        <v>43425.666666666599</v>
      </c>
      <c r="B3499" s="1">
        <f ca="1">IFERROR(__xludf.DUMMYFUNCTION("""COMPUTED_VALUE"""),75.84)</f>
        <v>75.84</v>
      </c>
    </row>
    <row r="3500" spans="1:2">
      <c r="A3500" s="3">
        <f ca="1">IFERROR(__xludf.DUMMYFUNCTION("""COMPUTED_VALUE"""),43427.5416666666)</f>
        <v>43427.541666666599</v>
      </c>
      <c r="B3500" s="1">
        <f ca="1">IFERROR(__xludf.DUMMYFUNCTION("""COMPUTED_VALUE"""),75.1)</f>
        <v>75.099999999999994</v>
      </c>
    </row>
    <row r="3501" spans="1:2">
      <c r="A3501" s="3">
        <f ca="1">IFERROR(__xludf.DUMMYFUNCTION("""COMPUTED_VALUE"""),43430.6666666666)</f>
        <v>43430.666666666599</v>
      </c>
      <c r="B3501" s="1">
        <f ca="1">IFERROR(__xludf.DUMMYFUNCTION("""COMPUTED_VALUE"""),79.07)</f>
        <v>79.069999999999993</v>
      </c>
    </row>
    <row r="3502" spans="1:2">
      <c r="A3502" s="3">
        <f ca="1">IFERROR(__xludf.DUMMYFUNCTION("""COMPUTED_VALUE"""),43431.6666666666)</f>
        <v>43431.666666666599</v>
      </c>
      <c r="B3502" s="1">
        <f ca="1">IFERROR(__xludf.DUMMYFUNCTION("""COMPUTED_VALUE"""),79.07)</f>
        <v>79.069999999999993</v>
      </c>
    </row>
    <row r="3503" spans="1:2">
      <c r="A3503" s="3">
        <f ca="1">IFERROR(__xludf.DUMMYFUNCTION("""COMPUTED_VALUE"""),43432.6666666666)</f>
        <v>43432.666666666599</v>
      </c>
      <c r="B3503" s="1">
        <f ca="1">IFERROR(__xludf.DUMMYFUNCTION("""COMPUTED_VALUE"""),83.89)</f>
        <v>83.89</v>
      </c>
    </row>
    <row r="3504" spans="1:2">
      <c r="A3504" s="3">
        <f ca="1">IFERROR(__xludf.DUMMYFUNCTION("""COMPUTED_VALUE"""),43433.6666666666)</f>
        <v>43433.666666666599</v>
      </c>
      <c r="B3504" s="1">
        <f ca="1">IFERROR(__xludf.DUMMYFUNCTION("""COMPUTED_VALUE"""),83.68)</f>
        <v>83.68</v>
      </c>
    </row>
    <row r="3505" spans="1:2">
      <c r="A3505" s="3">
        <f ca="1">IFERROR(__xludf.DUMMYFUNCTION("""COMPUTED_VALUE"""),43434.6666666666)</f>
        <v>43434.666666666599</v>
      </c>
      <c r="B3505" s="1">
        <f ca="1">IFERROR(__xludf.DUMMYFUNCTION("""COMPUTED_VALUE"""),84.51)</f>
        <v>84.51</v>
      </c>
    </row>
    <row r="3506" spans="1:2">
      <c r="A3506" s="3">
        <f ca="1">IFERROR(__xludf.DUMMYFUNCTION("""COMPUTED_VALUE"""),43437.6666666666)</f>
        <v>43437.666666666599</v>
      </c>
      <c r="B3506" s="1">
        <f ca="1">IFERROR(__xludf.DUMMYFUNCTION("""COMPUTED_VALUE"""),88.62)</f>
        <v>88.62</v>
      </c>
    </row>
    <row r="3507" spans="1:2">
      <c r="A3507" s="3">
        <f ca="1">IFERROR(__xludf.DUMMYFUNCTION("""COMPUTED_VALUE"""),43438.6666666666)</f>
        <v>43438.666666666599</v>
      </c>
      <c r="B3507" s="1">
        <f ca="1">IFERROR(__xludf.DUMMYFUNCTION("""COMPUTED_VALUE"""),83.42)</f>
        <v>83.42</v>
      </c>
    </row>
    <row r="3508" spans="1:2">
      <c r="A3508" s="3">
        <f ca="1">IFERROR(__xludf.DUMMYFUNCTION("""COMPUTED_VALUE"""),43440.6666666666)</f>
        <v>43440.666666666599</v>
      </c>
      <c r="B3508" s="1">
        <f ca="1">IFERROR(__xludf.DUMMYFUNCTION("""COMPUTED_VALUE"""),84.96)</f>
        <v>84.96</v>
      </c>
    </row>
    <row r="3509" spans="1:2">
      <c r="A3509" s="3">
        <f ca="1">IFERROR(__xludf.DUMMYFUNCTION("""COMPUTED_VALUE"""),43441.6666666666)</f>
        <v>43441.666666666599</v>
      </c>
      <c r="B3509" s="1">
        <f ca="1">IFERROR(__xludf.DUMMYFUNCTION("""COMPUTED_VALUE"""),81.46)</f>
        <v>81.459999999999994</v>
      </c>
    </row>
    <row r="3510" spans="1:2">
      <c r="A3510" s="3">
        <f ca="1">IFERROR(__xludf.DUMMYFUNCTION("""COMPUTED_VALUE"""),43444.6666666666)</f>
        <v>43444.666666666599</v>
      </c>
      <c r="B3510" s="1">
        <f ca="1">IFERROR(__xludf.DUMMYFUNCTION("""COMPUTED_VALUE"""),82.05)</f>
        <v>82.05</v>
      </c>
    </row>
    <row r="3511" spans="1:2">
      <c r="A3511" s="3">
        <f ca="1">IFERROR(__xludf.DUMMYFUNCTION("""COMPUTED_VALUE"""),43445.6666666666)</f>
        <v>43445.666666666599</v>
      </c>
      <c r="B3511" s="1">
        <f ca="1">IFERROR(__xludf.DUMMYFUNCTION("""COMPUTED_VALUE"""),82.16)</f>
        <v>82.16</v>
      </c>
    </row>
    <row r="3512" spans="1:2">
      <c r="A3512" s="3">
        <f ca="1">IFERROR(__xludf.DUMMYFUNCTION("""COMPUTED_VALUE"""),43446.6666666666)</f>
        <v>43446.666666666599</v>
      </c>
      <c r="B3512" s="1">
        <f ca="1">IFERROR(__xludf.DUMMYFUNCTION("""COMPUTED_VALUE"""),83.18)</f>
        <v>83.18</v>
      </c>
    </row>
    <row r="3513" spans="1:2">
      <c r="A3513" s="3">
        <f ca="1">IFERROR(__xludf.DUMMYFUNCTION("""COMPUTED_VALUE"""),43447.6666666666)</f>
        <v>43447.666666666599</v>
      </c>
      <c r="B3513" s="1">
        <f ca="1">IFERROR(__xludf.DUMMYFUNCTION("""COMPUTED_VALUE"""),82.92)</f>
        <v>82.92</v>
      </c>
    </row>
    <row r="3514" spans="1:2">
      <c r="A3514" s="3">
        <f ca="1">IFERROR(__xludf.DUMMYFUNCTION("""COMPUTED_VALUE"""),43448.6666666666)</f>
        <v>43448.666666666599</v>
      </c>
      <c r="B3514" s="1">
        <f ca="1">IFERROR(__xludf.DUMMYFUNCTION("""COMPUTED_VALUE"""),79.6)</f>
        <v>79.599999999999994</v>
      </c>
    </row>
    <row r="3515" spans="1:2">
      <c r="A3515" s="3">
        <f ca="1">IFERROR(__xludf.DUMMYFUNCTION("""COMPUTED_VALUE"""),43451.6666666666)</f>
        <v>43451.666666666599</v>
      </c>
      <c r="B3515" s="1">
        <f ca="1">IFERROR(__xludf.DUMMYFUNCTION("""COMPUTED_VALUE"""),76.05)</f>
        <v>76.05</v>
      </c>
    </row>
    <row r="3516" spans="1:2">
      <c r="A3516" s="3">
        <f ca="1">IFERROR(__xludf.DUMMYFUNCTION("""COMPUTED_VALUE"""),43452.6666666666)</f>
        <v>43452.666666666599</v>
      </c>
      <c r="B3516" s="1">
        <f ca="1">IFERROR(__xludf.DUMMYFUNCTION("""COMPUTED_VALUE"""),77.57)</f>
        <v>77.569999999999993</v>
      </c>
    </row>
    <row r="3517" spans="1:2">
      <c r="A3517" s="3">
        <f ca="1">IFERROR(__xludf.DUMMYFUNCTION("""COMPUTED_VALUE"""),43453.6666666666)</f>
        <v>43453.666666666599</v>
      </c>
      <c r="B3517" s="1">
        <f ca="1">IFERROR(__xludf.DUMMYFUNCTION("""COMPUTED_VALUE"""),74.75)</f>
        <v>74.75</v>
      </c>
    </row>
    <row r="3518" spans="1:2">
      <c r="A3518" s="3">
        <f ca="1">IFERROR(__xludf.DUMMYFUNCTION("""COMPUTED_VALUE"""),43454.6666666666)</f>
        <v>43454.666666666599</v>
      </c>
      <c r="B3518" s="1">
        <f ca="1">IFERROR(__xludf.DUMMYFUNCTION("""COMPUTED_VALUE"""),73.04)</f>
        <v>73.040000000000006</v>
      </c>
    </row>
    <row r="3519" spans="1:2">
      <c r="A3519" s="3">
        <f ca="1">IFERROR(__xludf.DUMMYFUNCTION("""COMPUTED_VALUE"""),43455.6666666666)</f>
        <v>43455.666666666599</v>
      </c>
      <c r="B3519" s="1">
        <f ca="1">IFERROR(__xludf.DUMMYFUNCTION("""COMPUTED_VALUE"""),68.87)</f>
        <v>68.87</v>
      </c>
    </row>
    <row r="3520" spans="1:2">
      <c r="A3520" s="3">
        <f ca="1">IFERROR(__xludf.DUMMYFUNCTION("""COMPUTED_VALUE"""),43458.5416666666)</f>
        <v>43458.541666666599</v>
      </c>
      <c r="B3520" s="1">
        <f ca="1">IFERROR(__xludf.DUMMYFUNCTION("""COMPUTED_VALUE"""),67.2)</f>
        <v>67.2</v>
      </c>
    </row>
    <row r="3521" spans="1:2">
      <c r="A3521" s="3">
        <f ca="1">IFERROR(__xludf.DUMMYFUNCTION("""COMPUTED_VALUE"""),43460.6666666666)</f>
        <v>43460.666666666599</v>
      </c>
      <c r="B3521" s="1">
        <f ca="1">IFERROR(__xludf.DUMMYFUNCTION("""COMPUTED_VALUE"""),73.55)</f>
        <v>73.55</v>
      </c>
    </row>
    <row r="3522" spans="1:2">
      <c r="A3522" s="3">
        <f ca="1">IFERROR(__xludf.DUMMYFUNCTION("""COMPUTED_VALUE"""),43461.6666666666)</f>
        <v>43461.666666666599</v>
      </c>
      <c r="B3522" s="1">
        <f ca="1">IFERROR(__xludf.DUMMYFUNCTION("""COMPUTED_VALUE"""),73.08)</f>
        <v>73.08</v>
      </c>
    </row>
    <row r="3523" spans="1:2">
      <c r="A3523" s="3">
        <f ca="1">IFERROR(__xludf.DUMMYFUNCTION("""COMPUTED_VALUE"""),43462.6666666666)</f>
        <v>43462.666666666599</v>
      </c>
      <c r="B3523" s="1">
        <f ca="1">IFERROR(__xludf.DUMMYFUNCTION("""COMPUTED_VALUE"""),73.9)</f>
        <v>73.900000000000006</v>
      </c>
    </row>
    <row r="3524" spans="1:2">
      <c r="A3524" s="3">
        <f ca="1">IFERROR(__xludf.DUMMYFUNCTION("""COMPUTED_VALUE"""),43465.6666666666)</f>
        <v>43465.666666666599</v>
      </c>
      <c r="B3524" s="1">
        <f ca="1">IFERROR(__xludf.DUMMYFUNCTION("""COMPUTED_VALUE"""),75.1)</f>
        <v>75.099999999999994</v>
      </c>
    </row>
    <row r="3525" spans="1:2">
      <c r="A3525" s="3">
        <f ca="1">IFERROR(__xludf.DUMMYFUNCTION("""COMPUTED_VALUE"""),43467.6666666666)</f>
        <v>43467.666666666599</v>
      </c>
      <c r="B3525" s="1">
        <f ca="1">IFERROR(__xludf.DUMMYFUNCTION("""COMPUTED_VALUE"""),76.96)</f>
        <v>76.959999999999994</v>
      </c>
    </row>
    <row r="3526" spans="1:2">
      <c r="A3526" s="3">
        <f ca="1">IFERROR(__xludf.DUMMYFUNCTION("""COMPUTED_VALUE"""),43468.6666666666)</f>
        <v>43468.666666666599</v>
      </c>
      <c r="B3526" s="1">
        <f ca="1">IFERROR(__xludf.DUMMYFUNCTION("""COMPUTED_VALUE"""),75.01)</f>
        <v>75.010000000000005</v>
      </c>
    </row>
    <row r="3527" spans="1:2">
      <c r="A3527" s="3">
        <f ca="1">IFERROR(__xludf.DUMMYFUNCTION("""COMPUTED_VALUE"""),43469.6666666666)</f>
        <v>43469.666666666599</v>
      </c>
      <c r="B3527" s="1">
        <f ca="1">IFERROR(__xludf.DUMMYFUNCTION("""COMPUTED_VALUE"""),78.77)</f>
        <v>78.77</v>
      </c>
    </row>
    <row r="3528" spans="1:2">
      <c r="A3528" s="3">
        <f ca="1">IFERROR(__xludf.DUMMYFUNCTION("""COMPUTED_VALUE"""),43472.6666666666)</f>
        <v>43472.666666666599</v>
      </c>
      <c r="B3528" s="1">
        <f ca="1">IFERROR(__xludf.DUMMYFUNCTION("""COMPUTED_VALUE"""),81.48)</f>
        <v>81.48</v>
      </c>
    </row>
    <row r="3529" spans="1:2">
      <c r="A3529" s="3">
        <f ca="1">IFERROR(__xludf.DUMMYFUNCTION("""COMPUTED_VALUE"""),43473.6666666666)</f>
        <v>43473.666666666599</v>
      </c>
      <c r="B3529" s="1">
        <f ca="1">IFERROR(__xludf.DUMMYFUNCTION("""COMPUTED_VALUE"""),82.83)</f>
        <v>82.83</v>
      </c>
    </row>
    <row r="3530" spans="1:2">
      <c r="A3530" s="3">
        <f ca="1">IFERROR(__xludf.DUMMYFUNCTION("""COMPUTED_VALUE"""),43474.6666666666)</f>
        <v>43474.666666666599</v>
      </c>
      <c r="B3530" s="1">
        <f ca="1">IFERROR(__xludf.DUMMYFUNCTION("""COMPUTED_VALUE"""),82.97)</f>
        <v>82.97</v>
      </c>
    </row>
    <row r="3531" spans="1:2">
      <c r="A3531" s="3">
        <f ca="1">IFERROR(__xludf.DUMMYFUNCTION("""COMPUTED_VALUE"""),43475.6666666666)</f>
        <v>43475.666666666599</v>
      </c>
      <c r="B3531" s="1">
        <f ca="1">IFERROR(__xludf.DUMMYFUNCTION("""COMPUTED_VALUE"""),82.81)</f>
        <v>82.81</v>
      </c>
    </row>
    <row r="3532" spans="1:2">
      <c r="A3532" s="3">
        <f ca="1">IFERROR(__xludf.DUMMYFUNCTION("""COMPUTED_VALUE"""),43476.6666666666)</f>
        <v>43476.666666666599</v>
      </c>
      <c r="B3532" s="1">
        <f ca="1">IFERROR(__xludf.DUMMYFUNCTION("""COMPUTED_VALUE"""),82.03)</f>
        <v>82.03</v>
      </c>
    </row>
    <row r="3533" spans="1:2">
      <c r="A3533" s="3">
        <f ca="1">IFERROR(__xludf.DUMMYFUNCTION("""COMPUTED_VALUE"""),43479.6666666666)</f>
        <v>43479.666666666599</v>
      </c>
      <c r="B3533" s="1">
        <f ca="1">IFERROR(__xludf.DUMMYFUNCTION("""COMPUTED_VALUE"""),80.86)</f>
        <v>80.86</v>
      </c>
    </row>
    <row r="3534" spans="1:2">
      <c r="A3534" s="3">
        <f ca="1">IFERROR(__xludf.DUMMYFUNCTION("""COMPUTED_VALUE"""),43480.6666666666)</f>
        <v>43480.666666666599</v>
      </c>
      <c r="B3534" s="1">
        <f ca="1">IFERROR(__xludf.DUMMYFUNCTION("""COMPUTED_VALUE"""),83.73)</f>
        <v>83.73</v>
      </c>
    </row>
    <row r="3535" spans="1:2">
      <c r="A3535" s="3">
        <f ca="1">IFERROR(__xludf.DUMMYFUNCTION("""COMPUTED_VALUE"""),43481.6666666666)</f>
        <v>43481.666666666599</v>
      </c>
      <c r="B3535" s="1">
        <f ca="1">IFERROR(__xludf.DUMMYFUNCTION("""COMPUTED_VALUE"""),84.19)</f>
        <v>84.19</v>
      </c>
    </row>
    <row r="3536" spans="1:2">
      <c r="A3536" s="3">
        <f ca="1">IFERROR(__xludf.DUMMYFUNCTION("""COMPUTED_VALUE"""),43482.6666666666)</f>
        <v>43482.666666666599</v>
      </c>
      <c r="B3536" s="1">
        <f ca="1">IFERROR(__xludf.DUMMYFUNCTION("""COMPUTED_VALUE"""),84.66)</f>
        <v>84.66</v>
      </c>
    </row>
    <row r="3537" spans="1:2">
      <c r="A3537" s="3">
        <f ca="1">IFERROR(__xludf.DUMMYFUNCTION("""COMPUTED_VALUE"""),43483.6666666666)</f>
        <v>43483.666666666599</v>
      </c>
      <c r="B3537" s="1">
        <f ca="1">IFERROR(__xludf.DUMMYFUNCTION("""COMPUTED_VALUE"""),84.81)</f>
        <v>84.81</v>
      </c>
    </row>
    <row r="3538" spans="1:2">
      <c r="A3538" s="3">
        <f ca="1">IFERROR(__xludf.DUMMYFUNCTION("""COMPUTED_VALUE"""),43487.6666666666)</f>
        <v>43487.666666666599</v>
      </c>
      <c r="B3538" s="1">
        <f ca="1">IFERROR(__xludf.DUMMYFUNCTION("""COMPUTED_VALUE"""),81.61)</f>
        <v>81.61</v>
      </c>
    </row>
    <row r="3539" spans="1:2">
      <c r="A3539" s="3">
        <f ca="1">IFERROR(__xludf.DUMMYFUNCTION("""COMPUTED_VALUE"""),43488.6666666666)</f>
        <v>43488.666666666599</v>
      </c>
      <c r="B3539" s="1">
        <f ca="1">IFERROR(__xludf.DUMMYFUNCTION("""COMPUTED_VALUE"""),82)</f>
        <v>82</v>
      </c>
    </row>
    <row r="3540" spans="1:2">
      <c r="A3540" s="3">
        <f ca="1">IFERROR(__xludf.DUMMYFUNCTION("""COMPUTED_VALUE"""),43489.6666666666)</f>
        <v>43489.666666666599</v>
      </c>
      <c r="B3540" s="1">
        <f ca="1">IFERROR(__xludf.DUMMYFUNCTION("""COMPUTED_VALUE"""),82.75)</f>
        <v>82.75</v>
      </c>
    </row>
    <row r="3541" spans="1:2">
      <c r="A3541" s="3">
        <f ca="1">IFERROR(__xludf.DUMMYFUNCTION("""COMPUTED_VALUE"""),43490.6666666666)</f>
        <v>43490.666666666599</v>
      </c>
      <c r="B3541" s="1">
        <f ca="1">IFERROR(__xludf.DUMMYFUNCTION("""COMPUTED_VALUE"""),83.53)</f>
        <v>83.53</v>
      </c>
    </row>
    <row r="3542" spans="1:2">
      <c r="A3542" s="3">
        <f ca="1">IFERROR(__xludf.DUMMYFUNCTION("""COMPUTED_VALUE"""),43493.6666666666)</f>
        <v>43493.666666666599</v>
      </c>
      <c r="B3542" s="1">
        <f ca="1">IFERROR(__xludf.DUMMYFUNCTION("""COMPUTED_VALUE"""),81.89)</f>
        <v>81.89</v>
      </c>
    </row>
    <row r="3543" spans="1:2">
      <c r="A3543" s="3">
        <f ca="1">IFERROR(__xludf.DUMMYFUNCTION("""COMPUTED_VALUE"""),43494.6666666666)</f>
        <v>43494.666666666599</v>
      </c>
      <c r="B3543" s="1">
        <f ca="1">IFERROR(__xludf.DUMMYFUNCTION("""COMPUTED_VALUE"""),79.69)</f>
        <v>79.69</v>
      </c>
    </row>
    <row r="3544" spans="1:2">
      <c r="A3544" s="3">
        <f ca="1">IFERROR(__xludf.DUMMYFUNCTION("""COMPUTED_VALUE"""),43495.6666666666)</f>
        <v>43495.666666666599</v>
      </c>
      <c r="B3544" s="1">
        <f ca="1">IFERROR(__xludf.DUMMYFUNCTION("""COMPUTED_VALUE"""),83.52)</f>
        <v>83.52</v>
      </c>
    </row>
    <row r="3545" spans="1:2">
      <c r="A3545" s="3">
        <f ca="1">IFERROR(__xludf.DUMMYFUNCTION("""COMPUTED_VALUE"""),43496.6666666666)</f>
        <v>43496.666666666599</v>
      </c>
      <c r="B3545" s="1">
        <f ca="1">IFERROR(__xludf.DUMMYFUNCTION("""COMPUTED_VALUE"""),85.94)</f>
        <v>85.94</v>
      </c>
    </row>
    <row r="3546" spans="1:2">
      <c r="A3546" s="3">
        <f ca="1">IFERROR(__xludf.DUMMYFUNCTION("""COMPUTED_VALUE"""),43497.6666666666)</f>
        <v>43497.666666666599</v>
      </c>
      <c r="B3546" s="1">
        <f ca="1">IFERROR(__xludf.DUMMYFUNCTION("""COMPUTED_VALUE"""),81.31)</f>
        <v>81.31</v>
      </c>
    </row>
    <row r="3547" spans="1:2">
      <c r="A3547" s="3">
        <f ca="1">IFERROR(__xludf.DUMMYFUNCTION("""COMPUTED_VALUE"""),43500.6666666666)</f>
        <v>43500.666666666599</v>
      </c>
      <c r="B3547" s="1">
        <f ca="1">IFERROR(__xludf.DUMMYFUNCTION("""COMPUTED_VALUE"""),81.67)</f>
        <v>81.67</v>
      </c>
    </row>
    <row r="3548" spans="1:2">
      <c r="A3548" s="3">
        <f ca="1">IFERROR(__xludf.DUMMYFUNCTION("""COMPUTED_VALUE"""),43501.6666666666)</f>
        <v>43501.666666666599</v>
      </c>
      <c r="B3548" s="1">
        <f ca="1">IFERROR(__xludf.DUMMYFUNCTION("""COMPUTED_VALUE"""),82.94)</f>
        <v>82.94</v>
      </c>
    </row>
    <row r="3549" spans="1:2">
      <c r="A3549" s="3">
        <f ca="1">IFERROR(__xludf.DUMMYFUNCTION("""COMPUTED_VALUE"""),43502.6666666666)</f>
        <v>43502.666666666599</v>
      </c>
      <c r="B3549" s="1">
        <f ca="1">IFERROR(__xludf.DUMMYFUNCTION("""COMPUTED_VALUE"""),82.01)</f>
        <v>82.01</v>
      </c>
    </row>
    <row r="3550" spans="1:2">
      <c r="A3550" s="3">
        <f ca="1">IFERROR(__xludf.DUMMYFUNCTION("""COMPUTED_VALUE"""),43503.6666666666)</f>
        <v>43503.666666666599</v>
      </c>
      <c r="B3550" s="1">
        <f ca="1">IFERROR(__xludf.DUMMYFUNCTION("""COMPUTED_VALUE"""),80.72)</f>
        <v>80.72</v>
      </c>
    </row>
    <row r="3551" spans="1:2">
      <c r="A3551" s="3">
        <f ca="1">IFERROR(__xludf.DUMMYFUNCTION("""COMPUTED_VALUE"""),43504.6666666666)</f>
        <v>43504.666666666599</v>
      </c>
      <c r="B3551" s="1">
        <f ca="1">IFERROR(__xludf.DUMMYFUNCTION("""COMPUTED_VALUE"""),79.41)</f>
        <v>79.41</v>
      </c>
    </row>
    <row r="3552" spans="1:2">
      <c r="A3552" s="3">
        <f ca="1">IFERROR(__xludf.DUMMYFUNCTION("""COMPUTED_VALUE"""),43507.6666666666)</f>
        <v>43507.666666666599</v>
      </c>
      <c r="B3552" s="1">
        <f ca="1">IFERROR(__xludf.DUMMYFUNCTION("""COMPUTED_VALUE"""),79.55)</f>
        <v>79.55</v>
      </c>
    </row>
    <row r="3553" spans="1:2">
      <c r="A3553" s="3">
        <f ca="1">IFERROR(__xludf.DUMMYFUNCTION("""COMPUTED_VALUE"""),43508.6666666666)</f>
        <v>43508.666666666599</v>
      </c>
      <c r="B3553" s="1">
        <f ca="1">IFERROR(__xludf.DUMMYFUNCTION("""COMPUTED_VALUE"""),81.9)</f>
        <v>81.900000000000006</v>
      </c>
    </row>
    <row r="3554" spans="1:2">
      <c r="A3554" s="3">
        <f ca="1">IFERROR(__xludf.DUMMYFUNCTION("""COMPUTED_VALUE"""),43509.6666666666)</f>
        <v>43509.666666666599</v>
      </c>
      <c r="B3554" s="1">
        <f ca="1">IFERROR(__xludf.DUMMYFUNCTION("""COMPUTED_VALUE"""),82)</f>
        <v>82</v>
      </c>
    </row>
    <row r="3555" spans="1:2">
      <c r="A3555" s="3">
        <f ca="1">IFERROR(__xludf.DUMMYFUNCTION("""COMPUTED_VALUE"""),43510.6666666666)</f>
        <v>43510.666666666599</v>
      </c>
      <c r="B3555" s="1">
        <f ca="1">IFERROR(__xludf.DUMMYFUNCTION("""COMPUTED_VALUE"""),81.13)</f>
        <v>81.13</v>
      </c>
    </row>
    <row r="3556" spans="1:2">
      <c r="A3556" s="3">
        <f ca="1">IFERROR(__xludf.DUMMYFUNCTION("""COMPUTED_VALUE"""),43511.6666666666)</f>
        <v>43511.666666666599</v>
      </c>
      <c r="B3556" s="1">
        <f ca="1">IFERROR(__xludf.DUMMYFUNCTION("""COMPUTED_VALUE"""),80.4)</f>
        <v>80.400000000000006</v>
      </c>
    </row>
    <row r="3557" spans="1:2">
      <c r="A3557" s="3">
        <f ca="1">IFERROR(__xludf.DUMMYFUNCTION("""COMPUTED_VALUE"""),43515.6666666666)</f>
        <v>43515.666666666599</v>
      </c>
      <c r="B3557" s="1">
        <f ca="1">IFERROR(__xludf.DUMMYFUNCTION("""COMPUTED_VALUE"""),81.38)</f>
        <v>81.38</v>
      </c>
    </row>
    <row r="3558" spans="1:2">
      <c r="A3558" s="3">
        <f ca="1">IFERROR(__xludf.DUMMYFUNCTION("""COMPUTED_VALUE"""),43516.6666666666)</f>
        <v>43516.666666666599</v>
      </c>
      <c r="B3558" s="1">
        <f ca="1">IFERROR(__xludf.DUMMYFUNCTION("""COMPUTED_VALUE"""),81.11)</f>
        <v>81.11</v>
      </c>
    </row>
    <row r="3559" spans="1:2">
      <c r="A3559" s="3">
        <f ca="1">IFERROR(__xludf.DUMMYFUNCTION("""COMPUTED_VALUE"""),43517.6666666666)</f>
        <v>43517.666666666599</v>
      </c>
      <c r="B3559" s="1">
        <f ca="1">IFERROR(__xludf.DUMMYFUNCTION("""COMPUTED_VALUE"""),80.97)</f>
        <v>80.97</v>
      </c>
    </row>
    <row r="3560" spans="1:2">
      <c r="A3560" s="3">
        <f ca="1">IFERROR(__xludf.DUMMYFUNCTION("""COMPUTED_VALUE"""),43518.6666666666)</f>
        <v>43518.666666666599</v>
      </c>
      <c r="B3560" s="1">
        <f ca="1">IFERROR(__xludf.DUMMYFUNCTION("""COMPUTED_VALUE"""),81.58)</f>
        <v>81.58</v>
      </c>
    </row>
    <row r="3561" spans="1:2">
      <c r="A3561" s="3">
        <f ca="1">IFERROR(__xludf.DUMMYFUNCTION("""COMPUTED_VALUE"""),43521.6666666666)</f>
        <v>43521.666666666599</v>
      </c>
      <c r="B3561" s="1">
        <f ca="1">IFERROR(__xludf.DUMMYFUNCTION("""COMPUTED_VALUE"""),81.65)</f>
        <v>81.650000000000006</v>
      </c>
    </row>
    <row r="3562" spans="1:2">
      <c r="A3562" s="3">
        <f ca="1">IFERROR(__xludf.DUMMYFUNCTION("""COMPUTED_VALUE"""),43522.6666666666)</f>
        <v>43522.666666666599</v>
      </c>
      <c r="B3562" s="1">
        <f ca="1">IFERROR(__xludf.DUMMYFUNCTION("""COMPUTED_VALUE"""),81.82)</f>
        <v>81.819999999999993</v>
      </c>
    </row>
    <row r="3563" spans="1:2">
      <c r="A3563" s="3">
        <f ca="1">IFERROR(__xludf.DUMMYFUNCTION("""COMPUTED_VALUE"""),43523.6666666666)</f>
        <v>43523.666666666599</v>
      </c>
      <c r="B3563" s="1">
        <f ca="1">IFERROR(__xludf.DUMMYFUNCTION("""COMPUTED_VALUE"""),82.05)</f>
        <v>82.05</v>
      </c>
    </row>
    <row r="3564" spans="1:2">
      <c r="A3564" s="3">
        <f ca="1">IFERROR(__xludf.DUMMYFUNCTION("""COMPUTED_VALUE"""),43524.6666666666)</f>
        <v>43524.666666666599</v>
      </c>
      <c r="B3564" s="1">
        <f ca="1">IFERROR(__xludf.DUMMYFUNCTION("""COMPUTED_VALUE"""),81.99)</f>
        <v>81.99</v>
      </c>
    </row>
    <row r="3565" spans="1:2">
      <c r="A3565" s="3">
        <f ca="1">IFERROR(__xludf.DUMMYFUNCTION("""COMPUTED_VALUE"""),43525.6666666666)</f>
        <v>43525.666666666599</v>
      </c>
      <c r="B3565" s="1">
        <f ca="1">IFERROR(__xludf.DUMMYFUNCTION("""COMPUTED_VALUE"""),83.59)</f>
        <v>83.59</v>
      </c>
    </row>
    <row r="3566" spans="1:2">
      <c r="A3566" s="3">
        <f ca="1">IFERROR(__xludf.DUMMYFUNCTION("""COMPUTED_VALUE"""),43528.6666666666)</f>
        <v>43528.666666666599</v>
      </c>
      <c r="B3566" s="1">
        <f ca="1">IFERROR(__xludf.DUMMYFUNCTION("""COMPUTED_VALUE"""),84.81)</f>
        <v>84.81</v>
      </c>
    </row>
    <row r="3567" spans="1:2">
      <c r="A3567" s="3">
        <f ca="1">IFERROR(__xludf.DUMMYFUNCTION("""COMPUTED_VALUE"""),43529.6666666666)</f>
        <v>43529.666666666599</v>
      </c>
      <c r="B3567" s="1">
        <f ca="1">IFERROR(__xludf.DUMMYFUNCTION("""COMPUTED_VALUE"""),84.62)</f>
        <v>84.62</v>
      </c>
    </row>
    <row r="3568" spans="1:2">
      <c r="A3568" s="3">
        <f ca="1">IFERROR(__xludf.DUMMYFUNCTION("""COMPUTED_VALUE"""),43530.6666666666)</f>
        <v>43530.666666666599</v>
      </c>
      <c r="B3568" s="1">
        <f ca="1">IFERROR(__xludf.DUMMYFUNCTION("""COMPUTED_VALUE"""),83.45)</f>
        <v>83.45</v>
      </c>
    </row>
    <row r="3569" spans="1:2">
      <c r="A3569" s="3">
        <f ca="1">IFERROR(__xludf.DUMMYFUNCTION("""COMPUTED_VALUE"""),43531.6666666666)</f>
        <v>43531.666666666599</v>
      </c>
      <c r="B3569" s="1">
        <f ca="1">IFERROR(__xludf.DUMMYFUNCTION("""COMPUTED_VALUE"""),81.3)</f>
        <v>81.3</v>
      </c>
    </row>
    <row r="3570" spans="1:2">
      <c r="A3570" s="3">
        <f ca="1">IFERROR(__xludf.DUMMYFUNCTION("""COMPUTED_VALUE"""),43532.6666666666)</f>
        <v>43532.666666666599</v>
      </c>
      <c r="B3570" s="1">
        <f ca="1">IFERROR(__xludf.DUMMYFUNCTION("""COMPUTED_VALUE"""),81.04)</f>
        <v>81.040000000000006</v>
      </c>
    </row>
    <row r="3571" spans="1:2">
      <c r="A3571" s="3">
        <f ca="1">IFERROR(__xludf.DUMMYFUNCTION("""COMPUTED_VALUE"""),43535.6666666666)</f>
        <v>43535.666666666599</v>
      </c>
      <c r="B3571" s="1">
        <f ca="1">IFERROR(__xludf.DUMMYFUNCTION("""COMPUTED_VALUE"""),83.53)</f>
        <v>83.53</v>
      </c>
    </row>
    <row r="3572" spans="1:2">
      <c r="A3572" s="3">
        <f ca="1">IFERROR(__xludf.DUMMYFUNCTION("""COMPUTED_VALUE"""),43536.6666666666)</f>
        <v>43536.666666666599</v>
      </c>
      <c r="B3572" s="1">
        <f ca="1">IFERROR(__xludf.DUMMYFUNCTION("""COMPUTED_VALUE"""),83.66)</f>
        <v>83.66</v>
      </c>
    </row>
    <row r="3573" spans="1:2">
      <c r="A3573" s="3">
        <f ca="1">IFERROR(__xludf.DUMMYFUNCTION("""COMPUTED_VALUE"""),43537.6666666666)</f>
        <v>43537.666666666599</v>
      </c>
      <c r="B3573" s="1">
        <f ca="1">IFERROR(__xludf.DUMMYFUNCTION("""COMPUTED_VALUE"""),84.54)</f>
        <v>84.54</v>
      </c>
    </row>
    <row r="3574" spans="1:2">
      <c r="A3574" s="3">
        <f ca="1">IFERROR(__xludf.DUMMYFUNCTION("""COMPUTED_VALUE"""),43538.6666666666)</f>
        <v>43538.666666666599</v>
      </c>
      <c r="B3574" s="1">
        <f ca="1">IFERROR(__xludf.DUMMYFUNCTION("""COMPUTED_VALUE"""),84.31)</f>
        <v>84.31</v>
      </c>
    </row>
    <row r="3575" spans="1:2">
      <c r="A3575" s="3">
        <f ca="1">IFERROR(__xludf.DUMMYFUNCTION("""COMPUTED_VALUE"""),43539.6666666666)</f>
        <v>43539.666666666599</v>
      </c>
      <c r="B3575" s="1">
        <f ca="1">IFERROR(__xludf.DUMMYFUNCTION("""COMPUTED_VALUE"""),85.62)</f>
        <v>85.62</v>
      </c>
    </row>
    <row r="3576" spans="1:2">
      <c r="A3576" s="3">
        <f ca="1">IFERROR(__xludf.DUMMYFUNCTION("""COMPUTED_VALUE"""),43542.6666666666)</f>
        <v>43542.666666666599</v>
      </c>
      <c r="B3576" s="1">
        <f ca="1">IFERROR(__xludf.DUMMYFUNCTION("""COMPUTED_VALUE"""),87.11)</f>
        <v>87.11</v>
      </c>
    </row>
    <row r="3577" spans="1:2">
      <c r="A3577" s="3">
        <f ca="1">IFERROR(__xludf.DUMMYFUNCTION("""COMPUTED_VALUE"""),43543.6666666666)</f>
        <v>43543.666666666599</v>
      </c>
      <c r="B3577" s="1">
        <f ca="1">IFERROR(__xludf.DUMMYFUNCTION("""COMPUTED_VALUE"""),88.09)</f>
        <v>88.09</v>
      </c>
    </row>
    <row r="3578" spans="1:2">
      <c r="A3578" s="3">
        <f ca="1">IFERROR(__xludf.DUMMYFUNCTION("""COMPUTED_VALUE"""),43544.6666666666)</f>
        <v>43544.666666666599</v>
      </c>
      <c r="B3578" s="1">
        <f ca="1">IFERROR(__xludf.DUMMYFUNCTION("""COMPUTED_VALUE"""),89.86)</f>
        <v>89.86</v>
      </c>
    </row>
    <row r="3579" spans="1:2">
      <c r="A3579" s="3">
        <f ca="1">IFERROR(__xludf.DUMMYFUNCTION("""COMPUTED_VALUE"""),43545.6666666666)</f>
        <v>43545.666666666599</v>
      </c>
      <c r="B3579" s="1">
        <f ca="1">IFERROR(__xludf.DUMMYFUNCTION("""COMPUTED_VALUE"""),90.96)</f>
        <v>90.96</v>
      </c>
    </row>
    <row r="3580" spans="1:2">
      <c r="A3580" s="3">
        <f ca="1">IFERROR(__xludf.DUMMYFUNCTION("""COMPUTED_VALUE"""),43546.6666666666)</f>
        <v>43546.666666666599</v>
      </c>
      <c r="B3580" s="1">
        <f ca="1">IFERROR(__xludf.DUMMYFUNCTION("""COMPUTED_VALUE"""),88.24)</f>
        <v>88.24</v>
      </c>
    </row>
    <row r="3581" spans="1:2">
      <c r="A3581" s="3">
        <f ca="1">IFERROR(__xludf.DUMMYFUNCTION("""COMPUTED_VALUE"""),43549.6666666666)</f>
        <v>43549.666666666599</v>
      </c>
      <c r="B3581" s="1">
        <f ca="1">IFERROR(__xludf.DUMMYFUNCTION("""COMPUTED_VALUE"""),88.71)</f>
        <v>88.71</v>
      </c>
    </row>
    <row r="3582" spans="1:2">
      <c r="A3582" s="3">
        <f ca="1">IFERROR(__xludf.DUMMYFUNCTION("""COMPUTED_VALUE"""),43550.6666666666)</f>
        <v>43550.666666666599</v>
      </c>
      <c r="B3582" s="1">
        <f ca="1">IFERROR(__xludf.DUMMYFUNCTION("""COMPUTED_VALUE"""),89.19)</f>
        <v>89.19</v>
      </c>
    </row>
    <row r="3583" spans="1:2">
      <c r="A3583" s="3">
        <f ca="1">IFERROR(__xludf.DUMMYFUNCTION("""COMPUTED_VALUE"""),43551.6666666666)</f>
        <v>43551.666666666599</v>
      </c>
      <c r="B3583" s="1">
        <f ca="1">IFERROR(__xludf.DUMMYFUNCTION("""COMPUTED_VALUE"""),88.29)</f>
        <v>88.29</v>
      </c>
    </row>
    <row r="3584" spans="1:2">
      <c r="A3584" s="3">
        <f ca="1">IFERROR(__xludf.DUMMYFUNCTION("""COMPUTED_VALUE"""),43552.6666666666)</f>
        <v>43552.666666666599</v>
      </c>
      <c r="B3584" s="1">
        <f ca="1">IFERROR(__xludf.DUMMYFUNCTION("""COMPUTED_VALUE"""),88.67)</f>
        <v>88.67</v>
      </c>
    </row>
    <row r="3585" spans="1:2">
      <c r="A3585" s="3">
        <f ca="1">IFERROR(__xludf.DUMMYFUNCTION("""COMPUTED_VALUE"""),43553.6666666666)</f>
        <v>43553.666666666599</v>
      </c>
      <c r="B3585" s="1">
        <f ca="1">IFERROR(__xludf.DUMMYFUNCTION("""COMPUTED_VALUE"""),89.04)</f>
        <v>89.04</v>
      </c>
    </row>
    <row r="3586" spans="1:2">
      <c r="A3586" s="3">
        <f ca="1">IFERROR(__xludf.DUMMYFUNCTION("""COMPUTED_VALUE"""),43556.6666666666)</f>
        <v>43556.666666666599</v>
      </c>
      <c r="B3586" s="1">
        <f ca="1">IFERROR(__xludf.DUMMYFUNCTION("""COMPUTED_VALUE"""),90.71)</f>
        <v>90.71</v>
      </c>
    </row>
    <row r="3587" spans="1:2">
      <c r="A3587" s="3">
        <f ca="1">IFERROR(__xludf.DUMMYFUNCTION("""COMPUTED_VALUE"""),43557.6666666666)</f>
        <v>43557.666666666599</v>
      </c>
      <c r="B3587" s="1">
        <f ca="1">IFERROR(__xludf.DUMMYFUNCTION("""COMPUTED_VALUE"""),90.7)</f>
        <v>90.7</v>
      </c>
    </row>
    <row r="3588" spans="1:2">
      <c r="A3588" s="3">
        <f ca="1">IFERROR(__xludf.DUMMYFUNCTION("""COMPUTED_VALUE"""),43558.6666666666)</f>
        <v>43558.666666666599</v>
      </c>
      <c r="B3588" s="1">
        <f ca="1">IFERROR(__xludf.DUMMYFUNCTION("""COMPUTED_VALUE"""),91.04)</f>
        <v>91.04</v>
      </c>
    </row>
    <row r="3589" spans="1:2">
      <c r="A3589" s="3">
        <f ca="1">IFERROR(__xludf.DUMMYFUNCTION("""COMPUTED_VALUE"""),43559.6666666666)</f>
        <v>43559.666666666599</v>
      </c>
      <c r="B3589" s="1">
        <f ca="1">IFERROR(__xludf.DUMMYFUNCTION("""COMPUTED_VALUE"""),90.94)</f>
        <v>90.94</v>
      </c>
    </row>
    <row r="3590" spans="1:2">
      <c r="A3590" s="3">
        <f ca="1">IFERROR(__xludf.DUMMYFUNCTION("""COMPUTED_VALUE"""),43560.6666666666)</f>
        <v>43560.666666666599</v>
      </c>
      <c r="B3590" s="1">
        <f ca="1">IFERROR(__xludf.DUMMYFUNCTION("""COMPUTED_VALUE"""),91.86)</f>
        <v>91.86</v>
      </c>
    </row>
    <row r="3591" spans="1:2">
      <c r="A3591" s="3">
        <f ca="1">IFERROR(__xludf.DUMMYFUNCTION("""COMPUTED_VALUE"""),43563.6666666666)</f>
        <v>43563.666666666599</v>
      </c>
      <c r="B3591" s="1">
        <f ca="1">IFERROR(__xludf.DUMMYFUNCTION("""COMPUTED_VALUE"""),92.49)</f>
        <v>92.49</v>
      </c>
    </row>
    <row r="3592" spans="1:2">
      <c r="A3592" s="3">
        <f ca="1">IFERROR(__xludf.DUMMYFUNCTION("""COMPUTED_VALUE"""),43564.6666666666)</f>
        <v>43564.666666666599</v>
      </c>
      <c r="B3592" s="1">
        <f ca="1">IFERROR(__xludf.DUMMYFUNCTION("""COMPUTED_VALUE"""),91.79)</f>
        <v>91.79</v>
      </c>
    </row>
    <row r="3593" spans="1:2">
      <c r="A3593" s="3">
        <f ca="1">IFERROR(__xludf.DUMMYFUNCTION("""COMPUTED_VALUE"""),43565.6666666666)</f>
        <v>43565.666666666599</v>
      </c>
      <c r="B3593" s="1">
        <f ca="1">IFERROR(__xludf.DUMMYFUNCTION("""COMPUTED_VALUE"""),92.37)</f>
        <v>92.37</v>
      </c>
    </row>
    <row r="3594" spans="1:2">
      <c r="A3594" s="3">
        <f ca="1">IFERROR(__xludf.DUMMYFUNCTION("""COMPUTED_VALUE"""),43566.6666666666)</f>
        <v>43566.666666666599</v>
      </c>
      <c r="B3594" s="1">
        <f ca="1">IFERROR(__xludf.DUMMYFUNCTION("""COMPUTED_VALUE"""),92.2)</f>
        <v>92.2</v>
      </c>
    </row>
    <row r="3595" spans="1:2">
      <c r="A3595" s="3">
        <f ca="1">IFERROR(__xludf.DUMMYFUNCTION("""COMPUTED_VALUE"""),43567.6666666666)</f>
        <v>43567.666666666599</v>
      </c>
      <c r="B3595" s="1">
        <f ca="1">IFERROR(__xludf.DUMMYFUNCTION("""COMPUTED_VALUE"""),92.15)</f>
        <v>92.15</v>
      </c>
    </row>
    <row r="3596" spans="1:2">
      <c r="A3596" s="3">
        <f ca="1">IFERROR(__xludf.DUMMYFUNCTION("""COMPUTED_VALUE"""),43570.6666666666)</f>
        <v>43570.666666666599</v>
      </c>
      <c r="B3596" s="1">
        <f ca="1">IFERROR(__xludf.DUMMYFUNCTION("""COMPUTED_VALUE"""),92.24)</f>
        <v>92.24</v>
      </c>
    </row>
    <row r="3597" spans="1:2">
      <c r="A3597" s="3">
        <f ca="1">IFERROR(__xludf.DUMMYFUNCTION("""COMPUTED_VALUE"""),43571.6666666666)</f>
        <v>43571.666666666599</v>
      </c>
      <c r="B3597" s="1">
        <f ca="1">IFERROR(__xludf.DUMMYFUNCTION("""COMPUTED_VALUE"""),93.15)</f>
        <v>93.15</v>
      </c>
    </row>
    <row r="3598" spans="1:2">
      <c r="A3598" s="3">
        <f ca="1">IFERROR(__xludf.DUMMYFUNCTION("""COMPUTED_VALUE"""),43572.6666666666)</f>
        <v>43572.666666666599</v>
      </c>
      <c r="B3598" s="1">
        <f ca="1">IFERROR(__xludf.DUMMYFUNCTION("""COMPUTED_VALUE"""),93.24)</f>
        <v>93.24</v>
      </c>
    </row>
    <row r="3599" spans="1:2">
      <c r="A3599" s="3">
        <f ca="1">IFERROR(__xludf.DUMMYFUNCTION("""COMPUTED_VALUE"""),43573.6666666666)</f>
        <v>43573.666666666599</v>
      </c>
      <c r="B3599" s="1">
        <f ca="1">IFERROR(__xludf.DUMMYFUNCTION("""COMPUTED_VALUE"""),93.08)</f>
        <v>93.08</v>
      </c>
    </row>
    <row r="3600" spans="1:2">
      <c r="A3600" s="3">
        <f ca="1">IFERROR(__xludf.DUMMYFUNCTION("""COMPUTED_VALUE"""),43577.6666666666)</f>
        <v>43577.666666666599</v>
      </c>
      <c r="B3600" s="1">
        <f ca="1">IFERROR(__xludf.DUMMYFUNCTION("""COMPUTED_VALUE"""),94.37)</f>
        <v>94.37</v>
      </c>
    </row>
    <row r="3601" spans="1:2">
      <c r="A3601" s="3">
        <f ca="1">IFERROR(__xludf.DUMMYFUNCTION("""COMPUTED_VALUE"""),43578.6666666666)</f>
        <v>43578.666666666599</v>
      </c>
      <c r="B3601" s="1">
        <f ca="1">IFERROR(__xludf.DUMMYFUNCTION("""COMPUTED_VALUE"""),96.19)</f>
        <v>96.19</v>
      </c>
    </row>
    <row r="3602" spans="1:2">
      <c r="A3602" s="3">
        <f ca="1">IFERROR(__xludf.DUMMYFUNCTION("""COMPUTED_VALUE"""),43579.6666666666)</f>
        <v>43579.666666666599</v>
      </c>
      <c r="B3602" s="1">
        <f ca="1">IFERROR(__xludf.DUMMYFUNCTION("""COMPUTED_VALUE"""),95.09)</f>
        <v>95.09</v>
      </c>
    </row>
    <row r="3603" spans="1:2">
      <c r="A3603" s="3">
        <f ca="1">IFERROR(__xludf.DUMMYFUNCTION("""COMPUTED_VALUE"""),43580.6666666666)</f>
        <v>43580.666666666599</v>
      </c>
      <c r="B3603" s="1">
        <f ca="1">IFERROR(__xludf.DUMMYFUNCTION("""COMPUTED_VALUE"""),95.11)</f>
        <v>95.11</v>
      </c>
    </row>
    <row r="3604" spans="1:2">
      <c r="A3604" s="3">
        <f ca="1">IFERROR(__xludf.DUMMYFUNCTION("""COMPUTED_VALUE"""),43581.6666666666)</f>
        <v>43581.666666666599</v>
      </c>
      <c r="B3604" s="1">
        <f ca="1">IFERROR(__xludf.DUMMYFUNCTION("""COMPUTED_VALUE"""),97.53)</f>
        <v>97.53</v>
      </c>
    </row>
    <row r="3605" spans="1:2">
      <c r="A3605" s="3">
        <f ca="1">IFERROR(__xludf.DUMMYFUNCTION("""COMPUTED_VALUE"""),43584.6666666666)</f>
        <v>43584.666666666599</v>
      </c>
      <c r="B3605" s="1">
        <f ca="1">IFERROR(__xludf.DUMMYFUNCTION("""COMPUTED_VALUE"""),96.92)</f>
        <v>96.92</v>
      </c>
    </row>
    <row r="3606" spans="1:2">
      <c r="A3606" s="3">
        <f ca="1">IFERROR(__xludf.DUMMYFUNCTION("""COMPUTED_VALUE"""),43585.6666666666)</f>
        <v>43585.666666666599</v>
      </c>
      <c r="B3606" s="1">
        <f ca="1">IFERROR(__xludf.DUMMYFUNCTION("""COMPUTED_VALUE"""),96.33)</f>
        <v>96.33</v>
      </c>
    </row>
    <row r="3607" spans="1:2">
      <c r="A3607" s="3">
        <f ca="1">IFERROR(__xludf.DUMMYFUNCTION("""COMPUTED_VALUE"""),43586.6666666666)</f>
        <v>43586.666666666599</v>
      </c>
      <c r="B3607" s="1">
        <f ca="1">IFERROR(__xludf.DUMMYFUNCTION("""COMPUTED_VALUE"""),95.58)</f>
        <v>95.58</v>
      </c>
    </row>
    <row r="3608" spans="1:2">
      <c r="A3608" s="3">
        <f ca="1">IFERROR(__xludf.DUMMYFUNCTION("""COMPUTED_VALUE"""),43587.6666666666)</f>
        <v>43587.666666666599</v>
      </c>
      <c r="B3608" s="1">
        <f ca="1">IFERROR(__xludf.DUMMYFUNCTION("""COMPUTED_VALUE"""),95.04)</f>
        <v>95.04</v>
      </c>
    </row>
    <row r="3609" spans="1:2">
      <c r="A3609" s="3">
        <f ca="1">IFERROR(__xludf.DUMMYFUNCTION("""COMPUTED_VALUE"""),43588.6666666666)</f>
        <v>43588.666666666599</v>
      </c>
      <c r="B3609" s="1">
        <f ca="1">IFERROR(__xludf.DUMMYFUNCTION("""COMPUTED_VALUE"""),98.12)</f>
        <v>98.12</v>
      </c>
    </row>
    <row r="3610" spans="1:2">
      <c r="A3610" s="3">
        <f ca="1">IFERROR(__xludf.DUMMYFUNCTION("""COMPUTED_VALUE"""),43591.6666666666)</f>
        <v>43591.666666666599</v>
      </c>
      <c r="B3610" s="1">
        <f ca="1">IFERROR(__xludf.DUMMYFUNCTION("""COMPUTED_VALUE"""),97.53)</f>
        <v>97.53</v>
      </c>
    </row>
    <row r="3611" spans="1:2">
      <c r="A3611" s="3">
        <f ca="1">IFERROR(__xludf.DUMMYFUNCTION("""COMPUTED_VALUE"""),43592.6666666666)</f>
        <v>43592.666666666599</v>
      </c>
      <c r="B3611" s="1">
        <f ca="1">IFERROR(__xludf.DUMMYFUNCTION("""COMPUTED_VALUE"""),96.05)</f>
        <v>96.05</v>
      </c>
    </row>
    <row r="3612" spans="1:2">
      <c r="A3612" s="3">
        <f ca="1">IFERROR(__xludf.DUMMYFUNCTION("""COMPUTED_VALUE"""),43593.6666666666)</f>
        <v>43593.666666666599</v>
      </c>
      <c r="B3612" s="1">
        <f ca="1">IFERROR(__xludf.DUMMYFUNCTION("""COMPUTED_VALUE"""),95.89)</f>
        <v>95.89</v>
      </c>
    </row>
    <row r="3613" spans="1:2">
      <c r="A3613" s="3">
        <f ca="1">IFERROR(__xludf.DUMMYFUNCTION("""COMPUTED_VALUE"""),43594.6666666666)</f>
        <v>43594.666666666599</v>
      </c>
      <c r="B3613" s="1">
        <f ca="1">IFERROR(__xludf.DUMMYFUNCTION("""COMPUTED_VALUE"""),94.99)</f>
        <v>94.99</v>
      </c>
    </row>
    <row r="3614" spans="1:2">
      <c r="A3614" s="3">
        <f ca="1">IFERROR(__xludf.DUMMYFUNCTION("""COMPUTED_VALUE"""),43595.6666666666)</f>
        <v>43595.666666666599</v>
      </c>
      <c r="B3614" s="1">
        <f ca="1">IFERROR(__xludf.DUMMYFUNCTION("""COMPUTED_VALUE"""),94.5)</f>
        <v>94.5</v>
      </c>
    </row>
    <row r="3615" spans="1:2">
      <c r="A3615" s="3">
        <f ca="1">IFERROR(__xludf.DUMMYFUNCTION("""COMPUTED_VALUE"""),43598.6666666666)</f>
        <v>43598.666666666599</v>
      </c>
      <c r="B3615" s="1">
        <f ca="1">IFERROR(__xludf.DUMMYFUNCTION("""COMPUTED_VALUE"""),91.13)</f>
        <v>91.13</v>
      </c>
    </row>
    <row r="3616" spans="1:2">
      <c r="A3616" s="3">
        <f ca="1">IFERROR(__xludf.DUMMYFUNCTION("""COMPUTED_VALUE"""),43599.6666666666)</f>
        <v>43599.666666666599</v>
      </c>
      <c r="B3616" s="1">
        <f ca="1">IFERROR(__xludf.DUMMYFUNCTION("""COMPUTED_VALUE"""),92.01)</f>
        <v>92.01</v>
      </c>
    </row>
    <row r="3617" spans="1:2">
      <c r="A3617" s="3">
        <f ca="1">IFERROR(__xludf.DUMMYFUNCTION("""COMPUTED_VALUE"""),43600.6666666666)</f>
        <v>43600.666666666599</v>
      </c>
      <c r="B3617" s="1">
        <f ca="1">IFERROR(__xludf.DUMMYFUNCTION("""COMPUTED_VALUE"""),93.56)</f>
        <v>93.56</v>
      </c>
    </row>
    <row r="3618" spans="1:2">
      <c r="A3618" s="3">
        <f ca="1">IFERROR(__xludf.DUMMYFUNCTION("""COMPUTED_VALUE"""),43601.6666666666)</f>
        <v>43601.666666666599</v>
      </c>
      <c r="B3618" s="1">
        <f ca="1">IFERROR(__xludf.DUMMYFUNCTION("""COMPUTED_VALUE"""),95.38)</f>
        <v>95.38</v>
      </c>
    </row>
    <row r="3619" spans="1:2">
      <c r="A3619" s="3">
        <f ca="1">IFERROR(__xludf.DUMMYFUNCTION("""COMPUTED_VALUE"""),43602.6666666666)</f>
        <v>43602.666666666599</v>
      </c>
      <c r="B3619" s="1">
        <f ca="1">IFERROR(__xludf.DUMMYFUNCTION("""COMPUTED_VALUE"""),93.45)</f>
        <v>93.45</v>
      </c>
    </row>
    <row r="3620" spans="1:2">
      <c r="A3620" s="3">
        <f ca="1">IFERROR(__xludf.DUMMYFUNCTION("""COMPUTED_VALUE"""),43605.6666666666)</f>
        <v>43605.666666666599</v>
      </c>
      <c r="B3620" s="1">
        <f ca="1">IFERROR(__xludf.DUMMYFUNCTION("""COMPUTED_VALUE"""),92.95)</f>
        <v>92.95</v>
      </c>
    </row>
    <row r="3621" spans="1:2">
      <c r="A3621" s="3">
        <f ca="1">IFERROR(__xludf.DUMMYFUNCTION("""COMPUTED_VALUE"""),43606.6666666666)</f>
        <v>43606.666666666599</v>
      </c>
      <c r="B3621" s="1">
        <f ca="1">IFERROR(__xludf.DUMMYFUNCTION("""COMPUTED_VALUE"""),92.88)</f>
        <v>92.88</v>
      </c>
    </row>
    <row r="3622" spans="1:2">
      <c r="A3622" s="3">
        <f ca="1">IFERROR(__xludf.DUMMYFUNCTION("""COMPUTED_VALUE"""),43607.6666666666)</f>
        <v>43607.666666666599</v>
      </c>
      <c r="B3622" s="1">
        <f ca="1">IFERROR(__xludf.DUMMYFUNCTION("""COMPUTED_VALUE"""),92.98)</f>
        <v>92.98</v>
      </c>
    </row>
    <row r="3623" spans="1:2">
      <c r="A3623" s="3">
        <f ca="1">IFERROR(__xludf.DUMMYFUNCTION("""COMPUTED_VALUE"""),43608.6666666666)</f>
        <v>43608.666666666599</v>
      </c>
      <c r="B3623" s="1">
        <f ca="1">IFERROR(__xludf.DUMMYFUNCTION("""COMPUTED_VALUE"""),90.77)</f>
        <v>90.77</v>
      </c>
    </row>
    <row r="3624" spans="1:2">
      <c r="A3624" s="3">
        <f ca="1">IFERROR(__xludf.DUMMYFUNCTION("""COMPUTED_VALUE"""),43609.6666666666)</f>
        <v>43609.666666666599</v>
      </c>
      <c r="B3624" s="1">
        <f ca="1">IFERROR(__xludf.DUMMYFUNCTION("""COMPUTED_VALUE"""),91.16)</f>
        <v>91.16</v>
      </c>
    </row>
    <row r="3625" spans="1:2">
      <c r="A3625" s="3">
        <f ca="1">IFERROR(__xludf.DUMMYFUNCTION("""COMPUTED_VALUE"""),43613.6666666666)</f>
        <v>43613.666666666599</v>
      </c>
      <c r="B3625" s="1">
        <f ca="1">IFERROR(__xludf.DUMMYFUNCTION("""COMPUTED_VALUE"""),91.82)</f>
        <v>91.82</v>
      </c>
    </row>
    <row r="3626" spans="1:2">
      <c r="A3626" s="3">
        <f ca="1">IFERROR(__xludf.DUMMYFUNCTION("""COMPUTED_VALUE"""),43614.6666666666)</f>
        <v>43614.666666666599</v>
      </c>
      <c r="B3626" s="1">
        <f ca="1">IFERROR(__xludf.DUMMYFUNCTION("""COMPUTED_VALUE"""),90.96)</f>
        <v>90.96</v>
      </c>
    </row>
    <row r="3627" spans="1:2">
      <c r="A3627" s="3">
        <f ca="1">IFERROR(__xludf.DUMMYFUNCTION("""COMPUTED_VALUE"""),43615.6666666666)</f>
        <v>43615.666666666599</v>
      </c>
      <c r="B3627" s="1">
        <f ca="1">IFERROR(__xludf.DUMMYFUNCTION("""COMPUTED_VALUE"""),90.82)</f>
        <v>90.82</v>
      </c>
    </row>
    <row r="3628" spans="1:2">
      <c r="A3628" s="3">
        <f ca="1">IFERROR(__xludf.DUMMYFUNCTION("""COMPUTED_VALUE"""),43616.6666666666)</f>
        <v>43616.666666666599</v>
      </c>
      <c r="B3628" s="1">
        <f ca="1">IFERROR(__xludf.DUMMYFUNCTION("""COMPUTED_VALUE"""),88.75)</f>
        <v>88.75</v>
      </c>
    </row>
    <row r="3629" spans="1:2">
      <c r="A3629" s="3">
        <f ca="1">IFERROR(__xludf.DUMMYFUNCTION("""COMPUTED_VALUE"""),43619.6666666666)</f>
        <v>43619.666666666599</v>
      </c>
      <c r="B3629" s="1">
        <f ca="1">IFERROR(__xludf.DUMMYFUNCTION("""COMPUTED_VALUE"""),84.63)</f>
        <v>84.63</v>
      </c>
    </row>
    <row r="3630" spans="1:2">
      <c r="A3630" s="3">
        <f ca="1">IFERROR(__xludf.DUMMYFUNCTION("""COMPUTED_VALUE"""),43620.6666666666)</f>
        <v>43620.666666666599</v>
      </c>
      <c r="B3630" s="1">
        <f ca="1">IFERROR(__xludf.DUMMYFUNCTION("""COMPUTED_VALUE"""),86.48)</f>
        <v>86.48</v>
      </c>
    </row>
    <row r="3631" spans="1:2">
      <c r="A3631" s="3">
        <f ca="1">IFERROR(__xludf.DUMMYFUNCTION("""COMPUTED_VALUE"""),43621.6666666666)</f>
        <v>43621.666666666599</v>
      </c>
      <c r="B3631" s="1">
        <f ca="1">IFERROR(__xludf.DUMMYFUNCTION("""COMPUTED_VALUE"""),86.93)</f>
        <v>86.93</v>
      </c>
    </row>
    <row r="3632" spans="1:2">
      <c r="A3632" s="3">
        <f ca="1">IFERROR(__xludf.DUMMYFUNCTION("""COMPUTED_VALUE"""),43622.6666666666)</f>
        <v>43622.666666666599</v>
      </c>
      <c r="B3632" s="1">
        <f ca="1">IFERROR(__xludf.DUMMYFUNCTION("""COMPUTED_VALUE"""),87.72)</f>
        <v>87.72</v>
      </c>
    </row>
    <row r="3633" spans="1:2">
      <c r="A3633" s="3">
        <f ca="1">IFERROR(__xludf.DUMMYFUNCTION("""COMPUTED_VALUE"""),43623.6666666666)</f>
        <v>43623.666666666599</v>
      </c>
      <c r="B3633" s="1">
        <f ca="1">IFERROR(__xludf.DUMMYFUNCTION("""COMPUTED_VALUE"""),90.2)</f>
        <v>90.2</v>
      </c>
    </row>
    <row r="3634" spans="1:2">
      <c r="A3634" s="3">
        <f ca="1">IFERROR(__xludf.DUMMYFUNCTION("""COMPUTED_VALUE"""),43626.6666666666)</f>
        <v>43626.666666666599</v>
      </c>
      <c r="B3634" s="1">
        <f ca="1">IFERROR(__xludf.DUMMYFUNCTION("""COMPUTED_VALUE"""),93.03)</f>
        <v>93.03</v>
      </c>
    </row>
    <row r="3635" spans="1:2">
      <c r="A3635" s="3">
        <f ca="1">IFERROR(__xludf.DUMMYFUNCTION("""COMPUTED_VALUE"""),43627.6666666666)</f>
        <v>43627.666666666599</v>
      </c>
      <c r="B3635" s="1">
        <f ca="1">IFERROR(__xludf.DUMMYFUNCTION("""COMPUTED_VALUE"""),93.19)</f>
        <v>93.19</v>
      </c>
    </row>
    <row r="3636" spans="1:2">
      <c r="A3636" s="3">
        <f ca="1">IFERROR(__xludf.DUMMYFUNCTION("""COMPUTED_VALUE"""),43628.6666666666)</f>
        <v>43628.666666666599</v>
      </c>
      <c r="B3636" s="1">
        <f ca="1">IFERROR(__xludf.DUMMYFUNCTION("""COMPUTED_VALUE"""),92.77)</f>
        <v>92.77</v>
      </c>
    </row>
    <row r="3637" spans="1:2">
      <c r="A3637" s="3">
        <f ca="1">IFERROR(__xludf.DUMMYFUNCTION("""COMPUTED_VALUE"""),43629.6666666666)</f>
        <v>43629.666666666599</v>
      </c>
      <c r="B3637" s="1">
        <f ca="1">IFERROR(__xludf.DUMMYFUNCTION("""COMPUTED_VALUE"""),93.52)</f>
        <v>93.52</v>
      </c>
    </row>
    <row r="3638" spans="1:2">
      <c r="A3638" s="3">
        <f ca="1">IFERROR(__xludf.DUMMYFUNCTION("""COMPUTED_VALUE"""),43630.6666666666)</f>
        <v>43630.666666666599</v>
      </c>
      <c r="B3638" s="1">
        <f ca="1">IFERROR(__xludf.DUMMYFUNCTION("""COMPUTED_VALUE"""),93.48)</f>
        <v>93.48</v>
      </c>
    </row>
    <row r="3639" spans="1:2">
      <c r="A3639" s="3">
        <f ca="1">IFERROR(__xludf.DUMMYFUNCTION("""COMPUTED_VALUE"""),43633.6666666666)</f>
        <v>43633.666666666599</v>
      </c>
      <c r="B3639" s="1">
        <f ca="1">IFERROR(__xludf.DUMMYFUNCTION("""COMPUTED_VALUE"""),94.3)</f>
        <v>94.3</v>
      </c>
    </row>
    <row r="3640" spans="1:2">
      <c r="A3640" s="3">
        <f ca="1">IFERROR(__xludf.DUMMYFUNCTION("""COMPUTED_VALUE"""),43634.6666666666)</f>
        <v>43634.666666666599</v>
      </c>
      <c r="B3640" s="1">
        <f ca="1">IFERROR(__xludf.DUMMYFUNCTION("""COMPUTED_VALUE"""),95.07)</f>
        <v>95.07</v>
      </c>
    </row>
    <row r="3641" spans="1:2">
      <c r="A3641" s="3">
        <f ca="1">IFERROR(__xludf.DUMMYFUNCTION("""COMPUTED_VALUE"""),43635.6666666666)</f>
        <v>43635.666666666599</v>
      </c>
      <c r="B3641" s="1">
        <f ca="1">IFERROR(__xludf.DUMMYFUNCTION("""COMPUTED_VALUE"""),95.44)</f>
        <v>95.44</v>
      </c>
    </row>
    <row r="3642" spans="1:2">
      <c r="A3642" s="3">
        <f ca="1">IFERROR(__xludf.DUMMYFUNCTION("""COMPUTED_VALUE"""),43636.6666666666)</f>
        <v>43636.666666666599</v>
      </c>
      <c r="B3642" s="1">
        <f ca="1">IFERROR(__xludf.DUMMYFUNCTION("""COMPUTED_VALUE"""),95.91)</f>
        <v>95.91</v>
      </c>
    </row>
    <row r="3643" spans="1:2">
      <c r="A3643" s="3">
        <f ca="1">IFERROR(__xludf.DUMMYFUNCTION("""COMPUTED_VALUE"""),43637.6666666666)</f>
        <v>43637.666666666599</v>
      </c>
      <c r="B3643" s="1">
        <f ca="1">IFERROR(__xludf.DUMMYFUNCTION("""COMPUTED_VALUE"""),95.57)</f>
        <v>95.57</v>
      </c>
    </row>
    <row r="3644" spans="1:2">
      <c r="A3644" s="3">
        <f ca="1">IFERROR(__xludf.DUMMYFUNCTION("""COMPUTED_VALUE"""),43640.6666666666)</f>
        <v>43640.666666666599</v>
      </c>
      <c r="B3644" s="1">
        <f ca="1">IFERROR(__xludf.DUMMYFUNCTION("""COMPUTED_VALUE"""),95.7)</f>
        <v>95.7</v>
      </c>
    </row>
    <row r="3645" spans="1:2">
      <c r="A3645" s="3">
        <f ca="1">IFERROR(__xludf.DUMMYFUNCTION("""COMPUTED_VALUE"""),43641.6666666666)</f>
        <v>43641.666666666599</v>
      </c>
      <c r="B3645" s="1">
        <f ca="1">IFERROR(__xludf.DUMMYFUNCTION("""COMPUTED_VALUE"""),93.91)</f>
        <v>93.91</v>
      </c>
    </row>
    <row r="3646" spans="1:2">
      <c r="A3646" s="3">
        <f ca="1">IFERROR(__xludf.DUMMYFUNCTION("""COMPUTED_VALUE"""),43642.6666666666)</f>
        <v>43642.666666666599</v>
      </c>
      <c r="B3646" s="1">
        <f ca="1">IFERROR(__xludf.DUMMYFUNCTION("""COMPUTED_VALUE"""),94.89)</f>
        <v>94.89</v>
      </c>
    </row>
    <row r="3647" spans="1:2">
      <c r="A3647" s="3">
        <f ca="1">IFERROR(__xludf.DUMMYFUNCTION("""COMPUTED_VALUE"""),43643.6666666666)</f>
        <v>43643.666666666599</v>
      </c>
      <c r="B3647" s="1">
        <f ca="1">IFERROR(__xludf.DUMMYFUNCTION("""COMPUTED_VALUE"""),95.21)</f>
        <v>95.21</v>
      </c>
    </row>
    <row r="3648" spans="1:2">
      <c r="A3648" s="3">
        <f ca="1">IFERROR(__xludf.DUMMYFUNCTION("""COMPUTED_VALUE"""),43644.6666666666)</f>
        <v>43644.666666666599</v>
      </c>
      <c r="B3648" s="1">
        <f ca="1">IFERROR(__xludf.DUMMYFUNCTION("""COMPUTED_VALUE"""),94.68)</f>
        <v>94.68</v>
      </c>
    </row>
    <row r="3649" spans="1:2">
      <c r="A3649" s="3">
        <f ca="1">IFERROR(__xludf.DUMMYFUNCTION("""COMPUTED_VALUE"""),43647.6666666666)</f>
        <v>43647.666666666599</v>
      </c>
      <c r="B3649" s="1">
        <f ca="1">IFERROR(__xludf.DUMMYFUNCTION("""COMPUTED_VALUE"""),96.11)</f>
        <v>96.11</v>
      </c>
    </row>
    <row r="3650" spans="1:2">
      <c r="A3650" s="3">
        <f ca="1">IFERROR(__xludf.DUMMYFUNCTION("""COMPUTED_VALUE"""),43648.6666666666)</f>
        <v>43648.666666666599</v>
      </c>
      <c r="B3650" s="1">
        <f ca="1">IFERROR(__xludf.DUMMYFUNCTION("""COMPUTED_VALUE"""),96.72)</f>
        <v>96.72</v>
      </c>
    </row>
    <row r="3651" spans="1:2">
      <c r="A3651" s="3">
        <f ca="1">IFERROR(__xludf.DUMMYFUNCTION("""COMPUTED_VALUE"""),43649.5416666666)</f>
        <v>43649.541666666599</v>
      </c>
      <c r="B3651" s="1">
        <f ca="1">IFERROR(__xludf.DUMMYFUNCTION("""COMPUTED_VALUE"""),96.95)</f>
        <v>96.95</v>
      </c>
    </row>
    <row r="3652" spans="1:2">
      <c r="A3652" s="3">
        <f ca="1">IFERROR(__xludf.DUMMYFUNCTION("""COMPUTED_VALUE"""),43651.6666666666)</f>
        <v>43651.666666666599</v>
      </c>
      <c r="B3652" s="1">
        <f ca="1">IFERROR(__xludf.DUMMYFUNCTION("""COMPUTED_VALUE"""),97.15)</f>
        <v>97.15</v>
      </c>
    </row>
    <row r="3653" spans="1:2">
      <c r="A3653" s="3">
        <f ca="1">IFERROR(__xludf.DUMMYFUNCTION("""COMPUTED_VALUE"""),43654.6666666666)</f>
        <v>43654.666666666599</v>
      </c>
      <c r="B3653" s="1">
        <f ca="1">IFERROR(__xludf.DUMMYFUNCTION("""COMPUTED_VALUE"""),97.62)</f>
        <v>97.62</v>
      </c>
    </row>
    <row r="3654" spans="1:2">
      <c r="A3654" s="3">
        <f ca="1">IFERROR(__xludf.DUMMYFUNCTION("""COMPUTED_VALUE"""),43655.6666666666)</f>
        <v>43655.666666666599</v>
      </c>
      <c r="B3654" s="1">
        <f ca="1">IFERROR(__xludf.DUMMYFUNCTION("""COMPUTED_VALUE"""),99.42)</f>
        <v>99.42</v>
      </c>
    </row>
    <row r="3655" spans="1:2">
      <c r="A3655" s="3">
        <f ca="1">IFERROR(__xludf.DUMMYFUNCTION("""COMPUTED_VALUE"""),43656.6666666666)</f>
        <v>43656.666666666599</v>
      </c>
      <c r="B3655" s="1">
        <f ca="1">IFERROR(__xludf.DUMMYFUNCTION("""COMPUTED_VALUE"""),100.87)</f>
        <v>100.87</v>
      </c>
    </row>
    <row r="3656" spans="1:2">
      <c r="A3656" s="3">
        <f ca="1">IFERROR(__xludf.DUMMYFUNCTION("""COMPUTED_VALUE"""),43657.6666666666)</f>
        <v>43657.666666666599</v>
      </c>
      <c r="B3656" s="1">
        <f ca="1">IFERROR(__xludf.DUMMYFUNCTION("""COMPUTED_VALUE"""),100.05)</f>
        <v>100.05</v>
      </c>
    </row>
    <row r="3657" spans="1:2">
      <c r="A3657" s="3">
        <f ca="1">IFERROR(__xludf.DUMMYFUNCTION("""COMPUTED_VALUE"""),43658.6666666666)</f>
        <v>43658.666666666599</v>
      </c>
      <c r="B3657" s="1">
        <f ca="1">IFERROR(__xludf.DUMMYFUNCTION("""COMPUTED_VALUE"""),100.55)</f>
        <v>100.55</v>
      </c>
    </row>
    <row r="3658" spans="1:2">
      <c r="A3658" s="3">
        <f ca="1">IFERROR(__xludf.DUMMYFUNCTION("""COMPUTED_VALUE"""),43661.6666666666)</f>
        <v>43661.666666666599</v>
      </c>
      <c r="B3658" s="1">
        <f ca="1">IFERROR(__xludf.DUMMYFUNCTION("""COMPUTED_VALUE"""),101.05)</f>
        <v>101.05</v>
      </c>
    </row>
    <row r="3659" spans="1:2">
      <c r="A3659" s="3">
        <f ca="1">IFERROR(__xludf.DUMMYFUNCTION("""COMPUTED_VALUE"""),43662.6666666666)</f>
        <v>43662.666666666599</v>
      </c>
      <c r="B3659" s="1">
        <f ca="1">IFERROR(__xludf.DUMMYFUNCTION("""COMPUTED_VALUE"""),100.5)</f>
        <v>100.5</v>
      </c>
    </row>
    <row r="3660" spans="1:2">
      <c r="A3660" s="3">
        <f ca="1">IFERROR(__xludf.DUMMYFUNCTION("""COMPUTED_VALUE"""),43663.6666666666)</f>
        <v>43663.666666666599</v>
      </c>
      <c r="B3660" s="1">
        <f ca="1">IFERROR(__xludf.DUMMYFUNCTION("""COMPUTED_VALUE"""),99.6)</f>
        <v>99.6</v>
      </c>
    </row>
    <row r="3661" spans="1:2">
      <c r="A3661" s="3">
        <f ca="1">IFERROR(__xludf.DUMMYFUNCTION("""COMPUTED_VALUE"""),43664.6666666666)</f>
        <v>43664.666666666599</v>
      </c>
      <c r="B3661" s="1">
        <f ca="1">IFERROR(__xludf.DUMMYFUNCTION("""COMPUTED_VALUE"""),98.9)</f>
        <v>98.9</v>
      </c>
    </row>
    <row r="3662" spans="1:2">
      <c r="A3662" s="3">
        <f ca="1">IFERROR(__xludf.DUMMYFUNCTION("""COMPUTED_VALUE"""),43665.6666666666)</f>
        <v>43665.666666666599</v>
      </c>
      <c r="B3662" s="1">
        <f ca="1">IFERROR(__xludf.DUMMYFUNCTION("""COMPUTED_VALUE"""),98.23)</f>
        <v>98.23</v>
      </c>
    </row>
    <row r="3663" spans="1:2">
      <c r="A3663" s="3">
        <f ca="1">IFERROR(__xludf.DUMMYFUNCTION("""COMPUTED_VALUE"""),43668.6666666666)</f>
        <v>43668.666666666599</v>
      </c>
      <c r="B3663" s="1">
        <f ca="1">IFERROR(__xludf.DUMMYFUNCTION("""COMPUTED_VALUE"""),99.28)</f>
        <v>99.28</v>
      </c>
    </row>
    <row r="3664" spans="1:2">
      <c r="A3664" s="3">
        <f ca="1">IFERROR(__xludf.DUMMYFUNCTION("""COMPUTED_VALUE"""),43669.6666666666)</f>
        <v>43669.666666666599</v>
      </c>
      <c r="B3664" s="1">
        <f ca="1">IFERROR(__xludf.DUMMYFUNCTION("""COMPUTED_VALUE"""),99.72)</f>
        <v>99.72</v>
      </c>
    </row>
    <row r="3665" spans="1:2">
      <c r="A3665" s="3">
        <f ca="1">IFERROR(__xludf.DUMMYFUNCTION("""COMPUTED_VALUE"""),43670.6666666666)</f>
        <v>43670.666666666599</v>
      </c>
      <c r="B3665" s="1">
        <f ca="1">IFERROR(__xludf.DUMMYFUNCTION("""COMPUTED_VALUE"""),100.04)</f>
        <v>100.04</v>
      </c>
    </row>
    <row r="3666" spans="1:2">
      <c r="A3666" s="3">
        <f ca="1">IFERROR(__xludf.DUMMYFUNCTION("""COMPUTED_VALUE"""),43671.6666666666)</f>
        <v>43671.666666666599</v>
      </c>
      <c r="B3666" s="1">
        <f ca="1">IFERROR(__xludf.DUMMYFUNCTION("""COMPUTED_VALUE"""),98.69)</f>
        <v>98.69</v>
      </c>
    </row>
    <row r="3667" spans="1:2">
      <c r="A3667" s="3">
        <f ca="1">IFERROR(__xludf.DUMMYFUNCTION("""COMPUTED_VALUE"""),43672.6666666666)</f>
        <v>43672.666666666599</v>
      </c>
      <c r="B3667" s="1">
        <f ca="1">IFERROR(__xludf.DUMMYFUNCTION("""COMPUTED_VALUE"""),97.15)</f>
        <v>97.15</v>
      </c>
    </row>
    <row r="3668" spans="1:2">
      <c r="A3668" s="3">
        <f ca="1">IFERROR(__xludf.DUMMYFUNCTION("""COMPUTED_VALUE"""),43675.6666666666)</f>
        <v>43675.666666666599</v>
      </c>
      <c r="B3668" s="1">
        <f ca="1">IFERROR(__xludf.DUMMYFUNCTION("""COMPUTED_VALUE"""),95.62)</f>
        <v>95.62</v>
      </c>
    </row>
    <row r="3669" spans="1:2">
      <c r="A3669" s="3">
        <f ca="1">IFERROR(__xludf.DUMMYFUNCTION("""COMPUTED_VALUE"""),43676.6666666666)</f>
        <v>43676.666666666599</v>
      </c>
      <c r="B3669" s="1">
        <f ca="1">IFERROR(__xludf.DUMMYFUNCTION("""COMPUTED_VALUE"""),94.93)</f>
        <v>94.93</v>
      </c>
    </row>
    <row r="3670" spans="1:2">
      <c r="A3670" s="3">
        <f ca="1">IFERROR(__xludf.DUMMYFUNCTION("""COMPUTED_VALUE"""),43677.6666666666)</f>
        <v>43677.666666666599</v>
      </c>
      <c r="B3670" s="1">
        <f ca="1">IFERROR(__xludf.DUMMYFUNCTION("""COMPUTED_VALUE"""),93.34)</f>
        <v>93.34</v>
      </c>
    </row>
    <row r="3671" spans="1:2">
      <c r="A3671" s="3">
        <f ca="1">IFERROR(__xludf.DUMMYFUNCTION("""COMPUTED_VALUE"""),43678.6666666666)</f>
        <v>43678.666666666599</v>
      </c>
      <c r="B3671" s="1">
        <f ca="1">IFERROR(__xludf.DUMMYFUNCTION("""COMPUTED_VALUE"""),92.77)</f>
        <v>92.77</v>
      </c>
    </row>
    <row r="3672" spans="1:2">
      <c r="A3672" s="3">
        <f ca="1">IFERROR(__xludf.DUMMYFUNCTION("""COMPUTED_VALUE"""),43679.6666666666)</f>
        <v>43679.666666666599</v>
      </c>
      <c r="B3672" s="1">
        <f ca="1">IFERROR(__xludf.DUMMYFUNCTION("""COMPUTED_VALUE"""),91.16)</f>
        <v>91.16</v>
      </c>
    </row>
    <row r="3673" spans="1:2">
      <c r="A3673" s="3">
        <f ca="1">IFERROR(__xludf.DUMMYFUNCTION("""COMPUTED_VALUE"""),43682.6666666666)</f>
        <v>43682.666666666599</v>
      </c>
      <c r="B3673" s="1">
        <f ca="1">IFERROR(__xludf.DUMMYFUNCTION("""COMPUTED_VALUE"""),88.26)</f>
        <v>88.26</v>
      </c>
    </row>
    <row r="3674" spans="1:2">
      <c r="A3674" s="3">
        <f ca="1">IFERROR(__xludf.DUMMYFUNCTION("""COMPUTED_VALUE"""),43683.6666666666)</f>
        <v>43683.666666666599</v>
      </c>
      <c r="B3674" s="1">
        <f ca="1">IFERROR(__xludf.DUMMYFUNCTION("""COMPUTED_VALUE"""),89.39)</f>
        <v>89.39</v>
      </c>
    </row>
    <row r="3675" spans="1:2">
      <c r="A3675" s="3">
        <f ca="1">IFERROR(__xludf.DUMMYFUNCTION("""COMPUTED_VALUE"""),43684.6666666666)</f>
        <v>43684.666666666599</v>
      </c>
      <c r="B3675" s="1">
        <f ca="1">IFERROR(__xludf.DUMMYFUNCTION("""COMPUTED_VALUE"""),89.67)</f>
        <v>89.67</v>
      </c>
    </row>
    <row r="3676" spans="1:2">
      <c r="A3676" s="3">
        <f ca="1">IFERROR(__xludf.DUMMYFUNCTION("""COMPUTED_VALUE"""),43685.6666666666)</f>
        <v>43685.666666666599</v>
      </c>
      <c r="B3676" s="1">
        <f ca="1">IFERROR(__xludf.DUMMYFUNCTION("""COMPUTED_VALUE"""),91.64)</f>
        <v>91.64</v>
      </c>
    </row>
    <row r="3677" spans="1:2">
      <c r="A3677" s="3">
        <f ca="1">IFERROR(__xludf.DUMMYFUNCTION("""COMPUTED_VALUE"""),43686.6666666666)</f>
        <v>43686.666666666599</v>
      </c>
      <c r="B3677" s="1">
        <f ca="1">IFERROR(__xludf.DUMMYFUNCTION("""COMPUTED_VALUE"""),90.38)</f>
        <v>90.38</v>
      </c>
    </row>
    <row r="3678" spans="1:2">
      <c r="A3678" s="3">
        <f ca="1">IFERROR(__xludf.DUMMYFUNCTION("""COMPUTED_VALUE"""),43689.6666666666)</f>
        <v>43689.666666666599</v>
      </c>
      <c r="B3678" s="1">
        <f ca="1">IFERROR(__xludf.DUMMYFUNCTION("""COMPUTED_VALUE"""),89.25)</f>
        <v>89.25</v>
      </c>
    </row>
    <row r="3679" spans="1:2">
      <c r="A3679" s="3">
        <f ca="1">IFERROR(__xludf.DUMMYFUNCTION("""COMPUTED_VALUE"""),43690.6666666666)</f>
        <v>43690.666666666599</v>
      </c>
      <c r="B3679" s="1">
        <f ca="1">IFERROR(__xludf.DUMMYFUNCTION("""COMPUTED_VALUE"""),91.22)</f>
        <v>91.22</v>
      </c>
    </row>
    <row r="3680" spans="1:2">
      <c r="A3680" s="3">
        <f ca="1">IFERROR(__xludf.DUMMYFUNCTION("""COMPUTED_VALUE"""),43691.6666666666)</f>
        <v>43691.666666666599</v>
      </c>
      <c r="B3680" s="1">
        <f ca="1">IFERROR(__xludf.DUMMYFUNCTION("""COMPUTED_VALUE"""),88.15)</f>
        <v>88.15</v>
      </c>
    </row>
    <row r="3681" spans="1:2">
      <c r="A3681" s="3">
        <f ca="1">IFERROR(__xludf.DUMMYFUNCTION("""COMPUTED_VALUE"""),43692.6666666666)</f>
        <v>43692.666666666599</v>
      </c>
      <c r="B3681" s="1">
        <f ca="1">IFERROR(__xludf.DUMMYFUNCTION("""COMPUTED_VALUE"""),88.81)</f>
        <v>88.81</v>
      </c>
    </row>
    <row r="3682" spans="1:2">
      <c r="A3682" s="3">
        <f ca="1">IFERROR(__xludf.DUMMYFUNCTION("""COMPUTED_VALUE"""),43693.6666666666)</f>
        <v>43693.666666666599</v>
      </c>
      <c r="B3682" s="1">
        <f ca="1">IFERROR(__xludf.DUMMYFUNCTION("""COMPUTED_VALUE"""),89.63)</f>
        <v>89.63</v>
      </c>
    </row>
    <row r="3683" spans="1:2">
      <c r="A3683" s="3">
        <f ca="1">IFERROR(__xludf.DUMMYFUNCTION("""COMPUTED_VALUE"""),43696.6666666666)</f>
        <v>43696.666666666599</v>
      </c>
      <c r="B3683" s="1">
        <f ca="1">IFERROR(__xludf.DUMMYFUNCTION("""COMPUTED_VALUE"""),90.81)</f>
        <v>90.81</v>
      </c>
    </row>
    <row r="3684" spans="1:2">
      <c r="A3684" s="3">
        <f ca="1">IFERROR(__xludf.DUMMYFUNCTION("""COMPUTED_VALUE"""),43697.6666666666)</f>
        <v>43697.666666666599</v>
      </c>
      <c r="B3684" s="1">
        <f ca="1">IFERROR(__xludf.DUMMYFUNCTION("""COMPUTED_VALUE"""),90.07)</f>
        <v>90.07</v>
      </c>
    </row>
    <row r="3685" spans="1:2">
      <c r="A3685" s="3">
        <f ca="1">IFERROR(__xludf.DUMMYFUNCTION("""COMPUTED_VALUE"""),43698.6666666666)</f>
        <v>43698.666666666599</v>
      </c>
      <c r="B3685" s="1">
        <f ca="1">IFERROR(__xludf.DUMMYFUNCTION("""COMPUTED_VALUE"""),91.18)</f>
        <v>91.18</v>
      </c>
    </row>
    <row r="3686" spans="1:2">
      <c r="A3686" s="3">
        <f ca="1">IFERROR(__xludf.DUMMYFUNCTION("""COMPUTED_VALUE"""),43699.6666666666)</f>
        <v>43699.666666666599</v>
      </c>
      <c r="B3686" s="1">
        <f ca="1">IFERROR(__xludf.DUMMYFUNCTION("""COMPUTED_VALUE"""),90.28)</f>
        <v>90.28</v>
      </c>
    </row>
    <row r="3687" spans="1:2">
      <c r="A3687" s="3">
        <f ca="1">IFERROR(__xludf.DUMMYFUNCTION("""COMPUTED_VALUE"""),43700.6666666666)</f>
        <v>43700.666666666599</v>
      </c>
      <c r="B3687" s="1">
        <f ca="1">IFERROR(__xludf.DUMMYFUNCTION("""COMPUTED_VALUE"""),87.48)</f>
        <v>87.48</v>
      </c>
    </row>
    <row r="3688" spans="1:2">
      <c r="A3688" s="3">
        <f ca="1">IFERROR(__xludf.DUMMYFUNCTION("""COMPUTED_VALUE"""),43703.6666666666)</f>
        <v>43703.666666666599</v>
      </c>
      <c r="B3688" s="1">
        <f ca="1">IFERROR(__xludf.DUMMYFUNCTION("""COMPUTED_VALUE"""),88.44)</f>
        <v>88.44</v>
      </c>
    </row>
    <row r="3689" spans="1:2">
      <c r="A3689" s="3">
        <f ca="1">IFERROR(__xludf.DUMMYFUNCTION("""COMPUTED_VALUE"""),43704.6666666666)</f>
        <v>43704.666666666599</v>
      </c>
      <c r="B3689" s="1">
        <f ca="1">IFERROR(__xludf.DUMMYFUNCTION("""COMPUTED_VALUE"""),88.09)</f>
        <v>88.09</v>
      </c>
    </row>
    <row r="3690" spans="1:2">
      <c r="A3690" s="3">
        <f ca="1">IFERROR(__xludf.DUMMYFUNCTION("""COMPUTED_VALUE"""),43705.6666666666)</f>
        <v>43705.666666666599</v>
      </c>
      <c r="B3690" s="1">
        <f ca="1">IFERROR(__xludf.DUMMYFUNCTION("""COMPUTED_VALUE"""),88.21)</f>
        <v>88.21</v>
      </c>
    </row>
    <row r="3691" spans="1:2">
      <c r="A3691" s="3">
        <f ca="1">IFERROR(__xludf.DUMMYFUNCTION("""COMPUTED_VALUE"""),43706.6666666666)</f>
        <v>43706.666666666599</v>
      </c>
      <c r="B3691" s="1">
        <f ca="1">IFERROR(__xludf.DUMMYFUNCTION("""COMPUTED_VALUE"""),89.32)</f>
        <v>89.32</v>
      </c>
    </row>
    <row r="3692" spans="1:2">
      <c r="A3692" s="3">
        <f ca="1">IFERROR(__xludf.DUMMYFUNCTION("""COMPUTED_VALUE"""),43707.6666666666)</f>
        <v>43707.666666666599</v>
      </c>
      <c r="B3692" s="1">
        <f ca="1">IFERROR(__xludf.DUMMYFUNCTION("""COMPUTED_VALUE"""),88.81)</f>
        <v>88.81</v>
      </c>
    </row>
    <row r="3693" spans="1:2">
      <c r="A3693" s="3">
        <f ca="1">IFERROR(__xludf.DUMMYFUNCTION("""COMPUTED_VALUE"""),43711.6666666666)</f>
        <v>43711.666666666599</v>
      </c>
      <c r="B3693" s="1">
        <f ca="1">IFERROR(__xludf.DUMMYFUNCTION("""COMPUTED_VALUE"""),89.49)</f>
        <v>89.49</v>
      </c>
    </row>
    <row r="3694" spans="1:2">
      <c r="A3694" s="3">
        <f ca="1">IFERROR(__xludf.DUMMYFUNCTION("""COMPUTED_VALUE"""),43712.6666666666)</f>
        <v>43712.666666666599</v>
      </c>
      <c r="B3694" s="1">
        <f ca="1">IFERROR(__xludf.DUMMYFUNCTION("""COMPUTED_VALUE"""),90.03)</f>
        <v>90.03</v>
      </c>
    </row>
    <row r="3695" spans="1:2">
      <c r="A3695" s="3">
        <f ca="1">IFERROR(__xludf.DUMMYFUNCTION("""COMPUTED_VALUE"""),43713.6666666666)</f>
        <v>43713.666666666599</v>
      </c>
      <c r="B3695" s="1">
        <f ca="1">IFERROR(__xludf.DUMMYFUNCTION("""COMPUTED_VALUE"""),92.04)</f>
        <v>92.04</v>
      </c>
    </row>
    <row r="3696" spans="1:2">
      <c r="A3696" s="3">
        <f ca="1">IFERROR(__xludf.DUMMYFUNCTION("""COMPUTED_VALUE"""),43714.6666666666)</f>
        <v>43714.666666666599</v>
      </c>
      <c r="B3696" s="1">
        <f ca="1">IFERROR(__xludf.DUMMYFUNCTION("""COMPUTED_VALUE"""),91.68)</f>
        <v>91.68</v>
      </c>
    </row>
    <row r="3697" spans="1:2">
      <c r="A3697" s="3">
        <f ca="1">IFERROR(__xludf.DUMMYFUNCTION("""COMPUTED_VALUE"""),43717.6666666666)</f>
        <v>43717.666666666599</v>
      </c>
      <c r="B3697" s="1">
        <f ca="1">IFERROR(__xludf.DUMMYFUNCTION("""COMPUTED_VALUE"""),91.57)</f>
        <v>91.57</v>
      </c>
    </row>
    <row r="3698" spans="1:2">
      <c r="A3698" s="3">
        <f ca="1">IFERROR(__xludf.DUMMYFUNCTION("""COMPUTED_VALUE"""),43718.6666666666)</f>
        <v>43718.666666666599</v>
      </c>
      <c r="B3698" s="1">
        <f ca="1">IFERROR(__xludf.DUMMYFUNCTION("""COMPUTED_VALUE"""),91.03)</f>
        <v>91.03</v>
      </c>
    </row>
    <row r="3699" spans="1:2">
      <c r="A3699" s="3">
        <f ca="1">IFERROR(__xludf.DUMMYFUNCTION("""COMPUTED_VALUE"""),43719.6666666666)</f>
        <v>43719.666666666599</v>
      </c>
      <c r="B3699" s="1">
        <f ca="1">IFERROR(__xludf.DUMMYFUNCTION("""COMPUTED_VALUE"""),91.15)</f>
        <v>91.15</v>
      </c>
    </row>
    <row r="3700" spans="1:2">
      <c r="A3700" s="3">
        <f ca="1">IFERROR(__xludf.DUMMYFUNCTION("""COMPUTED_VALUE"""),43720.6666666666)</f>
        <v>43720.666666666599</v>
      </c>
      <c r="B3700" s="1">
        <f ca="1">IFERROR(__xludf.DUMMYFUNCTION("""COMPUTED_VALUE"""),92.18)</f>
        <v>92.18</v>
      </c>
    </row>
    <row r="3701" spans="1:2">
      <c r="A3701" s="3">
        <f ca="1">IFERROR(__xludf.DUMMYFUNCTION("""COMPUTED_VALUE"""),43721.6666666666)</f>
        <v>43721.666666666599</v>
      </c>
      <c r="B3701" s="1">
        <f ca="1">IFERROR(__xludf.DUMMYFUNCTION("""COMPUTED_VALUE"""),91.97)</f>
        <v>91.97</v>
      </c>
    </row>
    <row r="3702" spans="1:2">
      <c r="A3702" s="3">
        <f ca="1">IFERROR(__xludf.DUMMYFUNCTION("""COMPUTED_VALUE"""),43724.6666666666)</f>
        <v>43724.666666666599</v>
      </c>
      <c r="B3702" s="1">
        <f ca="1">IFERROR(__xludf.DUMMYFUNCTION("""COMPUTED_VALUE"""),90.39)</f>
        <v>90.39</v>
      </c>
    </row>
    <row r="3703" spans="1:2">
      <c r="A3703" s="3">
        <f ca="1">IFERROR(__xludf.DUMMYFUNCTION("""COMPUTED_VALUE"""),43725.6666666666)</f>
        <v>43725.666666666599</v>
      </c>
      <c r="B3703" s="1">
        <f ca="1">IFERROR(__xludf.DUMMYFUNCTION("""COMPUTED_VALUE"""),91.13)</f>
        <v>91.13</v>
      </c>
    </row>
    <row r="3704" spans="1:2">
      <c r="A3704" s="3">
        <f ca="1">IFERROR(__xludf.DUMMYFUNCTION("""COMPUTED_VALUE"""),43726.6666666666)</f>
        <v>43726.666666666599</v>
      </c>
      <c r="B3704" s="1">
        <f ca="1">IFERROR(__xludf.DUMMYFUNCTION("""COMPUTED_VALUE"""),90.87)</f>
        <v>90.87</v>
      </c>
    </row>
    <row r="3705" spans="1:2">
      <c r="A3705" s="3">
        <f ca="1">IFERROR(__xludf.DUMMYFUNCTION("""COMPUTED_VALUE"""),43727.6666666666)</f>
        <v>43727.666666666599</v>
      </c>
      <c r="B3705" s="1">
        <f ca="1">IFERROR(__xludf.DUMMYFUNCTION("""COMPUTED_VALUE"""),91.08)</f>
        <v>91.08</v>
      </c>
    </row>
    <row r="3706" spans="1:2">
      <c r="A3706" s="3">
        <f ca="1">IFERROR(__xludf.DUMMYFUNCTION("""COMPUTED_VALUE"""),43728.6666666666)</f>
        <v>43728.666666666599</v>
      </c>
      <c r="B3706" s="1">
        <f ca="1">IFERROR(__xludf.DUMMYFUNCTION("""COMPUTED_VALUE"""),89.71)</f>
        <v>89.71</v>
      </c>
    </row>
    <row r="3707" spans="1:2">
      <c r="A3707" s="3">
        <f ca="1">IFERROR(__xludf.DUMMYFUNCTION("""COMPUTED_VALUE"""),43731.6666666666)</f>
        <v>43731.666666666599</v>
      </c>
      <c r="B3707" s="1">
        <f ca="1">IFERROR(__xludf.DUMMYFUNCTION("""COMPUTED_VALUE"""),89.27)</f>
        <v>89.27</v>
      </c>
    </row>
    <row r="3708" spans="1:2">
      <c r="A3708" s="3">
        <f ca="1">IFERROR(__xludf.DUMMYFUNCTION("""COMPUTED_VALUE"""),43732.6666666666)</f>
        <v>43732.666666666599</v>
      </c>
      <c r="B3708" s="1">
        <f ca="1">IFERROR(__xludf.DUMMYFUNCTION("""COMPUTED_VALUE"""),87.08)</f>
        <v>87.08</v>
      </c>
    </row>
    <row r="3709" spans="1:2">
      <c r="A3709" s="3">
        <f ca="1">IFERROR(__xludf.DUMMYFUNCTION("""COMPUTED_VALUE"""),43733.6666666666)</f>
        <v>43733.666666666599</v>
      </c>
      <c r="B3709" s="1">
        <f ca="1">IFERROR(__xludf.DUMMYFUNCTION("""COMPUTED_VALUE"""),88.42)</f>
        <v>88.42</v>
      </c>
    </row>
    <row r="3710" spans="1:2">
      <c r="A3710" s="3">
        <f ca="1">IFERROR(__xludf.DUMMYFUNCTION("""COMPUTED_VALUE"""),43734.6666666666)</f>
        <v>43734.666666666599</v>
      </c>
      <c r="B3710" s="1">
        <f ca="1">IFERROR(__xludf.DUMMYFUNCTION("""COMPUTED_VALUE"""),86.99)</f>
        <v>86.99</v>
      </c>
    </row>
    <row r="3711" spans="1:2">
      <c r="A3711" s="3">
        <f ca="1">IFERROR(__xludf.DUMMYFUNCTION("""COMPUTED_VALUE"""),43735.6666666666)</f>
        <v>43735.666666666599</v>
      </c>
      <c r="B3711" s="1">
        <f ca="1">IFERROR(__xludf.DUMMYFUNCTION("""COMPUTED_VALUE"""),86.27)</f>
        <v>86.27</v>
      </c>
    </row>
    <row r="3712" spans="1:2">
      <c r="A3712" s="3">
        <f ca="1">IFERROR(__xludf.DUMMYFUNCTION("""COMPUTED_VALUE"""),43738.6666666666)</f>
        <v>43738.666666666599</v>
      </c>
      <c r="B3712" s="1">
        <f ca="1">IFERROR(__xludf.DUMMYFUNCTION("""COMPUTED_VALUE"""),86.8)</f>
        <v>86.8</v>
      </c>
    </row>
    <row r="3713" spans="1:2">
      <c r="A3713" s="3">
        <f ca="1">IFERROR(__xludf.DUMMYFUNCTION("""COMPUTED_VALUE"""),43739.6666666666)</f>
        <v>43739.666666666599</v>
      </c>
      <c r="B3713" s="1">
        <f ca="1">IFERROR(__xludf.DUMMYFUNCTION("""COMPUTED_VALUE"""),86.78)</f>
        <v>86.78</v>
      </c>
    </row>
    <row r="3714" spans="1:2">
      <c r="A3714" s="3">
        <f ca="1">IFERROR(__xludf.DUMMYFUNCTION("""COMPUTED_VALUE"""),43740.6666666666)</f>
        <v>43740.666666666599</v>
      </c>
      <c r="B3714" s="1">
        <f ca="1">IFERROR(__xludf.DUMMYFUNCTION("""COMPUTED_VALUE"""),85.66)</f>
        <v>85.66</v>
      </c>
    </row>
    <row r="3715" spans="1:2">
      <c r="A3715" s="3">
        <f ca="1">IFERROR(__xludf.DUMMYFUNCTION("""COMPUTED_VALUE"""),43741.6666666666)</f>
        <v>43741.666666666599</v>
      </c>
      <c r="B3715" s="1">
        <f ca="1">IFERROR(__xludf.DUMMYFUNCTION("""COMPUTED_VALUE"""),86.22)</f>
        <v>86.22</v>
      </c>
    </row>
    <row r="3716" spans="1:2">
      <c r="A3716" s="3">
        <f ca="1">IFERROR(__xludf.DUMMYFUNCTION("""COMPUTED_VALUE"""),43742.6666666666)</f>
        <v>43742.666666666599</v>
      </c>
      <c r="B3716" s="1">
        <f ca="1">IFERROR(__xludf.DUMMYFUNCTION("""COMPUTED_VALUE"""),86.98)</f>
        <v>86.98</v>
      </c>
    </row>
    <row r="3717" spans="1:2">
      <c r="A3717" s="3">
        <f ca="1">IFERROR(__xludf.DUMMYFUNCTION("""COMPUTED_VALUE"""),43745.6666666666)</f>
        <v>43745.666666666599</v>
      </c>
      <c r="B3717" s="1">
        <f ca="1">IFERROR(__xludf.DUMMYFUNCTION("""COMPUTED_VALUE"""),86.63)</f>
        <v>86.63</v>
      </c>
    </row>
    <row r="3718" spans="1:2">
      <c r="A3718" s="3">
        <f ca="1">IFERROR(__xludf.DUMMYFUNCTION("""COMPUTED_VALUE"""),43746.6666666666)</f>
        <v>43746.666666666599</v>
      </c>
      <c r="B3718" s="1">
        <f ca="1">IFERROR(__xludf.DUMMYFUNCTION("""COMPUTED_VALUE"""),85.28)</f>
        <v>85.28</v>
      </c>
    </row>
    <row r="3719" spans="1:2">
      <c r="A3719" s="3">
        <f ca="1">IFERROR(__xludf.DUMMYFUNCTION("""COMPUTED_VALUE"""),43747.6666666666)</f>
        <v>43747.666666666599</v>
      </c>
      <c r="B3719" s="1">
        <f ca="1">IFERROR(__xludf.DUMMYFUNCTION("""COMPUTED_VALUE"""),86.1)</f>
        <v>86.1</v>
      </c>
    </row>
    <row r="3720" spans="1:2">
      <c r="A3720" s="3">
        <f ca="1">IFERROR(__xludf.DUMMYFUNCTION("""COMPUTED_VALUE"""),43748.6666666666)</f>
        <v>43748.666666666599</v>
      </c>
      <c r="B3720" s="1">
        <f ca="1">IFERROR(__xludf.DUMMYFUNCTION("""COMPUTED_VALUE"""),86.01)</f>
        <v>86.01</v>
      </c>
    </row>
    <row r="3721" spans="1:2">
      <c r="A3721" s="3">
        <f ca="1">IFERROR(__xludf.DUMMYFUNCTION("""COMPUTED_VALUE"""),43749.6666666666)</f>
        <v>43749.666666666599</v>
      </c>
      <c r="B3721" s="1">
        <f ca="1">IFERROR(__xludf.DUMMYFUNCTION("""COMPUTED_VALUE"""),86.6)</f>
        <v>86.6</v>
      </c>
    </row>
    <row r="3722" spans="1:2">
      <c r="A3722" s="3">
        <f ca="1">IFERROR(__xludf.DUMMYFUNCTION("""COMPUTED_VALUE"""),43752.6666666666)</f>
        <v>43752.666666666599</v>
      </c>
      <c r="B3722" s="1">
        <f ca="1">IFERROR(__xludf.DUMMYFUNCTION("""COMPUTED_VALUE"""),86.82)</f>
        <v>86.82</v>
      </c>
    </row>
    <row r="3723" spans="1:2">
      <c r="A3723" s="3">
        <f ca="1">IFERROR(__xludf.DUMMYFUNCTION("""COMPUTED_VALUE"""),43753.6666666666)</f>
        <v>43753.666666666599</v>
      </c>
      <c r="B3723" s="1">
        <f ca="1">IFERROR(__xludf.DUMMYFUNCTION("""COMPUTED_VALUE"""),88.37)</f>
        <v>88.37</v>
      </c>
    </row>
    <row r="3724" spans="1:2">
      <c r="A3724" s="3">
        <f ca="1">IFERROR(__xludf.DUMMYFUNCTION("""COMPUTED_VALUE"""),43754.6666666666)</f>
        <v>43754.666666666599</v>
      </c>
      <c r="B3724" s="1">
        <f ca="1">IFERROR(__xludf.DUMMYFUNCTION("""COMPUTED_VALUE"""),88.87)</f>
        <v>88.87</v>
      </c>
    </row>
    <row r="3725" spans="1:2">
      <c r="A3725" s="3">
        <f ca="1">IFERROR(__xludf.DUMMYFUNCTION("""COMPUTED_VALUE"""),43755.6666666666)</f>
        <v>43755.666666666599</v>
      </c>
      <c r="B3725" s="1">
        <f ca="1">IFERROR(__xludf.DUMMYFUNCTION("""COMPUTED_VALUE"""),89.37)</f>
        <v>89.37</v>
      </c>
    </row>
    <row r="3726" spans="1:2">
      <c r="A3726" s="3">
        <f ca="1">IFERROR(__xludf.DUMMYFUNCTION("""COMPUTED_VALUE"""),43756.6666666666)</f>
        <v>43756.666666666599</v>
      </c>
      <c r="B3726" s="1">
        <f ca="1">IFERROR(__xludf.DUMMYFUNCTION("""COMPUTED_VALUE"""),87.88)</f>
        <v>87.88</v>
      </c>
    </row>
    <row r="3727" spans="1:2">
      <c r="A3727" s="3">
        <f ca="1">IFERROR(__xludf.DUMMYFUNCTION("""COMPUTED_VALUE"""),43759.6666666666)</f>
        <v>43759.666666666599</v>
      </c>
      <c r="B3727" s="1">
        <f ca="1">IFERROR(__xludf.DUMMYFUNCTION("""COMPUTED_VALUE"""),89.28)</f>
        <v>89.28</v>
      </c>
    </row>
    <row r="3728" spans="1:2">
      <c r="A3728" s="3">
        <f ca="1">IFERROR(__xludf.DUMMYFUNCTION("""COMPUTED_VALUE"""),43760.6666666666)</f>
        <v>43760.666666666599</v>
      </c>
      <c r="B3728" s="1">
        <f ca="1">IFERROR(__xludf.DUMMYFUNCTION("""COMPUTED_VALUE"""),88.29)</f>
        <v>88.29</v>
      </c>
    </row>
    <row r="3729" spans="1:2">
      <c r="A3729" s="3">
        <f ca="1">IFERROR(__xludf.DUMMYFUNCTION("""COMPUTED_VALUE"""),43761.6666666666)</f>
        <v>43761.666666666599</v>
      </c>
      <c r="B3729" s="1">
        <f ca="1">IFERROR(__xludf.DUMMYFUNCTION("""COMPUTED_VALUE"""),88.11)</f>
        <v>88.11</v>
      </c>
    </row>
    <row r="3730" spans="1:2">
      <c r="A3730" s="3">
        <f ca="1">IFERROR(__xludf.DUMMYFUNCTION("""COMPUTED_VALUE"""),43762.6666666666)</f>
        <v>43762.666666666599</v>
      </c>
      <c r="B3730" s="1">
        <f ca="1">IFERROR(__xludf.DUMMYFUNCTION("""COMPUTED_VALUE"""),89.04)</f>
        <v>89.04</v>
      </c>
    </row>
    <row r="3731" spans="1:2">
      <c r="A3731" s="3">
        <f ca="1">IFERROR(__xludf.DUMMYFUNCTION("""COMPUTED_VALUE"""),43763.6666666666)</f>
        <v>43763.666666666599</v>
      </c>
      <c r="B3731" s="1">
        <f ca="1">IFERROR(__xludf.DUMMYFUNCTION("""COMPUTED_VALUE"""),88.07)</f>
        <v>88.07</v>
      </c>
    </row>
    <row r="3732" spans="1:2">
      <c r="A3732" s="3">
        <f ca="1">IFERROR(__xludf.DUMMYFUNCTION("""COMPUTED_VALUE"""),43766.6666666666)</f>
        <v>43766.666666666599</v>
      </c>
      <c r="B3732" s="1">
        <f ca="1">IFERROR(__xludf.DUMMYFUNCTION("""COMPUTED_VALUE"""),88.85)</f>
        <v>88.85</v>
      </c>
    </row>
    <row r="3733" spans="1:2">
      <c r="A3733" s="3">
        <f ca="1">IFERROR(__xludf.DUMMYFUNCTION("""COMPUTED_VALUE"""),43767.6666666666)</f>
        <v>43767.666666666599</v>
      </c>
      <c r="B3733" s="1">
        <f ca="1">IFERROR(__xludf.DUMMYFUNCTION("""COMPUTED_VALUE"""),88.14)</f>
        <v>88.14</v>
      </c>
    </row>
    <row r="3734" spans="1:2">
      <c r="A3734" s="3">
        <f ca="1">IFERROR(__xludf.DUMMYFUNCTION("""COMPUTED_VALUE"""),43768.6666666666)</f>
        <v>43768.666666666599</v>
      </c>
      <c r="B3734" s="1">
        <f ca="1">IFERROR(__xludf.DUMMYFUNCTION("""COMPUTED_VALUE"""),89)</f>
        <v>89</v>
      </c>
    </row>
    <row r="3735" spans="1:2">
      <c r="A3735" s="3">
        <f ca="1">IFERROR(__xludf.DUMMYFUNCTION("""COMPUTED_VALUE"""),43769.6666666666)</f>
        <v>43769.666666666599</v>
      </c>
      <c r="B3735" s="1">
        <f ca="1">IFERROR(__xludf.DUMMYFUNCTION("""COMPUTED_VALUE"""),88.83)</f>
        <v>88.83</v>
      </c>
    </row>
    <row r="3736" spans="1:2">
      <c r="A3736" s="3">
        <f ca="1">IFERROR(__xludf.DUMMYFUNCTION("""COMPUTED_VALUE"""),43770.6666666666)</f>
        <v>43770.666666666599</v>
      </c>
      <c r="B3736" s="1">
        <f ca="1">IFERROR(__xludf.DUMMYFUNCTION("""COMPUTED_VALUE"""),89.57)</f>
        <v>89.57</v>
      </c>
    </row>
    <row r="3737" spans="1:2">
      <c r="A3737" s="3">
        <f ca="1">IFERROR(__xludf.DUMMYFUNCTION("""COMPUTED_VALUE"""),43773.6666666666)</f>
        <v>43773.666666666599</v>
      </c>
      <c r="B3737" s="1">
        <f ca="1">IFERROR(__xludf.DUMMYFUNCTION("""COMPUTED_VALUE"""),90.23)</f>
        <v>90.23</v>
      </c>
    </row>
    <row r="3738" spans="1:2">
      <c r="A3738" s="3">
        <f ca="1">IFERROR(__xludf.DUMMYFUNCTION("""COMPUTED_VALUE"""),43774.6666666666)</f>
        <v>43774.666666666599</v>
      </c>
      <c r="B3738" s="1">
        <f ca="1">IFERROR(__xludf.DUMMYFUNCTION("""COMPUTED_VALUE"""),90.09)</f>
        <v>90.09</v>
      </c>
    </row>
    <row r="3739" spans="1:2">
      <c r="A3739" s="3">
        <f ca="1">IFERROR(__xludf.DUMMYFUNCTION("""COMPUTED_VALUE"""),43775.6666666666)</f>
        <v>43775.666666666599</v>
      </c>
      <c r="B3739" s="1">
        <f ca="1">IFERROR(__xludf.DUMMYFUNCTION("""COMPUTED_VALUE"""),89.79)</f>
        <v>89.79</v>
      </c>
    </row>
    <row r="3740" spans="1:2">
      <c r="A3740" s="3">
        <f ca="1">IFERROR(__xludf.DUMMYFUNCTION("""COMPUTED_VALUE"""),43776.6666666666)</f>
        <v>43776.666666666599</v>
      </c>
      <c r="B3740" s="1">
        <f ca="1">IFERROR(__xludf.DUMMYFUNCTION("""COMPUTED_VALUE"""),89.41)</f>
        <v>89.41</v>
      </c>
    </row>
    <row r="3741" spans="1:2">
      <c r="A3741" s="3">
        <f ca="1">IFERROR(__xludf.DUMMYFUNCTION("""COMPUTED_VALUE"""),43777.6666666666)</f>
        <v>43777.666666666599</v>
      </c>
      <c r="B3741" s="1">
        <f ca="1">IFERROR(__xludf.DUMMYFUNCTION("""COMPUTED_VALUE"""),89.29)</f>
        <v>89.29</v>
      </c>
    </row>
    <row r="3742" spans="1:2">
      <c r="A3742" s="3">
        <f ca="1">IFERROR(__xludf.DUMMYFUNCTION("""COMPUTED_VALUE"""),43780.6666666666)</f>
        <v>43780.666666666599</v>
      </c>
      <c r="B3742" s="1">
        <f ca="1">IFERROR(__xludf.DUMMYFUNCTION("""COMPUTED_VALUE"""),88.58)</f>
        <v>88.58</v>
      </c>
    </row>
    <row r="3743" spans="1:2">
      <c r="A3743" s="3">
        <f ca="1">IFERROR(__xludf.DUMMYFUNCTION("""COMPUTED_VALUE"""),43781.6666666666)</f>
        <v>43781.666666666599</v>
      </c>
      <c r="B3743" s="1">
        <f ca="1">IFERROR(__xludf.DUMMYFUNCTION("""COMPUTED_VALUE"""),88.9)</f>
        <v>88.9</v>
      </c>
    </row>
    <row r="3744" spans="1:2">
      <c r="A3744" s="3">
        <f ca="1">IFERROR(__xludf.DUMMYFUNCTION("""COMPUTED_VALUE"""),43782.6666666666)</f>
        <v>43782.666666666599</v>
      </c>
      <c r="B3744" s="1">
        <f ca="1">IFERROR(__xludf.DUMMYFUNCTION("""COMPUTED_VALUE"""),87.66)</f>
        <v>87.66</v>
      </c>
    </row>
    <row r="3745" spans="1:2">
      <c r="A3745" s="3">
        <f ca="1">IFERROR(__xludf.DUMMYFUNCTION("""COMPUTED_VALUE"""),43783.6666666666)</f>
        <v>43783.666666666599</v>
      </c>
      <c r="B3745" s="1">
        <f ca="1">IFERROR(__xludf.DUMMYFUNCTION("""COMPUTED_VALUE"""),87.73)</f>
        <v>87.73</v>
      </c>
    </row>
    <row r="3746" spans="1:2">
      <c r="A3746" s="3">
        <f ca="1">IFERROR(__xludf.DUMMYFUNCTION("""COMPUTED_VALUE"""),43784.6666666666)</f>
        <v>43784.666666666599</v>
      </c>
      <c r="B3746" s="1">
        <f ca="1">IFERROR(__xludf.DUMMYFUNCTION("""COMPUTED_VALUE"""),86.97)</f>
        <v>86.97</v>
      </c>
    </row>
    <row r="3747" spans="1:2">
      <c r="A3747" s="3">
        <f ca="1">IFERROR(__xludf.DUMMYFUNCTION("""COMPUTED_VALUE"""),43787.6666666666)</f>
        <v>43787.666666666599</v>
      </c>
      <c r="B3747" s="1">
        <f ca="1">IFERROR(__xludf.DUMMYFUNCTION("""COMPUTED_VALUE"""),87.63)</f>
        <v>87.63</v>
      </c>
    </row>
    <row r="3748" spans="1:2">
      <c r="A3748" s="3">
        <f ca="1">IFERROR(__xludf.DUMMYFUNCTION("""COMPUTED_VALUE"""),43788.6666666666)</f>
        <v>43788.666666666599</v>
      </c>
      <c r="B3748" s="1">
        <f ca="1">IFERROR(__xludf.DUMMYFUNCTION("""COMPUTED_VALUE"""),87.64)</f>
        <v>87.64</v>
      </c>
    </row>
    <row r="3749" spans="1:2">
      <c r="A3749" s="3">
        <f ca="1">IFERROR(__xludf.DUMMYFUNCTION("""COMPUTED_VALUE"""),43789.6666666666)</f>
        <v>43789.666666666599</v>
      </c>
      <c r="B3749" s="1">
        <f ca="1">IFERROR(__xludf.DUMMYFUNCTION("""COMPUTED_VALUE"""),87.28)</f>
        <v>87.28</v>
      </c>
    </row>
    <row r="3750" spans="1:2">
      <c r="A3750" s="3">
        <f ca="1">IFERROR(__xludf.DUMMYFUNCTION("""COMPUTED_VALUE"""),43790.6666666666)</f>
        <v>43790.666666666599</v>
      </c>
      <c r="B3750" s="1">
        <f ca="1">IFERROR(__xludf.DUMMYFUNCTION("""COMPUTED_VALUE"""),86.74)</f>
        <v>86.74</v>
      </c>
    </row>
    <row r="3751" spans="1:2">
      <c r="A3751" s="3">
        <f ca="1">IFERROR(__xludf.DUMMYFUNCTION("""COMPUTED_VALUE"""),43791.6666666666)</f>
        <v>43791.666666666599</v>
      </c>
      <c r="B3751" s="1">
        <f ca="1">IFERROR(__xludf.DUMMYFUNCTION("""COMPUTED_VALUE"""),87.29)</f>
        <v>87.29</v>
      </c>
    </row>
    <row r="3752" spans="1:2">
      <c r="A3752" s="3">
        <f ca="1">IFERROR(__xludf.DUMMYFUNCTION("""COMPUTED_VALUE"""),43794.6666666666)</f>
        <v>43794.666666666599</v>
      </c>
      <c r="B3752" s="1">
        <f ca="1">IFERROR(__xludf.DUMMYFUNCTION("""COMPUTED_VALUE"""),88.69)</f>
        <v>88.69</v>
      </c>
    </row>
    <row r="3753" spans="1:2">
      <c r="A3753" s="3">
        <f ca="1">IFERROR(__xludf.DUMMYFUNCTION("""COMPUTED_VALUE"""),43795.6666666666)</f>
        <v>43795.666666666599</v>
      </c>
      <c r="B3753" s="1">
        <f ca="1">IFERROR(__xludf.DUMMYFUNCTION("""COMPUTED_VALUE"""),89.85)</f>
        <v>89.85</v>
      </c>
    </row>
    <row r="3754" spans="1:2">
      <c r="A3754" s="3">
        <f ca="1">IFERROR(__xludf.DUMMYFUNCTION("""COMPUTED_VALUE"""),43796.6666666666)</f>
        <v>43796.666666666599</v>
      </c>
      <c r="B3754" s="1">
        <f ca="1">IFERROR(__xludf.DUMMYFUNCTION("""COMPUTED_VALUE"""),90.93)</f>
        <v>90.93</v>
      </c>
    </row>
    <row r="3755" spans="1:2">
      <c r="A3755" s="3">
        <f ca="1">IFERROR(__xludf.DUMMYFUNCTION("""COMPUTED_VALUE"""),43798.5416666666)</f>
        <v>43798.541666666599</v>
      </c>
      <c r="B3755" s="1">
        <f ca="1">IFERROR(__xludf.DUMMYFUNCTION("""COMPUTED_VALUE"""),90.04)</f>
        <v>90.04</v>
      </c>
    </row>
    <row r="3756" spans="1:2">
      <c r="A3756" s="3">
        <f ca="1">IFERROR(__xludf.DUMMYFUNCTION("""COMPUTED_VALUE"""),43801.6666666666)</f>
        <v>43801.666666666599</v>
      </c>
      <c r="B3756" s="1">
        <f ca="1">IFERROR(__xludf.DUMMYFUNCTION("""COMPUTED_VALUE"""),89.08)</f>
        <v>89.08</v>
      </c>
    </row>
    <row r="3757" spans="1:2">
      <c r="A3757" s="3">
        <f ca="1">IFERROR(__xludf.DUMMYFUNCTION("""COMPUTED_VALUE"""),43802.6666666666)</f>
        <v>43802.666666666599</v>
      </c>
      <c r="B3757" s="1">
        <f ca="1">IFERROR(__xludf.DUMMYFUNCTION("""COMPUTED_VALUE"""),88.5)</f>
        <v>88.5</v>
      </c>
    </row>
    <row r="3758" spans="1:2">
      <c r="A3758" s="3">
        <f ca="1">IFERROR(__xludf.DUMMYFUNCTION("""COMPUTED_VALUE"""),43803.6666666666)</f>
        <v>43803.666666666599</v>
      </c>
      <c r="B3758" s="1">
        <f ca="1">IFERROR(__xludf.DUMMYFUNCTION("""COMPUTED_VALUE"""),88.03)</f>
        <v>88.03</v>
      </c>
    </row>
    <row r="3759" spans="1:2">
      <c r="A3759" s="3">
        <f ca="1">IFERROR(__xludf.DUMMYFUNCTION("""COMPUTED_VALUE"""),43804.6666666666)</f>
        <v>43804.666666666599</v>
      </c>
      <c r="B3759" s="1">
        <f ca="1">IFERROR(__xludf.DUMMYFUNCTION("""COMPUTED_VALUE"""),87.02)</f>
        <v>87.02</v>
      </c>
    </row>
    <row r="3760" spans="1:2">
      <c r="A3760" s="3">
        <f ca="1">IFERROR(__xludf.DUMMYFUNCTION("""COMPUTED_VALUE"""),43805.6666666666)</f>
        <v>43805.666666666599</v>
      </c>
      <c r="B3760" s="1">
        <f ca="1">IFERROR(__xludf.DUMMYFUNCTION("""COMPUTED_VALUE"""),87.58)</f>
        <v>87.58</v>
      </c>
    </row>
    <row r="3761" spans="1:2">
      <c r="A3761" s="3">
        <f ca="1">IFERROR(__xludf.DUMMYFUNCTION("""COMPUTED_VALUE"""),43808.6666666666)</f>
        <v>43808.666666666599</v>
      </c>
      <c r="B3761" s="1">
        <f ca="1">IFERROR(__xludf.DUMMYFUNCTION("""COMPUTED_VALUE"""),87.48)</f>
        <v>87.48</v>
      </c>
    </row>
    <row r="3762" spans="1:2">
      <c r="A3762" s="3">
        <f ca="1">IFERROR(__xludf.DUMMYFUNCTION("""COMPUTED_VALUE"""),43809.6666666666)</f>
        <v>43809.666666666599</v>
      </c>
      <c r="B3762" s="1">
        <f ca="1">IFERROR(__xludf.DUMMYFUNCTION("""COMPUTED_VALUE"""),86.96)</f>
        <v>86.96</v>
      </c>
    </row>
    <row r="3763" spans="1:2">
      <c r="A3763" s="3">
        <f ca="1">IFERROR(__xludf.DUMMYFUNCTION("""COMPUTED_VALUE"""),43810.6666666666)</f>
        <v>43810.666666666599</v>
      </c>
      <c r="B3763" s="1">
        <f ca="1">IFERROR(__xludf.DUMMYFUNCTION("""COMPUTED_VALUE"""),87.44)</f>
        <v>87.44</v>
      </c>
    </row>
    <row r="3764" spans="1:2">
      <c r="A3764" s="3">
        <f ca="1">IFERROR(__xludf.DUMMYFUNCTION("""COMPUTED_VALUE"""),43811.6666666666)</f>
        <v>43811.666666666599</v>
      </c>
      <c r="B3764" s="1">
        <f ca="1">IFERROR(__xludf.DUMMYFUNCTION("""COMPUTED_VALUE"""),88.02)</f>
        <v>88.02</v>
      </c>
    </row>
    <row r="3765" spans="1:2">
      <c r="A3765" s="3">
        <f ca="1">IFERROR(__xludf.DUMMYFUNCTION("""COMPUTED_VALUE"""),43812.6666666666)</f>
        <v>43812.666666666599</v>
      </c>
      <c r="B3765" s="1">
        <f ca="1">IFERROR(__xludf.DUMMYFUNCTION("""COMPUTED_VALUE"""),88.05)</f>
        <v>88.05</v>
      </c>
    </row>
    <row r="3766" spans="1:2">
      <c r="A3766" s="3">
        <f ca="1">IFERROR(__xludf.DUMMYFUNCTION("""COMPUTED_VALUE"""),43815.6666666666)</f>
        <v>43815.666666666599</v>
      </c>
      <c r="B3766" s="1">
        <f ca="1">IFERROR(__xludf.DUMMYFUNCTION("""COMPUTED_VALUE"""),88.46)</f>
        <v>88.46</v>
      </c>
    </row>
    <row r="3767" spans="1:2">
      <c r="A3767" s="3">
        <f ca="1">IFERROR(__xludf.DUMMYFUNCTION("""COMPUTED_VALUE"""),43816.6666666666)</f>
        <v>43816.666666666599</v>
      </c>
      <c r="B3767" s="1">
        <f ca="1">IFERROR(__xludf.DUMMYFUNCTION("""COMPUTED_VALUE"""),89.53)</f>
        <v>89.53</v>
      </c>
    </row>
    <row r="3768" spans="1:2">
      <c r="A3768" s="3">
        <f ca="1">IFERROR(__xludf.DUMMYFUNCTION("""COMPUTED_VALUE"""),43817.6666666666)</f>
        <v>43817.666666666599</v>
      </c>
      <c r="B3768" s="1">
        <f ca="1">IFERROR(__xludf.DUMMYFUNCTION("""COMPUTED_VALUE"""),89.2)</f>
        <v>89.2</v>
      </c>
    </row>
    <row r="3769" spans="1:2">
      <c r="A3769" s="3">
        <f ca="1">IFERROR(__xludf.DUMMYFUNCTION("""COMPUTED_VALUE"""),43818.6666666666)</f>
        <v>43818.666666666599</v>
      </c>
      <c r="B3769" s="1">
        <f ca="1">IFERROR(__xludf.DUMMYFUNCTION("""COMPUTED_VALUE"""),89.61)</f>
        <v>89.61</v>
      </c>
    </row>
    <row r="3770" spans="1:2">
      <c r="A3770" s="3">
        <f ca="1">IFERROR(__xludf.DUMMYFUNCTION("""COMPUTED_VALUE"""),43819.6666666666)</f>
        <v>43819.666666666599</v>
      </c>
      <c r="B3770" s="1">
        <f ca="1">IFERROR(__xludf.DUMMYFUNCTION("""COMPUTED_VALUE"""),89.33)</f>
        <v>89.33</v>
      </c>
    </row>
    <row r="3771" spans="1:2">
      <c r="A3771" s="3">
        <f ca="1">IFERROR(__xludf.DUMMYFUNCTION("""COMPUTED_VALUE"""),43822.6666666666)</f>
        <v>43822.666666666599</v>
      </c>
      <c r="B3771" s="1">
        <f ca="1">IFERROR(__xludf.DUMMYFUNCTION("""COMPUTED_VALUE"""),89.65)</f>
        <v>89.65</v>
      </c>
    </row>
    <row r="3772" spans="1:2">
      <c r="A3772" s="3">
        <f ca="1">IFERROR(__xludf.DUMMYFUNCTION("""COMPUTED_VALUE"""),43823.5416666666)</f>
        <v>43823.541666666599</v>
      </c>
      <c r="B3772" s="1">
        <f ca="1">IFERROR(__xludf.DUMMYFUNCTION("""COMPUTED_VALUE"""),89.46)</f>
        <v>89.46</v>
      </c>
    </row>
    <row r="3773" spans="1:2">
      <c r="A3773" s="3">
        <f ca="1">IFERROR(__xludf.DUMMYFUNCTION("""COMPUTED_VALUE"""),43825.6666666666)</f>
        <v>43825.666666666599</v>
      </c>
      <c r="B3773" s="1">
        <f ca="1">IFERROR(__xludf.DUMMYFUNCTION("""COMPUTED_VALUE"""),93.44)</f>
        <v>93.44</v>
      </c>
    </row>
    <row r="3774" spans="1:2">
      <c r="A3774" s="3">
        <f ca="1">IFERROR(__xludf.DUMMYFUNCTION("""COMPUTED_VALUE"""),43826.6666666666)</f>
        <v>43826.666666666599</v>
      </c>
      <c r="B3774" s="1">
        <f ca="1">IFERROR(__xludf.DUMMYFUNCTION("""COMPUTED_VALUE"""),93.49)</f>
        <v>93.49</v>
      </c>
    </row>
    <row r="3775" spans="1:2">
      <c r="A3775" s="3">
        <f ca="1">IFERROR(__xludf.DUMMYFUNCTION("""COMPUTED_VALUE"""),43829.6666666666)</f>
        <v>43829.666666666599</v>
      </c>
      <c r="B3775" s="1">
        <f ca="1">IFERROR(__xludf.DUMMYFUNCTION("""COMPUTED_VALUE"""),92.34)</f>
        <v>92.34</v>
      </c>
    </row>
    <row r="3776" spans="1:2">
      <c r="A3776" s="3">
        <f ca="1">IFERROR(__xludf.DUMMYFUNCTION("""COMPUTED_VALUE"""),43830.6666666666)</f>
        <v>43830.666666666599</v>
      </c>
      <c r="B3776" s="1">
        <f ca="1">IFERROR(__xludf.DUMMYFUNCTION("""COMPUTED_VALUE"""),92.39)</f>
        <v>92.39</v>
      </c>
    </row>
    <row r="3777" spans="1:2">
      <c r="A3777" s="3">
        <f ca="1">IFERROR(__xludf.DUMMYFUNCTION("""COMPUTED_VALUE"""),43832.6666666666)</f>
        <v>43832.666666666599</v>
      </c>
      <c r="B3777" s="1">
        <f ca="1">IFERROR(__xludf.DUMMYFUNCTION("""COMPUTED_VALUE"""),94.9)</f>
        <v>94.9</v>
      </c>
    </row>
    <row r="3778" spans="1:2">
      <c r="A3778" s="3">
        <f ca="1">IFERROR(__xludf.DUMMYFUNCTION("""COMPUTED_VALUE"""),43833.6666666666)</f>
        <v>43833.666666666599</v>
      </c>
      <c r="B3778" s="1">
        <f ca="1">IFERROR(__xludf.DUMMYFUNCTION("""COMPUTED_VALUE"""),93.75)</f>
        <v>93.75</v>
      </c>
    </row>
    <row r="3779" spans="1:2">
      <c r="A3779" s="3">
        <f ca="1">IFERROR(__xludf.DUMMYFUNCTION("""COMPUTED_VALUE"""),43836.6666666666)</f>
        <v>43836.666666666599</v>
      </c>
      <c r="B3779" s="1">
        <f ca="1">IFERROR(__xludf.DUMMYFUNCTION("""COMPUTED_VALUE"""),95.14)</f>
        <v>95.14</v>
      </c>
    </row>
    <row r="3780" spans="1:2">
      <c r="A3780" s="3">
        <f ca="1">IFERROR(__xludf.DUMMYFUNCTION("""COMPUTED_VALUE"""),43837.6666666666)</f>
        <v>43837.666666666599</v>
      </c>
      <c r="B3780" s="1">
        <f ca="1">IFERROR(__xludf.DUMMYFUNCTION("""COMPUTED_VALUE"""),95.34)</f>
        <v>95.34</v>
      </c>
    </row>
    <row r="3781" spans="1:2">
      <c r="A3781" s="3">
        <f ca="1">IFERROR(__xludf.DUMMYFUNCTION("""COMPUTED_VALUE"""),43838.6666666666)</f>
        <v>43838.666666666599</v>
      </c>
      <c r="B3781" s="1">
        <f ca="1">IFERROR(__xludf.DUMMYFUNCTION("""COMPUTED_VALUE"""),94.6)</f>
        <v>94.6</v>
      </c>
    </row>
    <row r="3782" spans="1:2">
      <c r="A3782" s="3">
        <f ca="1">IFERROR(__xludf.DUMMYFUNCTION("""COMPUTED_VALUE"""),43839.6666666666)</f>
        <v>43839.666666666599</v>
      </c>
      <c r="B3782" s="1">
        <f ca="1">IFERROR(__xludf.DUMMYFUNCTION("""COMPUTED_VALUE"""),95.05)</f>
        <v>95.05</v>
      </c>
    </row>
    <row r="3783" spans="1:2">
      <c r="A3783" s="3">
        <f ca="1">IFERROR(__xludf.DUMMYFUNCTION("""COMPUTED_VALUE"""),43840.6666666666)</f>
        <v>43840.666666666599</v>
      </c>
      <c r="B3783" s="1">
        <f ca="1">IFERROR(__xludf.DUMMYFUNCTION("""COMPUTED_VALUE"""),94.16)</f>
        <v>94.16</v>
      </c>
    </row>
    <row r="3784" spans="1:2">
      <c r="A3784" s="3">
        <f ca="1">IFERROR(__xludf.DUMMYFUNCTION("""COMPUTED_VALUE"""),43843.6666666666)</f>
        <v>43843.666666666599</v>
      </c>
      <c r="B3784" s="1">
        <f ca="1">IFERROR(__xludf.DUMMYFUNCTION("""COMPUTED_VALUE"""),94.57)</f>
        <v>94.57</v>
      </c>
    </row>
    <row r="3785" spans="1:2">
      <c r="A3785" s="3">
        <f ca="1">IFERROR(__xludf.DUMMYFUNCTION("""COMPUTED_VALUE"""),43844.6666666666)</f>
        <v>43844.666666666599</v>
      </c>
      <c r="B3785" s="1">
        <f ca="1">IFERROR(__xludf.DUMMYFUNCTION("""COMPUTED_VALUE"""),93.47)</f>
        <v>93.47</v>
      </c>
    </row>
    <row r="3786" spans="1:2">
      <c r="A3786" s="3">
        <f ca="1">IFERROR(__xludf.DUMMYFUNCTION("""COMPUTED_VALUE"""),43845.6666666666)</f>
        <v>43845.666666666599</v>
      </c>
      <c r="B3786" s="1">
        <f ca="1">IFERROR(__xludf.DUMMYFUNCTION("""COMPUTED_VALUE"""),93.1)</f>
        <v>93.1</v>
      </c>
    </row>
    <row r="3787" spans="1:2">
      <c r="A3787" s="3">
        <f ca="1">IFERROR(__xludf.DUMMYFUNCTION("""COMPUTED_VALUE"""),43846.6666666666)</f>
        <v>43846.666666666599</v>
      </c>
      <c r="B3787" s="1">
        <f ca="1">IFERROR(__xludf.DUMMYFUNCTION("""COMPUTED_VALUE"""),93.9)</f>
        <v>93.9</v>
      </c>
    </row>
    <row r="3788" spans="1:2">
      <c r="A3788" s="3">
        <f ca="1">IFERROR(__xludf.DUMMYFUNCTION("""COMPUTED_VALUE"""),43847.6666666666)</f>
        <v>43847.666666666599</v>
      </c>
      <c r="B3788" s="1">
        <f ca="1">IFERROR(__xludf.DUMMYFUNCTION("""COMPUTED_VALUE"""),93.24)</f>
        <v>93.24</v>
      </c>
    </row>
    <row r="3789" spans="1:2">
      <c r="A3789" s="3">
        <f ca="1">IFERROR(__xludf.DUMMYFUNCTION("""COMPUTED_VALUE"""),43851.6666666666)</f>
        <v>43851.666666666599</v>
      </c>
      <c r="B3789" s="1">
        <f ca="1">IFERROR(__xludf.DUMMYFUNCTION("""COMPUTED_VALUE"""),94.6)</f>
        <v>94.6</v>
      </c>
    </row>
    <row r="3790" spans="1:2">
      <c r="A3790" s="3">
        <f ca="1">IFERROR(__xludf.DUMMYFUNCTION("""COMPUTED_VALUE"""),43852.6666666666)</f>
        <v>43852.666666666599</v>
      </c>
      <c r="B3790" s="1">
        <f ca="1">IFERROR(__xludf.DUMMYFUNCTION("""COMPUTED_VALUE"""),94.37)</f>
        <v>94.37</v>
      </c>
    </row>
    <row r="3791" spans="1:2">
      <c r="A3791" s="3">
        <f ca="1">IFERROR(__xludf.DUMMYFUNCTION("""COMPUTED_VALUE"""),43853.6666666666)</f>
        <v>43853.666666666599</v>
      </c>
      <c r="B3791" s="1">
        <f ca="1">IFERROR(__xludf.DUMMYFUNCTION("""COMPUTED_VALUE"""),94.23)</f>
        <v>94.23</v>
      </c>
    </row>
    <row r="3792" spans="1:2">
      <c r="A3792" s="3">
        <f ca="1">IFERROR(__xludf.DUMMYFUNCTION("""COMPUTED_VALUE"""),43854.6666666666)</f>
        <v>43854.666666666599</v>
      </c>
      <c r="B3792" s="1">
        <f ca="1">IFERROR(__xludf.DUMMYFUNCTION("""COMPUTED_VALUE"""),93.08)</f>
        <v>93.08</v>
      </c>
    </row>
    <row r="3793" spans="1:2">
      <c r="A3793" s="3">
        <f ca="1">IFERROR(__xludf.DUMMYFUNCTION("""COMPUTED_VALUE"""),43857.6666666666)</f>
        <v>43857.666666666599</v>
      </c>
      <c r="B3793" s="1">
        <f ca="1">IFERROR(__xludf.DUMMYFUNCTION("""COMPUTED_VALUE"""),91.42)</f>
        <v>91.42</v>
      </c>
    </row>
    <row r="3794" spans="1:2">
      <c r="A3794" s="3">
        <f ca="1">IFERROR(__xludf.DUMMYFUNCTION("""COMPUTED_VALUE"""),43858.6666666666)</f>
        <v>43858.666666666599</v>
      </c>
      <c r="B3794" s="1">
        <f ca="1">IFERROR(__xludf.DUMMYFUNCTION("""COMPUTED_VALUE"""),92.66)</f>
        <v>92.66</v>
      </c>
    </row>
    <row r="3795" spans="1:2">
      <c r="A3795" s="3">
        <f ca="1">IFERROR(__xludf.DUMMYFUNCTION("""COMPUTED_VALUE"""),43859.6666666666)</f>
        <v>43859.666666666599</v>
      </c>
      <c r="B3795" s="1">
        <f ca="1">IFERROR(__xludf.DUMMYFUNCTION("""COMPUTED_VALUE"""),92.9)</f>
        <v>92.9</v>
      </c>
    </row>
    <row r="3796" spans="1:2">
      <c r="A3796" s="3">
        <f ca="1">IFERROR(__xludf.DUMMYFUNCTION("""COMPUTED_VALUE"""),43860.6666666666)</f>
        <v>43860.666666666599</v>
      </c>
      <c r="B3796" s="1">
        <f ca="1">IFERROR(__xludf.DUMMYFUNCTION("""COMPUTED_VALUE"""),93.53)</f>
        <v>93.53</v>
      </c>
    </row>
    <row r="3797" spans="1:2">
      <c r="A3797" s="3">
        <f ca="1">IFERROR(__xludf.DUMMYFUNCTION("""COMPUTED_VALUE"""),43861.6666666666)</f>
        <v>43861.666666666599</v>
      </c>
      <c r="B3797" s="1">
        <f ca="1">IFERROR(__xludf.DUMMYFUNCTION("""COMPUTED_VALUE"""),100.44)</f>
        <v>100.44</v>
      </c>
    </row>
    <row r="3798" spans="1:2">
      <c r="A3798" s="3">
        <f ca="1">IFERROR(__xludf.DUMMYFUNCTION("""COMPUTED_VALUE"""),43864.6666666666)</f>
        <v>43864.666666666599</v>
      </c>
      <c r="B3798" s="1">
        <f ca="1">IFERROR(__xludf.DUMMYFUNCTION("""COMPUTED_VALUE"""),100.21)</f>
        <v>100.21</v>
      </c>
    </row>
    <row r="3799" spans="1:2">
      <c r="A3799" s="3">
        <f ca="1">IFERROR(__xludf.DUMMYFUNCTION("""COMPUTED_VALUE"""),43865.6666666666)</f>
        <v>43865.666666666599</v>
      </c>
      <c r="B3799" s="1">
        <f ca="1">IFERROR(__xludf.DUMMYFUNCTION("""COMPUTED_VALUE"""),102.48)</f>
        <v>102.48</v>
      </c>
    </row>
    <row r="3800" spans="1:2">
      <c r="A3800" s="3">
        <f ca="1">IFERROR(__xludf.DUMMYFUNCTION("""COMPUTED_VALUE"""),43866.6666666666)</f>
        <v>43866.666666666599</v>
      </c>
      <c r="B3800" s="1">
        <f ca="1">IFERROR(__xludf.DUMMYFUNCTION("""COMPUTED_VALUE"""),101.99)</f>
        <v>101.99</v>
      </c>
    </row>
    <row r="3801" spans="1:2">
      <c r="A3801" s="3">
        <f ca="1">IFERROR(__xludf.DUMMYFUNCTION("""COMPUTED_VALUE"""),43867.6666666666)</f>
        <v>43867.666666666599</v>
      </c>
      <c r="B3801" s="1">
        <f ca="1">IFERROR(__xludf.DUMMYFUNCTION("""COMPUTED_VALUE"""),102.51)</f>
        <v>102.51</v>
      </c>
    </row>
    <row r="3802" spans="1:2">
      <c r="A3802" s="3">
        <f ca="1">IFERROR(__xludf.DUMMYFUNCTION("""COMPUTED_VALUE"""),43868.6666666666)</f>
        <v>43868.666666666599</v>
      </c>
      <c r="B3802" s="1">
        <f ca="1">IFERROR(__xludf.DUMMYFUNCTION("""COMPUTED_VALUE"""),103.96)</f>
        <v>103.96</v>
      </c>
    </row>
    <row r="3803" spans="1:2">
      <c r="A3803" s="3">
        <f ca="1">IFERROR(__xludf.DUMMYFUNCTION("""COMPUTED_VALUE"""),43871.6666666666)</f>
        <v>43871.666666666599</v>
      </c>
      <c r="B3803" s="1">
        <f ca="1">IFERROR(__xludf.DUMMYFUNCTION("""COMPUTED_VALUE"""),106.7)</f>
        <v>106.7</v>
      </c>
    </row>
    <row r="3804" spans="1:2">
      <c r="A3804" s="3">
        <f ca="1">IFERROR(__xludf.DUMMYFUNCTION("""COMPUTED_VALUE"""),43872.6666666666)</f>
        <v>43872.666666666599</v>
      </c>
      <c r="B3804" s="1">
        <f ca="1">IFERROR(__xludf.DUMMYFUNCTION("""COMPUTED_VALUE"""),107.54)</f>
        <v>107.54</v>
      </c>
    </row>
    <row r="3805" spans="1:2">
      <c r="A3805" s="3">
        <f ca="1">IFERROR(__xludf.DUMMYFUNCTION("""COMPUTED_VALUE"""),43873.6666666666)</f>
        <v>43873.666666666599</v>
      </c>
      <c r="B3805" s="1">
        <f ca="1">IFERROR(__xludf.DUMMYFUNCTION("""COMPUTED_VALUE"""),108)</f>
        <v>108</v>
      </c>
    </row>
    <row r="3806" spans="1:2">
      <c r="A3806" s="3">
        <f ca="1">IFERROR(__xludf.DUMMYFUNCTION("""COMPUTED_VALUE"""),43874.6666666666)</f>
        <v>43874.666666666599</v>
      </c>
      <c r="B3806" s="1">
        <f ca="1">IFERROR(__xludf.DUMMYFUNCTION("""COMPUTED_VALUE"""),107.49)</f>
        <v>107.49</v>
      </c>
    </row>
    <row r="3807" spans="1:2">
      <c r="A3807" s="3">
        <f ca="1">IFERROR(__xludf.DUMMYFUNCTION("""COMPUTED_VALUE"""),43875.6666666666)</f>
        <v>43875.666666666599</v>
      </c>
      <c r="B3807" s="1">
        <f ca="1">IFERROR(__xludf.DUMMYFUNCTION("""COMPUTED_VALUE"""),106.74)</f>
        <v>106.74</v>
      </c>
    </row>
    <row r="3808" spans="1:2">
      <c r="A3808" s="3">
        <f ca="1">IFERROR(__xludf.DUMMYFUNCTION("""COMPUTED_VALUE"""),43879.6666666666)</f>
        <v>43879.666666666599</v>
      </c>
      <c r="B3808" s="1">
        <f ca="1">IFERROR(__xludf.DUMMYFUNCTION("""COMPUTED_VALUE"""),107.78)</f>
        <v>107.78</v>
      </c>
    </row>
    <row r="3809" spans="1:2">
      <c r="A3809" s="3">
        <f ca="1">IFERROR(__xludf.DUMMYFUNCTION("""COMPUTED_VALUE"""),43880.6666666666)</f>
        <v>43880.666666666599</v>
      </c>
      <c r="B3809" s="1">
        <f ca="1">IFERROR(__xludf.DUMMYFUNCTION("""COMPUTED_VALUE"""),108.51)</f>
        <v>108.51</v>
      </c>
    </row>
    <row r="3810" spans="1:2">
      <c r="A3810" s="3">
        <f ca="1">IFERROR(__xludf.DUMMYFUNCTION("""COMPUTED_VALUE"""),43881.6666666666)</f>
        <v>43881.666666666599</v>
      </c>
      <c r="B3810" s="1">
        <f ca="1">IFERROR(__xludf.DUMMYFUNCTION("""COMPUTED_VALUE"""),107.66)</f>
        <v>107.66</v>
      </c>
    </row>
    <row r="3811" spans="1:2">
      <c r="A3811" s="3">
        <f ca="1">IFERROR(__xludf.DUMMYFUNCTION("""COMPUTED_VALUE"""),43882.6666666666)</f>
        <v>43882.666666666599</v>
      </c>
      <c r="B3811" s="1">
        <f ca="1">IFERROR(__xludf.DUMMYFUNCTION("""COMPUTED_VALUE"""),104.8)</f>
        <v>104.8</v>
      </c>
    </row>
    <row r="3812" spans="1:2">
      <c r="A3812" s="3">
        <f ca="1">IFERROR(__xludf.DUMMYFUNCTION("""COMPUTED_VALUE"""),43885.6666666666)</f>
        <v>43885.666666666599</v>
      </c>
      <c r="B3812" s="1">
        <f ca="1">IFERROR(__xludf.DUMMYFUNCTION("""COMPUTED_VALUE"""),100.46)</f>
        <v>100.46</v>
      </c>
    </row>
    <row r="3813" spans="1:2">
      <c r="A3813" s="3">
        <f ca="1">IFERROR(__xludf.DUMMYFUNCTION("""COMPUTED_VALUE"""),43886.6666666666)</f>
        <v>43886.666666666599</v>
      </c>
      <c r="B3813" s="1">
        <f ca="1">IFERROR(__xludf.DUMMYFUNCTION("""COMPUTED_VALUE"""),98.64)</f>
        <v>98.64</v>
      </c>
    </row>
    <row r="3814" spans="1:2">
      <c r="A3814" s="3">
        <f ca="1">IFERROR(__xludf.DUMMYFUNCTION("""COMPUTED_VALUE"""),43887.6666666666)</f>
        <v>43887.666666666599</v>
      </c>
      <c r="B3814" s="1">
        <f ca="1">IFERROR(__xludf.DUMMYFUNCTION("""COMPUTED_VALUE"""),98.98)</f>
        <v>98.98</v>
      </c>
    </row>
    <row r="3815" spans="1:2">
      <c r="A3815" s="3">
        <f ca="1">IFERROR(__xludf.DUMMYFUNCTION("""COMPUTED_VALUE"""),43888.6666666666)</f>
        <v>43888.666666666599</v>
      </c>
      <c r="B3815" s="1">
        <f ca="1">IFERROR(__xludf.DUMMYFUNCTION("""COMPUTED_VALUE"""),94.22)</f>
        <v>94.22</v>
      </c>
    </row>
    <row r="3816" spans="1:2">
      <c r="A3816" s="3">
        <f ca="1">IFERROR(__xludf.DUMMYFUNCTION("""COMPUTED_VALUE"""),43889.6666666666)</f>
        <v>43889.666666666599</v>
      </c>
      <c r="B3816" s="1">
        <f ca="1">IFERROR(__xludf.DUMMYFUNCTION("""COMPUTED_VALUE"""),94.19)</f>
        <v>94.19</v>
      </c>
    </row>
    <row r="3817" spans="1:2">
      <c r="A3817" s="3">
        <f ca="1">IFERROR(__xludf.DUMMYFUNCTION("""COMPUTED_VALUE"""),43892.6666666666)</f>
        <v>43892.666666666599</v>
      </c>
      <c r="B3817" s="1">
        <f ca="1">IFERROR(__xludf.DUMMYFUNCTION("""COMPUTED_VALUE"""),97.7)</f>
        <v>97.7</v>
      </c>
    </row>
    <row r="3818" spans="1:2">
      <c r="A3818" s="3">
        <f ca="1">IFERROR(__xludf.DUMMYFUNCTION("""COMPUTED_VALUE"""),43893.6666666666)</f>
        <v>43893.666666666599</v>
      </c>
      <c r="B3818" s="1">
        <f ca="1">IFERROR(__xludf.DUMMYFUNCTION("""COMPUTED_VALUE"""),95.45)</f>
        <v>95.45</v>
      </c>
    </row>
    <row r="3819" spans="1:2">
      <c r="A3819" s="3">
        <f ca="1">IFERROR(__xludf.DUMMYFUNCTION("""COMPUTED_VALUE"""),43894.6666666666)</f>
        <v>43894.666666666599</v>
      </c>
      <c r="B3819" s="1">
        <f ca="1">IFERROR(__xludf.DUMMYFUNCTION("""COMPUTED_VALUE"""),98.79)</f>
        <v>98.79</v>
      </c>
    </row>
    <row r="3820" spans="1:2">
      <c r="A3820" s="3">
        <f ca="1">IFERROR(__xludf.DUMMYFUNCTION("""COMPUTED_VALUE"""),43895.6666666666)</f>
        <v>43895.666666666599</v>
      </c>
      <c r="B3820" s="1">
        <f ca="1">IFERROR(__xludf.DUMMYFUNCTION("""COMPUTED_VALUE"""),96.2)</f>
        <v>96.2</v>
      </c>
    </row>
    <row r="3821" spans="1:2">
      <c r="A3821" s="3">
        <f ca="1">IFERROR(__xludf.DUMMYFUNCTION("""COMPUTED_VALUE"""),43896.6666666666)</f>
        <v>43896.666666666599</v>
      </c>
      <c r="B3821" s="1">
        <f ca="1">IFERROR(__xludf.DUMMYFUNCTION("""COMPUTED_VALUE"""),95.05)</f>
        <v>95.05</v>
      </c>
    </row>
    <row r="3822" spans="1:2">
      <c r="A3822" s="3">
        <f ca="1">IFERROR(__xludf.DUMMYFUNCTION("""COMPUTED_VALUE"""),43899.6666666666)</f>
        <v>43899.666666666599</v>
      </c>
      <c r="B3822" s="1">
        <f ca="1">IFERROR(__xludf.DUMMYFUNCTION("""COMPUTED_VALUE"""),90.03)</f>
        <v>90.03</v>
      </c>
    </row>
    <row r="3823" spans="1:2">
      <c r="A3823" s="3">
        <f ca="1">IFERROR(__xludf.DUMMYFUNCTION("""COMPUTED_VALUE"""),43900.6666666666)</f>
        <v>43900.666666666599</v>
      </c>
      <c r="B3823" s="1">
        <f ca="1">IFERROR(__xludf.DUMMYFUNCTION("""COMPUTED_VALUE"""),94.59)</f>
        <v>94.59</v>
      </c>
    </row>
    <row r="3824" spans="1:2">
      <c r="A3824" s="3">
        <f ca="1">IFERROR(__xludf.DUMMYFUNCTION("""COMPUTED_VALUE"""),43901.6666666666)</f>
        <v>43901.666666666599</v>
      </c>
      <c r="B3824" s="1">
        <f ca="1">IFERROR(__xludf.DUMMYFUNCTION("""COMPUTED_VALUE"""),91.04)</f>
        <v>91.04</v>
      </c>
    </row>
    <row r="3825" spans="1:2">
      <c r="A3825" s="3">
        <f ca="1">IFERROR(__xludf.DUMMYFUNCTION("""COMPUTED_VALUE"""),43902.6666666666)</f>
        <v>43902.666666666599</v>
      </c>
      <c r="B3825" s="1">
        <f ca="1">IFERROR(__xludf.DUMMYFUNCTION("""COMPUTED_VALUE"""),83.83)</f>
        <v>83.83</v>
      </c>
    </row>
    <row r="3826" spans="1:2">
      <c r="A3826" s="3">
        <f ca="1">IFERROR(__xludf.DUMMYFUNCTION("""COMPUTED_VALUE"""),43903.6666666666)</f>
        <v>43903.666666666599</v>
      </c>
      <c r="B3826" s="1">
        <f ca="1">IFERROR(__xludf.DUMMYFUNCTION("""COMPUTED_VALUE"""),89.25)</f>
        <v>89.25</v>
      </c>
    </row>
    <row r="3827" spans="1:2">
      <c r="A3827" s="3">
        <f ca="1">IFERROR(__xludf.DUMMYFUNCTION("""COMPUTED_VALUE"""),43906.6666666666)</f>
        <v>43906.666666666599</v>
      </c>
      <c r="B3827" s="1">
        <f ca="1">IFERROR(__xludf.DUMMYFUNCTION("""COMPUTED_VALUE"""),84.46)</f>
        <v>84.46</v>
      </c>
    </row>
    <row r="3828" spans="1:2">
      <c r="A3828" s="3">
        <f ca="1">IFERROR(__xludf.DUMMYFUNCTION("""COMPUTED_VALUE"""),43907.6666666666)</f>
        <v>43907.666666666599</v>
      </c>
      <c r="B3828" s="1">
        <f ca="1">IFERROR(__xludf.DUMMYFUNCTION("""COMPUTED_VALUE"""),90.39)</f>
        <v>90.39</v>
      </c>
    </row>
    <row r="3829" spans="1:2">
      <c r="A3829" s="3">
        <f ca="1">IFERROR(__xludf.DUMMYFUNCTION("""COMPUTED_VALUE"""),43908.6666666666)</f>
        <v>43908.666666666599</v>
      </c>
      <c r="B3829" s="1">
        <f ca="1">IFERROR(__xludf.DUMMYFUNCTION("""COMPUTED_VALUE"""),91.5)</f>
        <v>91.5</v>
      </c>
    </row>
    <row r="3830" spans="1:2">
      <c r="A3830" s="3">
        <f ca="1">IFERROR(__xludf.DUMMYFUNCTION("""COMPUTED_VALUE"""),43909.6666666666)</f>
        <v>43909.666666666599</v>
      </c>
      <c r="B3830" s="1">
        <f ca="1">IFERROR(__xludf.DUMMYFUNCTION("""COMPUTED_VALUE"""),94.05)</f>
        <v>94.05</v>
      </c>
    </row>
    <row r="3831" spans="1:2">
      <c r="A3831" s="3">
        <f ca="1">IFERROR(__xludf.DUMMYFUNCTION("""COMPUTED_VALUE"""),43910.6666666666)</f>
        <v>43910.666666666599</v>
      </c>
      <c r="B3831" s="1">
        <f ca="1">IFERROR(__xludf.DUMMYFUNCTION("""COMPUTED_VALUE"""),92.3)</f>
        <v>92.3</v>
      </c>
    </row>
    <row r="3832" spans="1:2">
      <c r="A3832" s="3">
        <f ca="1">IFERROR(__xludf.DUMMYFUNCTION("""COMPUTED_VALUE"""),43913.6666666666)</f>
        <v>43913.666666666599</v>
      </c>
      <c r="B3832" s="1">
        <f ca="1">IFERROR(__xludf.DUMMYFUNCTION("""COMPUTED_VALUE"""),95.14)</f>
        <v>95.14</v>
      </c>
    </row>
    <row r="3833" spans="1:2">
      <c r="A3833" s="3">
        <f ca="1">IFERROR(__xludf.DUMMYFUNCTION("""COMPUTED_VALUE"""),43914.6666666666)</f>
        <v>43914.666666666599</v>
      </c>
      <c r="B3833" s="1">
        <f ca="1">IFERROR(__xludf.DUMMYFUNCTION("""COMPUTED_VALUE"""),97.01)</f>
        <v>97.01</v>
      </c>
    </row>
    <row r="3834" spans="1:2">
      <c r="A3834" s="3">
        <f ca="1">IFERROR(__xludf.DUMMYFUNCTION("""COMPUTED_VALUE"""),43915.6666666666)</f>
        <v>43915.666666666599</v>
      </c>
      <c r="B3834" s="1">
        <f ca="1">IFERROR(__xludf.DUMMYFUNCTION("""COMPUTED_VALUE"""),94.29)</f>
        <v>94.29</v>
      </c>
    </row>
    <row r="3835" spans="1:2">
      <c r="A3835" s="3">
        <f ca="1">IFERROR(__xludf.DUMMYFUNCTION("""COMPUTED_VALUE"""),43916.6666666666)</f>
        <v>43916.666666666599</v>
      </c>
      <c r="B3835" s="1">
        <f ca="1">IFERROR(__xludf.DUMMYFUNCTION("""COMPUTED_VALUE"""),97.77)</f>
        <v>97.77</v>
      </c>
    </row>
    <row r="3836" spans="1:2">
      <c r="A3836" s="3">
        <f ca="1">IFERROR(__xludf.DUMMYFUNCTION("""COMPUTED_VALUE"""),43917.6666666666)</f>
        <v>43917.666666666599</v>
      </c>
      <c r="B3836" s="1">
        <f ca="1">IFERROR(__xludf.DUMMYFUNCTION("""COMPUTED_VALUE"""),95.01)</f>
        <v>95.01</v>
      </c>
    </row>
    <row r="3837" spans="1:2">
      <c r="A3837" s="3">
        <f ca="1">IFERROR(__xludf.DUMMYFUNCTION("""COMPUTED_VALUE"""),43920.6666666666)</f>
        <v>43920.666666666599</v>
      </c>
      <c r="B3837" s="1">
        <f ca="1">IFERROR(__xludf.DUMMYFUNCTION("""COMPUTED_VALUE"""),98.2)</f>
        <v>98.2</v>
      </c>
    </row>
    <row r="3838" spans="1:2">
      <c r="A3838" s="3">
        <f ca="1">IFERROR(__xludf.DUMMYFUNCTION("""COMPUTED_VALUE"""),43921.6666666666)</f>
        <v>43921.666666666599</v>
      </c>
      <c r="B3838" s="1">
        <f ca="1">IFERROR(__xludf.DUMMYFUNCTION("""COMPUTED_VALUE"""),97.49)</f>
        <v>97.49</v>
      </c>
    </row>
    <row r="3839" spans="1:2">
      <c r="A3839" s="3">
        <f ca="1">IFERROR(__xludf.DUMMYFUNCTION("""COMPUTED_VALUE"""),43922.6666666666)</f>
        <v>43922.666666666599</v>
      </c>
      <c r="B3839" s="1">
        <f ca="1">IFERROR(__xludf.DUMMYFUNCTION("""COMPUTED_VALUE"""),95.39)</f>
        <v>95.39</v>
      </c>
    </row>
    <row r="3840" spans="1:2">
      <c r="A3840" s="3">
        <f ca="1">IFERROR(__xludf.DUMMYFUNCTION("""COMPUTED_VALUE"""),43923.6666666666)</f>
        <v>43923.666666666599</v>
      </c>
      <c r="B3840" s="1">
        <f ca="1">IFERROR(__xludf.DUMMYFUNCTION("""COMPUTED_VALUE"""),95.94)</f>
        <v>95.94</v>
      </c>
    </row>
    <row r="3841" spans="1:2">
      <c r="A3841" s="3">
        <f ca="1">IFERROR(__xludf.DUMMYFUNCTION("""COMPUTED_VALUE"""),43924.6666666666)</f>
        <v>43924.666666666599</v>
      </c>
      <c r="B3841" s="1">
        <f ca="1">IFERROR(__xludf.DUMMYFUNCTION("""COMPUTED_VALUE"""),95.33)</f>
        <v>95.33</v>
      </c>
    </row>
    <row r="3842" spans="1:2">
      <c r="A3842" s="3">
        <f ca="1">IFERROR(__xludf.DUMMYFUNCTION("""COMPUTED_VALUE"""),43927.6666666666)</f>
        <v>43927.666666666599</v>
      </c>
      <c r="B3842" s="1">
        <f ca="1">IFERROR(__xludf.DUMMYFUNCTION("""COMPUTED_VALUE"""),99.88)</f>
        <v>99.88</v>
      </c>
    </row>
    <row r="3843" spans="1:2">
      <c r="A3843" s="3">
        <f ca="1">IFERROR(__xludf.DUMMYFUNCTION("""COMPUTED_VALUE"""),43928.6666666666)</f>
        <v>43928.666666666599</v>
      </c>
      <c r="B3843" s="1">
        <f ca="1">IFERROR(__xludf.DUMMYFUNCTION("""COMPUTED_VALUE"""),100.58)</f>
        <v>100.58</v>
      </c>
    </row>
    <row r="3844" spans="1:2">
      <c r="A3844" s="3">
        <f ca="1">IFERROR(__xludf.DUMMYFUNCTION("""COMPUTED_VALUE"""),43929.6666666666)</f>
        <v>43929.666666666599</v>
      </c>
      <c r="B3844" s="1">
        <f ca="1">IFERROR(__xludf.DUMMYFUNCTION("""COMPUTED_VALUE"""),102.15)</f>
        <v>102.15</v>
      </c>
    </row>
    <row r="3845" spans="1:2">
      <c r="A3845" s="3">
        <f ca="1">IFERROR(__xludf.DUMMYFUNCTION("""COMPUTED_VALUE"""),43930.6666666666)</f>
        <v>43930.666666666599</v>
      </c>
      <c r="B3845" s="1">
        <f ca="1">IFERROR(__xludf.DUMMYFUNCTION("""COMPUTED_VALUE"""),102.14)</f>
        <v>102.14</v>
      </c>
    </row>
    <row r="3846" spans="1:2">
      <c r="A3846" s="3">
        <f ca="1">IFERROR(__xludf.DUMMYFUNCTION("""COMPUTED_VALUE"""),43934.6666666666)</f>
        <v>43934.666666666599</v>
      </c>
      <c r="B3846" s="1">
        <f ca="1">IFERROR(__xludf.DUMMYFUNCTION("""COMPUTED_VALUE"""),108.44)</f>
        <v>108.44</v>
      </c>
    </row>
    <row r="3847" spans="1:2">
      <c r="A3847" s="3">
        <f ca="1">IFERROR(__xludf.DUMMYFUNCTION("""COMPUTED_VALUE"""),43935.6666666666)</f>
        <v>43935.666666666599</v>
      </c>
      <c r="B3847" s="1">
        <f ca="1">IFERROR(__xludf.DUMMYFUNCTION("""COMPUTED_VALUE"""),114.17)</f>
        <v>114.17</v>
      </c>
    </row>
    <row r="3848" spans="1:2">
      <c r="A3848" s="3">
        <f ca="1">IFERROR(__xludf.DUMMYFUNCTION("""COMPUTED_VALUE"""),43936.6666666666)</f>
        <v>43936.666666666599</v>
      </c>
      <c r="B3848" s="1">
        <f ca="1">IFERROR(__xludf.DUMMYFUNCTION("""COMPUTED_VALUE"""),115.38)</f>
        <v>115.38</v>
      </c>
    </row>
    <row r="3849" spans="1:2">
      <c r="A3849" s="3">
        <f ca="1">IFERROR(__xludf.DUMMYFUNCTION("""COMPUTED_VALUE"""),43937.6666666666)</f>
        <v>43937.666666666599</v>
      </c>
      <c r="B3849" s="1">
        <f ca="1">IFERROR(__xludf.DUMMYFUNCTION("""COMPUTED_VALUE"""),120.41)</f>
        <v>120.41</v>
      </c>
    </row>
    <row r="3850" spans="1:2">
      <c r="A3850" s="3">
        <f ca="1">IFERROR(__xludf.DUMMYFUNCTION("""COMPUTED_VALUE"""),43938.6666666666)</f>
        <v>43938.666666666599</v>
      </c>
      <c r="B3850" s="1">
        <f ca="1">IFERROR(__xludf.DUMMYFUNCTION("""COMPUTED_VALUE"""),118.75)</f>
        <v>118.75</v>
      </c>
    </row>
    <row r="3851" spans="1:2">
      <c r="A3851" s="3">
        <f ca="1">IFERROR(__xludf.DUMMYFUNCTION("""COMPUTED_VALUE"""),43941.6666666666)</f>
        <v>43941.666666666599</v>
      </c>
      <c r="B3851" s="1">
        <f ca="1">IFERROR(__xludf.DUMMYFUNCTION("""COMPUTED_VALUE"""),119.68)</f>
        <v>119.68</v>
      </c>
    </row>
    <row r="3852" spans="1:2">
      <c r="A3852" s="3">
        <f ca="1">IFERROR(__xludf.DUMMYFUNCTION("""COMPUTED_VALUE"""),43942.6666666666)</f>
        <v>43942.666666666599</v>
      </c>
      <c r="B3852" s="1">
        <f ca="1">IFERROR(__xludf.DUMMYFUNCTION("""COMPUTED_VALUE"""),116.41)</f>
        <v>116.41</v>
      </c>
    </row>
    <row r="3853" spans="1:2">
      <c r="A3853" s="3">
        <f ca="1">IFERROR(__xludf.DUMMYFUNCTION("""COMPUTED_VALUE"""),43943.6666666666)</f>
        <v>43943.666666666599</v>
      </c>
      <c r="B3853" s="1">
        <f ca="1">IFERROR(__xludf.DUMMYFUNCTION("""COMPUTED_VALUE"""),118.17)</f>
        <v>118.17</v>
      </c>
    </row>
    <row r="3854" spans="1:2">
      <c r="A3854" s="3">
        <f ca="1">IFERROR(__xludf.DUMMYFUNCTION("""COMPUTED_VALUE"""),43944.6666666666)</f>
        <v>43944.666666666599</v>
      </c>
      <c r="B3854" s="1">
        <f ca="1">IFERROR(__xludf.DUMMYFUNCTION("""COMPUTED_VALUE"""),119.97)</f>
        <v>119.97</v>
      </c>
    </row>
    <row r="3855" spans="1:2">
      <c r="A3855" s="3">
        <f ca="1">IFERROR(__xludf.DUMMYFUNCTION("""COMPUTED_VALUE"""),43945.6666666666)</f>
        <v>43945.666666666599</v>
      </c>
      <c r="B3855" s="1">
        <f ca="1">IFERROR(__xludf.DUMMYFUNCTION("""COMPUTED_VALUE"""),120.51)</f>
        <v>120.51</v>
      </c>
    </row>
    <row r="3856" spans="1:2">
      <c r="A3856" s="3">
        <f ca="1">IFERROR(__xludf.DUMMYFUNCTION("""COMPUTED_VALUE"""),43948.6666666666)</f>
        <v>43948.666666666599</v>
      </c>
      <c r="B3856" s="1">
        <f ca="1">IFERROR(__xludf.DUMMYFUNCTION("""COMPUTED_VALUE"""),118.8)</f>
        <v>118.8</v>
      </c>
    </row>
    <row r="3857" spans="1:2">
      <c r="A3857" s="3">
        <f ca="1">IFERROR(__xludf.DUMMYFUNCTION("""COMPUTED_VALUE"""),43949.6666666666)</f>
        <v>43949.666666666599</v>
      </c>
      <c r="B3857" s="1">
        <f ca="1">IFERROR(__xludf.DUMMYFUNCTION("""COMPUTED_VALUE"""),115.7)</f>
        <v>115.7</v>
      </c>
    </row>
    <row r="3858" spans="1:2">
      <c r="A3858" s="3">
        <f ca="1">IFERROR(__xludf.DUMMYFUNCTION("""COMPUTED_VALUE"""),43950.6666666666)</f>
        <v>43950.666666666599</v>
      </c>
      <c r="B3858" s="1">
        <f ca="1">IFERROR(__xludf.DUMMYFUNCTION("""COMPUTED_VALUE"""),118.64)</f>
        <v>118.64</v>
      </c>
    </row>
    <row r="3859" spans="1:2">
      <c r="A3859" s="3">
        <f ca="1">IFERROR(__xludf.DUMMYFUNCTION("""COMPUTED_VALUE"""),43951.6666666666)</f>
        <v>43951.666666666599</v>
      </c>
      <c r="B3859" s="1">
        <f ca="1">IFERROR(__xludf.DUMMYFUNCTION("""COMPUTED_VALUE"""),123.7)</f>
        <v>123.7</v>
      </c>
    </row>
    <row r="3860" spans="1:2">
      <c r="A3860" s="3">
        <f ca="1">IFERROR(__xludf.DUMMYFUNCTION("""COMPUTED_VALUE"""),43952.6666666666)</f>
        <v>43952.666666666599</v>
      </c>
      <c r="B3860" s="1">
        <f ca="1">IFERROR(__xludf.DUMMYFUNCTION("""COMPUTED_VALUE"""),114.3)</f>
        <v>114.3</v>
      </c>
    </row>
    <row r="3861" spans="1:2">
      <c r="A3861" s="3">
        <f ca="1">IFERROR(__xludf.DUMMYFUNCTION("""COMPUTED_VALUE"""),43955.6666666666)</f>
        <v>43955.666666666599</v>
      </c>
      <c r="B3861" s="1">
        <f ca="1">IFERROR(__xludf.DUMMYFUNCTION("""COMPUTED_VALUE"""),115.8)</f>
        <v>115.8</v>
      </c>
    </row>
    <row r="3862" spans="1:2">
      <c r="A3862" s="3">
        <f ca="1">IFERROR(__xludf.DUMMYFUNCTION("""COMPUTED_VALUE"""),43956.6666666666)</f>
        <v>43956.666666666599</v>
      </c>
      <c r="B3862" s="1">
        <f ca="1">IFERROR(__xludf.DUMMYFUNCTION("""COMPUTED_VALUE"""),115.89)</f>
        <v>115.89</v>
      </c>
    </row>
    <row r="3863" spans="1:2">
      <c r="A3863" s="3">
        <f ca="1">IFERROR(__xludf.DUMMYFUNCTION("""COMPUTED_VALUE"""),43957.6666666666)</f>
        <v>43957.666666666599</v>
      </c>
      <c r="B3863" s="1">
        <f ca="1">IFERROR(__xludf.DUMMYFUNCTION("""COMPUTED_VALUE"""),117.56)</f>
        <v>117.56</v>
      </c>
    </row>
    <row r="3864" spans="1:2">
      <c r="A3864" s="3">
        <f ca="1">IFERROR(__xludf.DUMMYFUNCTION("""COMPUTED_VALUE"""),43958.6666666666)</f>
        <v>43958.666666666599</v>
      </c>
      <c r="B3864" s="1">
        <f ca="1">IFERROR(__xludf.DUMMYFUNCTION("""COMPUTED_VALUE"""),118.38)</f>
        <v>118.38</v>
      </c>
    </row>
    <row r="3865" spans="1:2">
      <c r="A3865" s="3">
        <f ca="1">IFERROR(__xludf.DUMMYFUNCTION("""COMPUTED_VALUE"""),43959.6666666666)</f>
        <v>43959.666666666599</v>
      </c>
      <c r="B3865" s="1">
        <f ca="1">IFERROR(__xludf.DUMMYFUNCTION("""COMPUTED_VALUE"""),118.98)</f>
        <v>118.98</v>
      </c>
    </row>
    <row r="3866" spans="1:2">
      <c r="A3866" s="3">
        <f ca="1">IFERROR(__xludf.DUMMYFUNCTION("""COMPUTED_VALUE"""),43962.6666666666)</f>
        <v>43962.666666666599</v>
      </c>
      <c r="B3866" s="1">
        <f ca="1">IFERROR(__xludf.DUMMYFUNCTION("""COMPUTED_VALUE"""),120.45)</f>
        <v>120.45</v>
      </c>
    </row>
    <row r="3867" spans="1:2">
      <c r="A3867" s="3">
        <f ca="1">IFERROR(__xludf.DUMMYFUNCTION("""COMPUTED_VALUE"""),43963.6666666666)</f>
        <v>43963.666666666599</v>
      </c>
      <c r="B3867" s="1">
        <f ca="1">IFERROR(__xludf.DUMMYFUNCTION("""COMPUTED_VALUE"""),117.85)</f>
        <v>117.85</v>
      </c>
    </row>
    <row r="3868" spans="1:2">
      <c r="A3868" s="3">
        <f ca="1">IFERROR(__xludf.DUMMYFUNCTION("""COMPUTED_VALUE"""),43964.6666666666)</f>
        <v>43964.666666666599</v>
      </c>
      <c r="B3868" s="1">
        <f ca="1">IFERROR(__xludf.DUMMYFUNCTION("""COMPUTED_VALUE"""),118.4)</f>
        <v>118.4</v>
      </c>
    </row>
    <row r="3869" spans="1:2">
      <c r="A3869" s="3">
        <f ca="1">IFERROR(__xludf.DUMMYFUNCTION("""COMPUTED_VALUE"""),43965.6666666666)</f>
        <v>43965.666666666599</v>
      </c>
      <c r="B3869" s="1">
        <f ca="1">IFERROR(__xludf.DUMMYFUNCTION("""COMPUTED_VALUE"""),119.44)</f>
        <v>119.44</v>
      </c>
    </row>
    <row r="3870" spans="1:2">
      <c r="A3870" s="3">
        <f ca="1">IFERROR(__xludf.DUMMYFUNCTION("""COMPUTED_VALUE"""),43966.6666666666)</f>
        <v>43966.666666666599</v>
      </c>
      <c r="B3870" s="1">
        <f ca="1">IFERROR(__xludf.DUMMYFUNCTION("""COMPUTED_VALUE"""),120.49)</f>
        <v>120.49</v>
      </c>
    </row>
    <row r="3871" spans="1:2">
      <c r="A3871" s="3">
        <f ca="1">IFERROR(__xludf.DUMMYFUNCTION("""COMPUTED_VALUE"""),43969.6666666666)</f>
        <v>43969.666666666599</v>
      </c>
      <c r="B3871" s="1">
        <f ca="1">IFERROR(__xludf.DUMMYFUNCTION("""COMPUTED_VALUE"""),121.31)</f>
        <v>121.31</v>
      </c>
    </row>
    <row r="3872" spans="1:2">
      <c r="A3872" s="3">
        <f ca="1">IFERROR(__xludf.DUMMYFUNCTION("""COMPUTED_VALUE"""),43970.6666666666)</f>
        <v>43970.666666666599</v>
      </c>
      <c r="B3872" s="1">
        <f ca="1">IFERROR(__xludf.DUMMYFUNCTION("""COMPUTED_VALUE"""),122.47)</f>
        <v>122.47</v>
      </c>
    </row>
    <row r="3873" spans="1:2">
      <c r="A3873" s="3">
        <f ca="1">IFERROR(__xludf.DUMMYFUNCTION("""COMPUTED_VALUE"""),43971.6666666666)</f>
        <v>43971.666666666599</v>
      </c>
      <c r="B3873" s="1">
        <f ca="1">IFERROR(__xludf.DUMMYFUNCTION("""COMPUTED_VALUE"""),124.9)</f>
        <v>124.9</v>
      </c>
    </row>
    <row r="3874" spans="1:2">
      <c r="A3874" s="3">
        <f ca="1">IFERROR(__xludf.DUMMYFUNCTION("""COMPUTED_VALUE"""),43972.6666666666)</f>
        <v>43972.666666666599</v>
      </c>
      <c r="B3874" s="1">
        <f ca="1">IFERROR(__xludf.DUMMYFUNCTION("""COMPUTED_VALUE"""),122.34)</f>
        <v>122.34</v>
      </c>
    </row>
    <row r="3875" spans="1:2">
      <c r="A3875" s="3">
        <f ca="1">IFERROR(__xludf.DUMMYFUNCTION("""COMPUTED_VALUE"""),43973.6666666666)</f>
        <v>43973.666666666599</v>
      </c>
      <c r="B3875" s="1">
        <f ca="1">IFERROR(__xludf.DUMMYFUNCTION("""COMPUTED_VALUE"""),121.84)</f>
        <v>121.84</v>
      </c>
    </row>
    <row r="3876" spans="1:2">
      <c r="A3876" s="3">
        <f ca="1">IFERROR(__xludf.DUMMYFUNCTION("""COMPUTED_VALUE"""),43977.6666666666)</f>
        <v>43977.666666666599</v>
      </c>
      <c r="B3876" s="1">
        <f ca="1">IFERROR(__xludf.DUMMYFUNCTION("""COMPUTED_VALUE"""),121.09)</f>
        <v>121.09</v>
      </c>
    </row>
    <row r="3877" spans="1:2">
      <c r="A3877" s="3">
        <f ca="1">IFERROR(__xludf.DUMMYFUNCTION("""COMPUTED_VALUE"""),43978.6666666666)</f>
        <v>43978.666666666599</v>
      </c>
      <c r="B3877" s="1">
        <f ca="1">IFERROR(__xludf.DUMMYFUNCTION("""COMPUTED_VALUE"""),120.52)</f>
        <v>120.52</v>
      </c>
    </row>
    <row r="3878" spans="1:2">
      <c r="A3878" s="3">
        <f ca="1">IFERROR(__xludf.DUMMYFUNCTION("""COMPUTED_VALUE"""),43979.6666666666)</f>
        <v>43979.666666666599</v>
      </c>
      <c r="B3878" s="1">
        <f ca="1">IFERROR(__xludf.DUMMYFUNCTION("""COMPUTED_VALUE"""),120.06)</f>
        <v>120.06</v>
      </c>
    </row>
    <row r="3879" spans="1:2">
      <c r="A3879" s="3">
        <f ca="1">IFERROR(__xludf.DUMMYFUNCTION("""COMPUTED_VALUE"""),43980.6666666666)</f>
        <v>43980.666666666599</v>
      </c>
      <c r="B3879" s="1">
        <f ca="1">IFERROR(__xludf.DUMMYFUNCTION("""COMPUTED_VALUE"""),122.12)</f>
        <v>122.12</v>
      </c>
    </row>
    <row r="3880" spans="1:2">
      <c r="A3880" s="3">
        <f ca="1">IFERROR(__xludf.DUMMYFUNCTION("""COMPUTED_VALUE"""),43983.6666666666)</f>
        <v>43983.666666666599</v>
      </c>
      <c r="B3880" s="1">
        <f ca="1">IFERROR(__xludf.DUMMYFUNCTION("""COMPUTED_VALUE"""),123.55)</f>
        <v>123.55</v>
      </c>
    </row>
    <row r="3881" spans="1:2">
      <c r="A3881" s="3">
        <f ca="1">IFERROR(__xludf.DUMMYFUNCTION("""COMPUTED_VALUE"""),43984.6666666666)</f>
        <v>43984.666666666599</v>
      </c>
      <c r="B3881" s="1">
        <f ca="1">IFERROR(__xludf.DUMMYFUNCTION("""COMPUTED_VALUE"""),123.62)</f>
        <v>123.62</v>
      </c>
    </row>
    <row r="3882" spans="1:2">
      <c r="A3882" s="3">
        <f ca="1">IFERROR(__xludf.DUMMYFUNCTION("""COMPUTED_VALUE"""),43985.6666666666)</f>
        <v>43985.666666666599</v>
      </c>
      <c r="B3882" s="1">
        <f ca="1">IFERROR(__xludf.DUMMYFUNCTION("""COMPUTED_VALUE"""),123.92)</f>
        <v>123.92</v>
      </c>
    </row>
    <row r="3883" spans="1:2">
      <c r="A3883" s="3">
        <f ca="1">IFERROR(__xludf.DUMMYFUNCTION("""COMPUTED_VALUE"""),43986.6666666666)</f>
        <v>43986.666666666599</v>
      </c>
      <c r="B3883" s="1">
        <f ca="1">IFERROR(__xludf.DUMMYFUNCTION("""COMPUTED_VALUE"""),123.03)</f>
        <v>123.03</v>
      </c>
    </row>
    <row r="3884" spans="1:2">
      <c r="A3884" s="3">
        <f ca="1">IFERROR(__xludf.DUMMYFUNCTION("""COMPUTED_VALUE"""),43987.6666666666)</f>
        <v>43987.666666666599</v>
      </c>
      <c r="B3884" s="1">
        <f ca="1">IFERROR(__xludf.DUMMYFUNCTION("""COMPUTED_VALUE"""),124.15)</f>
        <v>124.15</v>
      </c>
    </row>
    <row r="3885" spans="1:2">
      <c r="A3885" s="3">
        <f ca="1">IFERROR(__xludf.DUMMYFUNCTION("""COMPUTED_VALUE"""),43990.6666666666)</f>
        <v>43990.666666666599</v>
      </c>
      <c r="B3885" s="1">
        <f ca="1">IFERROR(__xludf.DUMMYFUNCTION("""COMPUTED_VALUE"""),126.2)</f>
        <v>126.2</v>
      </c>
    </row>
    <row r="3886" spans="1:2">
      <c r="A3886" s="3">
        <f ca="1">IFERROR(__xludf.DUMMYFUNCTION("""COMPUTED_VALUE"""),43991.6666666666)</f>
        <v>43991.666666666599</v>
      </c>
      <c r="B3886" s="1">
        <f ca="1">IFERROR(__xludf.DUMMYFUNCTION("""COMPUTED_VALUE"""),130.04)</f>
        <v>130.04</v>
      </c>
    </row>
    <row r="3887" spans="1:2">
      <c r="A3887" s="3">
        <f ca="1">IFERROR(__xludf.DUMMYFUNCTION("""COMPUTED_VALUE"""),43992.6666666666)</f>
        <v>43992.666666666599</v>
      </c>
      <c r="B3887" s="1">
        <f ca="1">IFERROR(__xludf.DUMMYFUNCTION("""COMPUTED_VALUE"""),132.37)</f>
        <v>132.37</v>
      </c>
    </row>
    <row r="3888" spans="1:2">
      <c r="A3888" s="3">
        <f ca="1">IFERROR(__xludf.DUMMYFUNCTION("""COMPUTED_VALUE"""),43993.6666666666)</f>
        <v>43993.666666666599</v>
      </c>
      <c r="B3888" s="1">
        <f ca="1">IFERROR(__xludf.DUMMYFUNCTION("""COMPUTED_VALUE"""),127.9)</f>
        <v>127.9</v>
      </c>
    </row>
    <row r="3889" spans="1:2">
      <c r="A3889" s="3">
        <f ca="1">IFERROR(__xludf.DUMMYFUNCTION("""COMPUTED_VALUE"""),43994.6666666666)</f>
        <v>43994.666666666599</v>
      </c>
      <c r="B3889" s="1">
        <f ca="1">IFERROR(__xludf.DUMMYFUNCTION("""COMPUTED_VALUE"""),127.25)</f>
        <v>127.25</v>
      </c>
    </row>
    <row r="3890" spans="1:2">
      <c r="A3890" s="3">
        <f ca="1">IFERROR(__xludf.DUMMYFUNCTION("""COMPUTED_VALUE"""),43997.6666666666)</f>
        <v>43997.666666666599</v>
      </c>
      <c r="B3890" s="1">
        <f ca="1">IFERROR(__xludf.DUMMYFUNCTION("""COMPUTED_VALUE"""),128.63)</f>
        <v>128.63</v>
      </c>
    </row>
    <row r="3891" spans="1:2">
      <c r="A3891" s="3">
        <f ca="1">IFERROR(__xludf.DUMMYFUNCTION("""COMPUTED_VALUE"""),43998.6666666666)</f>
        <v>43998.666666666599</v>
      </c>
      <c r="B3891" s="1">
        <f ca="1">IFERROR(__xludf.DUMMYFUNCTION("""COMPUTED_VALUE"""),130.76)</f>
        <v>130.76</v>
      </c>
    </row>
    <row r="3892" spans="1:2">
      <c r="A3892" s="3">
        <f ca="1">IFERROR(__xludf.DUMMYFUNCTION("""COMPUTED_VALUE"""),43999.6666666666)</f>
        <v>43999.666666666599</v>
      </c>
      <c r="B3892" s="1">
        <f ca="1">IFERROR(__xludf.DUMMYFUNCTION("""COMPUTED_VALUE"""),132.05)</f>
        <v>132.05000000000001</v>
      </c>
    </row>
    <row r="3893" spans="1:2">
      <c r="A3893" s="3">
        <f ca="1">IFERROR(__xludf.DUMMYFUNCTION("""COMPUTED_VALUE"""),44000.6666666666)</f>
        <v>44000.666666666599</v>
      </c>
      <c r="B3893" s="1">
        <f ca="1">IFERROR(__xludf.DUMMYFUNCTION("""COMPUTED_VALUE"""),132.7)</f>
        <v>132.69999999999999</v>
      </c>
    </row>
    <row r="3894" spans="1:2">
      <c r="A3894" s="3">
        <f ca="1">IFERROR(__xludf.DUMMYFUNCTION("""COMPUTED_VALUE"""),44001.6666666666)</f>
        <v>44001.666666666599</v>
      </c>
      <c r="B3894" s="1">
        <f ca="1">IFERROR(__xludf.DUMMYFUNCTION("""COMPUTED_VALUE"""),133.75)</f>
        <v>133.75</v>
      </c>
    </row>
    <row r="3895" spans="1:2">
      <c r="A3895" s="3">
        <f ca="1">IFERROR(__xludf.DUMMYFUNCTION("""COMPUTED_VALUE"""),44004.6666666666)</f>
        <v>44004.666666666599</v>
      </c>
      <c r="B3895" s="1">
        <f ca="1">IFERROR(__xludf.DUMMYFUNCTION("""COMPUTED_VALUE"""),135.69)</f>
        <v>135.69</v>
      </c>
    </row>
    <row r="3896" spans="1:2">
      <c r="A3896" s="3">
        <f ca="1">IFERROR(__xludf.DUMMYFUNCTION("""COMPUTED_VALUE"""),44005.6666666666)</f>
        <v>44005.666666666599</v>
      </c>
      <c r="B3896" s="1">
        <f ca="1">IFERROR(__xludf.DUMMYFUNCTION("""COMPUTED_VALUE"""),138.22)</f>
        <v>138.22</v>
      </c>
    </row>
    <row r="3897" spans="1:2">
      <c r="A3897" s="3">
        <f ca="1">IFERROR(__xludf.DUMMYFUNCTION("""COMPUTED_VALUE"""),44006.6666666666)</f>
        <v>44006.666666666599</v>
      </c>
      <c r="B3897" s="1">
        <f ca="1">IFERROR(__xludf.DUMMYFUNCTION("""COMPUTED_VALUE"""),136.72)</f>
        <v>136.72</v>
      </c>
    </row>
    <row r="3898" spans="1:2">
      <c r="A3898" s="3">
        <f ca="1">IFERROR(__xludf.DUMMYFUNCTION("""COMPUTED_VALUE"""),44007.6666666666)</f>
        <v>44007.666666666599</v>
      </c>
      <c r="B3898" s="1">
        <f ca="1">IFERROR(__xludf.DUMMYFUNCTION("""COMPUTED_VALUE"""),137.73)</f>
        <v>137.72999999999999</v>
      </c>
    </row>
    <row r="3899" spans="1:2">
      <c r="A3899" s="3">
        <f ca="1">IFERROR(__xludf.DUMMYFUNCTION("""COMPUTED_VALUE"""),44008.6666666666)</f>
        <v>44008.666666666599</v>
      </c>
      <c r="B3899" s="1">
        <f ca="1">IFERROR(__xludf.DUMMYFUNCTION("""COMPUTED_VALUE"""),134.64)</f>
        <v>134.63999999999999</v>
      </c>
    </row>
    <row r="3900" spans="1:2">
      <c r="A3900" s="3">
        <f ca="1">IFERROR(__xludf.DUMMYFUNCTION("""COMPUTED_VALUE"""),44011.6666666666)</f>
        <v>44011.666666666599</v>
      </c>
      <c r="B3900" s="1">
        <f ca="1">IFERROR(__xludf.DUMMYFUNCTION("""COMPUTED_VALUE"""),134.02)</f>
        <v>134.02000000000001</v>
      </c>
    </row>
    <row r="3901" spans="1:2">
      <c r="A3901" s="3">
        <f ca="1">IFERROR(__xludf.DUMMYFUNCTION("""COMPUTED_VALUE"""),44012.6666666666)</f>
        <v>44012.666666666599</v>
      </c>
      <c r="B3901" s="1">
        <f ca="1">IFERROR(__xludf.DUMMYFUNCTION("""COMPUTED_VALUE"""),137.94)</f>
        <v>137.94</v>
      </c>
    </row>
    <row r="3902" spans="1:2">
      <c r="A3902" s="3">
        <f ca="1">IFERROR(__xludf.DUMMYFUNCTION("""COMPUTED_VALUE"""),44013.6666666666)</f>
        <v>44013.666666666599</v>
      </c>
      <c r="B3902" s="1">
        <f ca="1">IFERROR(__xludf.DUMMYFUNCTION("""COMPUTED_VALUE"""),143.94)</f>
        <v>143.94</v>
      </c>
    </row>
    <row r="3903" spans="1:2">
      <c r="A3903" s="3">
        <f ca="1">IFERROR(__xludf.DUMMYFUNCTION("""COMPUTED_VALUE"""),44014.6666666666)</f>
        <v>44014.666666666599</v>
      </c>
      <c r="B3903" s="1">
        <f ca="1">IFERROR(__xludf.DUMMYFUNCTION("""COMPUTED_VALUE"""),144.51)</f>
        <v>144.51</v>
      </c>
    </row>
    <row r="3904" spans="1:2">
      <c r="A3904" s="3">
        <f ca="1">IFERROR(__xludf.DUMMYFUNCTION("""COMPUTED_VALUE"""),44018.6666666666)</f>
        <v>44018.666666666599</v>
      </c>
      <c r="B3904" s="1">
        <f ca="1">IFERROR(__xludf.DUMMYFUNCTION("""COMPUTED_VALUE"""),152.85)</f>
        <v>152.85</v>
      </c>
    </row>
    <row r="3905" spans="1:2">
      <c r="A3905" s="3">
        <f ca="1">IFERROR(__xludf.DUMMYFUNCTION("""COMPUTED_VALUE"""),44019.6666666666)</f>
        <v>44019.666666666599</v>
      </c>
      <c r="B3905" s="1">
        <f ca="1">IFERROR(__xludf.DUMMYFUNCTION("""COMPUTED_VALUE"""),150.01)</f>
        <v>150.01</v>
      </c>
    </row>
    <row r="3906" spans="1:2">
      <c r="A3906" s="3">
        <f ca="1">IFERROR(__xludf.DUMMYFUNCTION("""COMPUTED_VALUE"""),44020.6666666666)</f>
        <v>44020.666666666599</v>
      </c>
      <c r="B3906" s="1">
        <f ca="1">IFERROR(__xludf.DUMMYFUNCTION("""COMPUTED_VALUE"""),154.06)</f>
        <v>154.06</v>
      </c>
    </row>
    <row r="3907" spans="1:2">
      <c r="A3907" s="3">
        <f ca="1">IFERROR(__xludf.DUMMYFUNCTION("""COMPUTED_VALUE"""),44021.6666666666)</f>
        <v>44021.666666666599</v>
      </c>
      <c r="B3907" s="1">
        <f ca="1">IFERROR(__xludf.DUMMYFUNCTION("""COMPUTED_VALUE"""),159.13)</f>
        <v>159.13</v>
      </c>
    </row>
    <row r="3908" spans="1:2">
      <c r="A3908" s="3">
        <f ca="1">IFERROR(__xludf.DUMMYFUNCTION("""COMPUTED_VALUE"""),44022.6666666666)</f>
        <v>44022.666666666599</v>
      </c>
      <c r="B3908" s="1">
        <f ca="1">IFERROR(__xludf.DUMMYFUNCTION("""COMPUTED_VALUE"""),160)</f>
        <v>160</v>
      </c>
    </row>
    <row r="3909" spans="1:2">
      <c r="A3909" s="3">
        <f ca="1">IFERROR(__xludf.DUMMYFUNCTION("""COMPUTED_VALUE"""),44025.6666666666)</f>
        <v>44025.666666666599</v>
      </c>
      <c r="B3909" s="1">
        <f ca="1">IFERROR(__xludf.DUMMYFUNCTION("""COMPUTED_VALUE"""),155.2)</f>
        <v>155.19999999999999</v>
      </c>
    </row>
    <row r="3910" spans="1:2">
      <c r="A3910" s="3">
        <f ca="1">IFERROR(__xludf.DUMMYFUNCTION("""COMPUTED_VALUE"""),44026.6666666666)</f>
        <v>44026.666666666599</v>
      </c>
      <c r="B3910" s="1">
        <f ca="1">IFERROR(__xludf.DUMMYFUNCTION("""COMPUTED_VALUE"""),154.2)</f>
        <v>154.19999999999999</v>
      </c>
    </row>
    <row r="3911" spans="1:2">
      <c r="A3911" s="3">
        <f ca="1">IFERROR(__xludf.DUMMYFUNCTION("""COMPUTED_VALUE"""),44027.6666666666)</f>
        <v>44027.666666666599</v>
      </c>
      <c r="B3911" s="1">
        <f ca="1">IFERROR(__xludf.DUMMYFUNCTION("""COMPUTED_VALUE"""),150.44)</f>
        <v>150.44</v>
      </c>
    </row>
    <row r="3912" spans="1:2">
      <c r="A3912" s="3">
        <f ca="1">IFERROR(__xludf.DUMMYFUNCTION("""COMPUTED_VALUE"""),44028.6666666666)</f>
        <v>44028.666666666599</v>
      </c>
      <c r="B3912" s="1">
        <f ca="1">IFERROR(__xludf.DUMMYFUNCTION("""COMPUTED_VALUE"""),150)</f>
        <v>150</v>
      </c>
    </row>
    <row r="3913" spans="1:2">
      <c r="A3913" s="3">
        <f ca="1">IFERROR(__xludf.DUMMYFUNCTION("""COMPUTED_VALUE"""),44029.6666666666)</f>
        <v>44029.666666666599</v>
      </c>
      <c r="B3913" s="1">
        <f ca="1">IFERROR(__xludf.DUMMYFUNCTION("""COMPUTED_VALUE"""),148.1)</f>
        <v>148.1</v>
      </c>
    </row>
    <row r="3914" spans="1:2">
      <c r="A3914" s="3">
        <f ca="1">IFERROR(__xludf.DUMMYFUNCTION("""COMPUTED_VALUE"""),44032.6666666666)</f>
        <v>44032.666666666599</v>
      </c>
      <c r="B3914" s="1">
        <f ca="1">IFERROR(__xludf.DUMMYFUNCTION("""COMPUTED_VALUE"""),159.84)</f>
        <v>159.84</v>
      </c>
    </row>
    <row r="3915" spans="1:2">
      <c r="A3915" s="3">
        <f ca="1">IFERROR(__xludf.DUMMYFUNCTION("""COMPUTED_VALUE"""),44033.6666666666)</f>
        <v>44033.666666666599</v>
      </c>
      <c r="B3915" s="1">
        <f ca="1">IFERROR(__xludf.DUMMYFUNCTION("""COMPUTED_VALUE"""),156.91)</f>
        <v>156.91</v>
      </c>
    </row>
    <row r="3916" spans="1:2">
      <c r="A3916" s="3">
        <f ca="1">IFERROR(__xludf.DUMMYFUNCTION("""COMPUTED_VALUE"""),44034.6666666666)</f>
        <v>44034.666666666599</v>
      </c>
      <c r="B3916" s="1">
        <f ca="1">IFERROR(__xludf.DUMMYFUNCTION("""COMPUTED_VALUE"""),155)</f>
        <v>155</v>
      </c>
    </row>
    <row r="3917" spans="1:2">
      <c r="A3917" s="3">
        <f ca="1">IFERROR(__xludf.DUMMYFUNCTION("""COMPUTED_VALUE"""),44035.6666666666)</f>
        <v>44035.666666666599</v>
      </c>
      <c r="B3917" s="1">
        <f ca="1">IFERROR(__xludf.DUMMYFUNCTION("""COMPUTED_VALUE"""),149.33)</f>
        <v>149.33000000000001</v>
      </c>
    </row>
    <row r="3918" spans="1:2">
      <c r="A3918" s="3">
        <f ca="1">IFERROR(__xludf.DUMMYFUNCTION("""COMPUTED_VALUE"""),44036.6666666666)</f>
        <v>44036.666666666599</v>
      </c>
      <c r="B3918" s="1">
        <f ca="1">IFERROR(__xludf.DUMMYFUNCTION("""COMPUTED_VALUE"""),150.45)</f>
        <v>150.44999999999999</v>
      </c>
    </row>
    <row r="3919" spans="1:2">
      <c r="A3919" s="3">
        <f ca="1">IFERROR(__xludf.DUMMYFUNCTION("""COMPUTED_VALUE"""),44039.6666666666)</f>
        <v>44039.666666666599</v>
      </c>
      <c r="B3919" s="1">
        <f ca="1">IFERROR(__xludf.DUMMYFUNCTION("""COMPUTED_VALUE"""),152.76)</f>
        <v>152.76</v>
      </c>
    </row>
    <row r="3920" spans="1:2">
      <c r="A3920" s="3">
        <f ca="1">IFERROR(__xludf.DUMMYFUNCTION("""COMPUTED_VALUE"""),44040.6666666666)</f>
        <v>44040.666666666599</v>
      </c>
      <c r="B3920" s="1">
        <f ca="1">IFERROR(__xludf.DUMMYFUNCTION("""COMPUTED_VALUE"""),150.02)</f>
        <v>150.02000000000001</v>
      </c>
    </row>
    <row r="3921" spans="1:2">
      <c r="A3921" s="3">
        <f ca="1">IFERROR(__xludf.DUMMYFUNCTION("""COMPUTED_VALUE"""),44041.6666666666)</f>
        <v>44041.666666666599</v>
      </c>
      <c r="B3921" s="1">
        <f ca="1">IFERROR(__xludf.DUMMYFUNCTION("""COMPUTED_VALUE"""),151.68)</f>
        <v>151.68</v>
      </c>
    </row>
    <row r="3922" spans="1:2">
      <c r="A3922" s="3">
        <f ca="1">IFERROR(__xludf.DUMMYFUNCTION("""COMPUTED_VALUE"""),44042.6666666666)</f>
        <v>44042.666666666599</v>
      </c>
      <c r="B3922" s="1">
        <f ca="1">IFERROR(__xludf.DUMMYFUNCTION("""COMPUTED_VALUE"""),152.59)</f>
        <v>152.59</v>
      </c>
    </row>
    <row r="3923" spans="1:2">
      <c r="A3923" s="3">
        <f ca="1">IFERROR(__xludf.DUMMYFUNCTION("""COMPUTED_VALUE"""),44043.6666666666)</f>
        <v>44043.666666666599</v>
      </c>
      <c r="B3923" s="1">
        <f ca="1">IFERROR(__xludf.DUMMYFUNCTION("""COMPUTED_VALUE"""),158.23)</f>
        <v>158.22999999999999</v>
      </c>
    </row>
    <row r="3924" spans="1:2">
      <c r="A3924" s="3">
        <f ca="1">IFERROR(__xludf.DUMMYFUNCTION("""COMPUTED_VALUE"""),44046.6666666666)</f>
        <v>44046.666666666599</v>
      </c>
      <c r="B3924" s="1">
        <f ca="1">IFERROR(__xludf.DUMMYFUNCTION("""COMPUTED_VALUE"""),155.59)</f>
        <v>155.59</v>
      </c>
    </row>
    <row r="3925" spans="1:2">
      <c r="A3925" s="3">
        <f ca="1">IFERROR(__xludf.DUMMYFUNCTION("""COMPUTED_VALUE"""),44047.6666666666)</f>
        <v>44047.666666666599</v>
      </c>
      <c r="B3925" s="1">
        <f ca="1">IFERROR(__xludf.DUMMYFUNCTION("""COMPUTED_VALUE"""),156.94)</f>
        <v>156.94</v>
      </c>
    </row>
    <row r="3926" spans="1:2">
      <c r="A3926" s="3">
        <f ca="1">IFERROR(__xludf.DUMMYFUNCTION("""COMPUTED_VALUE"""),44048.6666666666)</f>
        <v>44048.666666666599</v>
      </c>
      <c r="B3926" s="1">
        <f ca="1">IFERROR(__xludf.DUMMYFUNCTION("""COMPUTED_VALUE"""),160.25)</f>
        <v>160.25</v>
      </c>
    </row>
    <row r="3927" spans="1:2">
      <c r="A3927" s="3">
        <f ca="1">IFERROR(__xludf.DUMMYFUNCTION("""COMPUTED_VALUE"""),44049.6666666666)</f>
        <v>44049.666666666599</v>
      </c>
      <c r="B3927" s="1">
        <f ca="1">IFERROR(__xludf.DUMMYFUNCTION("""COMPUTED_VALUE"""),161.25)</f>
        <v>161.25</v>
      </c>
    </row>
    <row r="3928" spans="1:2">
      <c r="A3928" s="3">
        <f ca="1">IFERROR(__xludf.DUMMYFUNCTION("""COMPUTED_VALUE"""),44050.6666666666)</f>
        <v>44050.666666666599</v>
      </c>
      <c r="B3928" s="1">
        <f ca="1">IFERROR(__xludf.DUMMYFUNCTION("""COMPUTED_VALUE"""),158.37)</f>
        <v>158.37</v>
      </c>
    </row>
    <row r="3929" spans="1:2">
      <c r="A3929" s="3">
        <f ca="1">IFERROR(__xludf.DUMMYFUNCTION("""COMPUTED_VALUE"""),44053.6666666666)</f>
        <v>44053.666666666599</v>
      </c>
      <c r="B3929" s="1">
        <f ca="1">IFERROR(__xludf.DUMMYFUNCTION("""COMPUTED_VALUE"""),157.41)</f>
        <v>157.41</v>
      </c>
    </row>
    <row r="3930" spans="1:2">
      <c r="A3930" s="3">
        <f ca="1">IFERROR(__xludf.DUMMYFUNCTION("""COMPUTED_VALUE"""),44054.6666666666)</f>
        <v>44054.666666666599</v>
      </c>
      <c r="B3930" s="1">
        <f ca="1">IFERROR(__xludf.DUMMYFUNCTION("""COMPUTED_VALUE"""),154.03)</f>
        <v>154.03</v>
      </c>
    </row>
    <row r="3931" spans="1:2">
      <c r="A3931" s="3">
        <f ca="1">IFERROR(__xludf.DUMMYFUNCTION("""COMPUTED_VALUE"""),44055.6666666666)</f>
        <v>44055.666666666599</v>
      </c>
      <c r="B3931" s="1">
        <f ca="1">IFERROR(__xludf.DUMMYFUNCTION("""COMPUTED_VALUE"""),158.11)</f>
        <v>158.11000000000001</v>
      </c>
    </row>
    <row r="3932" spans="1:2">
      <c r="A3932" s="3">
        <f ca="1">IFERROR(__xludf.DUMMYFUNCTION("""COMPUTED_VALUE"""),44056.6666666666)</f>
        <v>44056.666666666599</v>
      </c>
      <c r="B3932" s="1">
        <f ca="1">IFERROR(__xludf.DUMMYFUNCTION("""COMPUTED_VALUE"""),158.05)</f>
        <v>158.05000000000001</v>
      </c>
    </row>
    <row r="3933" spans="1:2">
      <c r="A3933" s="3">
        <f ca="1">IFERROR(__xludf.DUMMYFUNCTION("""COMPUTED_VALUE"""),44057.6666666666)</f>
        <v>44057.666666666599</v>
      </c>
      <c r="B3933" s="1">
        <f ca="1">IFERROR(__xludf.DUMMYFUNCTION("""COMPUTED_VALUE"""),157.4)</f>
        <v>157.4</v>
      </c>
    </row>
    <row r="3934" spans="1:2">
      <c r="A3934" s="3">
        <f ca="1">IFERROR(__xludf.DUMMYFUNCTION("""COMPUTED_VALUE"""),44060.6666666666)</f>
        <v>44060.666666666599</v>
      </c>
      <c r="B3934" s="1">
        <f ca="1">IFERROR(__xludf.DUMMYFUNCTION("""COMPUTED_VALUE"""),159.12)</f>
        <v>159.12</v>
      </c>
    </row>
    <row r="3935" spans="1:2">
      <c r="A3935" s="3">
        <f ca="1">IFERROR(__xludf.DUMMYFUNCTION("""COMPUTED_VALUE"""),44061.6666666666)</f>
        <v>44061.666666666599</v>
      </c>
      <c r="B3935" s="1">
        <f ca="1">IFERROR(__xludf.DUMMYFUNCTION("""COMPUTED_VALUE"""),165.62)</f>
        <v>165.62</v>
      </c>
    </row>
    <row r="3936" spans="1:2">
      <c r="A3936" s="3">
        <f ca="1">IFERROR(__xludf.DUMMYFUNCTION("""COMPUTED_VALUE"""),44062.6666666666)</f>
        <v>44062.666666666599</v>
      </c>
      <c r="B3936" s="1">
        <f ca="1">IFERROR(__xludf.DUMMYFUNCTION("""COMPUTED_VALUE"""),163.02)</f>
        <v>163.02000000000001</v>
      </c>
    </row>
    <row r="3937" spans="1:2">
      <c r="A3937" s="3">
        <f ca="1">IFERROR(__xludf.DUMMYFUNCTION("""COMPUTED_VALUE"""),44063.6666666666)</f>
        <v>44063.666666666599</v>
      </c>
      <c r="B3937" s="1">
        <f ca="1">IFERROR(__xludf.DUMMYFUNCTION("""COMPUTED_VALUE"""),164.87)</f>
        <v>164.87</v>
      </c>
    </row>
    <row r="3938" spans="1:2">
      <c r="A3938" s="3">
        <f ca="1">IFERROR(__xludf.DUMMYFUNCTION("""COMPUTED_VALUE"""),44064.6666666666)</f>
        <v>44064.666666666599</v>
      </c>
      <c r="B3938" s="1">
        <f ca="1">IFERROR(__xludf.DUMMYFUNCTION("""COMPUTED_VALUE"""),164.24)</f>
        <v>164.24</v>
      </c>
    </row>
    <row r="3939" spans="1:2">
      <c r="A3939" s="3">
        <f ca="1">IFERROR(__xludf.DUMMYFUNCTION("""COMPUTED_VALUE"""),44067.6666666666)</f>
        <v>44067.666666666599</v>
      </c>
      <c r="B3939" s="1">
        <f ca="1">IFERROR(__xludf.DUMMYFUNCTION("""COMPUTED_VALUE"""),165.37)</f>
        <v>165.37</v>
      </c>
    </row>
    <row r="3940" spans="1:2">
      <c r="A3940" s="3">
        <f ca="1">IFERROR(__xludf.DUMMYFUNCTION("""COMPUTED_VALUE"""),44068.6666666666)</f>
        <v>44068.666666666599</v>
      </c>
      <c r="B3940" s="1">
        <f ca="1">IFERROR(__xludf.DUMMYFUNCTION("""COMPUTED_VALUE"""),167.32)</f>
        <v>167.32</v>
      </c>
    </row>
    <row r="3941" spans="1:2">
      <c r="A3941" s="3">
        <f ca="1">IFERROR(__xludf.DUMMYFUNCTION("""COMPUTED_VALUE"""),44069.6666666666)</f>
        <v>44069.666666666599</v>
      </c>
      <c r="B3941" s="1">
        <f ca="1">IFERROR(__xludf.DUMMYFUNCTION("""COMPUTED_VALUE"""),172.09)</f>
        <v>172.09</v>
      </c>
    </row>
    <row r="3942" spans="1:2">
      <c r="A3942" s="3">
        <f ca="1">IFERROR(__xludf.DUMMYFUNCTION("""COMPUTED_VALUE"""),44070.6666666666)</f>
        <v>44070.666666666599</v>
      </c>
      <c r="B3942" s="1">
        <f ca="1">IFERROR(__xludf.DUMMYFUNCTION("""COMPUTED_VALUE"""),170)</f>
        <v>170</v>
      </c>
    </row>
    <row r="3943" spans="1:2">
      <c r="A3943" s="3">
        <f ca="1">IFERROR(__xludf.DUMMYFUNCTION("""COMPUTED_VALUE"""),44071.6666666666)</f>
        <v>44071.666666666599</v>
      </c>
      <c r="B3943" s="1">
        <f ca="1">IFERROR(__xludf.DUMMYFUNCTION("""COMPUTED_VALUE"""),170.09)</f>
        <v>170.09</v>
      </c>
    </row>
    <row r="3944" spans="1:2">
      <c r="A3944" s="3">
        <f ca="1">IFERROR(__xludf.DUMMYFUNCTION("""COMPUTED_VALUE"""),44074.6666666666)</f>
        <v>44074.666666666599</v>
      </c>
      <c r="B3944" s="1">
        <f ca="1">IFERROR(__xludf.DUMMYFUNCTION("""COMPUTED_VALUE"""),172.55)</f>
        <v>172.55</v>
      </c>
    </row>
    <row r="3945" spans="1:2">
      <c r="A3945" s="3">
        <f ca="1">IFERROR(__xludf.DUMMYFUNCTION("""COMPUTED_VALUE"""),44075.6666666666)</f>
        <v>44075.666666666599</v>
      </c>
      <c r="B3945" s="1">
        <f ca="1">IFERROR(__xludf.DUMMYFUNCTION("""COMPUTED_VALUE"""),174.96)</f>
        <v>174.96</v>
      </c>
    </row>
    <row r="3946" spans="1:2">
      <c r="A3946" s="3">
        <f ca="1">IFERROR(__xludf.DUMMYFUNCTION("""COMPUTED_VALUE"""),44076.6666666666)</f>
        <v>44076.666666666599</v>
      </c>
      <c r="B3946" s="1">
        <f ca="1">IFERROR(__xludf.DUMMYFUNCTION("""COMPUTED_VALUE"""),176.57)</f>
        <v>176.57</v>
      </c>
    </row>
    <row r="3947" spans="1:2">
      <c r="A3947" s="3">
        <f ca="1">IFERROR(__xludf.DUMMYFUNCTION("""COMPUTED_VALUE"""),44077.6666666666)</f>
        <v>44077.666666666599</v>
      </c>
      <c r="B3947" s="1">
        <f ca="1">IFERROR(__xludf.DUMMYFUNCTION("""COMPUTED_VALUE"""),168.4)</f>
        <v>168.4</v>
      </c>
    </row>
    <row r="3948" spans="1:2">
      <c r="A3948" s="3">
        <f ca="1">IFERROR(__xludf.DUMMYFUNCTION("""COMPUTED_VALUE"""),44078.6666666666)</f>
        <v>44078.666666666599</v>
      </c>
      <c r="B3948" s="1">
        <f ca="1">IFERROR(__xludf.DUMMYFUNCTION("""COMPUTED_VALUE"""),164.73)</f>
        <v>164.73</v>
      </c>
    </row>
    <row r="3949" spans="1:2">
      <c r="A3949" s="3">
        <f ca="1">IFERROR(__xludf.DUMMYFUNCTION("""COMPUTED_VALUE"""),44082.6666666666)</f>
        <v>44082.666666666599</v>
      </c>
      <c r="B3949" s="1">
        <f ca="1">IFERROR(__xludf.DUMMYFUNCTION("""COMPUTED_VALUE"""),157.49)</f>
        <v>157.49</v>
      </c>
    </row>
    <row r="3950" spans="1:2">
      <c r="A3950" s="3">
        <f ca="1">IFERROR(__xludf.DUMMYFUNCTION("""COMPUTED_VALUE"""),44083.6666666666)</f>
        <v>44083.666666666599</v>
      </c>
      <c r="B3950" s="1">
        <f ca="1">IFERROR(__xludf.DUMMYFUNCTION("""COMPUTED_VALUE"""),163.43)</f>
        <v>163.43</v>
      </c>
    </row>
    <row r="3951" spans="1:2">
      <c r="A3951" s="3">
        <f ca="1">IFERROR(__xludf.DUMMYFUNCTION("""COMPUTED_VALUE"""),44084.6666666666)</f>
        <v>44084.666666666599</v>
      </c>
      <c r="B3951" s="1">
        <f ca="1">IFERROR(__xludf.DUMMYFUNCTION("""COMPUTED_VALUE"""),158.76)</f>
        <v>158.76</v>
      </c>
    </row>
    <row r="3952" spans="1:2">
      <c r="A3952" s="3">
        <f ca="1">IFERROR(__xludf.DUMMYFUNCTION("""COMPUTED_VALUE"""),44085.6666666666)</f>
        <v>44085.666666666599</v>
      </c>
      <c r="B3952" s="1">
        <f ca="1">IFERROR(__xludf.DUMMYFUNCTION("""COMPUTED_VALUE"""),155.81)</f>
        <v>155.81</v>
      </c>
    </row>
    <row r="3953" spans="1:2">
      <c r="A3953" s="3">
        <f ca="1">IFERROR(__xludf.DUMMYFUNCTION("""COMPUTED_VALUE"""),44088.6666666666)</f>
        <v>44088.666666666599</v>
      </c>
      <c r="B3953" s="1">
        <f ca="1">IFERROR(__xludf.DUMMYFUNCTION("""COMPUTED_VALUE"""),155.15)</f>
        <v>155.15</v>
      </c>
    </row>
    <row r="3954" spans="1:2">
      <c r="A3954" s="3">
        <f ca="1">IFERROR(__xludf.DUMMYFUNCTION("""COMPUTED_VALUE"""),44089.6666666666)</f>
        <v>44089.666666666599</v>
      </c>
      <c r="B3954" s="1">
        <f ca="1">IFERROR(__xludf.DUMMYFUNCTION("""COMPUTED_VALUE"""),157.81)</f>
        <v>157.81</v>
      </c>
    </row>
    <row r="3955" spans="1:2">
      <c r="A3955" s="3">
        <f ca="1">IFERROR(__xludf.DUMMYFUNCTION("""COMPUTED_VALUE"""),44090.6666666666)</f>
        <v>44090.666666666599</v>
      </c>
      <c r="B3955" s="1">
        <f ca="1">IFERROR(__xludf.DUMMYFUNCTION("""COMPUTED_VALUE"""),153.91)</f>
        <v>153.91</v>
      </c>
    </row>
    <row r="3956" spans="1:2">
      <c r="A3956" s="3">
        <f ca="1">IFERROR(__xludf.DUMMYFUNCTION("""COMPUTED_VALUE"""),44091.6666666666)</f>
        <v>44091.666666666599</v>
      </c>
      <c r="B3956" s="1">
        <f ca="1">IFERROR(__xludf.DUMMYFUNCTION("""COMPUTED_VALUE"""),150.44)</f>
        <v>150.44</v>
      </c>
    </row>
    <row r="3957" spans="1:2">
      <c r="A3957" s="3">
        <f ca="1">IFERROR(__xludf.DUMMYFUNCTION("""COMPUTED_VALUE"""),44092.6666666666)</f>
        <v>44092.666666666599</v>
      </c>
      <c r="B3957" s="1">
        <f ca="1">IFERROR(__xludf.DUMMYFUNCTION("""COMPUTED_VALUE"""),147.75)</f>
        <v>147.75</v>
      </c>
    </row>
    <row r="3958" spans="1:2">
      <c r="A3958" s="3">
        <f ca="1">IFERROR(__xludf.DUMMYFUNCTION("""COMPUTED_VALUE"""),44095.6666666666)</f>
        <v>44095.666666666599</v>
      </c>
      <c r="B3958" s="1">
        <f ca="1">IFERROR(__xludf.DUMMYFUNCTION("""COMPUTED_VALUE"""),148.02)</f>
        <v>148.02000000000001</v>
      </c>
    </row>
    <row r="3959" spans="1:2">
      <c r="A3959" s="3">
        <f ca="1">IFERROR(__xludf.DUMMYFUNCTION("""COMPUTED_VALUE"""),44096.6666666666)</f>
        <v>44096.666666666599</v>
      </c>
      <c r="B3959" s="1">
        <f ca="1">IFERROR(__xludf.DUMMYFUNCTION("""COMPUTED_VALUE"""),156.45)</f>
        <v>156.44999999999999</v>
      </c>
    </row>
    <row r="3960" spans="1:2">
      <c r="A3960" s="3">
        <f ca="1">IFERROR(__xludf.DUMMYFUNCTION("""COMPUTED_VALUE"""),44097.6666666666)</f>
        <v>44097.666666666599</v>
      </c>
      <c r="B3960" s="1">
        <f ca="1">IFERROR(__xludf.DUMMYFUNCTION("""COMPUTED_VALUE"""),149.99)</f>
        <v>149.99</v>
      </c>
    </row>
    <row r="3961" spans="1:2">
      <c r="A3961" s="3">
        <f ca="1">IFERROR(__xludf.DUMMYFUNCTION("""COMPUTED_VALUE"""),44098.6666666666)</f>
        <v>44098.666666666599</v>
      </c>
      <c r="B3961" s="1">
        <f ca="1">IFERROR(__xludf.DUMMYFUNCTION("""COMPUTED_VALUE"""),150.99)</f>
        <v>150.99</v>
      </c>
    </row>
    <row r="3962" spans="1:2">
      <c r="A3962" s="3">
        <f ca="1">IFERROR(__xludf.DUMMYFUNCTION("""COMPUTED_VALUE"""),44099.6666666666)</f>
        <v>44099.666666666599</v>
      </c>
      <c r="B3962" s="1">
        <f ca="1">IFERROR(__xludf.DUMMYFUNCTION("""COMPUTED_VALUE"""),154.76)</f>
        <v>154.76</v>
      </c>
    </row>
    <row r="3963" spans="1:2">
      <c r="A3963" s="3">
        <f ca="1">IFERROR(__xludf.DUMMYFUNCTION("""COMPUTED_VALUE"""),44102.6666666666)</f>
        <v>44102.666666666599</v>
      </c>
      <c r="B3963" s="1">
        <f ca="1">IFERROR(__xludf.DUMMYFUNCTION("""COMPUTED_VALUE"""),158.7)</f>
        <v>158.69999999999999</v>
      </c>
    </row>
    <row r="3964" spans="1:2">
      <c r="A3964" s="3">
        <f ca="1">IFERROR(__xludf.DUMMYFUNCTION("""COMPUTED_VALUE"""),44103.6666666666)</f>
        <v>44103.666666666599</v>
      </c>
      <c r="B3964" s="1">
        <f ca="1">IFERROR(__xludf.DUMMYFUNCTION("""COMPUTED_VALUE"""),157.24)</f>
        <v>157.24</v>
      </c>
    </row>
    <row r="3965" spans="1:2">
      <c r="A3965" s="3">
        <f ca="1">IFERROR(__xludf.DUMMYFUNCTION("""COMPUTED_VALUE"""),44104.6666666666)</f>
        <v>44104.666666666599</v>
      </c>
      <c r="B3965" s="1">
        <f ca="1">IFERROR(__xludf.DUMMYFUNCTION("""COMPUTED_VALUE"""),157.44)</f>
        <v>157.44</v>
      </c>
    </row>
    <row r="3966" spans="1:2">
      <c r="A3966" s="3">
        <f ca="1">IFERROR(__xludf.DUMMYFUNCTION("""COMPUTED_VALUE"""),44105.6666666666)</f>
        <v>44105.666666666599</v>
      </c>
      <c r="B3966" s="1">
        <f ca="1">IFERROR(__xludf.DUMMYFUNCTION("""COMPUTED_VALUE"""),161.06)</f>
        <v>161.06</v>
      </c>
    </row>
    <row r="3967" spans="1:2">
      <c r="A3967" s="3">
        <f ca="1">IFERROR(__xludf.DUMMYFUNCTION("""COMPUTED_VALUE"""),44106.6666666666)</f>
        <v>44106.666666666599</v>
      </c>
      <c r="B3967" s="1">
        <f ca="1">IFERROR(__xludf.DUMMYFUNCTION("""COMPUTED_VALUE"""),156.25)</f>
        <v>156.25</v>
      </c>
    </row>
    <row r="3968" spans="1:2">
      <c r="A3968" s="3">
        <f ca="1">IFERROR(__xludf.DUMMYFUNCTION("""COMPUTED_VALUE"""),44109.6666666666)</f>
        <v>44109.666666666599</v>
      </c>
      <c r="B3968" s="1">
        <f ca="1">IFERROR(__xludf.DUMMYFUNCTION("""COMPUTED_VALUE"""),159.96)</f>
        <v>159.96</v>
      </c>
    </row>
    <row r="3969" spans="1:2">
      <c r="A3969" s="3">
        <f ca="1">IFERROR(__xludf.DUMMYFUNCTION("""COMPUTED_VALUE"""),44110.6666666666)</f>
        <v>44110.666666666599</v>
      </c>
      <c r="B3969" s="1">
        <f ca="1">IFERROR(__xludf.DUMMYFUNCTION("""COMPUTED_VALUE"""),155)</f>
        <v>155</v>
      </c>
    </row>
    <row r="3970" spans="1:2">
      <c r="A3970" s="3">
        <f ca="1">IFERROR(__xludf.DUMMYFUNCTION("""COMPUTED_VALUE"""),44111.6666666666)</f>
        <v>44111.666666666599</v>
      </c>
      <c r="B3970" s="1">
        <f ca="1">IFERROR(__xludf.DUMMYFUNCTION("""COMPUTED_VALUE"""),159.78)</f>
        <v>159.78</v>
      </c>
    </row>
    <row r="3971" spans="1:2">
      <c r="A3971" s="3">
        <f ca="1">IFERROR(__xludf.DUMMYFUNCTION("""COMPUTED_VALUE"""),44112.6666666666)</f>
        <v>44112.666666666599</v>
      </c>
      <c r="B3971" s="1">
        <f ca="1">IFERROR(__xludf.DUMMYFUNCTION("""COMPUTED_VALUE"""),159.53)</f>
        <v>159.53</v>
      </c>
    </row>
    <row r="3972" spans="1:2">
      <c r="A3972" s="3">
        <f ca="1">IFERROR(__xludf.DUMMYFUNCTION("""COMPUTED_VALUE"""),44113.6666666666)</f>
        <v>44113.666666666599</v>
      </c>
      <c r="B3972" s="1">
        <f ca="1">IFERROR(__xludf.DUMMYFUNCTION("""COMPUTED_VALUE"""),164.33)</f>
        <v>164.33</v>
      </c>
    </row>
    <row r="3973" spans="1:2">
      <c r="A3973" s="3">
        <f ca="1">IFERROR(__xludf.DUMMYFUNCTION("""COMPUTED_VALUE"""),44116.6666666666)</f>
        <v>44116.666666666599</v>
      </c>
      <c r="B3973" s="1">
        <f ca="1">IFERROR(__xludf.DUMMYFUNCTION("""COMPUTED_VALUE"""),172.15)</f>
        <v>172.15</v>
      </c>
    </row>
    <row r="3974" spans="1:2">
      <c r="A3974" s="3">
        <f ca="1">IFERROR(__xludf.DUMMYFUNCTION("""COMPUTED_VALUE"""),44117.6666666666)</f>
        <v>44117.666666666599</v>
      </c>
      <c r="B3974" s="1">
        <f ca="1">IFERROR(__xludf.DUMMYFUNCTION("""COMPUTED_VALUE"""),172.18)</f>
        <v>172.18</v>
      </c>
    </row>
    <row r="3975" spans="1:2">
      <c r="A3975" s="3">
        <f ca="1">IFERROR(__xludf.DUMMYFUNCTION("""COMPUTED_VALUE"""),44118.6666666666)</f>
        <v>44118.666666666599</v>
      </c>
      <c r="B3975" s="1">
        <f ca="1">IFERROR(__xludf.DUMMYFUNCTION("""COMPUTED_VALUE"""),168.19)</f>
        <v>168.19</v>
      </c>
    </row>
    <row r="3976" spans="1:2">
      <c r="A3976" s="3">
        <f ca="1">IFERROR(__xludf.DUMMYFUNCTION("""COMPUTED_VALUE"""),44119.6666666666)</f>
        <v>44119.666666666599</v>
      </c>
      <c r="B3976" s="1">
        <f ca="1">IFERROR(__xludf.DUMMYFUNCTION("""COMPUTED_VALUE"""),166.93)</f>
        <v>166.93</v>
      </c>
    </row>
    <row r="3977" spans="1:2">
      <c r="A3977" s="3">
        <f ca="1">IFERROR(__xludf.DUMMYFUNCTION("""COMPUTED_VALUE"""),44120.6666666666)</f>
        <v>44120.666666666599</v>
      </c>
      <c r="B3977" s="1">
        <f ca="1">IFERROR(__xludf.DUMMYFUNCTION("""COMPUTED_VALUE"""),163.64)</f>
        <v>163.63999999999999</v>
      </c>
    </row>
    <row r="3978" spans="1:2">
      <c r="A3978" s="3">
        <f ca="1">IFERROR(__xludf.DUMMYFUNCTION("""COMPUTED_VALUE"""),44123.6666666666)</f>
        <v>44123.666666666599</v>
      </c>
      <c r="B3978" s="1">
        <f ca="1">IFERROR(__xludf.DUMMYFUNCTION("""COMPUTED_VALUE"""),160.36)</f>
        <v>160.36000000000001</v>
      </c>
    </row>
    <row r="3979" spans="1:2">
      <c r="A3979" s="3">
        <f ca="1">IFERROR(__xludf.DUMMYFUNCTION("""COMPUTED_VALUE"""),44124.6666666666)</f>
        <v>44124.666666666599</v>
      </c>
      <c r="B3979" s="1">
        <f ca="1">IFERROR(__xludf.DUMMYFUNCTION("""COMPUTED_VALUE"""),160.85)</f>
        <v>160.85</v>
      </c>
    </row>
    <row r="3980" spans="1:2">
      <c r="A3980" s="3">
        <f ca="1">IFERROR(__xludf.DUMMYFUNCTION("""COMPUTED_VALUE"""),44125.6666666666)</f>
        <v>44125.666666666599</v>
      </c>
      <c r="B3980" s="1">
        <f ca="1">IFERROR(__xludf.DUMMYFUNCTION("""COMPUTED_VALUE"""),159.25)</f>
        <v>159.25</v>
      </c>
    </row>
    <row r="3981" spans="1:2">
      <c r="A3981" s="3">
        <f ca="1">IFERROR(__xludf.DUMMYFUNCTION("""COMPUTED_VALUE"""),44126.6666666666)</f>
        <v>44126.666666666599</v>
      </c>
      <c r="B3981" s="1">
        <f ca="1">IFERROR(__xludf.DUMMYFUNCTION("""COMPUTED_VALUE"""),158.82)</f>
        <v>158.82</v>
      </c>
    </row>
    <row r="3982" spans="1:2">
      <c r="A3982" s="3">
        <f ca="1">IFERROR(__xludf.DUMMYFUNCTION("""COMPUTED_VALUE"""),44127.6666666666)</f>
        <v>44127.666666666599</v>
      </c>
      <c r="B3982" s="1">
        <f ca="1">IFERROR(__xludf.DUMMYFUNCTION("""COMPUTED_VALUE"""),160.22)</f>
        <v>160.22</v>
      </c>
    </row>
    <row r="3983" spans="1:2">
      <c r="A3983" s="3">
        <f ca="1">IFERROR(__xludf.DUMMYFUNCTION("""COMPUTED_VALUE"""),44130.6666666666)</f>
        <v>44130.666666666599</v>
      </c>
      <c r="B3983" s="1">
        <f ca="1">IFERROR(__xludf.DUMMYFUNCTION("""COMPUTED_VALUE"""),160.35)</f>
        <v>160.35</v>
      </c>
    </row>
    <row r="3984" spans="1:2">
      <c r="A3984" s="3">
        <f ca="1">IFERROR(__xludf.DUMMYFUNCTION("""COMPUTED_VALUE"""),44131.6666666666)</f>
        <v>44131.666666666599</v>
      </c>
      <c r="B3984" s="1">
        <f ca="1">IFERROR(__xludf.DUMMYFUNCTION("""COMPUTED_VALUE"""),164.32)</f>
        <v>164.32</v>
      </c>
    </row>
    <row r="3985" spans="1:2">
      <c r="A3985" s="3">
        <f ca="1">IFERROR(__xludf.DUMMYFUNCTION("""COMPUTED_VALUE"""),44132.6666666666)</f>
        <v>44132.666666666599</v>
      </c>
      <c r="B3985" s="1">
        <f ca="1">IFERROR(__xludf.DUMMYFUNCTION("""COMPUTED_VALUE"""),158.14)</f>
        <v>158.13999999999999</v>
      </c>
    </row>
    <row r="3986" spans="1:2">
      <c r="A3986" s="3">
        <f ca="1">IFERROR(__xludf.DUMMYFUNCTION("""COMPUTED_VALUE"""),44133.6666666666)</f>
        <v>44133.666666666599</v>
      </c>
      <c r="B3986" s="1">
        <f ca="1">IFERROR(__xludf.DUMMYFUNCTION("""COMPUTED_VALUE"""),160.55)</f>
        <v>160.55000000000001</v>
      </c>
    </row>
    <row r="3987" spans="1:2">
      <c r="A3987" s="3">
        <f ca="1">IFERROR(__xludf.DUMMYFUNCTION("""COMPUTED_VALUE"""),44134.6666666666)</f>
        <v>44134.666666666599</v>
      </c>
      <c r="B3987" s="1">
        <f ca="1">IFERROR(__xludf.DUMMYFUNCTION("""COMPUTED_VALUE"""),151.81)</f>
        <v>151.81</v>
      </c>
    </row>
    <row r="3988" spans="1:2">
      <c r="A3988" s="3">
        <f ca="1">IFERROR(__xludf.DUMMYFUNCTION("""COMPUTED_VALUE"""),44137.6666666666)</f>
        <v>44137.666666666599</v>
      </c>
      <c r="B3988" s="1">
        <f ca="1">IFERROR(__xludf.DUMMYFUNCTION("""COMPUTED_VALUE"""),150.22)</f>
        <v>150.22</v>
      </c>
    </row>
    <row r="3989" spans="1:2">
      <c r="A3989" s="3">
        <f ca="1">IFERROR(__xludf.DUMMYFUNCTION("""COMPUTED_VALUE"""),44138.6666666666)</f>
        <v>44138.666666666599</v>
      </c>
      <c r="B3989" s="1">
        <f ca="1">IFERROR(__xludf.DUMMYFUNCTION("""COMPUTED_VALUE"""),152.42)</f>
        <v>152.41999999999999</v>
      </c>
    </row>
    <row r="3990" spans="1:2">
      <c r="A3990" s="3">
        <f ca="1">IFERROR(__xludf.DUMMYFUNCTION("""COMPUTED_VALUE"""),44139.6666666666)</f>
        <v>44139.666666666599</v>
      </c>
      <c r="B3990" s="1">
        <f ca="1">IFERROR(__xludf.DUMMYFUNCTION("""COMPUTED_VALUE"""),162.06)</f>
        <v>162.06</v>
      </c>
    </row>
    <row r="3991" spans="1:2">
      <c r="A3991" s="3">
        <f ca="1">IFERROR(__xludf.DUMMYFUNCTION("""COMPUTED_VALUE"""),44140.6666666666)</f>
        <v>44140.666666666599</v>
      </c>
      <c r="B3991" s="1">
        <f ca="1">IFERROR(__xludf.DUMMYFUNCTION("""COMPUTED_VALUE"""),166.1)</f>
        <v>166.1</v>
      </c>
    </row>
    <row r="3992" spans="1:2">
      <c r="A3992" s="3">
        <f ca="1">IFERROR(__xludf.DUMMYFUNCTION("""COMPUTED_VALUE"""),44141.6666666666)</f>
        <v>44141.666666666599</v>
      </c>
      <c r="B3992" s="1">
        <f ca="1">IFERROR(__xludf.DUMMYFUNCTION("""COMPUTED_VALUE"""),165.57)</f>
        <v>165.57</v>
      </c>
    </row>
    <row r="3993" spans="1:2">
      <c r="A3993" s="3">
        <f ca="1">IFERROR(__xludf.DUMMYFUNCTION("""COMPUTED_VALUE"""),44144.6666666666)</f>
        <v>44144.666666666599</v>
      </c>
      <c r="B3993" s="1">
        <f ca="1">IFERROR(__xludf.DUMMYFUNCTION("""COMPUTED_VALUE"""),157.19)</f>
        <v>157.19</v>
      </c>
    </row>
    <row r="3994" spans="1:2">
      <c r="A3994" s="3">
        <f ca="1">IFERROR(__xludf.DUMMYFUNCTION("""COMPUTED_VALUE"""),44145.6666666666)</f>
        <v>44145.666666666599</v>
      </c>
      <c r="B3994" s="1">
        <f ca="1">IFERROR(__xludf.DUMMYFUNCTION("""COMPUTED_VALUE"""),151.75)</f>
        <v>151.75</v>
      </c>
    </row>
    <row r="3995" spans="1:2">
      <c r="A3995" s="3">
        <f ca="1">IFERROR(__xludf.DUMMYFUNCTION("""COMPUTED_VALUE"""),44146.6666666666)</f>
        <v>44146.666666666599</v>
      </c>
      <c r="B3995" s="1">
        <f ca="1">IFERROR(__xludf.DUMMYFUNCTION("""COMPUTED_VALUE"""),156.87)</f>
        <v>156.87</v>
      </c>
    </row>
    <row r="3996" spans="1:2">
      <c r="A3996" s="3">
        <f ca="1">IFERROR(__xludf.DUMMYFUNCTION("""COMPUTED_VALUE"""),44147.6666666666)</f>
        <v>44147.666666666599</v>
      </c>
      <c r="B3996" s="1">
        <f ca="1">IFERROR(__xludf.DUMMYFUNCTION("""COMPUTED_VALUE"""),155.51)</f>
        <v>155.51</v>
      </c>
    </row>
    <row r="3997" spans="1:2">
      <c r="A3997" s="3">
        <f ca="1">IFERROR(__xludf.DUMMYFUNCTION("""COMPUTED_VALUE"""),44148.6666666666)</f>
        <v>44148.666666666599</v>
      </c>
      <c r="B3997" s="1">
        <f ca="1">IFERROR(__xludf.DUMMYFUNCTION("""COMPUTED_VALUE"""),156.44)</f>
        <v>156.44</v>
      </c>
    </row>
    <row r="3998" spans="1:2">
      <c r="A3998" s="3">
        <f ca="1">IFERROR(__xludf.DUMMYFUNCTION("""COMPUTED_VALUE"""),44151.6666666666)</f>
        <v>44151.666666666599</v>
      </c>
      <c r="B3998" s="1">
        <f ca="1">IFERROR(__xludf.DUMMYFUNCTION("""COMPUTED_VALUE"""),156.55)</f>
        <v>156.55000000000001</v>
      </c>
    </row>
    <row r="3999" spans="1:2">
      <c r="A3999" s="3">
        <f ca="1">IFERROR(__xludf.DUMMYFUNCTION("""COMPUTED_VALUE"""),44152.6666666666)</f>
        <v>44152.666666666599</v>
      </c>
      <c r="B3999" s="1">
        <f ca="1">IFERROR(__xludf.DUMMYFUNCTION("""COMPUTED_VALUE"""),156.78)</f>
        <v>156.78</v>
      </c>
    </row>
    <row r="4000" spans="1:2">
      <c r="A4000" s="3">
        <f ca="1">IFERROR(__xludf.DUMMYFUNCTION("""COMPUTED_VALUE"""),44153.6666666666)</f>
        <v>44153.666666666599</v>
      </c>
      <c r="B4000" s="1">
        <f ca="1">IFERROR(__xludf.DUMMYFUNCTION("""COMPUTED_VALUE"""),155.27)</f>
        <v>155.27000000000001</v>
      </c>
    </row>
    <row r="4001" spans="1:2">
      <c r="A4001" s="3">
        <f ca="1">IFERROR(__xludf.DUMMYFUNCTION("""COMPUTED_VALUE"""),44154.6666666666)</f>
        <v>44154.666666666599</v>
      </c>
      <c r="B4001" s="1">
        <f ca="1">IFERROR(__xludf.DUMMYFUNCTION("""COMPUTED_VALUE"""),155.85)</f>
        <v>155.85</v>
      </c>
    </row>
    <row r="4002" spans="1:2">
      <c r="A4002" s="3">
        <f ca="1">IFERROR(__xludf.DUMMYFUNCTION("""COMPUTED_VALUE"""),44155.6666666666)</f>
        <v>44155.666666666599</v>
      </c>
      <c r="B4002" s="1">
        <f ca="1">IFERROR(__xludf.DUMMYFUNCTION("""COMPUTED_VALUE"""),154.97)</f>
        <v>154.97</v>
      </c>
    </row>
    <row r="4003" spans="1:2">
      <c r="A4003" s="3">
        <f ca="1">IFERROR(__xludf.DUMMYFUNCTION("""COMPUTED_VALUE"""),44158.6666666666)</f>
        <v>44158.666666666599</v>
      </c>
      <c r="B4003" s="1">
        <f ca="1">IFERROR(__xludf.DUMMYFUNCTION("""COMPUTED_VALUE"""),154.92)</f>
        <v>154.91999999999999</v>
      </c>
    </row>
    <row r="4004" spans="1:2">
      <c r="A4004" s="3">
        <f ca="1">IFERROR(__xludf.DUMMYFUNCTION("""COMPUTED_VALUE"""),44159.6666666666)</f>
        <v>44159.666666666599</v>
      </c>
      <c r="B4004" s="1">
        <f ca="1">IFERROR(__xludf.DUMMYFUNCTION("""COMPUTED_VALUE"""),155.9)</f>
        <v>155.9</v>
      </c>
    </row>
    <row r="4005" spans="1:2">
      <c r="A4005" s="3">
        <f ca="1">IFERROR(__xludf.DUMMYFUNCTION("""COMPUTED_VALUE"""),44160.6666666666)</f>
        <v>44160.666666666599</v>
      </c>
      <c r="B4005" s="1">
        <f ca="1">IFERROR(__xludf.DUMMYFUNCTION("""COMPUTED_VALUE"""),159.25)</f>
        <v>159.25</v>
      </c>
    </row>
    <row r="4006" spans="1:2">
      <c r="A4006" s="3">
        <f ca="1">IFERROR(__xludf.DUMMYFUNCTION("""COMPUTED_VALUE"""),44162.5416666666)</f>
        <v>44162.541666666599</v>
      </c>
      <c r="B4006" s="1">
        <f ca="1">IFERROR(__xludf.DUMMYFUNCTION("""COMPUTED_VALUE"""),159.77)</f>
        <v>159.77000000000001</v>
      </c>
    </row>
    <row r="4007" spans="1:2">
      <c r="A4007" s="3">
        <f ca="1">IFERROR(__xludf.DUMMYFUNCTION("""COMPUTED_VALUE"""),44165.6666666666)</f>
        <v>44165.666666666599</v>
      </c>
      <c r="B4007" s="1">
        <f ca="1">IFERROR(__xludf.DUMMYFUNCTION("""COMPUTED_VALUE"""),158.4)</f>
        <v>158.4</v>
      </c>
    </row>
    <row r="4008" spans="1:2">
      <c r="A4008" s="3">
        <f ca="1">IFERROR(__xludf.DUMMYFUNCTION("""COMPUTED_VALUE"""),44166.6666666666)</f>
        <v>44166.666666666599</v>
      </c>
      <c r="B4008" s="1">
        <f ca="1">IFERROR(__xludf.DUMMYFUNCTION("""COMPUTED_VALUE"""),161)</f>
        <v>161</v>
      </c>
    </row>
    <row r="4009" spans="1:2">
      <c r="A4009" s="3">
        <f ca="1">IFERROR(__xludf.DUMMYFUNCTION("""COMPUTED_VALUE"""),44167.6666666666)</f>
        <v>44167.666666666599</v>
      </c>
      <c r="B4009" s="1">
        <f ca="1">IFERROR(__xludf.DUMMYFUNCTION("""COMPUTED_VALUE"""),160.18)</f>
        <v>160.18</v>
      </c>
    </row>
    <row r="4010" spans="1:2">
      <c r="A4010" s="3">
        <f ca="1">IFERROR(__xludf.DUMMYFUNCTION("""COMPUTED_VALUE"""),44168.6666666666)</f>
        <v>44168.666666666599</v>
      </c>
      <c r="B4010" s="1">
        <f ca="1">IFERROR(__xludf.DUMMYFUNCTION("""COMPUTED_VALUE"""),159.34)</f>
        <v>159.34</v>
      </c>
    </row>
    <row r="4011" spans="1:2">
      <c r="A4011" s="3">
        <f ca="1">IFERROR(__xludf.DUMMYFUNCTION("""COMPUTED_VALUE"""),44169.6666666666)</f>
        <v>44169.666666666599</v>
      </c>
      <c r="B4011" s="1">
        <f ca="1">IFERROR(__xludf.DUMMYFUNCTION("""COMPUTED_VALUE"""),158.13)</f>
        <v>158.13</v>
      </c>
    </row>
    <row r="4012" spans="1:2">
      <c r="A4012" s="3">
        <f ca="1">IFERROR(__xludf.DUMMYFUNCTION("""COMPUTED_VALUE"""),44172.6666666666)</f>
        <v>44172.666666666599</v>
      </c>
      <c r="B4012" s="1">
        <f ca="1">IFERROR(__xludf.DUMMYFUNCTION("""COMPUTED_VALUE"""),157.9)</f>
        <v>157.9</v>
      </c>
    </row>
    <row r="4013" spans="1:2">
      <c r="A4013" s="3">
        <f ca="1">IFERROR(__xludf.DUMMYFUNCTION("""COMPUTED_VALUE"""),44173.6666666666)</f>
        <v>44173.666666666599</v>
      </c>
      <c r="B4013" s="1">
        <f ca="1">IFERROR(__xludf.DUMMYFUNCTION("""COMPUTED_VALUE"""),158.86)</f>
        <v>158.86000000000001</v>
      </c>
    </row>
    <row r="4014" spans="1:2">
      <c r="A4014" s="3">
        <f ca="1">IFERROR(__xludf.DUMMYFUNCTION("""COMPUTED_VALUE"""),44174.6666666666)</f>
        <v>44174.666666666599</v>
      </c>
      <c r="B4014" s="1">
        <f ca="1">IFERROR(__xludf.DUMMYFUNCTION("""COMPUTED_VALUE"""),155.21)</f>
        <v>155.21</v>
      </c>
    </row>
    <row r="4015" spans="1:2">
      <c r="A4015" s="3">
        <f ca="1">IFERROR(__xludf.DUMMYFUNCTION("""COMPUTED_VALUE"""),44175.6666666666)</f>
        <v>44175.666666666599</v>
      </c>
      <c r="B4015" s="1">
        <f ca="1">IFERROR(__xludf.DUMMYFUNCTION("""COMPUTED_VALUE"""),155.07)</f>
        <v>155.07</v>
      </c>
    </row>
    <row r="4016" spans="1:2">
      <c r="A4016" s="3">
        <f ca="1">IFERROR(__xludf.DUMMYFUNCTION("""COMPUTED_VALUE"""),44176.6666666666)</f>
        <v>44176.666666666599</v>
      </c>
      <c r="B4016" s="1">
        <f ca="1">IFERROR(__xludf.DUMMYFUNCTION("""COMPUTED_VALUE"""),155.82)</f>
        <v>155.82</v>
      </c>
    </row>
    <row r="4017" spans="1:2">
      <c r="A4017" s="3">
        <f ca="1">IFERROR(__xludf.DUMMYFUNCTION("""COMPUTED_VALUE"""),44179.6666666666)</f>
        <v>44179.666666666599</v>
      </c>
      <c r="B4017" s="1">
        <f ca="1">IFERROR(__xludf.DUMMYFUNCTION("""COMPUTED_VALUE"""),157.85)</f>
        <v>157.85</v>
      </c>
    </row>
    <row r="4018" spans="1:2">
      <c r="A4018" s="3">
        <f ca="1">IFERROR(__xludf.DUMMYFUNCTION("""COMPUTED_VALUE"""),44180.6666666666)</f>
        <v>44180.666666666599</v>
      </c>
      <c r="B4018" s="1">
        <f ca="1">IFERROR(__xludf.DUMMYFUNCTION("""COMPUTED_VALUE"""),158.26)</f>
        <v>158.26</v>
      </c>
    </row>
    <row r="4019" spans="1:2">
      <c r="A4019" s="3">
        <f ca="1">IFERROR(__xludf.DUMMYFUNCTION("""COMPUTED_VALUE"""),44181.6666666666)</f>
        <v>44181.666666666599</v>
      </c>
      <c r="B4019" s="1">
        <f ca="1">IFERROR(__xludf.DUMMYFUNCTION("""COMPUTED_VALUE"""),162.05)</f>
        <v>162.05000000000001</v>
      </c>
    </row>
    <row r="4020" spans="1:2">
      <c r="A4020" s="3">
        <f ca="1">IFERROR(__xludf.DUMMYFUNCTION("""COMPUTED_VALUE"""),44182.6666666666)</f>
        <v>44182.666666666599</v>
      </c>
      <c r="B4020" s="1">
        <f ca="1">IFERROR(__xludf.DUMMYFUNCTION("""COMPUTED_VALUE"""),161.8)</f>
        <v>161.80000000000001</v>
      </c>
    </row>
    <row r="4021" spans="1:2">
      <c r="A4021" s="3">
        <f ca="1">IFERROR(__xludf.DUMMYFUNCTION("""COMPUTED_VALUE"""),44183.6666666666)</f>
        <v>44183.666666666599</v>
      </c>
      <c r="B4021" s="1">
        <f ca="1">IFERROR(__xludf.DUMMYFUNCTION("""COMPUTED_VALUE"""),160.08)</f>
        <v>160.08000000000001</v>
      </c>
    </row>
    <row r="4022" spans="1:2">
      <c r="A4022" s="3">
        <f ca="1">IFERROR(__xludf.DUMMYFUNCTION("""COMPUTED_VALUE"""),44186.6666666666)</f>
        <v>44186.666666666599</v>
      </c>
      <c r="B4022" s="1">
        <f ca="1">IFERROR(__xludf.DUMMYFUNCTION("""COMPUTED_VALUE"""),160.31)</f>
        <v>160.31</v>
      </c>
    </row>
    <row r="4023" spans="1:2">
      <c r="A4023" s="3">
        <f ca="1">IFERROR(__xludf.DUMMYFUNCTION("""COMPUTED_VALUE"""),44187.6666666666)</f>
        <v>44187.666666666599</v>
      </c>
      <c r="B4023" s="1">
        <f ca="1">IFERROR(__xludf.DUMMYFUNCTION("""COMPUTED_VALUE"""),160.33)</f>
        <v>160.33000000000001</v>
      </c>
    </row>
    <row r="4024" spans="1:2">
      <c r="A4024" s="3">
        <f ca="1">IFERROR(__xludf.DUMMYFUNCTION("""COMPUTED_VALUE"""),44188.6666666666)</f>
        <v>44188.666666666599</v>
      </c>
      <c r="B4024" s="1">
        <f ca="1">IFERROR(__xludf.DUMMYFUNCTION("""COMPUTED_VALUE"""),159.26)</f>
        <v>159.26</v>
      </c>
    </row>
    <row r="4025" spans="1:2">
      <c r="A4025" s="3">
        <f ca="1">IFERROR(__xludf.DUMMYFUNCTION("""COMPUTED_VALUE"""),44189.5416666666)</f>
        <v>44189.541666666599</v>
      </c>
      <c r="B4025" s="1">
        <f ca="1">IFERROR(__xludf.DUMMYFUNCTION("""COMPUTED_VALUE"""),158.63)</f>
        <v>158.63</v>
      </c>
    </row>
    <row r="4026" spans="1:2">
      <c r="A4026" s="3">
        <f ca="1">IFERROR(__xludf.DUMMYFUNCTION("""COMPUTED_VALUE"""),44193.6666666666)</f>
        <v>44193.666666666599</v>
      </c>
      <c r="B4026" s="1">
        <f ca="1">IFERROR(__xludf.DUMMYFUNCTION("""COMPUTED_VALUE"""),164.2)</f>
        <v>164.2</v>
      </c>
    </row>
    <row r="4027" spans="1:2">
      <c r="A4027" s="3">
        <f ca="1">IFERROR(__xludf.DUMMYFUNCTION("""COMPUTED_VALUE"""),44194.6666666666)</f>
        <v>44194.666666666599</v>
      </c>
      <c r="B4027" s="1">
        <f ca="1">IFERROR(__xludf.DUMMYFUNCTION("""COMPUTED_VALUE"""),166.1)</f>
        <v>166.1</v>
      </c>
    </row>
    <row r="4028" spans="1:2">
      <c r="A4028" s="3">
        <f ca="1">IFERROR(__xludf.DUMMYFUNCTION("""COMPUTED_VALUE"""),44195.6666666666)</f>
        <v>44195.666666666599</v>
      </c>
      <c r="B4028" s="1">
        <f ca="1">IFERROR(__xludf.DUMMYFUNCTION("""COMPUTED_VALUE"""),164.29)</f>
        <v>164.29</v>
      </c>
    </row>
    <row r="4029" spans="1:2">
      <c r="A4029" s="3">
        <f ca="1">IFERROR(__xludf.DUMMYFUNCTION("""COMPUTED_VALUE"""),44196.6666666666)</f>
        <v>44196.666666666599</v>
      </c>
      <c r="B4029" s="1">
        <f ca="1">IFERROR(__xludf.DUMMYFUNCTION("""COMPUTED_VALUE"""),162.85)</f>
        <v>162.85</v>
      </c>
    </row>
    <row r="4030" spans="1:2">
      <c r="A4030" s="3">
        <f ca="1">IFERROR(__xludf.DUMMYFUNCTION("""COMPUTED_VALUE"""),44200.6666666666)</f>
        <v>44200.666666666599</v>
      </c>
      <c r="B4030" s="1">
        <f ca="1">IFERROR(__xludf.DUMMYFUNCTION("""COMPUTED_VALUE"""),159.33)</f>
        <v>159.33000000000001</v>
      </c>
    </row>
    <row r="4031" spans="1:2">
      <c r="A4031" s="3">
        <f ca="1">IFERROR(__xludf.DUMMYFUNCTION("""COMPUTED_VALUE"""),44201.6666666666)</f>
        <v>44201.666666666599</v>
      </c>
      <c r="B4031" s="1">
        <f ca="1">IFERROR(__xludf.DUMMYFUNCTION("""COMPUTED_VALUE"""),160.93)</f>
        <v>160.93</v>
      </c>
    </row>
    <row r="4032" spans="1:2">
      <c r="A4032" s="3">
        <f ca="1">IFERROR(__xludf.DUMMYFUNCTION("""COMPUTED_VALUE"""),44202.6666666666)</f>
        <v>44202.666666666599</v>
      </c>
      <c r="B4032" s="1">
        <f ca="1">IFERROR(__xludf.DUMMYFUNCTION("""COMPUTED_VALUE"""),156.92)</f>
        <v>156.91999999999999</v>
      </c>
    </row>
    <row r="4033" spans="1:2">
      <c r="A4033" s="3">
        <f ca="1">IFERROR(__xludf.DUMMYFUNCTION("""COMPUTED_VALUE"""),44203.6666666666)</f>
        <v>44203.666666666599</v>
      </c>
      <c r="B4033" s="1">
        <f ca="1">IFERROR(__xludf.DUMMYFUNCTION("""COMPUTED_VALUE"""),158.11)</f>
        <v>158.11000000000001</v>
      </c>
    </row>
    <row r="4034" spans="1:2">
      <c r="A4034" s="3">
        <f ca="1">IFERROR(__xludf.DUMMYFUNCTION("""COMPUTED_VALUE"""),44204.6666666666)</f>
        <v>44204.666666666599</v>
      </c>
      <c r="B4034" s="1">
        <f ca="1">IFERROR(__xludf.DUMMYFUNCTION("""COMPUTED_VALUE"""),159.14)</f>
        <v>159.13999999999999</v>
      </c>
    </row>
    <row r="4035" spans="1:2">
      <c r="A4035" s="3">
        <f ca="1">IFERROR(__xludf.DUMMYFUNCTION("""COMPUTED_VALUE"""),44207.6666666666)</f>
        <v>44207.666666666599</v>
      </c>
      <c r="B4035" s="1">
        <f ca="1">IFERROR(__xludf.DUMMYFUNCTION("""COMPUTED_VALUE"""),155.71)</f>
        <v>155.71</v>
      </c>
    </row>
    <row r="4036" spans="1:2">
      <c r="A4036" s="3">
        <f ca="1">IFERROR(__xludf.DUMMYFUNCTION("""COMPUTED_VALUE"""),44208.6666666666)</f>
        <v>44208.666666666599</v>
      </c>
      <c r="B4036" s="1">
        <f ca="1">IFERROR(__xludf.DUMMYFUNCTION("""COMPUTED_VALUE"""),156.04)</f>
        <v>156.04</v>
      </c>
    </row>
    <row r="4037" spans="1:2">
      <c r="A4037" s="3">
        <f ca="1">IFERROR(__xludf.DUMMYFUNCTION("""COMPUTED_VALUE"""),44209.6666666666)</f>
        <v>44209.666666666599</v>
      </c>
      <c r="B4037" s="1">
        <f ca="1">IFERROR(__xludf.DUMMYFUNCTION("""COMPUTED_VALUE"""),158.29)</f>
        <v>158.29</v>
      </c>
    </row>
    <row r="4038" spans="1:2">
      <c r="A4038" s="3">
        <f ca="1">IFERROR(__xludf.DUMMYFUNCTION("""COMPUTED_VALUE"""),44210.6666666666)</f>
        <v>44210.666666666599</v>
      </c>
      <c r="B4038" s="1">
        <f ca="1">IFERROR(__xludf.DUMMYFUNCTION("""COMPUTED_VALUE"""),156.37)</f>
        <v>156.37</v>
      </c>
    </row>
    <row r="4039" spans="1:2">
      <c r="A4039" s="3">
        <f ca="1">IFERROR(__xludf.DUMMYFUNCTION("""COMPUTED_VALUE"""),44211.6666666666)</f>
        <v>44211.666666666599</v>
      </c>
      <c r="B4039" s="1">
        <f ca="1">IFERROR(__xludf.DUMMYFUNCTION("""COMPUTED_VALUE"""),155.21)</f>
        <v>155.21</v>
      </c>
    </row>
    <row r="4040" spans="1:2">
      <c r="A4040" s="3">
        <f ca="1">IFERROR(__xludf.DUMMYFUNCTION("""COMPUTED_VALUE"""),44215.6666666666)</f>
        <v>44215.666666666599</v>
      </c>
      <c r="B4040" s="1">
        <f ca="1">IFERROR(__xludf.DUMMYFUNCTION("""COMPUTED_VALUE"""),156.04)</f>
        <v>156.04</v>
      </c>
    </row>
    <row r="4041" spans="1:2">
      <c r="A4041" s="3">
        <f ca="1">IFERROR(__xludf.DUMMYFUNCTION("""COMPUTED_VALUE"""),44216.6666666666)</f>
        <v>44216.666666666599</v>
      </c>
      <c r="B4041" s="1">
        <f ca="1">IFERROR(__xludf.DUMMYFUNCTION("""COMPUTED_VALUE"""),163.17)</f>
        <v>163.16999999999999</v>
      </c>
    </row>
    <row r="4042" spans="1:2">
      <c r="A4042" s="3">
        <f ca="1">IFERROR(__xludf.DUMMYFUNCTION("""COMPUTED_VALUE"""),44217.6666666666)</f>
        <v>44217.666666666599</v>
      </c>
      <c r="B4042" s="1">
        <f ca="1">IFERROR(__xludf.DUMMYFUNCTION("""COMPUTED_VALUE"""),165.35)</f>
        <v>165.35</v>
      </c>
    </row>
    <row r="4043" spans="1:2">
      <c r="A4043" s="3">
        <f ca="1">IFERROR(__xludf.DUMMYFUNCTION("""COMPUTED_VALUE"""),44218.6666666666)</f>
        <v>44218.666666666599</v>
      </c>
      <c r="B4043" s="1">
        <f ca="1">IFERROR(__xludf.DUMMYFUNCTION("""COMPUTED_VALUE"""),164.61)</f>
        <v>164.61</v>
      </c>
    </row>
    <row r="4044" spans="1:2">
      <c r="A4044" s="3">
        <f ca="1">IFERROR(__xludf.DUMMYFUNCTION("""COMPUTED_VALUE"""),44221.6666666666)</f>
        <v>44221.666666666599</v>
      </c>
      <c r="B4044" s="1">
        <f ca="1">IFERROR(__xludf.DUMMYFUNCTION("""COMPUTED_VALUE"""),164.7)</f>
        <v>164.7</v>
      </c>
    </row>
    <row r="4045" spans="1:2">
      <c r="A4045" s="3">
        <f ca="1">IFERROR(__xludf.DUMMYFUNCTION("""COMPUTED_VALUE"""),44222.6666666666)</f>
        <v>44222.666666666599</v>
      </c>
      <c r="B4045" s="1">
        <f ca="1">IFERROR(__xludf.DUMMYFUNCTION("""COMPUTED_VALUE"""),166.31)</f>
        <v>166.31</v>
      </c>
    </row>
    <row r="4046" spans="1:2">
      <c r="A4046" s="3">
        <f ca="1">IFERROR(__xludf.DUMMYFUNCTION("""COMPUTED_VALUE"""),44223.6666666666)</f>
        <v>44223.666666666599</v>
      </c>
      <c r="B4046" s="1">
        <f ca="1">IFERROR(__xludf.DUMMYFUNCTION("""COMPUTED_VALUE"""),161.63)</f>
        <v>161.63</v>
      </c>
    </row>
    <row r="4047" spans="1:2">
      <c r="A4047" s="3">
        <f ca="1">IFERROR(__xludf.DUMMYFUNCTION("""COMPUTED_VALUE"""),44224.6666666666)</f>
        <v>44224.666666666599</v>
      </c>
      <c r="B4047" s="1">
        <f ca="1">IFERROR(__xludf.DUMMYFUNCTION("""COMPUTED_VALUE"""),161.88)</f>
        <v>161.88</v>
      </c>
    </row>
    <row r="4048" spans="1:2">
      <c r="A4048" s="3">
        <f ca="1">IFERROR(__xludf.DUMMYFUNCTION("""COMPUTED_VALUE"""),44225.6666666666)</f>
        <v>44225.666666666599</v>
      </c>
      <c r="B4048" s="1">
        <f ca="1">IFERROR(__xludf.DUMMYFUNCTION("""COMPUTED_VALUE"""),160.31)</f>
        <v>160.31</v>
      </c>
    </row>
    <row r="4049" spans="1:2">
      <c r="A4049" s="3">
        <f ca="1">IFERROR(__xludf.DUMMYFUNCTION("""COMPUTED_VALUE"""),44228.6666666666)</f>
        <v>44228.666666666599</v>
      </c>
      <c r="B4049" s="1">
        <f ca="1">IFERROR(__xludf.DUMMYFUNCTION("""COMPUTED_VALUE"""),167.14)</f>
        <v>167.14</v>
      </c>
    </row>
    <row r="4050" spans="1:2">
      <c r="A4050" s="3">
        <f ca="1">IFERROR(__xludf.DUMMYFUNCTION("""COMPUTED_VALUE"""),44229.6666666666)</f>
        <v>44229.666666666599</v>
      </c>
      <c r="B4050" s="1">
        <f ca="1">IFERROR(__xludf.DUMMYFUNCTION("""COMPUTED_VALUE"""),169)</f>
        <v>169</v>
      </c>
    </row>
    <row r="4051" spans="1:2">
      <c r="A4051" s="3">
        <f ca="1">IFERROR(__xludf.DUMMYFUNCTION("""COMPUTED_VALUE"""),44230.6666666666)</f>
        <v>44230.666666666599</v>
      </c>
      <c r="B4051" s="1">
        <f ca="1">IFERROR(__xludf.DUMMYFUNCTION("""COMPUTED_VALUE"""),165.63)</f>
        <v>165.63</v>
      </c>
    </row>
    <row r="4052" spans="1:2">
      <c r="A4052" s="3">
        <f ca="1">IFERROR(__xludf.DUMMYFUNCTION("""COMPUTED_VALUE"""),44231.6666666666)</f>
        <v>44231.666666666599</v>
      </c>
      <c r="B4052" s="1">
        <f ca="1">IFERROR(__xludf.DUMMYFUNCTION("""COMPUTED_VALUE"""),166.55)</f>
        <v>166.55</v>
      </c>
    </row>
    <row r="4053" spans="1:2">
      <c r="A4053" s="3">
        <f ca="1">IFERROR(__xludf.DUMMYFUNCTION("""COMPUTED_VALUE"""),44232.6666666666)</f>
        <v>44232.666666666599</v>
      </c>
      <c r="B4053" s="1">
        <f ca="1">IFERROR(__xludf.DUMMYFUNCTION("""COMPUTED_VALUE"""),167.61)</f>
        <v>167.61</v>
      </c>
    </row>
    <row r="4054" spans="1:2">
      <c r="A4054" s="3">
        <f ca="1">IFERROR(__xludf.DUMMYFUNCTION("""COMPUTED_VALUE"""),44235.6666666666)</f>
        <v>44235.666666666599</v>
      </c>
      <c r="B4054" s="1">
        <f ca="1">IFERROR(__xludf.DUMMYFUNCTION("""COMPUTED_VALUE"""),166.15)</f>
        <v>166.15</v>
      </c>
    </row>
    <row r="4055" spans="1:2">
      <c r="A4055" s="3">
        <f ca="1">IFERROR(__xludf.DUMMYFUNCTION("""COMPUTED_VALUE"""),44236.6666666666)</f>
        <v>44236.666666666599</v>
      </c>
      <c r="B4055" s="1">
        <f ca="1">IFERROR(__xludf.DUMMYFUNCTION("""COMPUTED_VALUE"""),165.25)</f>
        <v>165.25</v>
      </c>
    </row>
    <row r="4056" spans="1:2">
      <c r="A4056" s="3">
        <f ca="1">IFERROR(__xludf.DUMMYFUNCTION("""COMPUTED_VALUE"""),44237.6666666666)</f>
        <v>44237.666666666599</v>
      </c>
      <c r="B4056" s="1">
        <f ca="1">IFERROR(__xludf.DUMMYFUNCTION("""COMPUTED_VALUE"""),164.33)</f>
        <v>164.33</v>
      </c>
    </row>
    <row r="4057" spans="1:2">
      <c r="A4057" s="3">
        <f ca="1">IFERROR(__xludf.DUMMYFUNCTION("""COMPUTED_VALUE"""),44238.6666666666)</f>
        <v>44238.666666666599</v>
      </c>
      <c r="B4057" s="1">
        <f ca="1">IFERROR(__xludf.DUMMYFUNCTION("""COMPUTED_VALUE"""),163.11)</f>
        <v>163.11000000000001</v>
      </c>
    </row>
    <row r="4058" spans="1:2">
      <c r="A4058" s="3">
        <f ca="1">IFERROR(__xludf.DUMMYFUNCTION("""COMPUTED_VALUE"""),44239.6666666666)</f>
        <v>44239.666666666599</v>
      </c>
      <c r="B4058" s="1">
        <f ca="1">IFERROR(__xludf.DUMMYFUNCTION("""COMPUTED_VALUE"""),163.89)</f>
        <v>163.89</v>
      </c>
    </row>
    <row r="4059" spans="1:2">
      <c r="A4059" s="3">
        <f ca="1">IFERROR(__xludf.DUMMYFUNCTION("""COMPUTED_VALUE"""),44243.6666666666)</f>
        <v>44243.666666666599</v>
      </c>
      <c r="B4059" s="1">
        <f ca="1">IFERROR(__xludf.DUMMYFUNCTION("""COMPUTED_VALUE"""),163.45)</f>
        <v>163.44999999999999</v>
      </c>
    </row>
    <row r="4060" spans="1:2">
      <c r="A4060" s="3">
        <f ca="1">IFERROR(__xludf.DUMMYFUNCTION("""COMPUTED_VALUE"""),44244.6666666666)</f>
        <v>44244.666666666599</v>
      </c>
      <c r="B4060" s="1">
        <f ca="1">IFERROR(__xludf.DUMMYFUNCTION("""COMPUTED_VALUE"""),165.43)</f>
        <v>165.43</v>
      </c>
    </row>
    <row r="4061" spans="1:2">
      <c r="A4061" s="3">
        <f ca="1">IFERROR(__xludf.DUMMYFUNCTION("""COMPUTED_VALUE"""),44245.6666666666)</f>
        <v>44245.666666666599</v>
      </c>
      <c r="B4061" s="1">
        <f ca="1">IFERROR(__xludf.DUMMYFUNCTION("""COMPUTED_VALUE"""),166.41)</f>
        <v>166.41</v>
      </c>
    </row>
    <row r="4062" spans="1:2">
      <c r="A4062" s="3">
        <f ca="1">IFERROR(__xludf.DUMMYFUNCTION("""COMPUTED_VALUE"""),44246.6666666666)</f>
        <v>44246.666666666599</v>
      </c>
      <c r="B4062" s="1">
        <f ca="1">IFERROR(__xludf.DUMMYFUNCTION("""COMPUTED_VALUE"""),162.5)</f>
        <v>162.5</v>
      </c>
    </row>
    <row r="4063" spans="1:2">
      <c r="A4063" s="3">
        <f ca="1">IFERROR(__xludf.DUMMYFUNCTION("""COMPUTED_VALUE"""),44249.6666666666)</f>
        <v>44249.666666666599</v>
      </c>
      <c r="B4063" s="1">
        <f ca="1">IFERROR(__xludf.DUMMYFUNCTION("""COMPUTED_VALUE"""),159.04)</f>
        <v>159.04</v>
      </c>
    </row>
    <row r="4064" spans="1:2">
      <c r="A4064" s="3">
        <f ca="1">IFERROR(__xludf.DUMMYFUNCTION("""COMPUTED_VALUE"""),44250.6666666666)</f>
        <v>44250.666666666599</v>
      </c>
      <c r="B4064" s="1">
        <f ca="1">IFERROR(__xludf.DUMMYFUNCTION("""COMPUTED_VALUE"""),159.73)</f>
        <v>159.72999999999999</v>
      </c>
    </row>
    <row r="4065" spans="1:2">
      <c r="A4065" s="3">
        <f ca="1">IFERROR(__xludf.DUMMYFUNCTION("""COMPUTED_VALUE"""),44251.6666666666)</f>
        <v>44251.666666666599</v>
      </c>
      <c r="B4065" s="1">
        <f ca="1">IFERROR(__xludf.DUMMYFUNCTION("""COMPUTED_VALUE"""),157.98)</f>
        <v>157.97999999999999</v>
      </c>
    </row>
    <row r="4066" spans="1:2">
      <c r="A4066" s="3">
        <f ca="1">IFERROR(__xludf.DUMMYFUNCTION("""COMPUTED_VALUE"""),44252.6666666666)</f>
        <v>44252.666666666599</v>
      </c>
      <c r="B4066" s="1">
        <f ca="1">IFERROR(__xludf.DUMMYFUNCTION("""COMPUTED_VALUE"""),152.86)</f>
        <v>152.86000000000001</v>
      </c>
    </row>
    <row r="4067" spans="1:2">
      <c r="A4067" s="3">
        <f ca="1">IFERROR(__xludf.DUMMYFUNCTION("""COMPUTED_VALUE"""),44253.6666666666)</f>
        <v>44253.666666666599</v>
      </c>
      <c r="B4067" s="1">
        <f ca="1">IFERROR(__xludf.DUMMYFUNCTION("""COMPUTED_VALUE"""),154.65)</f>
        <v>154.65</v>
      </c>
    </row>
    <row r="4068" spans="1:2">
      <c r="A4068" s="3">
        <f ca="1">IFERROR(__xludf.DUMMYFUNCTION("""COMPUTED_VALUE"""),44256.6666666666)</f>
        <v>44256.666666666599</v>
      </c>
      <c r="B4068" s="1">
        <f ca="1">IFERROR(__xludf.DUMMYFUNCTION("""COMPUTED_VALUE"""),157.31)</f>
        <v>157.31</v>
      </c>
    </row>
    <row r="4069" spans="1:2">
      <c r="A4069" s="3">
        <f ca="1">IFERROR(__xludf.DUMMYFUNCTION("""COMPUTED_VALUE"""),44257.6666666666)</f>
        <v>44257.666666666599</v>
      </c>
      <c r="B4069" s="1">
        <f ca="1">IFERROR(__xludf.DUMMYFUNCTION("""COMPUTED_VALUE"""),154.73)</f>
        <v>154.72999999999999</v>
      </c>
    </row>
    <row r="4070" spans="1:2">
      <c r="A4070" s="3">
        <f ca="1">IFERROR(__xludf.DUMMYFUNCTION("""COMPUTED_VALUE"""),44258.6666666666)</f>
        <v>44258.666666666599</v>
      </c>
      <c r="B4070" s="1">
        <f ca="1">IFERROR(__xludf.DUMMYFUNCTION("""COMPUTED_VALUE"""),150.25)</f>
        <v>150.25</v>
      </c>
    </row>
    <row r="4071" spans="1:2">
      <c r="A4071" s="3">
        <f ca="1">IFERROR(__xludf.DUMMYFUNCTION("""COMPUTED_VALUE"""),44259.6666666666)</f>
        <v>44259.666666666599</v>
      </c>
      <c r="B4071" s="1">
        <f ca="1">IFERROR(__xludf.DUMMYFUNCTION("""COMPUTED_VALUE"""),148.88)</f>
        <v>148.88</v>
      </c>
    </row>
    <row r="4072" spans="1:2">
      <c r="A4072" s="3">
        <f ca="1">IFERROR(__xludf.DUMMYFUNCTION("""COMPUTED_VALUE"""),44260.6666666666)</f>
        <v>44260.666666666599</v>
      </c>
      <c r="B4072" s="1">
        <f ca="1">IFERROR(__xludf.DUMMYFUNCTION("""COMPUTED_VALUE"""),150.02)</f>
        <v>150.02000000000001</v>
      </c>
    </row>
    <row r="4073" spans="1:2">
      <c r="A4073" s="3">
        <f ca="1">IFERROR(__xludf.DUMMYFUNCTION("""COMPUTED_VALUE"""),44263.6666666666)</f>
        <v>44263.666666666599</v>
      </c>
      <c r="B4073" s="1">
        <f ca="1">IFERROR(__xludf.DUMMYFUNCTION("""COMPUTED_VALUE"""),147.6)</f>
        <v>147.6</v>
      </c>
    </row>
    <row r="4074" spans="1:2">
      <c r="A4074" s="3">
        <f ca="1">IFERROR(__xludf.DUMMYFUNCTION("""COMPUTED_VALUE"""),44264.6666666666)</f>
        <v>44264.666666666599</v>
      </c>
      <c r="B4074" s="1">
        <f ca="1">IFERROR(__xludf.DUMMYFUNCTION("""COMPUTED_VALUE"""),153.14)</f>
        <v>153.13999999999999</v>
      </c>
    </row>
    <row r="4075" spans="1:2">
      <c r="A4075" s="3">
        <f ca="1">IFERROR(__xludf.DUMMYFUNCTION("""COMPUTED_VALUE"""),44265.6666666666)</f>
        <v>44265.666666666599</v>
      </c>
      <c r="B4075" s="1">
        <f ca="1">IFERROR(__xludf.DUMMYFUNCTION("""COMPUTED_VALUE"""),152.88)</f>
        <v>152.88</v>
      </c>
    </row>
    <row r="4076" spans="1:2">
      <c r="A4076" s="3">
        <f ca="1">IFERROR(__xludf.DUMMYFUNCTION("""COMPUTED_VALUE"""),44266.6666666666)</f>
        <v>44266.666666666599</v>
      </c>
      <c r="B4076" s="1">
        <f ca="1">IFERROR(__xludf.DUMMYFUNCTION("""COMPUTED_VALUE"""),155.68)</f>
        <v>155.68</v>
      </c>
    </row>
    <row r="4077" spans="1:2">
      <c r="A4077" s="3">
        <f ca="1">IFERROR(__xludf.DUMMYFUNCTION("""COMPUTED_VALUE"""),44267.6666666666)</f>
        <v>44267.666666666599</v>
      </c>
      <c r="B4077" s="1">
        <f ca="1">IFERROR(__xludf.DUMMYFUNCTION("""COMPUTED_VALUE"""),154.47)</f>
        <v>154.47</v>
      </c>
    </row>
    <row r="4078" spans="1:2">
      <c r="A4078" s="3">
        <f ca="1">IFERROR(__xludf.DUMMYFUNCTION("""COMPUTED_VALUE"""),44270.6666666666)</f>
        <v>44270.666666666599</v>
      </c>
      <c r="B4078" s="1">
        <f ca="1">IFERROR(__xludf.DUMMYFUNCTION("""COMPUTED_VALUE"""),154.08)</f>
        <v>154.08000000000001</v>
      </c>
    </row>
    <row r="4079" spans="1:2">
      <c r="A4079" s="3">
        <f ca="1">IFERROR(__xludf.DUMMYFUNCTION("""COMPUTED_VALUE"""),44271.6666666666)</f>
        <v>44271.666666666599</v>
      </c>
      <c r="B4079" s="1">
        <f ca="1">IFERROR(__xludf.DUMMYFUNCTION("""COMPUTED_VALUE"""),154.59)</f>
        <v>154.59</v>
      </c>
    </row>
    <row r="4080" spans="1:2">
      <c r="A4080" s="3">
        <f ca="1">IFERROR(__xludf.DUMMYFUNCTION("""COMPUTED_VALUE"""),44272.6666666666)</f>
        <v>44272.666666666599</v>
      </c>
      <c r="B4080" s="1">
        <f ca="1">IFERROR(__xludf.DUMMYFUNCTION("""COMPUTED_VALUE"""),156.79)</f>
        <v>156.79</v>
      </c>
    </row>
    <row r="4081" spans="1:2">
      <c r="A4081" s="3">
        <f ca="1">IFERROR(__xludf.DUMMYFUNCTION("""COMPUTED_VALUE"""),44273.6666666666)</f>
        <v>44273.666666666599</v>
      </c>
      <c r="B4081" s="1">
        <f ca="1">IFERROR(__xludf.DUMMYFUNCTION("""COMPUTED_VALUE"""),151.4)</f>
        <v>151.4</v>
      </c>
    </row>
    <row r="4082" spans="1:2">
      <c r="A4082" s="3">
        <f ca="1">IFERROR(__xludf.DUMMYFUNCTION("""COMPUTED_VALUE"""),44274.6666666666)</f>
        <v>44274.666666666599</v>
      </c>
      <c r="B4082" s="1">
        <f ca="1">IFERROR(__xludf.DUMMYFUNCTION("""COMPUTED_VALUE"""),153.75)</f>
        <v>153.75</v>
      </c>
    </row>
    <row r="4083" spans="1:2">
      <c r="A4083" s="3">
        <f ca="1">IFERROR(__xludf.DUMMYFUNCTION("""COMPUTED_VALUE"""),44277.6666666666)</f>
        <v>44277.666666666599</v>
      </c>
      <c r="B4083" s="1">
        <f ca="1">IFERROR(__xludf.DUMMYFUNCTION("""COMPUTED_VALUE"""),155.54)</f>
        <v>155.54</v>
      </c>
    </row>
    <row r="4084" spans="1:2">
      <c r="A4084" s="3">
        <f ca="1">IFERROR(__xludf.DUMMYFUNCTION("""COMPUTED_VALUE"""),44278.6666666666)</f>
        <v>44278.666666666599</v>
      </c>
      <c r="B4084" s="1">
        <f ca="1">IFERROR(__xludf.DUMMYFUNCTION("""COMPUTED_VALUE"""),156.88)</f>
        <v>156.88</v>
      </c>
    </row>
    <row r="4085" spans="1:2">
      <c r="A4085" s="3">
        <f ca="1">IFERROR(__xludf.DUMMYFUNCTION("""COMPUTED_VALUE"""),44279.6666666666)</f>
        <v>44279.666666666599</v>
      </c>
      <c r="B4085" s="1">
        <f ca="1">IFERROR(__xludf.DUMMYFUNCTION("""COMPUTED_VALUE"""),154.35)</f>
        <v>154.35</v>
      </c>
    </row>
    <row r="4086" spans="1:2">
      <c r="A4086" s="3">
        <f ca="1">IFERROR(__xludf.DUMMYFUNCTION("""COMPUTED_VALUE"""),44280.6666666666)</f>
        <v>44280.666666666599</v>
      </c>
      <c r="B4086" s="1">
        <f ca="1">IFERROR(__xludf.DUMMYFUNCTION("""COMPUTED_VALUE"""),152.31)</f>
        <v>152.31</v>
      </c>
    </row>
    <row r="4087" spans="1:2">
      <c r="A4087" s="3">
        <f ca="1">IFERROR(__xludf.DUMMYFUNCTION("""COMPUTED_VALUE"""),44281.6666666666)</f>
        <v>44281.666666666599</v>
      </c>
      <c r="B4087" s="1">
        <f ca="1">IFERROR(__xludf.DUMMYFUNCTION("""COMPUTED_VALUE"""),152.6)</f>
        <v>152.6</v>
      </c>
    </row>
    <row r="4088" spans="1:2">
      <c r="A4088" s="3">
        <f ca="1">IFERROR(__xludf.DUMMYFUNCTION("""COMPUTED_VALUE"""),44284.6666666666)</f>
        <v>44284.666666666599</v>
      </c>
      <c r="B4088" s="1">
        <f ca="1">IFERROR(__xludf.DUMMYFUNCTION("""COMPUTED_VALUE"""),153.79)</f>
        <v>153.79</v>
      </c>
    </row>
    <row r="4089" spans="1:2">
      <c r="A4089" s="3">
        <f ca="1">IFERROR(__xludf.DUMMYFUNCTION("""COMPUTED_VALUE"""),44285.6666666666)</f>
        <v>44285.666666666599</v>
      </c>
      <c r="B4089" s="1">
        <f ca="1">IFERROR(__xludf.DUMMYFUNCTION("""COMPUTED_VALUE"""),152.76)</f>
        <v>152.76</v>
      </c>
    </row>
    <row r="4090" spans="1:2">
      <c r="A4090" s="3">
        <f ca="1">IFERROR(__xludf.DUMMYFUNCTION("""COMPUTED_VALUE"""),44286.6666666666)</f>
        <v>44286.666666666599</v>
      </c>
      <c r="B4090" s="1">
        <f ca="1">IFERROR(__xludf.DUMMYFUNCTION("""COMPUTED_VALUE"""),154.7)</f>
        <v>154.69999999999999</v>
      </c>
    </row>
    <row r="4091" spans="1:2">
      <c r="A4091" s="3">
        <f ca="1">IFERROR(__xludf.DUMMYFUNCTION("""COMPUTED_VALUE"""),44287.6666666666)</f>
        <v>44287.666666666599</v>
      </c>
      <c r="B4091" s="1">
        <f ca="1">IFERROR(__xludf.DUMMYFUNCTION("""COMPUTED_VALUE"""),158.05)</f>
        <v>158.05000000000001</v>
      </c>
    </row>
    <row r="4092" spans="1:2">
      <c r="A4092" s="3">
        <f ca="1">IFERROR(__xludf.DUMMYFUNCTION("""COMPUTED_VALUE"""),44291.6666666666)</f>
        <v>44291.666666666599</v>
      </c>
      <c r="B4092" s="1">
        <f ca="1">IFERROR(__xludf.DUMMYFUNCTION("""COMPUTED_VALUE"""),161.34)</f>
        <v>161.34</v>
      </c>
    </row>
    <row r="4093" spans="1:2">
      <c r="A4093" s="3">
        <f ca="1">IFERROR(__xludf.DUMMYFUNCTION("""COMPUTED_VALUE"""),44292.6666666666)</f>
        <v>44292.666666666599</v>
      </c>
      <c r="B4093" s="1">
        <f ca="1">IFERROR(__xludf.DUMMYFUNCTION("""COMPUTED_VALUE"""),161.19)</f>
        <v>161.19</v>
      </c>
    </row>
    <row r="4094" spans="1:2">
      <c r="A4094" s="3">
        <f ca="1">IFERROR(__xludf.DUMMYFUNCTION("""COMPUTED_VALUE"""),44293.6666666666)</f>
        <v>44293.666666666599</v>
      </c>
      <c r="B4094" s="1">
        <f ca="1">IFERROR(__xludf.DUMMYFUNCTION("""COMPUTED_VALUE"""),163.97)</f>
        <v>163.97</v>
      </c>
    </row>
    <row r="4095" spans="1:2">
      <c r="A4095" s="3">
        <f ca="1">IFERROR(__xludf.DUMMYFUNCTION("""COMPUTED_VALUE"""),44294.6666666666)</f>
        <v>44294.666666666599</v>
      </c>
      <c r="B4095" s="1">
        <f ca="1">IFERROR(__xludf.DUMMYFUNCTION("""COMPUTED_VALUE"""),164.97)</f>
        <v>164.97</v>
      </c>
    </row>
    <row r="4096" spans="1:2">
      <c r="A4096" s="3">
        <f ca="1">IFERROR(__xludf.DUMMYFUNCTION("""COMPUTED_VALUE"""),44295.6666666666)</f>
        <v>44295.666666666599</v>
      </c>
      <c r="B4096" s="1">
        <f ca="1">IFERROR(__xludf.DUMMYFUNCTION("""COMPUTED_VALUE"""),168.61)</f>
        <v>168.61</v>
      </c>
    </row>
    <row r="4097" spans="1:2">
      <c r="A4097" s="3">
        <f ca="1">IFERROR(__xludf.DUMMYFUNCTION("""COMPUTED_VALUE"""),44298.6666666666)</f>
        <v>44298.666666666599</v>
      </c>
      <c r="B4097" s="1">
        <f ca="1">IFERROR(__xludf.DUMMYFUNCTION("""COMPUTED_VALUE"""),168.97)</f>
        <v>168.97</v>
      </c>
    </row>
    <row r="4098" spans="1:2">
      <c r="A4098" s="3">
        <f ca="1">IFERROR(__xludf.DUMMYFUNCTION("""COMPUTED_VALUE"""),44299.6666666666)</f>
        <v>44299.666666666599</v>
      </c>
      <c r="B4098" s="1">
        <f ca="1">IFERROR(__xludf.DUMMYFUNCTION("""COMPUTED_VALUE"""),170)</f>
        <v>170</v>
      </c>
    </row>
    <row r="4099" spans="1:2">
      <c r="A4099" s="3">
        <f ca="1">IFERROR(__xludf.DUMMYFUNCTION("""COMPUTED_VALUE"""),44300.6666666666)</f>
        <v>44300.666666666599</v>
      </c>
      <c r="B4099" s="1">
        <f ca="1">IFERROR(__xludf.DUMMYFUNCTION("""COMPUTED_VALUE"""),166.65)</f>
        <v>166.65</v>
      </c>
    </row>
    <row r="4100" spans="1:2">
      <c r="A4100" s="3">
        <f ca="1">IFERROR(__xludf.DUMMYFUNCTION("""COMPUTED_VALUE"""),44301.6666666666)</f>
        <v>44301.666666666599</v>
      </c>
      <c r="B4100" s="1">
        <f ca="1">IFERROR(__xludf.DUMMYFUNCTION("""COMPUTED_VALUE"""),168.95)</f>
        <v>168.95</v>
      </c>
    </row>
    <row r="4101" spans="1:2">
      <c r="A4101" s="3">
        <f ca="1">IFERROR(__xludf.DUMMYFUNCTION("""COMPUTED_VALUE"""),44302.6666666666)</f>
        <v>44302.666666666599</v>
      </c>
      <c r="B4101" s="1">
        <f ca="1">IFERROR(__xludf.DUMMYFUNCTION("""COMPUTED_VALUE"""),169.97)</f>
        <v>169.97</v>
      </c>
    </row>
    <row r="4102" spans="1:2">
      <c r="A4102" s="3">
        <f ca="1">IFERROR(__xludf.DUMMYFUNCTION("""COMPUTED_VALUE"""),44305.6666666666)</f>
        <v>44305.666666666599</v>
      </c>
      <c r="B4102" s="1">
        <f ca="1">IFERROR(__xludf.DUMMYFUNCTION("""COMPUTED_VALUE"""),168.6)</f>
        <v>168.6</v>
      </c>
    </row>
    <row r="4103" spans="1:2">
      <c r="A4103" s="3">
        <f ca="1">IFERROR(__xludf.DUMMYFUNCTION("""COMPUTED_VALUE"""),44306.6666666666)</f>
        <v>44306.666666666599</v>
      </c>
      <c r="B4103" s="1">
        <f ca="1">IFERROR(__xludf.DUMMYFUNCTION("""COMPUTED_VALUE"""),166.73)</f>
        <v>166.73</v>
      </c>
    </row>
    <row r="4104" spans="1:2">
      <c r="A4104" s="3">
        <f ca="1">IFERROR(__xludf.DUMMYFUNCTION("""COMPUTED_VALUE"""),44307.6666666666)</f>
        <v>44307.666666666599</v>
      </c>
      <c r="B4104" s="1">
        <f ca="1">IFERROR(__xludf.DUMMYFUNCTION("""COMPUTED_VALUE"""),168.1)</f>
        <v>168.1</v>
      </c>
    </row>
    <row r="4105" spans="1:2">
      <c r="A4105" s="3">
        <f ca="1">IFERROR(__xludf.DUMMYFUNCTION("""COMPUTED_VALUE"""),44308.6666666666)</f>
        <v>44308.666666666599</v>
      </c>
      <c r="B4105" s="1">
        <f ca="1">IFERROR(__xludf.DUMMYFUNCTION("""COMPUTED_VALUE"""),165.45)</f>
        <v>165.45</v>
      </c>
    </row>
    <row r="4106" spans="1:2">
      <c r="A4106" s="3">
        <f ca="1">IFERROR(__xludf.DUMMYFUNCTION("""COMPUTED_VALUE"""),44309.6666666666)</f>
        <v>44309.666666666599</v>
      </c>
      <c r="B4106" s="1">
        <f ca="1">IFERROR(__xludf.DUMMYFUNCTION("""COMPUTED_VALUE"""),167.04)</f>
        <v>167.04</v>
      </c>
    </row>
    <row r="4107" spans="1:2">
      <c r="A4107" s="3">
        <f ca="1">IFERROR(__xludf.DUMMYFUNCTION("""COMPUTED_VALUE"""),44312.6666666666)</f>
        <v>44312.666666666599</v>
      </c>
      <c r="B4107" s="1">
        <f ca="1">IFERROR(__xludf.DUMMYFUNCTION("""COMPUTED_VALUE"""),170.45)</f>
        <v>170.45</v>
      </c>
    </row>
    <row r="4108" spans="1:2">
      <c r="A4108" s="3">
        <f ca="1">IFERROR(__xludf.DUMMYFUNCTION("""COMPUTED_VALUE"""),44313.6666666666)</f>
        <v>44313.666666666599</v>
      </c>
      <c r="B4108" s="1">
        <f ca="1">IFERROR(__xludf.DUMMYFUNCTION("""COMPUTED_VALUE"""),170.87)</f>
        <v>170.87</v>
      </c>
    </row>
    <row r="4109" spans="1:2">
      <c r="A4109" s="3">
        <f ca="1">IFERROR(__xludf.DUMMYFUNCTION("""COMPUTED_VALUE"""),44314.6666666666)</f>
        <v>44314.666666666599</v>
      </c>
      <c r="B4109" s="1">
        <f ca="1">IFERROR(__xludf.DUMMYFUNCTION("""COMPUTED_VALUE"""),172.93)</f>
        <v>172.93</v>
      </c>
    </row>
    <row r="4110" spans="1:2">
      <c r="A4110" s="3">
        <f ca="1">IFERROR(__xludf.DUMMYFUNCTION("""COMPUTED_VALUE"""),44315.6666666666)</f>
        <v>44315.666666666599</v>
      </c>
      <c r="B4110" s="1">
        <f ca="1">IFERROR(__xludf.DUMMYFUNCTION("""COMPUTED_VALUE"""),173.57)</f>
        <v>173.57</v>
      </c>
    </row>
    <row r="4111" spans="1:2">
      <c r="A4111" s="3">
        <f ca="1">IFERROR(__xludf.DUMMYFUNCTION("""COMPUTED_VALUE"""),44316.6666666666)</f>
        <v>44316.666666666599</v>
      </c>
      <c r="B4111" s="1">
        <f ca="1">IFERROR(__xludf.DUMMYFUNCTION("""COMPUTED_VALUE"""),173.37)</f>
        <v>173.37</v>
      </c>
    </row>
    <row r="4112" spans="1:2">
      <c r="A4112" s="3">
        <f ca="1">IFERROR(__xludf.DUMMYFUNCTION("""COMPUTED_VALUE"""),44319.6666666666)</f>
        <v>44319.666666666599</v>
      </c>
      <c r="B4112" s="1">
        <f ca="1">IFERROR(__xludf.DUMMYFUNCTION("""COMPUTED_VALUE"""),169.32)</f>
        <v>169.32</v>
      </c>
    </row>
    <row r="4113" spans="1:2">
      <c r="A4113" s="3">
        <f ca="1">IFERROR(__xludf.DUMMYFUNCTION("""COMPUTED_VALUE"""),44320.6666666666)</f>
        <v>44320.666666666599</v>
      </c>
      <c r="B4113" s="1">
        <f ca="1">IFERROR(__xludf.DUMMYFUNCTION("""COMPUTED_VALUE"""),165.59)</f>
        <v>165.59</v>
      </c>
    </row>
    <row r="4114" spans="1:2">
      <c r="A4114" s="3">
        <f ca="1">IFERROR(__xludf.DUMMYFUNCTION("""COMPUTED_VALUE"""),44321.6666666666)</f>
        <v>44321.666666666599</v>
      </c>
      <c r="B4114" s="1">
        <f ca="1">IFERROR(__xludf.DUMMYFUNCTION("""COMPUTED_VALUE"""),163.53)</f>
        <v>163.53</v>
      </c>
    </row>
    <row r="4115" spans="1:2">
      <c r="A4115" s="3">
        <f ca="1">IFERROR(__xludf.DUMMYFUNCTION("""COMPUTED_VALUE"""),44322.6666666666)</f>
        <v>44322.666666666599</v>
      </c>
      <c r="B4115" s="1">
        <f ca="1">IFERROR(__xludf.DUMMYFUNCTION("""COMPUTED_VALUE"""),165.32)</f>
        <v>165.32</v>
      </c>
    </row>
    <row r="4116" spans="1:2">
      <c r="A4116" s="3">
        <f ca="1">IFERROR(__xludf.DUMMYFUNCTION("""COMPUTED_VALUE"""),44323.6666666666)</f>
        <v>44323.666666666599</v>
      </c>
      <c r="B4116" s="1">
        <f ca="1">IFERROR(__xludf.DUMMYFUNCTION("""COMPUTED_VALUE"""),164.58)</f>
        <v>164.58</v>
      </c>
    </row>
    <row r="4117" spans="1:2">
      <c r="A4117" s="3">
        <f ca="1">IFERROR(__xludf.DUMMYFUNCTION("""COMPUTED_VALUE"""),44326.6666666666)</f>
        <v>44326.666666666599</v>
      </c>
      <c r="B4117" s="1">
        <f ca="1">IFERROR(__xludf.DUMMYFUNCTION("""COMPUTED_VALUE"""),159.52)</f>
        <v>159.52000000000001</v>
      </c>
    </row>
    <row r="4118" spans="1:2">
      <c r="A4118" s="3">
        <f ca="1">IFERROR(__xludf.DUMMYFUNCTION("""COMPUTED_VALUE"""),44327.6666666666)</f>
        <v>44327.666666666599</v>
      </c>
      <c r="B4118" s="1">
        <f ca="1">IFERROR(__xludf.DUMMYFUNCTION("""COMPUTED_VALUE"""),161.2)</f>
        <v>161.19999999999999</v>
      </c>
    </row>
    <row r="4119" spans="1:2">
      <c r="A4119" s="3">
        <f ca="1">IFERROR(__xludf.DUMMYFUNCTION("""COMPUTED_VALUE"""),44328.6666666666)</f>
        <v>44328.666666666599</v>
      </c>
      <c r="B4119" s="1">
        <f ca="1">IFERROR(__xludf.DUMMYFUNCTION("""COMPUTED_VALUE"""),157.6)</f>
        <v>157.6</v>
      </c>
    </row>
    <row r="4120" spans="1:2">
      <c r="A4120" s="3">
        <f ca="1">IFERROR(__xludf.DUMMYFUNCTION("""COMPUTED_VALUE"""),44329.6666666666)</f>
        <v>44329.666666666599</v>
      </c>
      <c r="B4120" s="1">
        <f ca="1">IFERROR(__xludf.DUMMYFUNCTION("""COMPUTED_VALUE"""),158.07)</f>
        <v>158.07</v>
      </c>
    </row>
    <row r="4121" spans="1:2">
      <c r="A4121" s="3">
        <f ca="1">IFERROR(__xludf.DUMMYFUNCTION("""COMPUTED_VALUE"""),44330.6666666666)</f>
        <v>44330.666666666599</v>
      </c>
      <c r="B4121" s="1">
        <f ca="1">IFERROR(__xludf.DUMMYFUNCTION("""COMPUTED_VALUE"""),161.15)</f>
        <v>161.15</v>
      </c>
    </row>
    <row r="4122" spans="1:2">
      <c r="A4122" s="3">
        <f ca="1">IFERROR(__xludf.DUMMYFUNCTION("""COMPUTED_VALUE"""),44333.6666666666)</f>
        <v>44333.666666666599</v>
      </c>
      <c r="B4122" s="1">
        <f ca="1">IFERROR(__xludf.DUMMYFUNCTION("""COMPUTED_VALUE"""),163.52)</f>
        <v>163.52000000000001</v>
      </c>
    </row>
    <row r="4123" spans="1:2">
      <c r="A4123" s="3">
        <f ca="1">IFERROR(__xludf.DUMMYFUNCTION("""COMPUTED_VALUE"""),44334.6666666666)</f>
        <v>44334.666666666599</v>
      </c>
      <c r="B4123" s="1">
        <f ca="1">IFERROR(__xludf.DUMMYFUNCTION("""COMPUTED_VALUE"""),161.61)</f>
        <v>161.61000000000001</v>
      </c>
    </row>
    <row r="4124" spans="1:2">
      <c r="A4124" s="3">
        <f ca="1">IFERROR(__xludf.DUMMYFUNCTION("""COMPUTED_VALUE"""),44335.6666666666)</f>
        <v>44335.666666666599</v>
      </c>
      <c r="B4124" s="1">
        <f ca="1">IFERROR(__xludf.DUMMYFUNCTION("""COMPUTED_VALUE"""),161.59)</f>
        <v>161.59</v>
      </c>
    </row>
    <row r="4125" spans="1:2">
      <c r="A4125" s="3">
        <f ca="1">IFERROR(__xludf.DUMMYFUNCTION("""COMPUTED_VALUE"""),44336.6666666666)</f>
        <v>44336.666666666599</v>
      </c>
      <c r="B4125" s="1">
        <f ca="1">IFERROR(__xludf.DUMMYFUNCTION("""COMPUTED_VALUE"""),162.38)</f>
        <v>162.38</v>
      </c>
    </row>
    <row r="4126" spans="1:2">
      <c r="A4126" s="3">
        <f ca="1">IFERROR(__xludf.DUMMYFUNCTION("""COMPUTED_VALUE"""),44337.6666666666)</f>
        <v>44337.666666666599</v>
      </c>
      <c r="B4126" s="1">
        <f ca="1">IFERROR(__xludf.DUMMYFUNCTION("""COMPUTED_VALUE"""),160.15)</f>
        <v>160.15</v>
      </c>
    </row>
    <row r="4127" spans="1:2">
      <c r="A4127" s="3">
        <f ca="1">IFERROR(__xludf.DUMMYFUNCTION("""COMPUTED_VALUE"""),44340.6666666666)</f>
        <v>44340.666666666599</v>
      </c>
      <c r="B4127" s="1">
        <f ca="1">IFERROR(__xludf.DUMMYFUNCTION("""COMPUTED_VALUE"""),162.25)</f>
        <v>162.25</v>
      </c>
    </row>
    <row r="4128" spans="1:2">
      <c r="A4128" s="3">
        <f ca="1">IFERROR(__xludf.DUMMYFUNCTION("""COMPUTED_VALUE"""),44341.6666666666)</f>
        <v>44341.666666666599</v>
      </c>
      <c r="B4128" s="1">
        <f ca="1">IFERROR(__xludf.DUMMYFUNCTION("""COMPUTED_VALUE"""),162.95)</f>
        <v>162.94999999999999</v>
      </c>
    </row>
    <row r="4129" spans="1:2">
      <c r="A4129" s="3">
        <f ca="1">IFERROR(__xludf.DUMMYFUNCTION("""COMPUTED_VALUE"""),44342.6666666666)</f>
        <v>44342.666666666599</v>
      </c>
      <c r="B4129" s="1">
        <f ca="1">IFERROR(__xludf.DUMMYFUNCTION("""COMPUTED_VALUE"""),163.26)</f>
        <v>163.26</v>
      </c>
    </row>
    <row r="4130" spans="1:2">
      <c r="A4130" s="3">
        <f ca="1">IFERROR(__xludf.DUMMYFUNCTION("""COMPUTED_VALUE"""),44343.6666666666)</f>
        <v>44343.666666666599</v>
      </c>
      <c r="B4130" s="1">
        <f ca="1">IFERROR(__xludf.DUMMYFUNCTION("""COMPUTED_VALUE"""),161.51)</f>
        <v>161.51</v>
      </c>
    </row>
    <row r="4131" spans="1:2">
      <c r="A4131" s="3">
        <f ca="1">IFERROR(__xludf.DUMMYFUNCTION("""COMPUTED_VALUE"""),44344.6666666666)</f>
        <v>44344.666666666599</v>
      </c>
      <c r="B4131" s="1">
        <f ca="1">IFERROR(__xludf.DUMMYFUNCTION("""COMPUTED_VALUE"""),161.15)</f>
        <v>161.15</v>
      </c>
    </row>
    <row r="4132" spans="1:2">
      <c r="A4132" s="3">
        <f ca="1">IFERROR(__xludf.DUMMYFUNCTION("""COMPUTED_VALUE"""),44348.6666666666)</f>
        <v>44348.666666666599</v>
      </c>
      <c r="B4132" s="1">
        <f ca="1">IFERROR(__xludf.DUMMYFUNCTION("""COMPUTED_VALUE"""),160.93)</f>
        <v>160.93</v>
      </c>
    </row>
    <row r="4133" spans="1:2">
      <c r="A4133" s="3">
        <f ca="1">IFERROR(__xludf.DUMMYFUNCTION("""COMPUTED_VALUE"""),44349.6666666666)</f>
        <v>44349.666666666599</v>
      </c>
      <c r="B4133" s="1">
        <f ca="1">IFERROR(__xludf.DUMMYFUNCTION("""COMPUTED_VALUE"""),161.7)</f>
        <v>161.69999999999999</v>
      </c>
    </row>
    <row r="4134" spans="1:2">
      <c r="A4134" s="3">
        <f ca="1">IFERROR(__xludf.DUMMYFUNCTION("""COMPUTED_VALUE"""),44350.6666666666)</f>
        <v>44350.666666666599</v>
      </c>
      <c r="B4134" s="1">
        <f ca="1">IFERROR(__xludf.DUMMYFUNCTION("""COMPUTED_VALUE"""),159.35)</f>
        <v>159.35</v>
      </c>
    </row>
    <row r="4135" spans="1:2">
      <c r="A4135" s="3">
        <f ca="1">IFERROR(__xludf.DUMMYFUNCTION("""COMPUTED_VALUE"""),44351.6666666666)</f>
        <v>44351.666666666599</v>
      </c>
      <c r="B4135" s="1">
        <f ca="1">IFERROR(__xludf.DUMMYFUNCTION("""COMPUTED_VALUE"""),160.31)</f>
        <v>160.31</v>
      </c>
    </row>
    <row r="4136" spans="1:2">
      <c r="A4136" s="3">
        <f ca="1">IFERROR(__xludf.DUMMYFUNCTION("""COMPUTED_VALUE"""),44354.6666666666)</f>
        <v>44354.666666666599</v>
      </c>
      <c r="B4136" s="1">
        <f ca="1">IFERROR(__xludf.DUMMYFUNCTION("""COMPUTED_VALUE"""),159.9)</f>
        <v>159.9</v>
      </c>
    </row>
    <row r="4137" spans="1:2">
      <c r="A4137" s="3">
        <f ca="1">IFERROR(__xludf.DUMMYFUNCTION("""COMPUTED_VALUE"""),44355.6666666666)</f>
        <v>44355.666666666599</v>
      </c>
      <c r="B4137" s="1">
        <f ca="1">IFERROR(__xludf.DUMMYFUNCTION("""COMPUTED_VALUE"""),163.21)</f>
        <v>163.21</v>
      </c>
    </row>
    <row r="4138" spans="1:2">
      <c r="A4138" s="3">
        <f ca="1">IFERROR(__xludf.DUMMYFUNCTION("""COMPUTED_VALUE"""),44356.6666666666)</f>
        <v>44356.666666666599</v>
      </c>
      <c r="B4138" s="1">
        <f ca="1">IFERROR(__xludf.DUMMYFUNCTION("""COMPUTED_VALUE"""),164.06)</f>
        <v>164.06</v>
      </c>
    </row>
    <row r="4139" spans="1:2">
      <c r="A4139" s="3">
        <f ca="1">IFERROR(__xludf.DUMMYFUNCTION("""COMPUTED_VALUE"""),44357.6666666666)</f>
        <v>44357.666666666599</v>
      </c>
      <c r="B4139" s="1">
        <f ca="1">IFERROR(__xludf.DUMMYFUNCTION("""COMPUTED_VALUE"""),167.48)</f>
        <v>167.48</v>
      </c>
    </row>
    <row r="4140" spans="1:2">
      <c r="A4140" s="3">
        <f ca="1">IFERROR(__xludf.DUMMYFUNCTION("""COMPUTED_VALUE"""),44358.6666666666)</f>
        <v>44358.666666666599</v>
      </c>
      <c r="B4140" s="1">
        <f ca="1">IFERROR(__xludf.DUMMYFUNCTION("""COMPUTED_VALUE"""),167.34)</f>
        <v>167.34</v>
      </c>
    </row>
    <row r="4141" spans="1:2">
      <c r="A4141" s="3">
        <f ca="1">IFERROR(__xludf.DUMMYFUNCTION("""COMPUTED_VALUE"""),44361.6666666666)</f>
        <v>44361.666666666599</v>
      </c>
      <c r="B4141" s="1">
        <f ca="1">IFERROR(__xludf.DUMMYFUNCTION("""COMPUTED_VALUE"""),169.19)</f>
        <v>169.19</v>
      </c>
    </row>
    <row r="4142" spans="1:2">
      <c r="A4142" s="3">
        <f ca="1">IFERROR(__xludf.DUMMYFUNCTION("""COMPUTED_VALUE"""),44362.6666666666)</f>
        <v>44362.666666666599</v>
      </c>
      <c r="B4142" s="1">
        <f ca="1">IFERROR(__xludf.DUMMYFUNCTION("""COMPUTED_VALUE"""),169.16)</f>
        <v>169.16</v>
      </c>
    </row>
    <row r="4143" spans="1:2">
      <c r="A4143" s="3">
        <f ca="1">IFERROR(__xludf.DUMMYFUNCTION("""COMPUTED_VALUE"""),44363.6666666666)</f>
        <v>44363.666666666599</v>
      </c>
      <c r="B4143" s="1">
        <f ca="1">IFERROR(__xludf.DUMMYFUNCTION("""COMPUTED_VALUE"""),170.76)</f>
        <v>170.76</v>
      </c>
    </row>
    <row r="4144" spans="1:2">
      <c r="A4144" s="3">
        <f ca="1">IFERROR(__xludf.DUMMYFUNCTION("""COMPUTED_VALUE"""),44364.6666666666)</f>
        <v>44364.666666666599</v>
      </c>
      <c r="B4144" s="1">
        <f ca="1">IFERROR(__xludf.DUMMYFUNCTION("""COMPUTED_VALUE"""),174.46)</f>
        <v>174.46</v>
      </c>
    </row>
    <row r="4145" spans="1:2">
      <c r="A4145" s="3">
        <f ca="1">IFERROR(__xludf.DUMMYFUNCTION("""COMPUTED_VALUE"""),44365.6666666666)</f>
        <v>44365.666666666599</v>
      </c>
      <c r="B4145" s="1">
        <f ca="1">IFERROR(__xludf.DUMMYFUNCTION("""COMPUTED_VALUE"""),174.35)</f>
        <v>174.35</v>
      </c>
    </row>
    <row r="4146" spans="1:2">
      <c r="A4146" s="3">
        <f ca="1">IFERROR(__xludf.DUMMYFUNCTION("""COMPUTED_VALUE"""),44368.6666666666)</f>
        <v>44368.666666666599</v>
      </c>
      <c r="B4146" s="1">
        <f ca="1">IFERROR(__xludf.DUMMYFUNCTION("""COMPUTED_VALUE"""),172.7)</f>
        <v>172.7</v>
      </c>
    </row>
    <row r="4147" spans="1:2">
      <c r="A4147" s="3">
        <f ca="1">IFERROR(__xludf.DUMMYFUNCTION("""COMPUTED_VALUE"""),44369.6666666666)</f>
        <v>44369.666666666599</v>
      </c>
      <c r="B4147" s="1">
        <f ca="1">IFERROR(__xludf.DUMMYFUNCTION("""COMPUTED_VALUE"""),175.27)</f>
        <v>175.27</v>
      </c>
    </row>
    <row r="4148" spans="1:2">
      <c r="A4148" s="3">
        <f ca="1">IFERROR(__xludf.DUMMYFUNCTION("""COMPUTED_VALUE"""),44370.6666666666)</f>
        <v>44370.666666666599</v>
      </c>
      <c r="B4148" s="1">
        <f ca="1">IFERROR(__xludf.DUMMYFUNCTION("""COMPUTED_VALUE"""),175.19)</f>
        <v>175.19</v>
      </c>
    </row>
    <row r="4149" spans="1:2">
      <c r="A4149" s="3">
        <f ca="1">IFERROR(__xludf.DUMMYFUNCTION("""COMPUTED_VALUE"""),44371.6666666666)</f>
        <v>44371.666666666599</v>
      </c>
      <c r="B4149" s="1">
        <f ca="1">IFERROR(__xludf.DUMMYFUNCTION("""COMPUTED_VALUE"""),172.45)</f>
        <v>172.45</v>
      </c>
    </row>
    <row r="4150" spans="1:2">
      <c r="A4150" s="3">
        <f ca="1">IFERROR(__xludf.DUMMYFUNCTION("""COMPUTED_VALUE"""),44372.6666666666)</f>
        <v>44372.666666666599</v>
      </c>
      <c r="B4150" s="1">
        <f ca="1">IFERROR(__xludf.DUMMYFUNCTION("""COMPUTED_VALUE"""),170.07)</f>
        <v>170.07</v>
      </c>
    </row>
    <row r="4151" spans="1:2">
      <c r="A4151" s="3">
        <f ca="1">IFERROR(__xludf.DUMMYFUNCTION("""COMPUTED_VALUE"""),44375.6666666666)</f>
        <v>44375.666666666599</v>
      </c>
      <c r="B4151" s="1">
        <f ca="1">IFERROR(__xludf.DUMMYFUNCTION("""COMPUTED_VALUE"""),172.19)</f>
        <v>172.19</v>
      </c>
    </row>
    <row r="4152" spans="1:2">
      <c r="A4152" s="3">
        <f ca="1">IFERROR(__xludf.DUMMYFUNCTION("""COMPUTED_VALUE"""),44376.6666666666)</f>
        <v>44376.666666666599</v>
      </c>
      <c r="B4152" s="1">
        <f ca="1">IFERROR(__xludf.DUMMYFUNCTION("""COMPUTED_VALUE"""),172.41)</f>
        <v>172.41</v>
      </c>
    </row>
    <row r="4153" spans="1:2">
      <c r="A4153" s="3">
        <f ca="1">IFERROR(__xludf.DUMMYFUNCTION("""COMPUTED_VALUE"""),44377.6666666666)</f>
        <v>44377.666666666599</v>
      </c>
      <c r="B4153" s="1">
        <f ca="1">IFERROR(__xludf.DUMMYFUNCTION("""COMPUTED_VALUE"""),172.01)</f>
        <v>172.01</v>
      </c>
    </row>
    <row r="4154" spans="1:2">
      <c r="A4154" s="3">
        <f ca="1">IFERROR(__xludf.DUMMYFUNCTION("""COMPUTED_VALUE"""),44378.6666666666)</f>
        <v>44378.666666666599</v>
      </c>
      <c r="B4154" s="1">
        <f ca="1">IFERROR(__xludf.DUMMYFUNCTION("""COMPUTED_VALUE"""),171.65)</f>
        <v>171.65</v>
      </c>
    </row>
    <row r="4155" spans="1:2">
      <c r="A4155" s="3">
        <f ca="1">IFERROR(__xludf.DUMMYFUNCTION("""COMPUTED_VALUE"""),44379.6666666666)</f>
        <v>44379.666666666599</v>
      </c>
      <c r="B4155" s="1">
        <f ca="1">IFERROR(__xludf.DUMMYFUNCTION("""COMPUTED_VALUE"""),175.55)</f>
        <v>175.55</v>
      </c>
    </row>
    <row r="4156" spans="1:2">
      <c r="A4156" s="3">
        <f ca="1">IFERROR(__xludf.DUMMYFUNCTION("""COMPUTED_VALUE"""),44383.6666666666)</f>
        <v>44383.666666666599</v>
      </c>
      <c r="B4156" s="1">
        <f ca="1">IFERROR(__xludf.DUMMYFUNCTION("""COMPUTED_VALUE"""),183.79)</f>
        <v>183.79</v>
      </c>
    </row>
    <row r="4157" spans="1:2">
      <c r="A4157" s="3">
        <f ca="1">IFERROR(__xludf.DUMMYFUNCTION("""COMPUTED_VALUE"""),44384.6666666666)</f>
        <v>44384.666666666599</v>
      </c>
      <c r="B4157" s="1">
        <f ca="1">IFERROR(__xludf.DUMMYFUNCTION("""COMPUTED_VALUE"""),184.83)</f>
        <v>184.83</v>
      </c>
    </row>
    <row r="4158" spans="1:2">
      <c r="A4158" s="3">
        <f ca="1">IFERROR(__xludf.DUMMYFUNCTION("""COMPUTED_VALUE"""),44385.6666666666)</f>
        <v>44385.666666666599</v>
      </c>
      <c r="B4158" s="1">
        <f ca="1">IFERROR(__xludf.DUMMYFUNCTION("""COMPUTED_VALUE"""),186.57)</f>
        <v>186.57</v>
      </c>
    </row>
    <row r="4159" spans="1:2">
      <c r="A4159" s="3">
        <f ca="1">IFERROR(__xludf.DUMMYFUNCTION("""COMPUTED_VALUE"""),44386.6666666666)</f>
        <v>44386.666666666599</v>
      </c>
      <c r="B4159" s="1">
        <f ca="1">IFERROR(__xludf.DUMMYFUNCTION("""COMPUTED_VALUE"""),185.97)</f>
        <v>185.97</v>
      </c>
    </row>
    <row r="4160" spans="1:2">
      <c r="A4160" s="3">
        <f ca="1">IFERROR(__xludf.DUMMYFUNCTION("""COMPUTED_VALUE"""),44389.6666666666)</f>
        <v>44389.666666666599</v>
      </c>
      <c r="B4160" s="1">
        <f ca="1">IFERROR(__xludf.DUMMYFUNCTION("""COMPUTED_VALUE"""),185.93)</f>
        <v>185.93</v>
      </c>
    </row>
    <row r="4161" spans="1:2">
      <c r="A4161" s="3">
        <f ca="1">IFERROR(__xludf.DUMMYFUNCTION("""COMPUTED_VALUE"""),44390.6666666666)</f>
        <v>44390.666666666599</v>
      </c>
      <c r="B4161" s="1">
        <f ca="1">IFERROR(__xludf.DUMMYFUNCTION("""COMPUTED_VALUE"""),183.87)</f>
        <v>183.87</v>
      </c>
    </row>
    <row r="4162" spans="1:2">
      <c r="A4162" s="3">
        <f ca="1">IFERROR(__xludf.DUMMYFUNCTION("""COMPUTED_VALUE"""),44391.6666666666)</f>
        <v>44391.666666666599</v>
      </c>
      <c r="B4162" s="1">
        <f ca="1">IFERROR(__xludf.DUMMYFUNCTION("""COMPUTED_VALUE"""),184.08)</f>
        <v>184.08</v>
      </c>
    </row>
    <row r="4163" spans="1:2">
      <c r="A4163" s="3">
        <f ca="1">IFERROR(__xludf.DUMMYFUNCTION("""COMPUTED_VALUE"""),44392.6666666666)</f>
        <v>44392.666666666599</v>
      </c>
      <c r="B4163" s="1">
        <f ca="1">IFERROR(__xludf.DUMMYFUNCTION("""COMPUTED_VALUE"""),181.56)</f>
        <v>181.56</v>
      </c>
    </row>
    <row r="4164" spans="1:2">
      <c r="A4164" s="3">
        <f ca="1">IFERROR(__xludf.DUMMYFUNCTION("""COMPUTED_VALUE"""),44393.6666666666)</f>
        <v>44393.666666666599</v>
      </c>
      <c r="B4164" s="1">
        <f ca="1">IFERROR(__xludf.DUMMYFUNCTION("""COMPUTED_VALUE"""),178.68)</f>
        <v>178.68</v>
      </c>
    </row>
    <row r="4165" spans="1:2">
      <c r="A4165" s="3">
        <f ca="1">IFERROR(__xludf.DUMMYFUNCTION("""COMPUTED_VALUE"""),44396.6666666666)</f>
        <v>44396.666666666599</v>
      </c>
      <c r="B4165" s="1">
        <f ca="1">IFERROR(__xludf.DUMMYFUNCTION("""COMPUTED_VALUE"""),177.48)</f>
        <v>177.48</v>
      </c>
    </row>
    <row r="4166" spans="1:2">
      <c r="A4166" s="3">
        <f ca="1">IFERROR(__xludf.DUMMYFUNCTION("""COMPUTED_VALUE"""),44397.6666666666)</f>
        <v>44397.666666666599</v>
      </c>
      <c r="B4166" s="1">
        <f ca="1">IFERROR(__xludf.DUMMYFUNCTION("""COMPUTED_VALUE"""),178.66)</f>
        <v>178.66</v>
      </c>
    </row>
    <row r="4167" spans="1:2">
      <c r="A4167" s="3">
        <f ca="1">IFERROR(__xludf.DUMMYFUNCTION("""COMPUTED_VALUE"""),44398.6666666666)</f>
        <v>44398.666666666599</v>
      </c>
      <c r="B4167" s="1">
        <f ca="1">IFERROR(__xludf.DUMMYFUNCTION("""COMPUTED_VALUE"""),179.26)</f>
        <v>179.26</v>
      </c>
    </row>
    <row r="4168" spans="1:2">
      <c r="A4168" s="3">
        <f ca="1">IFERROR(__xludf.DUMMYFUNCTION("""COMPUTED_VALUE"""),44399.6666666666)</f>
        <v>44399.666666666599</v>
      </c>
      <c r="B4168" s="1">
        <f ca="1">IFERROR(__xludf.DUMMYFUNCTION("""COMPUTED_VALUE"""),181.9)</f>
        <v>181.9</v>
      </c>
    </row>
    <row r="4169" spans="1:2">
      <c r="A4169" s="3">
        <f ca="1">IFERROR(__xludf.DUMMYFUNCTION("""COMPUTED_VALUE"""),44400.6666666666)</f>
        <v>44400.666666666599</v>
      </c>
      <c r="B4169" s="1">
        <f ca="1">IFERROR(__xludf.DUMMYFUNCTION("""COMPUTED_VALUE"""),182.83)</f>
        <v>182.83</v>
      </c>
    </row>
    <row r="4170" spans="1:2">
      <c r="A4170" s="3">
        <f ca="1">IFERROR(__xludf.DUMMYFUNCTION("""COMPUTED_VALUE"""),44403.6666666666)</f>
        <v>44403.666666666599</v>
      </c>
      <c r="B4170" s="1">
        <f ca="1">IFERROR(__xludf.DUMMYFUNCTION("""COMPUTED_VALUE"""),184.99)</f>
        <v>184.99</v>
      </c>
    </row>
    <row r="4171" spans="1:2">
      <c r="A4171" s="3">
        <f ca="1">IFERROR(__xludf.DUMMYFUNCTION("""COMPUTED_VALUE"""),44404.6666666666)</f>
        <v>44404.666666666599</v>
      </c>
      <c r="B4171" s="1">
        <f ca="1">IFERROR(__xludf.DUMMYFUNCTION("""COMPUTED_VALUE"""),181.32)</f>
        <v>181.32</v>
      </c>
    </row>
    <row r="4172" spans="1:2">
      <c r="A4172" s="3">
        <f ca="1">IFERROR(__xludf.DUMMYFUNCTION("""COMPUTED_VALUE"""),44405.6666666666)</f>
        <v>44405.666666666599</v>
      </c>
      <c r="B4172" s="1">
        <f ca="1">IFERROR(__xludf.DUMMYFUNCTION("""COMPUTED_VALUE"""),181.52)</f>
        <v>181.52</v>
      </c>
    </row>
    <row r="4173" spans="1:2">
      <c r="A4173" s="3">
        <f ca="1">IFERROR(__xludf.DUMMYFUNCTION("""COMPUTED_VALUE"""),44406.6666666666)</f>
        <v>44406.666666666599</v>
      </c>
      <c r="B4173" s="1">
        <f ca="1">IFERROR(__xludf.DUMMYFUNCTION("""COMPUTED_VALUE"""),180)</f>
        <v>180</v>
      </c>
    </row>
    <row r="4174" spans="1:2">
      <c r="A4174" s="3">
        <f ca="1">IFERROR(__xludf.DUMMYFUNCTION("""COMPUTED_VALUE"""),44407.6666666666)</f>
        <v>44407.666666666599</v>
      </c>
      <c r="B4174" s="1">
        <f ca="1">IFERROR(__xludf.DUMMYFUNCTION("""COMPUTED_VALUE"""),166.38)</f>
        <v>166.38</v>
      </c>
    </row>
    <row r="4175" spans="1:2">
      <c r="A4175" s="3">
        <f ca="1">IFERROR(__xludf.DUMMYFUNCTION("""COMPUTED_VALUE"""),44410.6666666666)</f>
        <v>44410.666666666599</v>
      </c>
      <c r="B4175" s="1">
        <f ca="1">IFERROR(__xludf.DUMMYFUNCTION("""COMPUTED_VALUE"""),166.57)</f>
        <v>166.57</v>
      </c>
    </row>
    <row r="4176" spans="1:2">
      <c r="A4176" s="3">
        <f ca="1">IFERROR(__xludf.DUMMYFUNCTION("""COMPUTED_VALUE"""),44411.6666666666)</f>
        <v>44411.666666666599</v>
      </c>
      <c r="B4176" s="1">
        <f ca="1">IFERROR(__xludf.DUMMYFUNCTION("""COMPUTED_VALUE"""),168.31)</f>
        <v>168.31</v>
      </c>
    </row>
    <row r="4177" spans="1:2">
      <c r="A4177" s="3">
        <f ca="1">IFERROR(__xludf.DUMMYFUNCTION("""COMPUTED_VALUE"""),44412.6666666666)</f>
        <v>44412.666666666599</v>
      </c>
      <c r="B4177" s="1">
        <f ca="1">IFERROR(__xludf.DUMMYFUNCTION("""COMPUTED_VALUE"""),167.74)</f>
        <v>167.74</v>
      </c>
    </row>
    <row r="4178" spans="1:2">
      <c r="A4178" s="3">
        <f ca="1">IFERROR(__xludf.DUMMYFUNCTION("""COMPUTED_VALUE"""),44413.6666666666)</f>
        <v>44413.666666666599</v>
      </c>
      <c r="B4178" s="1">
        <f ca="1">IFERROR(__xludf.DUMMYFUNCTION("""COMPUTED_VALUE"""),168.8)</f>
        <v>168.8</v>
      </c>
    </row>
    <row r="4179" spans="1:2">
      <c r="A4179" s="3">
        <f ca="1">IFERROR(__xludf.DUMMYFUNCTION("""COMPUTED_VALUE"""),44414.6666666666)</f>
        <v>44414.666666666599</v>
      </c>
      <c r="B4179" s="1">
        <f ca="1">IFERROR(__xludf.DUMMYFUNCTION("""COMPUTED_VALUE"""),167.25)</f>
        <v>167.25</v>
      </c>
    </row>
    <row r="4180" spans="1:2">
      <c r="A4180" s="3">
        <f ca="1">IFERROR(__xludf.DUMMYFUNCTION("""COMPUTED_VALUE"""),44417.6666666666)</f>
        <v>44417.666666666599</v>
      </c>
      <c r="B4180" s="1">
        <f ca="1">IFERROR(__xludf.DUMMYFUNCTION("""COMPUTED_VALUE"""),167.09)</f>
        <v>167.09</v>
      </c>
    </row>
    <row r="4181" spans="1:2">
      <c r="A4181" s="3">
        <f ca="1">IFERROR(__xludf.DUMMYFUNCTION("""COMPUTED_VALUE"""),44418.6666666666)</f>
        <v>44418.666666666599</v>
      </c>
      <c r="B4181" s="1">
        <f ca="1">IFERROR(__xludf.DUMMYFUNCTION("""COMPUTED_VALUE"""),166.03)</f>
        <v>166.03</v>
      </c>
    </row>
    <row r="4182" spans="1:2">
      <c r="A4182" s="3">
        <f ca="1">IFERROR(__xludf.DUMMYFUNCTION("""COMPUTED_VALUE"""),44419.6666666666)</f>
        <v>44419.666666666599</v>
      </c>
      <c r="B4182" s="1">
        <f ca="1">IFERROR(__xludf.DUMMYFUNCTION("""COMPUTED_VALUE"""),164.61)</f>
        <v>164.61</v>
      </c>
    </row>
    <row r="4183" spans="1:2">
      <c r="A4183" s="3">
        <f ca="1">IFERROR(__xludf.DUMMYFUNCTION("""COMPUTED_VALUE"""),44420.6666666666)</f>
        <v>44420.666666666599</v>
      </c>
      <c r="B4183" s="1">
        <f ca="1">IFERROR(__xludf.DUMMYFUNCTION("""COMPUTED_VALUE"""),165.18)</f>
        <v>165.18</v>
      </c>
    </row>
    <row r="4184" spans="1:2">
      <c r="A4184" s="3">
        <f ca="1">IFERROR(__xludf.DUMMYFUNCTION("""COMPUTED_VALUE"""),44421.6666666666)</f>
        <v>44421.666666666599</v>
      </c>
      <c r="B4184" s="1">
        <f ca="1">IFERROR(__xludf.DUMMYFUNCTION("""COMPUTED_VALUE"""),164.7)</f>
        <v>164.7</v>
      </c>
    </row>
    <row r="4185" spans="1:2">
      <c r="A4185" s="3">
        <f ca="1">IFERROR(__xludf.DUMMYFUNCTION("""COMPUTED_VALUE"""),44424.6666666666)</f>
        <v>44424.666666666599</v>
      </c>
      <c r="B4185" s="1">
        <f ca="1">IFERROR(__xludf.DUMMYFUNCTION("""COMPUTED_VALUE"""),164.95)</f>
        <v>164.95</v>
      </c>
    </row>
    <row r="4186" spans="1:2">
      <c r="A4186" s="3">
        <f ca="1">IFERROR(__xludf.DUMMYFUNCTION("""COMPUTED_VALUE"""),44425.6666666666)</f>
        <v>44425.666666666599</v>
      </c>
      <c r="B4186" s="1">
        <f ca="1">IFERROR(__xludf.DUMMYFUNCTION("""COMPUTED_VALUE"""),162.1)</f>
        <v>162.1</v>
      </c>
    </row>
    <row r="4187" spans="1:2">
      <c r="A4187" s="3">
        <f ca="1">IFERROR(__xludf.DUMMYFUNCTION("""COMPUTED_VALUE"""),44426.6666666666)</f>
        <v>44426.666666666599</v>
      </c>
      <c r="B4187" s="1">
        <f ca="1">IFERROR(__xludf.DUMMYFUNCTION("""COMPUTED_VALUE"""),160.06)</f>
        <v>160.06</v>
      </c>
    </row>
    <row r="4188" spans="1:2">
      <c r="A4188" s="3">
        <f ca="1">IFERROR(__xludf.DUMMYFUNCTION("""COMPUTED_VALUE"""),44427.6666666666)</f>
        <v>44427.666666666599</v>
      </c>
      <c r="B4188" s="1">
        <f ca="1">IFERROR(__xludf.DUMMYFUNCTION("""COMPUTED_VALUE"""),159.39)</f>
        <v>159.38999999999999</v>
      </c>
    </row>
    <row r="4189" spans="1:2">
      <c r="A4189" s="3">
        <f ca="1">IFERROR(__xludf.DUMMYFUNCTION("""COMPUTED_VALUE"""),44428.6666666666)</f>
        <v>44428.666666666599</v>
      </c>
      <c r="B4189" s="1">
        <f ca="1">IFERROR(__xludf.DUMMYFUNCTION("""COMPUTED_VALUE"""),160)</f>
        <v>160</v>
      </c>
    </row>
    <row r="4190" spans="1:2">
      <c r="A4190" s="3">
        <f ca="1">IFERROR(__xludf.DUMMYFUNCTION("""COMPUTED_VALUE"""),44431.6666666666)</f>
        <v>44431.666666666599</v>
      </c>
      <c r="B4190" s="1">
        <f ca="1">IFERROR(__xludf.DUMMYFUNCTION("""COMPUTED_VALUE"""),163.29)</f>
        <v>163.29</v>
      </c>
    </row>
    <row r="4191" spans="1:2">
      <c r="A4191" s="3">
        <f ca="1">IFERROR(__xludf.DUMMYFUNCTION("""COMPUTED_VALUE"""),44432.6666666666)</f>
        <v>44432.666666666599</v>
      </c>
      <c r="B4191" s="1">
        <f ca="1">IFERROR(__xludf.DUMMYFUNCTION("""COMPUTED_VALUE"""),165.29)</f>
        <v>165.29</v>
      </c>
    </row>
    <row r="4192" spans="1:2">
      <c r="A4192" s="3">
        <f ca="1">IFERROR(__xludf.DUMMYFUNCTION("""COMPUTED_VALUE"""),44433.6666666666)</f>
        <v>44433.666666666599</v>
      </c>
      <c r="B4192" s="1">
        <f ca="1">IFERROR(__xludf.DUMMYFUNCTION("""COMPUTED_VALUE"""),164.96)</f>
        <v>164.96</v>
      </c>
    </row>
    <row r="4193" spans="1:2">
      <c r="A4193" s="3">
        <f ca="1">IFERROR(__xludf.DUMMYFUNCTION("""COMPUTED_VALUE"""),44434.6666666666)</f>
        <v>44434.666666666599</v>
      </c>
      <c r="B4193" s="1">
        <f ca="1">IFERROR(__xludf.DUMMYFUNCTION("""COMPUTED_VALUE"""),165.8)</f>
        <v>165.8</v>
      </c>
    </row>
    <row r="4194" spans="1:2">
      <c r="A4194" s="3">
        <f ca="1">IFERROR(__xludf.DUMMYFUNCTION("""COMPUTED_VALUE"""),44435.6666666666)</f>
        <v>44435.666666666599</v>
      </c>
      <c r="B4194" s="1">
        <f ca="1">IFERROR(__xludf.DUMMYFUNCTION("""COMPUTED_VALUE"""),167.48)</f>
        <v>167.48</v>
      </c>
    </row>
    <row r="4195" spans="1:2">
      <c r="A4195" s="3">
        <f ca="1">IFERROR(__xludf.DUMMYFUNCTION("""COMPUTED_VALUE"""),44438.6666666666)</f>
        <v>44438.666666666599</v>
      </c>
      <c r="B4195" s="1">
        <f ca="1">IFERROR(__xludf.DUMMYFUNCTION("""COMPUTED_VALUE"""),171.08)</f>
        <v>171.08</v>
      </c>
    </row>
    <row r="4196" spans="1:2">
      <c r="A4196" s="3">
        <f ca="1">IFERROR(__xludf.DUMMYFUNCTION("""COMPUTED_VALUE"""),44439.6666666666)</f>
        <v>44439.666666666599</v>
      </c>
      <c r="B4196" s="1">
        <f ca="1">IFERROR(__xludf.DUMMYFUNCTION("""COMPUTED_VALUE"""),173.54)</f>
        <v>173.54</v>
      </c>
    </row>
    <row r="4197" spans="1:2">
      <c r="A4197" s="3">
        <f ca="1">IFERROR(__xludf.DUMMYFUNCTION("""COMPUTED_VALUE"""),44440.6666666666)</f>
        <v>44440.666666666599</v>
      </c>
      <c r="B4197" s="1">
        <f ca="1">IFERROR(__xludf.DUMMYFUNCTION("""COMPUTED_VALUE"""),173.95)</f>
        <v>173.95</v>
      </c>
    </row>
    <row r="4198" spans="1:2">
      <c r="A4198" s="3">
        <f ca="1">IFERROR(__xludf.DUMMYFUNCTION("""COMPUTED_VALUE"""),44441.6666666666)</f>
        <v>44441.666666666599</v>
      </c>
      <c r="B4198" s="1">
        <f ca="1">IFERROR(__xludf.DUMMYFUNCTION("""COMPUTED_VALUE"""),173.16)</f>
        <v>173.16</v>
      </c>
    </row>
    <row r="4199" spans="1:2">
      <c r="A4199" s="3">
        <f ca="1">IFERROR(__xludf.DUMMYFUNCTION("""COMPUTED_VALUE"""),44442.6666666666)</f>
        <v>44442.666666666599</v>
      </c>
      <c r="B4199" s="1">
        <f ca="1">IFERROR(__xludf.DUMMYFUNCTION("""COMPUTED_VALUE"""),173.9)</f>
        <v>173.9</v>
      </c>
    </row>
    <row r="4200" spans="1:2">
      <c r="A4200" s="3">
        <f ca="1">IFERROR(__xludf.DUMMYFUNCTION("""COMPUTED_VALUE"""),44446.6666666666)</f>
        <v>44446.666666666599</v>
      </c>
      <c r="B4200" s="1">
        <f ca="1">IFERROR(__xludf.DUMMYFUNCTION("""COMPUTED_VALUE"""),175.46)</f>
        <v>175.46</v>
      </c>
    </row>
    <row r="4201" spans="1:2">
      <c r="A4201" s="3">
        <f ca="1">IFERROR(__xludf.DUMMYFUNCTION("""COMPUTED_VALUE"""),44447.6666666666)</f>
        <v>44447.666666666599</v>
      </c>
      <c r="B4201" s="1">
        <f ca="1">IFERROR(__xludf.DUMMYFUNCTION("""COMPUTED_VALUE"""),176.28)</f>
        <v>176.28</v>
      </c>
    </row>
    <row r="4202" spans="1:2">
      <c r="A4202" s="3">
        <f ca="1">IFERROR(__xludf.DUMMYFUNCTION("""COMPUTED_VALUE"""),44448.6666666666)</f>
        <v>44448.666666666599</v>
      </c>
      <c r="B4202" s="1">
        <f ca="1">IFERROR(__xludf.DUMMYFUNCTION("""COMPUTED_VALUE"""),174.21)</f>
        <v>174.21</v>
      </c>
    </row>
    <row r="4203" spans="1:2">
      <c r="A4203" s="3">
        <f ca="1">IFERROR(__xludf.DUMMYFUNCTION("""COMPUTED_VALUE"""),44449.6666666666)</f>
        <v>44449.666666666599</v>
      </c>
      <c r="B4203" s="1">
        <f ca="1">IFERROR(__xludf.DUMMYFUNCTION("""COMPUTED_VALUE"""),173.46)</f>
        <v>173.46</v>
      </c>
    </row>
    <row r="4204" spans="1:2">
      <c r="A4204" s="3">
        <f ca="1">IFERROR(__xludf.DUMMYFUNCTION("""COMPUTED_VALUE"""),44452.6666666666)</f>
        <v>44452.666666666599</v>
      </c>
      <c r="B4204" s="1">
        <f ca="1">IFERROR(__xludf.DUMMYFUNCTION("""COMPUTED_VALUE"""),172.86)</f>
        <v>172.86</v>
      </c>
    </row>
    <row r="4205" spans="1:2">
      <c r="A4205" s="3">
        <f ca="1">IFERROR(__xludf.DUMMYFUNCTION("""COMPUTED_VALUE"""),44453.6666666666)</f>
        <v>44453.666666666599</v>
      </c>
      <c r="B4205" s="1">
        <f ca="1">IFERROR(__xludf.DUMMYFUNCTION("""COMPUTED_VALUE"""),172.5)</f>
        <v>172.5</v>
      </c>
    </row>
    <row r="4206" spans="1:2">
      <c r="A4206" s="3">
        <f ca="1">IFERROR(__xludf.DUMMYFUNCTION("""COMPUTED_VALUE"""),44454.6666666666)</f>
        <v>44454.666666666599</v>
      </c>
      <c r="B4206" s="1">
        <f ca="1">IFERROR(__xludf.DUMMYFUNCTION("""COMPUTED_VALUE"""),173.79)</f>
        <v>173.79</v>
      </c>
    </row>
    <row r="4207" spans="1:2">
      <c r="A4207" s="3">
        <f ca="1">IFERROR(__xludf.DUMMYFUNCTION("""COMPUTED_VALUE"""),44455.6666666666)</f>
        <v>44455.666666666599</v>
      </c>
      <c r="B4207" s="1">
        <f ca="1">IFERROR(__xludf.DUMMYFUNCTION("""COMPUTED_VALUE"""),174.41)</f>
        <v>174.41</v>
      </c>
    </row>
    <row r="4208" spans="1:2">
      <c r="A4208" s="3">
        <f ca="1">IFERROR(__xludf.DUMMYFUNCTION("""COMPUTED_VALUE"""),44456.6666666666)</f>
        <v>44456.666666666599</v>
      </c>
      <c r="B4208" s="1">
        <f ca="1">IFERROR(__xludf.DUMMYFUNCTION("""COMPUTED_VALUE"""),173.13)</f>
        <v>173.13</v>
      </c>
    </row>
    <row r="4209" spans="1:2">
      <c r="A4209" s="3">
        <f ca="1">IFERROR(__xludf.DUMMYFUNCTION("""COMPUTED_VALUE"""),44459.6666666666)</f>
        <v>44459.666666666599</v>
      </c>
      <c r="B4209" s="1">
        <f ca="1">IFERROR(__xludf.DUMMYFUNCTION("""COMPUTED_VALUE"""),167.79)</f>
        <v>167.79</v>
      </c>
    </row>
    <row r="4210" spans="1:2">
      <c r="A4210" s="3">
        <f ca="1">IFERROR(__xludf.DUMMYFUNCTION("""COMPUTED_VALUE"""),44460.6666666666)</f>
        <v>44460.666666666599</v>
      </c>
      <c r="B4210" s="1">
        <f ca="1">IFERROR(__xludf.DUMMYFUNCTION("""COMPUTED_VALUE"""),167.18)</f>
        <v>167.18</v>
      </c>
    </row>
    <row r="4211" spans="1:2">
      <c r="A4211" s="3">
        <f ca="1">IFERROR(__xludf.DUMMYFUNCTION("""COMPUTED_VALUE"""),44461.6666666666)</f>
        <v>44461.666666666599</v>
      </c>
      <c r="B4211" s="1">
        <f ca="1">IFERROR(__xludf.DUMMYFUNCTION("""COMPUTED_VALUE"""),169)</f>
        <v>169</v>
      </c>
    </row>
    <row r="4212" spans="1:2">
      <c r="A4212" s="3">
        <f ca="1">IFERROR(__xludf.DUMMYFUNCTION("""COMPUTED_VALUE"""),44462.6666666666)</f>
        <v>44462.666666666599</v>
      </c>
      <c r="B4212" s="1">
        <f ca="1">IFERROR(__xludf.DUMMYFUNCTION("""COMPUTED_VALUE"""),170.8)</f>
        <v>170.8</v>
      </c>
    </row>
    <row r="4213" spans="1:2">
      <c r="A4213" s="3">
        <f ca="1">IFERROR(__xludf.DUMMYFUNCTION("""COMPUTED_VALUE"""),44463.6666666666)</f>
        <v>44463.666666666599</v>
      </c>
      <c r="B4213" s="1">
        <f ca="1">IFERROR(__xludf.DUMMYFUNCTION("""COMPUTED_VALUE"""),171.28)</f>
        <v>171.28</v>
      </c>
    </row>
    <row r="4214" spans="1:2">
      <c r="A4214" s="3">
        <f ca="1">IFERROR(__xludf.DUMMYFUNCTION("""COMPUTED_VALUE"""),44466.6666666666)</f>
        <v>44466.666666666599</v>
      </c>
      <c r="B4214" s="1">
        <f ca="1">IFERROR(__xludf.DUMMYFUNCTION("""COMPUTED_VALUE"""),170.29)</f>
        <v>170.29</v>
      </c>
    </row>
    <row r="4215" spans="1:2">
      <c r="A4215" s="3">
        <f ca="1">IFERROR(__xludf.DUMMYFUNCTION("""COMPUTED_VALUE"""),44467.6666666666)</f>
        <v>44467.666666666599</v>
      </c>
      <c r="B4215" s="1">
        <f ca="1">IFERROR(__xludf.DUMMYFUNCTION("""COMPUTED_VALUE"""),165.8)</f>
        <v>165.8</v>
      </c>
    </row>
    <row r="4216" spans="1:2">
      <c r="A4216" s="3">
        <f ca="1">IFERROR(__xludf.DUMMYFUNCTION("""COMPUTED_VALUE"""),44468.6666666666)</f>
        <v>44468.666666666599</v>
      </c>
      <c r="B4216" s="1">
        <f ca="1">IFERROR(__xludf.DUMMYFUNCTION("""COMPUTED_VALUE"""),165.06)</f>
        <v>165.06</v>
      </c>
    </row>
    <row r="4217" spans="1:2">
      <c r="A4217" s="3">
        <f ca="1">IFERROR(__xludf.DUMMYFUNCTION("""COMPUTED_VALUE"""),44469.6666666666)</f>
        <v>44469.666666666599</v>
      </c>
      <c r="B4217" s="1">
        <f ca="1">IFERROR(__xludf.DUMMYFUNCTION("""COMPUTED_VALUE"""),164.25)</f>
        <v>164.25</v>
      </c>
    </row>
    <row r="4218" spans="1:2">
      <c r="A4218" s="3">
        <f ca="1">IFERROR(__xludf.DUMMYFUNCTION("""COMPUTED_VALUE"""),44470.6666666666)</f>
        <v>44470.666666666599</v>
      </c>
      <c r="B4218" s="1">
        <f ca="1">IFERROR(__xludf.DUMMYFUNCTION("""COMPUTED_VALUE"""),164.16)</f>
        <v>164.16</v>
      </c>
    </row>
    <row r="4219" spans="1:2">
      <c r="A4219" s="3">
        <f ca="1">IFERROR(__xludf.DUMMYFUNCTION("""COMPUTED_VALUE"""),44473.6666666666)</f>
        <v>44473.666666666599</v>
      </c>
      <c r="B4219" s="1">
        <f ca="1">IFERROR(__xludf.DUMMYFUNCTION("""COMPUTED_VALUE"""),159.49)</f>
        <v>159.49</v>
      </c>
    </row>
    <row r="4220" spans="1:2">
      <c r="A4220" s="3">
        <f ca="1">IFERROR(__xludf.DUMMYFUNCTION("""COMPUTED_VALUE"""),44474.6666666666)</f>
        <v>44474.666666666599</v>
      </c>
      <c r="B4220" s="1">
        <f ca="1">IFERROR(__xludf.DUMMYFUNCTION("""COMPUTED_VALUE"""),161.05)</f>
        <v>161.05000000000001</v>
      </c>
    </row>
    <row r="4221" spans="1:2">
      <c r="A4221" s="3">
        <f ca="1">IFERROR(__xludf.DUMMYFUNCTION("""COMPUTED_VALUE"""),44475.6666666666)</f>
        <v>44475.666666666599</v>
      </c>
      <c r="B4221" s="1">
        <f ca="1">IFERROR(__xludf.DUMMYFUNCTION("""COMPUTED_VALUE"""),163.1)</f>
        <v>163.1</v>
      </c>
    </row>
    <row r="4222" spans="1:2">
      <c r="A4222" s="3">
        <f ca="1">IFERROR(__xludf.DUMMYFUNCTION("""COMPUTED_VALUE"""),44476.6666666666)</f>
        <v>44476.666666666599</v>
      </c>
      <c r="B4222" s="1">
        <f ca="1">IFERROR(__xludf.DUMMYFUNCTION("""COMPUTED_VALUE"""),165.12)</f>
        <v>165.12</v>
      </c>
    </row>
    <row r="4223" spans="1:2">
      <c r="A4223" s="3">
        <f ca="1">IFERROR(__xludf.DUMMYFUNCTION("""COMPUTED_VALUE"""),44477.6666666666)</f>
        <v>44477.666666666599</v>
      </c>
      <c r="B4223" s="1">
        <f ca="1">IFERROR(__xludf.DUMMYFUNCTION("""COMPUTED_VALUE"""),164.43)</f>
        <v>164.43</v>
      </c>
    </row>
    <row r="4224" spans="1:2">
      <c r="A4224" s="3">
        <f ca="1">IFERROR(__xludf.DUMMYFUNCTION("""COMPUTED_VALUE"""),44480.6666666666)</f>
        <v>44480.666666666599</v>
      </c>
      <c r="B4224" s="1">
        <f ca="1">IFERROR(__xludf.DUMMYFUNCTION("""COMPUTED_VALUE"""),162.32)</f>
        <v>162.32</v>
      </c>
    </row>
    <row r="4225" spans="1:2">
      <c r="A4225" s="3">
        <f ca="1">IFERROR(__xludf.DUMMYFUNCTION("""COMPUTED_VALUE"""),44481.6666666666)</f>
        <v>44481.666666666599</v>
      </c>
      <c r="B4225" s="1">
        <f ca="1">IFERROR(__xludf.DUMMYFUNCTION("""COMPUTED_VALUE"""),162.37)</f>
        <v>162.37</v>
      </c>
    </row>
    <row r="4226" spans="1:2">
      <c r="A4226" s="3">
        <f ca="1">IFERROR(__xludf.DUMMYFUNCTION("""COMPUTED_VALUE"""),44482.6666666666)</f>
        <v>44482.666666666599</v>
      </c>
      <c r="B4226" s="1">
        <f ca="1">IFERROR(__xludf.DUMMYFUNCTION("""COMPUTED_VALUE"""),164.21)</f>
        <v>164.21</v>
      </c>
    </row>
    <row r="4227" spans="1:2">
      <c r="A4227" s="3">
        <f ca="1">IFERROR(__xludf.DUMMYFUNCTION("""COMPUTED_VALUE"""),44483.6666666666)</f>
        <v>44483.666666666599</v>
      </c>
      <c r="B4227" s="1">
        <f ca="1">IFERROR(__xludf.DUMMYFUNCTION("""COMPUTED_VALUE"""),164.99)</f>
        <v>164.99</v>
      </c>
    </row>
    <row r="4228" spans="1:2">
      <c r="A4228" s="3">
        <f ca="1">IFERROR(__xludf.DUMMYFUNCTION("""COMPUTED_VALUE"""),44484.6666666666)</f>
        <v>44484.666666666599</v>
      </c>
      <c r="B4228" s="1">
        <f ca="1">IFERROR(__xludf.DUMMYFUNCTION("""COMPUTED_VALUE"""),170.45)</f>
        <v>170.45</v>
      </c>
    </row>
    <row r="4229" spans="1:2">
      <c r="A4229" s="3">
        <f ca="1">IFERROR(__xludf.DUMMYFUNCTION("""COMPUTED_VALUE"""),44487.6666666666)</f>
        <v>44487.666666666599</v>
      </c>
      <c r="B4229" s="1">
        <f ca="1">IFERROR(__xludf.DUMMYFUNCTION("""COMPUTED_VALUE"""),172.34)</f>
        <v>172.34</v>
      </c>
    </row>
    <row r="4230" spans="1:2">
      <c r="A4230" s="3">
        <f ca="1">IFERROR(__xludf.DUMMYFUNCTION("""COMPUTED_VALUE"""),44488.6666666666)</f>
        <v>44488.666666666599</v>
      </c>
      <c r="B4230" s="1">
        <f ca="1">IFERROR(__xludf.DUMMYFUNCTION("""COMPUTED_VALUE"""),172.21)</f>
        <v>172.21</v>
      </c>
    </row>
    <row r="4231" spans="1:2">
      <c r="A4231" s="3">
        <f ca="1">IFERROR(__xludf.DUMMYFUNCTION("""COMPUTED_VALUE"""),44489.6666666666)</f>
        <v>44489.666666666599</v>
      </c>
      <c r="B4231" s="1">
        <f ca="1">IFERROR(__xludf.DUMMYFUNCTION("""COMPUTED_VALUE"""),170.75)</f>
        <v>170.75</v>
      </c>
    </row>
    <row r="4232" spans="1:2">
      <c r="A4232" s="3">
        <f ca="1">IFERROR(__xludf.DUMMYFUNCTION("""COMPUTED_VALUE"""),44490.6666666666)</f>
        <v>44490.666666666599</v>
      </c>
      <c r="B4232" s="1">
        <f ca="1">IFERROR(__xludf.DUMMYFUNCTION("""COMPUTED_VALUE"""),171.75)</f>
        <v>171.75</v>
      </c>
    </row>
    <row r="4233" spans="1:2">
      <c r="A4233" s="3">
        <f ca="1">IFERROR(__xludf.DUMMYFUNCTION("""COMPUTED_VALUE"""),44491.6666666666)</f>
        <v>44491.666666666599</v>
      </c>
      <c r="B4233" s="1">
        <f ca="1">IFERROR(__xludf.DUMMYFUNCTION("""COMPUTED_VALUE"""),166.78)</f>
        <v>166.78</v>
      </c>
    </row>
    <row r="4234" spans="1:2">
      <c r="A4234" s="3">
        <f ca="1">IFERROR(__xludf.DUMMYFUNCTION("""COMPUTED_VALUE"""),44494.6666666666)</f>
        <v>44494.666666666599</v>
      </c>
      <c r="B4234" s="1">
        <f ca="1">IFERROR(__xludf.DUMMYFUNCTION("""COMPUTED_VALUE"""),166.02)</f>
        <v>166.02</v>
      </c>
    </row>
    <row r="4235" spans="1:2">
      <c r="A4235" s="3">
        <f ca="1">IFERROR(__xludf.DUMMYFUNCTION("""COMPUTED_VALUE"""),44495.6666666666)</f>
        <v>44495.666666666599</v>
      </c>
      <c r="B4235" s="1">
        <f ca="1">IFERROR(__xludf.DUMMYFUNCTION("""COMPUTED_VALUE"""),168.8)</f>
        <v>168.8</v>
      </c>
    </row>
    <row r="4236" spans="1:2">
      <c r="A4236" s="3">
        <f ca="1">IFERROR(__xludf.DUMMYFUNCTION("""COMPUTED_VALUE"""),44496.6666666666)</f>
        <v>44496.666666666599</v>
      </c>
      <c r="B4236" s="1">
        <f ca="1">IFERROR(__xludf.DUMMYFUNCTION("""COMPUTED_VALUE"""),169.62)</f>
        <v>169.62</v>
      </c>
    </row>
    <row r="4237" spans="1:2">
      <c r="A4237" s="3">
        <f ca="1">IFERROR(__xludf.DUMMYFUNCTION("""COMPUTED_VALUE"""),44497.6666666666)</f>
        <v>44497.666666666599</v>
      </c>
      <c r="B4237" s="1">
        <f ca="1">IFERROR(__xludf.DUMMYFUNCTION("""COMPUTED_VALUE"""),172.33)</f>
        <v>172.33</v>
      </c>
    </row>
    <row r="4238" spans="1:2">
      <c r="A4238" s="3">
        <f ca="1">IFERROR(__xludf.DUMMYFUNCTION("""COMPUTED_VALUE"""),44498.6666666666)</f>
        <v>44498.666666666599</v>
      </c>
      <c r="B4238" s="1">
        <f ca="1">IFERROR(__xludf.DUMMYFUNCTION("""COMPUTED_VALUE"""),168.62)</f>
        <v>168.62</v>
      </c>
    </row>
    <row r="4239" spans="1:2">
      <c r="A4239" s="3">
        <f ca="1">IFERROR(__xludf.DUMMYFUNCTION("""COMPUTED_VALUE"""),44501.6666666666)</f>
        <v>44501.666666666599</v>
      </c>
      <c r="B4239" s="1">
        <f ca="1">IFERROR(__xludf.DUMMYFUNCTION("""COMPUTED_VALUE"""),165.91)</f>
        <v>165.91</v>
      </c>
    </row>
    <row r="4240" spans="1:2">
      <c r="A4240" s="3">
        <f ca="1">IFERROR(__xludf.DUMMYFUNCTION("""COMPUTED_VALUE"""),44502.6666666666)</f>
        <v>44502.666666666599</v>
      </c>
      <c r="B4240" s="1">
        <f ca="1">IFERROR(__xludf.DUMMYFUNCTION("""COMPUTED_VALUE"""),165.64)</f>
        <v>165.64</v>
      </c>
    </row>
    <row r="4241" spans="1:2">
      <c r="A4241" s="3">
        <f ca="1">IFERROR(__xludf.DUMMYFUNCTION("""COMPUTED_VALUE"""),44503.6666666666)</f>
        <v>44503.666666666599</v>
      </c>
      <c r="B4241" s="1">
        <f ca="1">IFERROR(__xludf.DUMMYFUNCTION("""COMPUTED_VALUE"""),169.2)</f>
        <v>169.2</v>
      </c>
    </row>
    <row r="4242" spans="1:2">
      <c r="A4242" s="3">
        <f ca="1">IFERROR(__xludf.DUMMYFUNCTION("""COMPUTED_VALUE"""),44504.6666666666)</f>
        <v>44504.666666666599</v>
      </c>
      <c r="B4242" s="1">
        <f ca="1">IFERROR(__xludf.DUMMYFUNCTION("""COMPUTED_VALUE"""),173.85)</f>
        <v>173.85</v>
      </c>
    </row>
    <row r="4243" spans="1:2">
      <c r="A4243" s="3">
        <f ca="1">IFERROR(__xludf.DUMMYFUNCTION("""COMPUTED_VALUE"""),44505.6666666666)</f>
        <v>44505.666666666599</v>
      </c>
      <c r="B4243" s="1">
        <f ca="1">IFERROR(__xludf.DUMMYFUNCTION("""COMPUTED_VALUE"""),175.95)</f>
        <v>175.95</v>
      </c>
    </row>
    <row r="4244" spans="1:2">
      <c r="A4244" s="3">
        <f ca="1">IFERROR(__xludf.DUMMYFUNCTION("""COMPUTED_VALUE"""),44508.6666666666)</f>
        <v>44508.666666666599</v>
      </c>
      <c r="B4244" s="1">
        <f ca="1">IFERROR(__xludf.DUMMYFUNCTION("""COMPUTED_VALUE"""),174.45)</f>
        <v>174.45</v>
      </c>
    </row>
    <row r="4245" spans="1:2">
      <c r="A4245" s="3">
        <f ca="1">IFERROR(__xludf.DUMMYFUNCTION("""COMPUTED_VALUE"""),44509.6666666666)</f>
        <v>44509.666666666599</v>
      </c>
      <c r="B4245" s="1">
        <f ca="1">IFERROR(__xludf.DUMMYFUNCTION("""COMPUTED_VALUE"""),178.81)</f>
        <v>178.81</v>
      </c>
    </row>
    <row r="4246" spans="1:2">
      <c r="A4246" s="3">
        <f ca="1">IFERROR(__xludf.DUMMYFUNCTION("""COMPUTED_VALUE"""),44510.6666666666)</f>
        <v>44510.666666666599</v>
      </c>
      <c r="B4246" s="1">
        <f ca="1">IFERROR(__xludf.DUMMYFUNCTION("""COMPUTED_VALUE"""),174.1)</f>
        <v>174.1</v>
      </c>
    </row>
    <row r="4247" spans="1:2">
      <c r="A4247" s="3">
        <f ca="1">IFERROR(__xludf.DUMMYFUNCTION("""COMPUTED_VALUE"""),44511.6666666666)</f>
        <v>44511.666666666599</v>
      </c>
      <c r="B4247" s="1">
        <f ca="1">IFERROR(__xludf.DUMMYFUNCTION("""COMPUTED_VALUE"""),173.63)</f>
        <v>173.63</v>
      </c>
    </row>
    <row r="4248" spans="1:2">
      <c r="A4248" s="3">
        <f ca="1">IFERROR(__xludf.DUMMYFUNCTION("""COMPUTED_VALUE"""),44512.6666666666)</f>
        <v>44512.666666666599</v>
      </c>
      <c r="B4248" s="1">
        <f ca="1">IFERROR(__xludf.DUMMYFUNCTION("""COMPUTED_VALUE"""),176.26)</f>
        <v>176.26</v>
      </c>
    </row>
    <row r="4249" spans="1:2">
      <c r="A4249" s="3">
        <f ca="1">IFERROR(__xludf.DUMMYFUNCTION("""COMPUTED_VALUE"""),44515.6666666666)</f>
        <v>44515.666666666599</v>
      </c>
      <c r="B4249" s="1">
        <f ca="1">IFERROR(__xludf.DUMMYFUNCTION("""COMPUTED_VALUE"""),177.28)</f>
        <v>177.28</v>
      </c>
    </row>
    <row r="4250" spans="1:2">
      <c r="A4250" s="3">
        <f ca="1">IFERROR(__xludf.DUMMYFUNCTION("""COMPUTED_VALUE"""),44516.6666666666)</f>
        <v>44516.666666666599</v>
      </c>
      <c r="B4250" s="1">
        <f ca="1">IFERROR(__xludf.DUMMYFUNCTION("""COMPUTED_VALUE"""),177.04)</f>
        <v>177.04</v>
      </c>
    </row>
    <row r="4251" spans="1:2">
      <c r="A4251" s="3">
        <f ca="1">IFERROR(__xludf.DUMMYFUNCTION("""COMPUTED_VALUE"""),44517.6666666666)</f>
        <v>44517.666666666599</v>
      </c>
      <c r="B4251" s="1">
        <f ca="1">IFERROR(__xludf.DUMMYFUNCTION("""COMPUTED_VALUE"""),177.45)</f>
        <v>177.45</v>
      </c>
    </row>
    <row r="4252" spans="1:2">
      <c r="A4252" s="3">
        <f ca="1">IFERROR(__xludf.DUMMYFUNCTION("""COMPUTED_VALUE"""),44518.6666666666)</f>
        <v>44518.666666666599</v>
      </c>
      <c r="B4252" s="1">
        <f ca="1">IFERROR(__xludf.DUMMYFUNCTION("""COMPUTED_VALUE"""),184.8)</f>
        <v>184.8</v>
      </c>
    </row>
    <row r="4253" spans="1:2">
      <c r="A4253" s="3">
        <f ca="1">IFERROR(__xludf.DUMMYFUNCTION("""COMPUTED_VALUE"""),44519.6666666666)</f>
        <v>44519.666666666599</v>
      </c>
      <c r="B4253" s="1">
        <f ca="1">IFERROR(__xludf.DUMMYFUNCTION("""COMPUTED_VALUE"""),183.83)</f>
        <v>183.83</v>
      </c>
    </row>
    <row r="4254" spans="1:2">
      <c r="A4254" s="3">
        <f ca="1">IFERROR(__xludf.DUMMYFUNCTION("""COMPUTED_VALUE"""),44522.6666666666)</f>
        <v>44522.666666666599</v>
      </c>
      <c r="B4254" s="1">
        <f ca="1">IFERROR(__xludf.DUMMYFUNCTION("""COMPUTED_VALUE"""),178.63)</f>
        <v>178.63</v>
      </c>
    </row>
    <row r="4255" spans="1:2">
      <c r="A4255" s="3">
        <f ca="1">IFERROR(__xludf.DUMMYFUNCTION("""COMPUTED_VALUE"""),44523.6666666666)</f>
        <v>44523.666666666599</v>
      </c>
      <c r="B4255" s="1">
        <f ca="1">IFERROR(__xludf.DUMMYFUNCTION("""COMPUTED_VALUE"""),179)</f>
        <v>179</v>
      </c>
    </row>
    <row r="4256" spans="1:2">
      <c r="A4256" s="3">
        <f ca="1">IFERROR(__xludf.DUMMYFUNCTION("""COMPUTED_VALUE"""),44524.6666666666)</f>
        <v>44524.666666666599</v>
      </c>
      <c r="B4256" s="1">
        <f ca="1">IFERROR(__xludf.DUMMYFUNCTION("""COMPUTED_VALUE"""),179.02)</f>
        <v>179.02</v>
      </c>
    </row>
    <row r="4257" spans="1:2">
      <c r="A4257" s="3">
        <f ca="1">IFERROR(__xludf.DUMMYFUNCTION("""COMPUTED_VALUE"""),44526.5416666666)</f>
        <v>44526.541666666599</v>
      </c>
      <c r="B4257" s="1">
        <f ca="1">IFERROR(__xludf.DUMMYFUNCTION("""COMPUTED_VALUE"""),175.23)</f>
        <v>175.23</v>
      </c>
    </row>
    <row r="4258" spans="1:2">
      <c r="A4258" s="3">
        <f ca="1">IFERROR(__xludf.DUMMYFUNCTION("""COMPUTED_VALUE"""),44529.6666666666)</f>
        <v>44529.666666666599</v>
      </c>
      <c r="B4258" s="1">
        <f ca="1">IFERROR(__xludf.DUMMYFUNCTION("""COMPUTED_VALUE"""),178.08)</f>
        <v>178.08</v>
      </c>
    </row>
    <row r="4259" spans="1:2">
      <c r="A4259" s="3">
        <f ca="1">IFERROR(__xludf.DUMMYFUNCTION("""COMPUTED_VALUE"""),44530.6666666666)</f>
        <v>44530.666666666599</v>
      </c>
      <c r="B4259" s="1">
        <f ca="1">IFERROR(__xludf.DUMMYFUNCTION("""COMPUTED_VALUE"""),175.35)</f>
        <v>175.35</v>
      </c>
    </row>
    <row r="4260" spans="1:2">
      <c r="A4260" s="3">
        <f ca="1">IFERROR(__xludf.DUMMYFUNCTION("""COMPUTED_VALUE"""),44531.6666666666)</f>
        <v>44531.666666666599</v>
      </c>
      <c r="B4260" s="1">
        <f ca="1">IFERROR(__xludf.DUMMYFUNCTION("""COMPUTED_VALUE"""),172.19)</f>
        <v>172.19</v>
      </c>
    </row>
    <row r="4261" spans="1:2">
      <c r="A4261" s="3">
        <f ca="1">IFERROR(__xludf.DUMMYFUNCTION("""COMPUTED_VALUE"""),44532.6666666666)</f>
        <v>44532.666666666599</v>
      </c>
      <c r="B4261" s="1">
        <f ca="1">IFERROR(__xludf.DUMMYFUNCTION("""COMPUTED_VALUE"""),171.87)</f>
        <v>171.87</v>
      </c>
    </row>
    <row r="4262" spans="1:2">
      <c r="A4262" s="3">
        <f ca="1">IFERROR(__xludf.DUMMYFUNCTION("""COMPUTED_VALUE"""),44533.6666666666)</f>
        <v>44533.666666666599</v>
      </c>
      <c r="B4262" s="1">
        <f ca="1">IFERROR(__xludf.DUMMYFUNCTION("""COMPUTED_VALUE"""),169.49)</f>
        <v>169.49</v>
      </c>
    </row>
    <row r="4263" spans="1:2">
      <c r="A4263" s="3">
        <f ca="1">IFERROR(__xludf.DUMMYFUNCTION("""COMPUTED_VALUE"""),44536.6666666666)</f>
        <v>44536.666666666599</v>
      </c>
      <c r="B4263" s="1">
        <f ca="1">IFERROR(__xludf.DUMMYFUNCTION("""COMPUTED_VALUE"""),171.37)</f>
        <v>171.37</v>
      </c>
    </row>
    <row r="4264" spans="1:2">
      <c r="A4264" s="3">
        <f ca="1">IFERROR(__xludf.DUMMYFUNCTION("""COMPUTED_VALUE"""),44537.6666666666)</f>
        <v>44537.666666666599</v>
      </c>
      <c r="B4264" s="1">
        <f ca="1">IFERROR(__xludf.DUMMYFUNCTION("""COMPUTED_VALUE"""),176.16)</f>
        <v>176.16</v>
      </c>
    </row>
    <row r="4265" spans="1:2">
      <c r="A4265" s="3">
        <f ca="1">IFERROR(__xludf.DUMMYFUNCTION("""COMPUTED_VALUE"""),44538.6666666666)</f>
        <v>44538.666666666599</v>
      </c>
      <c r="B4265" s="1">
        <f ca="1">IFERROR(__xludf.DUMMYFUNCTION("""COMPUTED_VALUE"""),176.16)</f>
        <v>176.16</v>
      </c>
    </row>
    <row r="4266" spans="1:2">
      <c r="A4266" s="3">
        <f ca="1">IFERROR(__xludf.DUMMYFUNCTION("""COMPUTED_VALUE"""),44539.6666666666)</f>
        <v>44539.666666666599</v>
      </c>
      <c r="B4266" s="1">
        <f ca="1">IFERROR(__xludf.DUMMYFUNCTION("""COMPUTED_VALUE"""),174.17)</f>
        <v>174.17</v>
      </c>
    </row>
    <row r="4267" spans="1:2">
      <c r="A4267" s="3">
        <f ca="1">IFERROR(__xludf.DUMMYFUNCTION("""COMPUTED_VALUE"""),44540.6666666666)</f>
        <v>44540.666666666599</v>
      </c>
      <c r="B4267" s="1">
        <f ca="1">IFERROR(__xludf.DUMMYFUNCTION("""COMPUTED_VALUE"""),172.21)</f>
        <v>172.21</v>
      </c>
    </row>
    <row r="4268" spans="1:2">
      <c r="A4268" s="3">
        <f ca="1">IFERROR(__xludf.DUMMYFUNCTION("""COMPUTED_VALUE"""),44543.6666666666)</f>
        <v>44543.666666666599</v>
      </c>
      <c r="B4268" s="1">
        <f ca="1">IFERROR(__xludf.DUMMYFUNCTION("""COMPUTED_VALUE"""),169.57)</f>
        <v>169.57</v>
      </c>
    </row>
    <row r="4269" spans="1:2">
      <c r="A4269" s="3">
        <f ca="1">IFERROR(__xludf.DUMMYFUNCTION("""COMPUTED_VALUE"""),44544.6666666666)</f>
        <v>44544.666666666599</v>
      </c>
      <c r="B4269" s="1">
        <f ca="1">IFERROR(__xludf.DUMMYFUNCTION("""COMPUTED_VALUE"""),169.09)</f>
        <v>169.09</v>
      </c>
    </row>
    <row r="4270" spans="1:2">
      <c r="A4270" s="3">
        <f ca="1">IFERROR(__xludf.DUMMYFUNCTION("""COMPUTED_VALUE"""),44545.6666666666)</f>
        <v>44545.666666666599</v>
      </c>
      <c r="B4270" s="1">
        <f ca="1">IFERROR(__xludf.DUMMYFUNCTION("""COMPUTED_VALUE"""),173.32)</f>
        <v>173.32</v>
      </c>
    </row>
    <row r="4271" spans="1:2">
      <c r="A4271" s="3">
        <f ca="1">IFERROR(__xludf.DUMMYFUNCTION("""COMPUTED_VALUE"""),44546.6666666666)</f>
        <v>44546.666666666599</v>
      </c>
      <c r="B4271" s="1">
        <f ca="1">IFERROR(__xludf.DUMMYFUNCTION("""COMPUTED_VALUE"""),168.87)</f>
        <v>168.87</v>
      </c>
    </row>
    <row r="4272" spans="1:2">
      <c r="A4272" s="3">
        <f ca="1">IFERROR(__xludf.DUMMYFUNCTION("""COMPUTED_VALUE"""),44547.6666666666)</f>
        <v>44547.666666666599</v>
      </c>
      <c r="B4272" s="1">
        <f ca="1">IFERROR(__xludf.DUMMYFUNCTION("""COMPUTED_VALUE"""),170.02)</f>
        <v>170.02</v>
      </c>
    </row>
    <row r="4273" spans="1:2">
      <c r="A4273" s="3">
        <f ca="1">IFERROR(__xludf.DUMMYFUNCTION("""COMPUTED_VALUE"""),44550.6666666666)</f>
        <v>44550.666666666599</v>
      </c>
      <c r="B4273" s="1">
        <f ca="1">IFERROR(__xludf.DUMMYFUNCTION("""COMPUTED_VALUE"""),167.08)</f>
        <v>167.08</v>
      </c>
    </row>
    <row r="4274" spans="1:2">
      <c r="A4274" s="3">
        <f ca="1">IFERROR(__xludf.DUMMYFUNCTION("""COMPUTED_VALUE"""),44551.6666666666)</f>
        <v>44551.666666666599</v>
      </c>
      <c r="B4274" s="1">
        <f ca="1">IFERROR(__xludf.DUMMYFUNCTION("""COMPUTED_VALUE"""),170.42)</f>
        <v>170.42</v>
      </c>
    </row>
    <row r="4275" spans="1:2">
      <c r="A4275" s="3">
        <f ca="1">IFERROR(__xludf.DUMMYFUNCTION("""COMPUTED_VALUE"""),44552.6666666666)</f>
        <v>44552.666666666599</v>
      </c>
      <c r="B4275" s="1">
        <f ca="1">IFERROR(__xludf.DUMMYFUNCTION("""COMPUTED_VALUE"""),171.04)</f>
        <v>171.04</v>
      </c>
    </row>
    <row r="4276" spans="1:2">
      <c r="A4276" s="3">
        <f ca="1">IFERROR(__xludf.DUMMYFUNCTION("""COMPUTED_VALUE"""),44553.6666666666)</f>
        <v>44553.666666666599</v>
      </c>
      <c r="B4276" s="1">
        <f ca="1">IFERROR(__xludf.DUMMYFUNCTION("""COMPUTED_VALUE"""),171.07)</f>
        <v>171.07</v>
      </c>
    </row>
    <row r="4277" spans="1:2">
      <c r="A4277" s="3">
        <f ca="1">IFERROR(__xludf.DUMMYFUNCTION("""COMPUTED_VALUE"""),44557.6666666666)</f>
        <v>44557.666666666599</v>
      </c>
      <c r="B4277" s="1">
        <f ca="1">IFERROR(__xludf.DUMMYFUNCTION("""COMPUTED_VALUE"""),169.67)</f>
        <v>169.67</v>
      </c>
    </row>
    <row r="4278" spans="1:2">
      <c r="A4278" s="3">
        <f ca="1">IFERROR(__xludf.DUMMYFUNCTION("""COMPUTED_VALUE"""),44558.6666666666)</f>
        <v>44558.666666666599</v>
      </c>
      <c r="B4278" s="1">
        <f ca="1">IFERROR(__xludf.DUMMYFUNCTION("""COMPUTED_VALUE"""),170.66)</f>
        <v>170.66</v>
      </c>
    </row>
    <row r="4279" spans="1:2">
      <c r="A4279" s="3">
        <f ca="1">IFERROR(__xludf.DUMMYFUNCTION("""COMPUTED_VALUE"""),44559.6666666666)</f>
        <v>44559.666666666599</v>
      </c>
      <c r="B4279" s="1">
        <f ca="1">IFERROR(__xludf.DUMMYFUNCTION("""COMPUTED_VALUE"""),169.2)</f>
        <v>169.2</v>
      </c>
    </row>
    <row r="4280" spans="1:2">
      <c r="A4280" s="3">
        <f ca="1">IFERROR(__xludf.DUMMYFUNCTION("""COMPUTED_VALUE"""),44560.6666666666)</f>
        <v>44560.666666666599</v>
      </c>
      <c r="B4280" s="1">
        <f ca="1">IFERROR(__xludf.DUMMYFUNCTION("""COMPUTED_VALUE"""),168.64)</f>
        <v>168.64</v>
      </c>
    </row>
    <row r="4281" spans="1:2">
      <c r="A4281" s="3">
        <f ca="1">IFERROR(__xludf.DUMMYFUNCTION("""COMPUTED_VALUE"""),44561.6666666666)</f>
        <v>44561.666666666599</v>
      </c>
      <c r="B4281" s="1">
        <f ca="1">IFERROR(__xludf.DUMMYFUNCTION("""COMPUTED_VALUE"""),166.72)</f>
        <v>166.72</v>
      </c>
    </row>
    <row r="4282" spans="1:2">
      <c r="A4282" s="3">
        <f ca="1">IFERROR(__xludf.DUMMYFUNCTION("""COMPUTED_VALUE"""),44564.6666666666)</f>
        <v>44564.666666666599</v>
      </c>
      <c r="B4282" s="1">
        <f ca="1">IFERROR(__xludf.DUMMYFUNCTION("""COMPUTED_VALUE"""),170.4)</f>
        <v>170.4</v>
      </c>
    </row>
    <row r="4283" spans="1:2">
      <c r="A4283" s="3">
        <f ca="1">IFERROR(__xludf.DUMMYFUNCTION("""COMPUTED_VALUE"""),44565.6666666666)</f>
        <v>44565.666666666599</v>
      </c>
      <c r="B4283" s="1">
        <f ca="1">IFERROR(__xludf.DUMMYFUNCTION("""COMPUTED_VALUE"""),167.52)</f>
        <v>167.52</v>
      </c>
    </row>
    <row r="4284" spans="1:2">
      <c r="A4284" s="3">
        <f ca="1">IFERROR(__xludf.DUMMYFUNCTION("""COMPUTED_VALUE"""),44566.6666666666)</f>
        <v>44566.666666666599</v>
      </c>
      <c r="B4284" s="1">
        <f ca="1">IFERROR(__xludf.DUMMYFUNCTION("""COMPUTED_VALUE"""),164.36)</f>
        <v>164.36</v>
      </c>
    </row>
    <row r="4285" spans="1:2">
      <c r="A4285" s="3">
        <f ca="1">IFERROR(__xludf.DUMMYFUNCTION("""COMPUTED_VALUE"""),44567.6666666666)</f>
        <v>44567.666666666599</v>
      </c>
      <c r="B4285" s="1">
        <f ca="1">IFERROR(__xludf.DUMMYFUNCTION("""COMPUTED_VALUE"""),163.25)</f>
        <v>163.25</v>
      </c>
    </row>
    <row r="4286" spans="1:2">
      <c r="A4286" s="3">
        <f ca="1">IFERROR(__xludf.DUMMYFUNCTION("""COMPUTED_VALUE"""),44568.6666666666)</f>
        <v>44568.666666666599</v>
      </c>
      <c r="B4286" s="1">
        <f ca="1">IFERROR(__xludf.DUMMYFUNCTION("""COMPUTED_VALUE"""),162.55)</f>
        <v>162.55000000000001</v>
      </c>
    </row>
    <row r="4287" spans="1:2">
      <c r="A4287" s="3">
        <f ca="1">IFERROR(__xludf.DUMMYFUNCTION("""COMPUTED_VALUE"""),44571.6666666666)</f>
        <v>44571.666666666599</v>
      </c>
      <c r="B4287" s="1">
        <f ca="1">IFERROR(__xludf.DUMMYFUNCTION("""COMPUTED_VALUE"""),161.49)</f>
        <v>161.49</v>
      </c>
    </row>
    <row r="4288" spans="1:2">
      <c r="A4288" s="3">
        <f ca="1">IFERROR(__xludf.DUMMYFUNCTION("""COMPUTED_VALUE"""),44572.6666666666)</f>
        <v>44572.666666666599</v>
      </c>
      <c r="B4288" s="1">
        <f ca="1">IFERROR(__xludf.DUMMYFUNCTION("""COMPUTED_VALUE"""),165.36)</f>
        <v>165.36</v>
      </c>
    </row>
    <row r="4289" spans="1:2">
      <c r="A4289" s="3">
        <f ca="1">IFERROR(__xludf.DUMMYFUNCTION("""COMPUTED_VALUE"""),44573.6666666666)</f>
        <v>44573.666666666599</v>
      </c>
      <c r="B4289" s="1">
        <f ca="1">IFERROR(__xludf.DUMMYFUNCTION("""COMPUTED_VALUE"""),165.21)</f>
        <v>165.21</v>
      </c>
    </row>
    <row r="4290" spans="1:2">
      <c r="A4290" s="3">
        <f ca="1">IFERROR(__xludf.DUMMYFUNCTION("""COMPUTED_VALUE"""),44574.6666666666)</f>
        <v>44574.666666666599</v>
      </c>
      <c r="B4290" s="1">
        <f ca="1">IFERROR(__xludf.DUMMYFUNCTION("""COMPUTED_VALUE"""),161.21)</f>
        <v>161.21</v>
      </c>
    </row>
    <row r="4291" spans="1:2">
      <c r="A4291" s="3">
        <f ca="1">IFERROR(__xludf.DUMMYFUNCTION("""COMPUTED_VALUE"""),44575.6666666666)</f>
        <v>44575.666666666599</v>
      </c>
      <c r="B4291" s="1">
        <f ca="1">IFERROR(__xludf.DUMMYFUNCTION("""COMPUTED_VALUE"""),162.14)</f>
        <v>162.13999999999999</v>
      </c>
    </row>
    <row r="4292" spans="1:2">
      <c r="A4292" s="3">
        <f ca="1">IFERROR(__xludf.DUMMYFUNCTION("""COMPUTED_VALUE"""),44579.6666666666)</f>
        <v>44579.666666666599</v>
      </c>
      <c r="B4292" s="1">
        <f ca="1">IFERROR(__xludf.DUMMYFUNCTION("""COMPUTED_VALUE"""),158.92)</f>
        <v>158.91999999999999</v>
      </c>
    </row>
    <row r="4293" spans="1:2">
      <c r="A4293" s="3">
        <f ca="1">IFERROR(__xludf.DUMMYFUNCTION("""COMPUTED_VALUE"""),44580.6666666666)</f>
        <v>44580.666666666599</v>
      </c>
      <c r="B4293" s="1">
        <f ca="1">IFERROR(__xludf.DUMMYFUNCTION("""COMPUTED_VALUE"""),156.3)</f>
        <v>156.30000000000001</v>
      </c>
    </row>
    <row r="4294" spans="1:2">
      <c r="A4294" s="3">
        <f ca="1">IFERROR(__xludf.DUMMYFUNCTION("""COMPUTED_VALUE"""),44581.6666666666)</f>
        <v>44581.666666666599</v>
      </c>
      <c r="B4294" s="1">
        <f ca="1">IFERROR(__xludf.DUMMYFUNCTION("""COMPUTED_VALUE"""),151.67)</f>
        <v>151.66999999999999</v>
      </c>
    </row>
    <row r="4295" spans="1:2">
      <c r="A4295" s="3">
        <f ca="1">IFERROR(__xludf.DUMMYFUNCTION("""COMPUTED_VALUE"""),44582.6666666666)</f>
        <v>44582.666666666599</v>
      </c>
      <c r="B4295" s="1">
        <f ca="1">IFERROR(__xludf.DUMMYFUNCTION("""COMPUTED_VALUE"""),142.64)</f>
        <v>142.63999999999999</v>
      </c>
    </row>
    <row r="4296" spans="1:2">
      <c r="A4296" s="3">
        <f ca="1">IFERROR(__xludf.DUMMYFUNCTION("""COMPUTED_VALUE"""),44585.6666666666)</f>
        <v>44585.666666666599</v>
      </c>
      <c r="B4296" s="1">
        <f ca="1">IFERROR(__xludf.DUMMYFUNCTION("""COMPUTED_VALUE"""),144.54)</f>
        <v>144.54</v>
      </c>
    </row>
    <row r="4297" spans="1:2">
      <c r="A4297" s="3">
        <f ca="1">IFERROR(__xludf.DUMMYFUNCTION("""COMPUTED_VALUE"""),44586.6666666666)</f>
        <v>44586.666666666599</v>
      </c>
      <c r="B4297" s="1">
        <f ca="1">IFERROR(__xludf.DUMMYFUNCTION("""COMPUTED_VALUE"""),139.99)</f>
        <v>139.99</v>
      </c>
    </row>
    <row r="4298" spans="1:2">
      <c r="A4298" s="3">
        <f ca="1">IFERROR(__xludf.DUMMYFUNCTION("""COMPUTED_VALUE"""),44587.6666666666)</f>
        <v>44587.666666666599</v>
      </c>
      <c r="B4298" s="1">
        <f ca="1">IFERROR(__xludf.DUMMYFUNCTION("""COMPUTED_VALUE"""),138.87)</f>
        <v>138.87</v>
      </c>
    </row>
    <row r="4299" spans="1:2">
      <c r="A4299" s="3">
        <f ca="1">IFERROR(__xludf.DUMMYFUNCTION("""COMPUTED_VALUE"""),44588.6666666666)</f>
        <v>44588.666666666599</v>
      </c>
      <c r="B4299" s="1">
        <f ca="1">IFERROR(__xludf.DUMMYFUNCTION("""COMPUTED_VALUE"""),139.64)</f>
        <v>139.63999999999999</v>
      </c>
    </row>
    <row r="4300" spans="1:2">
      <c r="A4300" s="3">
        <f ca="1">IFERROR(__xludf.DUMMYFUNCTION("""COMPUTED_VALUE"""),44589.6666666666)</f>
        <v>44589.666666666599</v>
      </c>
      <c r="B4300" s="1">
        <f ca="1">IFERROR(__xludf.DUMMYFUNCTION("""COMPUTED_VALUE"""),143.98)</f>
        <v>143.97999999999999</v>
      </c>
    </row>
    <row r="4301" spans="1:2">
      <c r="A4301" s="3">
        <f ca="1">IFERROR(__xludf.DUMMYFUNCTION("""COMPUTED_VALUE"""),44592.6666666666)</f>
        <v>44592.666666666599</v>
      </c>
      <c r="B4301" s="1">
        <f ca="1">IFERROR(__xludf.DUMMYFUNCTION("""COMPUTED_VALUE"""),149.57)</f>
        <v>149.57</v>
      </c>
    </row>
    <row r="4302" spans="1:2">
      <c r="A4302" s="3">
        <f ca="1">IFERROR(__xludf.DUMMYFUNCTION("""COMPUTED_VALUE"""),44593.6666666666)</f>
        <v>44593.666666666599</v>
      </c>
      <c r="B4302" s="1">
        <f ca="1">IFERROR(__xludf.DUMMYFUNCTION("""COMPUTED_VALUE"""),151.19)</f>
        <v>151.19</v>
      </c>
    </row>
    <row r="4303" spans="1:2">
      <c r="A4303" s="3">
        <f ca="1">IFERROR(__xludf.DUMMYFUNCTION("""COMPUTED_VALUE"""),44594.6666666666)</f>
        <v>44594.666666666599</v>
      </c>
      <c r="B4303" s="1">
        <f ca="1">IFERROR(__xludf.DUMMYFUNCTION("""COMPUTED_VALUE"""),150.61)</f>
        <v>150.61000000000001</v>
      </c>
    </row>
    <row r="4304" spans="1:2">
      <c r="A4304" s="3">
        <f ca="1">IFERROR(__xludf.DUMMYFUNCTION("""COMPUTED_VALUE"""),44595.6666666666)</f>
        <v>44595.666666666599</v>
      </c>
      <c r="B4304" s="1">
        <f ca="1">IFERROR(__xludf.DUMMYFUNCTION("""COMPUTED_VALUE"""),138.85)</f>
        <v>138.85</v>
      </c>
    </row>
    <row r="4305" spans="1:2">
      <c r="A4305" s="3">
        <f ca="1">IFERROR(__xludf.DUMMYFUNCTION("""COMPUTED_VALUE"""),44596.6666666666)</f>
        <v>44596.666666666599</v>
      </c>
      <c r="B4305" s="1">
        <f ca="1">IFERROR(__xludf.DUMMYFUNCTION("""COMPUTED_VALUE"""),157.64)</f>
        <v>157.63999999999999</v>
      </c>
    </row>
    <row r="4306" spans="1:2">
      <c r="A4306" s="3">
        <f ca="1">IFERROR(__xludf.DUMMYFUNCTION("""COMPUTED_VALUE"""),44599.6666666666)</f>
        <v>44599.666666666599</v>
      </c>
      <c r="B4306" s="1">
        <f ca="1">IFERROR(__xludf.DUMMYFUNCTION("""COMPUTED_VALUE"""),157.94)</f>
        <v>157.94</v>
      </c>
    </row>
    <row r="4307" spans="1:2">
      <c r="A4307" s="3">
        <f ca="1">IFERROR(__xludf.DUMMYFUNCTION("""COMPUTED_VALUE"""),44600.6666666666)</f>
        <v>44600.666666666599</v>
      </c>
      <c r="B4307" s="1">
        <f ca="1">IFERROR(__xludf.DUMMYFUNCTION("""COMPUTED_VALUE"""),161.41)</f>
        <v>161.41</v>
      </c>
    </row>
    <row r="4308" spans="1:2">
      <c r="A4308" s="3">
        <f ca="1">IFERROR(__xludf.DUMMYFUNCTION("""COMPUTED_VALUE"""),44601.6666666666)</f>
        <v>44601.666666666599</v>
      </c>
      <c r="B4308" s="1">
        <f ca="1">IFERROR(__xludf.DUMMYFUNCTION("""COMPUTED_VALUE"""),161.19)</f>
        <v>161.19</v>
      </c>
    </row>
    <row r="4309" spans="1:2">
      <c r="A4309" s="3">
        <f ca="1">IFERROR(__xludf.DUMMYFUNCTION("""COMPUTED_VALUE"""),44602.6666666666)</f>
        <v>44602.666666666599</v>
      </c>
      <c r="B4309" s="1">
        <f ca="1">IFERROR(__xludf.DUMMYFUNCTION("""COMPUTED_VALUE"""),159)</f>
        <v>159</v>
      </c>
    </row>
    <row r="4310" spans="1:2">
      <c r="A4310" s="3">
        <f ca="1">IFERROR(__xludf.DUMMYFUNCTION("""COMPUTED_VALUE"""),44603.6666666666)</f>
        <v>44603.666666666599</v>
      </c>
      <c r="B4310" s="1">
        <f ca="1">IFERROR(__xludf.DUMMYFUNCTION("""COMPUTED_VALUE"""),153.29)</f>
        <v>153.29</v>
      </c>
    </row>
    <row r="4311" spans="1:2">
      <c r="A4311" s="3">
        <f ca="1">IFERROR(__xludf.DUMMYFUNCTION("""COMPUTED_VALUE"""),44606.6666666666)</f>
        <v>44606.666666666599</v>
      </c>
      <c r="B4311" s="1">
        <f ca="1">IFERROR(__xludf.DUMMYFUNCTION("""COMPUTED_VALUE"""),155.17)</f>
        <v>155.16999999999999</v>
      </c>
    </row>
    <row r="4312" spans="1:2">
      <c r="A4312" s="3">
        <f ca="1">IFERROR(__xludf.DUMMYFUNCTION("""COMPUTED_VALUE"""),44607.6666666666)</f>
        <v>44607.666666666599</v>
      </c>
      <c r="B4312" s="1">
        <f ca="1">IFERROR(__xludf.DUMMYFUNCTION("""COMPUTED_VALUE"""),156.51)</f>
        <v>156.51</v>
      </c>
    </row>
    <row r="4313" spans="1:2">
      <c r="A4313" s="3">
        <f ca="1">IFERROR(__xludf.DUMMYFUNCTION("""COMPUTED_VALUE"""),44608.6666666666)</f>
        <v>44608.666666666599</v>
      </c>
      <c r="B4313" s="1">
        <f ca="1">IFERROR(__xludf.DUMMYFUNCTION("""COMPUTED_VALUE"""),158.1)</f>
        <v>158.1</v>
      </c>
    </row>
    <row r="4314" spans="1:2">
      <c r="A4314" s="3">
        <f ca="1">IFERROR(__xludf.DUMMYFUNCTION("""COMPUTED_VALUE"""),44609.6666666666)</f>
        <v>44609.666666666599</v>
      </c>
      <c r="B4314" s="1">
        <f ca="1">IFERROR(__xludf.DUMMYFUNCTION("""COMPUTED_VALUE"""),154.65)</f>
        <v>154.65</v>
      </c>
    </row>
    <row r="4315" spans="1:2">
      <c r="A4315" s="3">
        <f ca="1">IFERROR(__xludf.DUMMYFUNCTION("""COMPUTED_VALUE"""),44610.6666666666)</f>
        <v>44610.666666666599</v>
      </c>
      <c r="B4315" s="1">
        <f ca="1">IFERROR(__xludf.DUMMYFUNCTION("""COMPUTED_VALUE"""),152.6)</f>
        <v>152.6</v>
      </c>
    </row>
    <row r="4316" spans="1:2">
      <c r="A4316" s="3">
        <f ca="1">IFERROR(__xludf.DUMMYFUNCTION("""COMPUTED_VALUE"""),44614.6666666666)</f>
        <v>44614.666666666599</v>
      </c>
      <c r="B4316" s="1">
        <f ca="1">IFERROR(__xludf.DUMMYFUNCTION("""COMPUTED_VALUE"""),150.2)</f>
        <v>150.19999999999999</v>
      </c>
    </row>
    <row r="4317" spans="1:2">
      <c r="A4317" s="3">
        <f ca="1">IFERROR(__xludf.DUMMYFUNCTION("""COMPUTED_VALUE"""),44615.6666666666)</f>
        <v>44615.666666666599</v>
      </c>
      <c r="B4317" s="1">
        <f ca="1">IFERROR(__xludf.DUMMYFUNCTION("""COMPUTED_VALUE"""),144.83)</f>
        <v>144.83000000000001</v>
      </c>
    </row>
    <row r="4318" spans="1:2">
      <c r="A4318" s="3">
        <f ca="1">IFERROR(__xludf.DUMMYFUNCTION("""COMPUTED_VALUE"""),44616.6666666666)</f>
        <v>44616.666666666599</v>
      </c>
      <c r="B4318" s="1">
        <f ca="1">IFERROR(__xludf.DUMMYFUNCTION("""COMPUTED_VALUE"""),151.36)</f>
        <v>151.36000000000001</v>
      </c>
    </row>
    <row r="4319" spans="1:2">
      <c r="A4319" s="3">
        <f ca="1">IFERROR(__xludf.DUMMYFUNCTION("""COMPUTED_VALUE"""),44617.6666666666)</f>
        <v>44617.666666666599</v>
      </c>
      <c r="B4319" s="1">
        <f ca="1">IFERROR(__xludf.DUMMYFUNCTION("""COMPUTED_VALUE"""),153.79)</f>
        <v>153.79</v>
      </c>
    </row>
    <row r="4320" spans="1:2">
      <c r="A4320" s="3">
        <f ca="1">IFERROR(__xludf.DUMMYFUNCTION("""COMPUTED_VALUE"""),44620.6666666666)</f>
        <v>44620.666666666599</v>
      </c>
      <c r="B4320" s="1">
        <f ca="1">IFERROR(__xludf.DUMMYFUNCTION("""COMPUTED_VALUE"""),153.56)</f>
        <v>153.56</v>
      </c>
    </row>
    <row r="4321" spans="1:2">
      <c r="A4321" s="3">
        <f ca="1">IFERROR(__xludf.DUMMYFUNCTION("""COMPUTED_VALUE"""),44621.6666666666)</f>
        <v>44621.666666666599</v>
      </c>
      <c r="B4321" s="1">
        <f ca="1">IFERROR(__xludf.DUMMYFUNCTION("""COMPUTED_VALUE"""),151.14)</f>
        <v>151.13999999999999</v>
      </c>
    </row>
    <row r="4322" spans="1:2">
      <c r="A4322" s="3">
        <f ca="1">IFERROR(__xludf.DUMMYFUNCTION("""COMPUTED_VALUE"""),44622.6666666666)</f>
        <v>44622.666666666599</v>
      </c>
      <c r="B4322" s="1">
        <f ca="1">IFERROR(__xludf.DUMMYFUNCTION("""COMPUTED_VALUE"""),152.05)</f>
        <v>152.05000000000001</v>
      </c>
    </row>
    <row r="4323" spans="1:2">
      <c r="A4323" s="3">
        <f ca="1">IFERROR(__xludf.DUMMYFUNCTION("""COMPUTED_VALUE"""),44623.6666666666)</f>
        <v>44623.666666666599</v>
      </c>
      <c r="B4323" s="1">
        <f ca="1">IFERROR(__xludf.DUMMYFUNCTION("""COMPUTED_VALUE"""),147.9)</f>
        <v>147.9</v>
      </c>
    </row>
    <row r="4324" spans="1:2">
      <c r="A4324" s="3">
        <f ca="1">IFERROR(__xludf.DUMMYFUNCTION("""COMPUTED_VALUE"""),44624.6666666666)</f>
        <v>44624.666666666599</v>
      </c>
      <c r="B4324" s="1">
        <f ca="1">IFERROR(__xludf.DUMMYFUNCTION("""COMPUTED_VALUE"""),145.64)</f>
        <v>145.63999999999999</v>
      </c>
    </row>
    <row r="4325" spans="1:2">
      <c r="A4325" s="3">
        <f ca="1">IFERROR(__xludf.DUMMYFUNCTION("""COMPUTED_VALUE"""),44627.6666666666)</f>
        <v>44627.666666666599</v>
      </c>
      <c r="B4325" s="1">
        <f ca="1">IFERROR(__xludf.DUMMYFUNCTION("""COMPUTED_VALUE"""),137.45)</f>
        <v>137.44999999999999</v>
      </c>
    </row>
    <row r="4326" spans="1:2">
      <c r="A4326" s="3">
        <f ca="1">IFERROR(__xludf.DUMMYFUNCTION("""COMPUTED_VALUE"""),44628.6666666666)</f>
        <v>44628.666666666599</v>
      </c>
      <c r="B4326" s="1">
        <f ca="1">IFERROR(__xludf.DUMMYFUNCTION("""COMPUTED_VALUE"""),136.01)</f>
        <v>136.01</v>
      </c>
    </row>
    <row r="4327" spans="1:2">
      <c r="A4327" s="3">
        <f ca="1">IFERROR(__xludf.DUMMYFUNCTION("""COMPUTED_VALUE"""),44629.6666666666)</f>
        <v>44629.666666666599</v>
      </c>
      <c r="B4327" s="1">
        <f ca="1">IFERROR(__xludf.DUMMYFUNCTION("""COMPUTED_VALUE"""),139.28)</f>
        <v>139.28</v>
      </c>
    </row>
    <row r="4328" spans="1:2">
      <c r="A4328" s="3">
        <f ca="1">IFERROR(__xludf.DUMMYFUNCTION("""COMPUTED_VALUE"""),44630.6666666666)</f>
        <v>44630.666666666599</v>
      </c>
      <c r="B4328" s="1">
        <f ca="1">IFERROR(__xludf.DUMMYFUNCTION("""COMPUTED_VALUE"""),146.82)</f>
        <v>146.82</v>
      </c>
    </row>
    <row r="4329" spans="1:2">
      <c r="A4329" s="3">
        <f ca="1">IFERROR(__xludf.DUMMYFUNCTION("""COMPUTED_VALUE"""),44631.6666666666)</f>
        <v>44631.666666666599</v>
      </c>
      <c r="B4329" s="1">
        <f ca="1">IFERROR(__xludf.DUMMYFUNCTION("""COMPUTED_VALUE"""),145.52)</f>
        <v>145.52000000000001</v>
      </c>
    </row>
    <row r="4330" spans="1:2">
      <c r="A4330" s="3">
        <f ca="1">IFERROR(__xludf.DUMMYFUNCTION("""COMPUTED_VALUE"""),44634.6666666666)</f>
        <v>44634.666666666599</v>
      </c>
      <c r="B4330" s="1">
        <f ca="1">IFERROR(__xludf.DUMMYFUNCTION("""COMPUTED_VALUE"""),141.85)</f>
        <v>141.85</v>
      </c>
    </row>
    <row r="4331" spans="1:2">
      <c r="A4331" s="3">
        <f ca="1">IFERROR(__xludf.DUMMYFUNCTION("""COMPUTED_VALUE"""),44635.6666666666)</f>
        <v>44635.666666666599</v>
      </c>
      <c r="B4331" s="1">
        <f ca="1">IFERROR(__xludf.DUMMYFUNCTION("""COMPUTED_VALUE"""),147.37)</f>
        <v>147.37</v>
      </c>
    </row>
    <row r="4332" spans="1:2">
      <c r="A4332" s="3">
        <f ca="1">IFERROR(__xludf.DUMMYFUNCTION("""COMPUTED_VALUE"""),44636.6666666666)</f>
        <v>44636.666666666599</v>
      </c>
      <c r="B4332" s="1">
        <f ca="1">IFERROR(__xludf.DUMMYFUNCTION("""COMPUTED_VALUE"""),153.1)</f>
        <v>153.1</v>
      </c>
    </row>
    <row r="4333" spans="1:2">
      <c r="A4333" s="3">
        <f ca="1">IFERROR(__xludf.DUMMYFUNCTION("""COMPUTED_VALUE"""),44637.6666666666)</f>
        <v>44637.666666666599</v>
      </c>
      <c r="B4333" s="1">
        <f ca="1">IFERROR(__xludf.DUMMYFUNCTION("""COMPUTED_VALUE"""),157.24)</f>
        <v>157.24</v>
      </c>
    </row>
    <row r="4334" spans="1:2">
      <c r="A4334" s="3">
        <f ca="1">IFERROR(__xludf.DUMMYFUNCTION("""COMPUTED_VALUE"""),44638.6666666666)</f>
        <v>44638.666666666599</v>
      </c>
      <c r="B4334" s="1">
        <f ca="1">IFERROR(__xludf.DUMMYFUNCTION("""COMPUTED_VALUE"""),161.25)</f>
        <v>161.25</v>
      </c>
    </row>
    <row r="4335" spans="1:2">
      <c r="A4335" s="3">
        <f ca="1">IFERROR(__xludf.DUMMYFUNCTION("""COMPUTED_VALUE"""),44641.6666666666)</f>
        <v>44641.666666666599</v>
      </c>
      <c r="B4335" s="1">
        <f ca="1">IFERROR(__xludf.DUMMYFUNCTION("""COMPUTED_VALUE"""),161.49)</f>
        <v>161.49</v>
      </c>
    </row>
    <row r="4336" spans="1:2">
      <c r="A4336" s="3">
        <f ca="1">IFERROR(__xludf.DUMMYFUNCTION("""COMPUTED_VALUE"""),44642.6666666666)</f>
        <v>44642.666666666599</v>
      </c>
      <c r="B4336" s="1">
        <f ca="1">IFERROR(__xludf.DUMMYFUNCTION("""COMPUTED_VALUE"""),164.89)</f>
        <v>164.89</v>
      </c>
    </row>
    <row r="4337" spans="1:2">
      <c r="A4337" s="3">
        <f ca="1">IFERROR(__xludf.DUMMYFUNCTION("""COMPUTED_VALUE"""),44643.6666666666)</f>
        <v>44643.666666666599</v>
      </c>
      <c r="B4337" s="1">
        <f ca="1">IFERROR(__xludf.DUMMYFUNCTION("""COMPUTED_VALUE"""),163.41)</f>
        <v>163.41</v>
      </c>
    </row>
    <row r="4338" spans="1:2">
      <c r="A4338" s="3">
        <f ca="1">IFERROR(__xludf.DUMMYFUNCTION("""COMPUTED_VALUE"""),44644.6666666666)</f>
        <v>44644.666666666599</v>
      </c>
      <c r="B4338" s="1">
        <f ca="1">IFERROR(__xludf.DUMMYFUNCTION("""COMPUTED_VALUE"""),163.65)</f>
        <v>163.65</v>
      </c>
    </row>
    <row r="4339" spans="1:2">
      <c r="A4339" s="3">
        <f ca="1">IFERROR(__xludf.DUMMYFUNCTION("""COMPUTED_VALUE"""),44645.6666666666)</f>
        <v>44645.666666666599</v>
      </c>
      <c r="B4339" s="1">
        <f ca="1">IFERROR(__xludf.DUMMYFUNCTION("""COMPUTED_VALUE"""),164.77)</f>
        <v>164.77</v>
      </c>
    </row>
    <row r="4340" spans="1:2">
      <c r="A4340" s="3">
        <f ca="1">IFERROR(__xludf.DUMMYFUNCTION("""COMPUTED_VALUE"""),44648.6666666666)</f>
        <v>44648.666666666599</v>
      </c>
      <c r="B4340" s="1">
        <f ca="1">IFERROR(__xludf.DUMMYFUNCTION("""COMPUTED_VALUE"""),168.99)</f>
        <v>168.99</v>
      </c>
    </row>
    <row r="4341" spans="1:2">
      <c r="A4341" s="3">
        <f ca="1">IFERROR(__xludf.DUMMYFUNCTION("""COMPUTED_VALUE"""),44649.6666666666)</f>
        <v>44649.666666666599</v>
      </c>
      <c r="B4341" s="1">
        <f ca="1">IFERROR(__xludf.DUMMYFUNCTION("""COMPUTED_VALUE"""),169.32)</f>
        <v>169.32</v>
      </c>
    </row>
    <row r="4342" spans="1:2">
      <c r="A4342" s="3">
        <f ca="1">IFERROR(__xludf.DUMMYFUNCTION("""COMPUTED_VALUE"""),44650.6666666666)</f>
        <v>44650.666666666599</v>
      </c>
      <c r="B4342" s="1">
        <f ca="1">IFERROR(__xludf.DUMMYFUNCTION("""COMPUTED_VALUE"""),166.3)</f>
        <v>166.3</v>
      </c>
    </row>
    <row r="4343" spans="1:2">
      <c r="A4343" s="3">
        <f ca="1">IFERROR(__xludf.DUMMYFUNCTION("""COMPUTED_VALUE"""),44651.6666666666)</f>
        <v>44651.666666666599</v>
      </c>
      <c r="B4343" s="1">
        <f ca="1">IFERROR(__xludf.DUMMYFUNCTION("""COMPUTED_VALUE"""),163)</f>
        <v>163</v>
      </c>
    </row>
    <row r="4344" spans="1:2">
      <c r="A4344" s="3">
        <f ca="1">IFERROR(__xludf.DUMMYFUNCTION("""COMPUTED_VALUE"""),44652.6666666666)</f>
        <v>44652.666666666599</v>
      </c>
      <c r="B4344" s="1">
        <f ca="1">IFERROR(__xludf.DUMMYFUNCTION("""COMPUTED_VALUE"""),163.56)</f>
        <v>163.56</v>
      </c>
    </row>
    <row r="4345" spans="1:2">
      <c r="A4345" s="3">
        <f ca="1">IFERROR(__xludf.DUMMYFUNCTION("""COMPUTED_VALUE"""),44655.6666666666)</f>
        <v>44655.666666666599</v>
      </c>
      <c r="B4345" s="1">
        <f ca="1">IFERROR(__xludf.DUMMYFUNCTION("""COMPUTED_VALUE"""),168.35)</f>
        <v>168.35</v>
      </c>
    </row>
    <row r="4346" spans="1:2">
      <c r="A4346" s="3">
        <f ca="1">IFERROR(__xludf.DUMMYFUNCTION("""COMPUTED_VALUE"""),44656.6666666666)</f>
        <v>44656.666666666599</v>
      </c>
      <c r="B4346" s="1">
        <f ca="1">IFERROR(__xludf.DUMMYFUNCTION("""COMPUTED_VALUE"""),164.06)</f>
        <v>164.06</v>
      </c>
    </row>
    <row r="4347" spans="1:2">
      <c r="A4347" s="3">
        <f ca="1">IFERROR(__xludf.DUMMYFUNCTION("""COMPUTED_VALUE"""),44657.6666666666)</f>
        <v>44657.666666666599</v>
      </c>
      <c r="B4347" s="1">
        <f ca="1">IFERROR(__xludf.DUMMYFUNCTION("""COMPUTED_VALUE"""),158.76)</f>
        <v>158.76</v>
      </c>
    </row>
    <row r="4348" spans="1:2">
      <c r="A4348" s="3">
        <f ca="1">IFERROR(__xludf.DUMMYFUNCTION("""COMPUTED_VALUE"""),44658.6666666666)</f>
        <v>44658.666666666599</v>
      </c>
      <c r="B4348" s="1">
        <f ca="1">IFERROR(__xludf.DUMMYFUNCTION("""COMPUTED_VALUE"""),157.78)</f>
        <v>157.78</v>
      </c>
    </row>
    <row r="4349" spans="1:2">
      <c r="A4349" s="3">
        <f ca="1">IFERROR(__xludf.DUMMYFUNCTION("""COMPUTED_VALUE"""),44659.6666666666)</f>
        <v>44659.666666666599</v>
      </c>
      <c r="B4349" s="1">
        <f ca="1">IFERROR(__xludf.DUMMYFUNCTION("""COMPUTED_VALUE"""),154.46)</f>
        <v>154.46</v>
      </c>
    </row>
    <row r="4350" spans="1:2">
      <c r="A4350" s="3">
        <f ca="1">IFERROR(__xludf.DUMMYFUNCTION("""COMPUTED_VALUE"""),44662.6666666666)</f>
        <v>44662.666666666599</v>
      </c>
      <c r="B4350" s="1">
        <f ca="1">IFERROR(__xludf.DUMMYFUNCTION("""COMPUTED_VALUE"""),151.12)</f>
        <v>151.12</v>
      </c>
    </row>
    <row r="4351" spans="1:2">
      <c r="A4351" s="3">
        <f ca="1">IFERROR(__xludf.DUMMYFUNCTION("""COMPUTED_VALUE"""),44663.6666666666)</f>
        <v>44663.666666666599</v>
      </c>
      <c r="B4351" s="1">
        <f ca="1">IFERROR(__xludf.DUMMYFUNCTION("""COMPUTED_VALUE"""),150.79)</f>
        <v>150.79</v>
      </c>
    </row>
    <row r="4352" spans="1:2">
      <c r="A4352" s="3">
        <f ca="1">IFERROR(__xludf.DUMMYFUNCTION("""COMPUTED_VALUE"""),44664.6666666666)</f>
        <v>44664.666666666599</v>
      </c>
      <c r="B4352" s="1">
        <f ca="1">IFERROR(__xludf.DUMMYFUNCTION("""COMPUTED_VALUE"""),155.54)</f>
        <v>155.54</v>
      </c>
    </row>
    <row r="4353" spans="1:2">
      <c r="A4353" s="3">
        <f ca="1">IFERROR(__xludf.DUMMYFUNCTION("""COMPUTED_VALUE"""),44665.6666666666)</f>
        <v>44665.666666666599</v>
      </c>
      <c r="B4353" s="1">
        <f ca="1">IFERROR(__xludf.DUMMYFUNCTION("""COMPUTED_VALUE"""),151.71)</f>
        <v>151.71</v>
      </c>
    </row>
    <row r="4354" spans="1:2">
      <c r="A4354" s="3">
        <f ca="1">IFERROR(__xludf.DUMMYFUNCTION("""COMPUTED_VALUE"""),44669.6666666666)</f>
        <v>44669.666666666599</v>
      </c>
      <c r="B4354" s="1">
        <f ca="1">IFERROR(__xludf.DUMMYFUNCTION("""COMPUTED_VALUE"""),152.79)</f>
        <v>152.79</v>
      </c>
    </row>
    <row r="4355" spans="1:2">
      <c r="A4355" s="3">
        <f ca="1">IFERROR(__xludf.DUMMYFUNCTION("""COMPUTED_VALUE"""),44670.6666666666)</f>
        <v>44670.666666666599</v>
      </c>
      <c r="B4355" s="1">
        <f ca="1">IFERROR(__xludf.DUMMYFUNCTION("""COMPUTED_VALUE"""),158.12)</f>
        <v>158.12</v>
      </c>
    </row>
    <row r="4356" spans="1:2">
      <c r="A4356" s="3">
        <f ca="1">IFERROR(__xludf.DUMMYFUNCTION("""COMPUTED_VALUE"""),44671.6666666666)</f>
        <v>44671.666666666599</v>
      </c>
      <c r="B4356" s="1">
        <f ca="1">IFERROR(__xludf.DUMMYFUNCTION("""COMPUTED_VALUE"""),154)</f>
        <v>154</v>
      </c>
    </row>
    <row r="4357" spans="1:2">
      <c r="A4357" s="3">
        <f ca="1">IFERROR(__xludf.DUMMYFUNCTION("""COMPUTED_VALUE"""),44672.6666666666)</f>
        <v>44672.666666666599</v>
      </c>
      <c r="B4357" s="1">
        <f ca="1">IFERROR(__xludf.DUMMYFUNCTION("""COMPUTED_VALUE"""),148.3)</f>
        <v>148.30000000000001</v>
      </c>
    </row>
    <row r="4358" spans="1:2">
      <c r="A4358" s="3">
        <f ca="1">IFERROR(__xludf.DUMMYFUNCTION("""COMPUTED_VALUE"""),44673.6666666666)</f>
        <v>44673.666666666599</v>
      </c>
      <c r="B4358" s="1">
        <f ca="1">IFERROR(__xludf.DUMMYFUNCTION("""COMPUTED_VALUE"""),144.35)</f>
        <v>144.35</v>
      </c>
    </row>
    <row r="4359" spans="1:2">
      <c r="A4359" s="3">
        <f ca="1">IFERROR(__xludf.DUMMYFUNCTION("""COMPUTED_VALUE"""),44676.6666666666)</f>
        <v>44676.666666666599</v>
      </c>
      <c r="B4359" s="1">
        <f ca="1">IFERROR(__xludf.DUMMYFUNCTION("""COMPUTED_VALUE"""),146.07)</f>
        <v>146.07</v>
      </c>
    </row>
    <row r="4360" spans="1:2">
      <c r="A4360" s="3">
        <f ca="1">IFERROR(__xludf.DUMMYFUNCTION("""COMPUTED_VALUE"""),44677.6666666666)</f>
        <v>44677.666666666599</v>
      </c>
      <c r="B4360" s="1">
        <f ca="1">IFERROR(__xludf.DUMMYFUNCTION("""COMPUTED_VALUE"""),139.39)</f>
        <v>139.38999999999999</v>
      </c>
    </row>
    <row r="4361" spans="1:2">
      <c r="A4361" s="3">
        <f ca="1">IFERROR(__xludf.DUMMYFUNCTION("""COMPUTED_VALUE"""),44678.6666666666)</f>
        <v>44678.666666666599</v>
      </c>
      <c r="B4361" s="1">
        <f ca="1">IFERROR(__xludf.DUMMYFUNCTION("""COMPUTED_VALUE"""),138.17)</f>
        <v>138.16999999999999</v>
      </c>
    </row>
    <row r="4362" spans="1:2">
      <c r="A4362" s="3">
        <f ca="1">IFERROR(__xludf.DUMMYFUNCTION("""COMPUTED_VALUE"""),44679.6666666666)</f>
        <v>44679.666666666599</v>
      </c>
      <c r="B4362" s="1">
        <f ca="1">IFERROR(__xludf.DUMMYFUNCTION("""COMPUTED_VALUE"""),144.6)</f>
        <v>144.6</v>
      </c>
    </row>
    <row r="4363" spans="1:2">
      <c r="A4363" s="3">
        <f ca="1">IFERROR(__xludf.DUMMYFUNCTION("""COMPUTED_VALUE"""),44680.6666666666)</f>
        <v>44680.666666666599</v>
      </c>
      <c r="B4363" s="1">
        <f ca="1">IFERROR(__xludf.DUMMYFUNCTION("""COMPUTED_VALUE"""),124.28)</f>
        <v>124.28</v>
      </c>
    </row>
    <row r="4364" spans="1:2">
      <c r="A4364" s="3">
        <f ca="1">IFERROR(__xludf.DUMMYFUNCTION("""COMPUTED_VALUE"""),44683.6666666666)</f>
        <v>44683.666666666599</v>
      </c>
      <c r="B4364" s="1">
        <f ca="1">IFERROR(__xludf.DUMMYFUNCTION("""COMPUTED_VALUE"""),124.5)</f>
        <v>124.5</v>
      </c>
    </row>
    <row r="4365" spans="1:2">
      <c r="A4365" s="3">
        <f ca="1">IFERROR(__xludf.DUMMYFUNCTION("""COMPUTED_VALUE"""),44684.6666666666)</f>
        <v>44684.666666666599</v>
      </c>
      <c r="B4365" s="1">
        <f ca="1">IFERROR(__xludf.DUMMYFUNCTION("""COMPUTED_VALUE"""),124.25)</f>
        <v>124.25</v>
      </c>
    </row>
    <row r="4366" spans="1:2">
      <c r="A4366" s="3">
        <f ca="1">IFERROR(__xludf.DUMMYFUNCTION("""COMPUTED_VALUE"""),44685.6666666666)</f>
        <v>44685.666666666599</v>
      </c>
      <c r="B4366" s="1">
        <f ca="1">IFERROR(__xludf.DUMMYFUNCTION("""COMPUTED_VALUE"""),125.93)</f>
        <v>125.93</v>
      </c>
    </row>
    <row r="4367" spans="1:2">
      <c r="A4367" s="3">
        <f ca="1">IFERROR(__xludf.DUMMYFUNCTION("""COMPUTED_VALUE"""),44686.6666666666)</f>
        <v>44686.666666666599</v>
      </c>
      <c r="B4367" s="1">
        <f ca="1">IFERROR(__xludf.DUMMYFUNCTION("""COMPUTED_VALUE"""),116.41)</f>
        <v>116.41</v>
      </c>
    </row>
    <row r="4368" spans="1:2">
      <c r="A4368" s="3">
        <f ca="1">IFERROR(__xludf.DUMMYFUNCTION("""COMPUTED_VALUE"""),44687.6666666666)</f>
        <v>44687.666666666599</v>
      </c>
      <c r="B4368" s="1">
        <f ca="1">IFERROR(__xludf.DUMMYFUNCTION("""COMPUTED_VALUE"""),114.77)</f>
        <v>114.77</v>
      </c>
    </row>
    <row r="4369" spans="1:2">
      <c r="A4369" s="3">
        <f ca="1">IFERROR(__xludf.DUMMYFUNCTION("""COMPUTED_VALUE"""),44690.6666666666)</f>
        <v>44690.666666666599</v>
      </c>
      <c r="B4369" s="1">
        <f ca="1">IFERROR(__xludf.DUMMYFUNCTION("""COMPUTED_VALUE"""),108.79)</f>
        <v>108.79</v>
      </c>
    </row>
    <row r="4370" spans="1:2">
      <c r="A4370" s="3">
        <f ca="1">IFERROR(__xludf.DUMMYFUNCTION("""COMPUTED_VALUE"""),44691.6666666666)</f>
        <v>44691.666666666599</v>
      </c>
      <c r="B4370" s="1">
        <f ca="1">IFERROR(__xludf.DUMMYFUNCTION("""COMPUTED_VALUE"""),108.86)</f>
        <v>108.86</v>
      </c>
    </row>
    <row r="4371" spans="1:2">
      <c r="A4371" s="3">
        <f ca="1">IFERROR(__xludf.DUMMYFUNCTION("""COMPUTED_VALUE"""),44692.6666666666)</f>
        <v>44692.666666666599</v>
      </c>
      <c r="B4371" s="1">
        <f ca="1">IFERROR(__xludf.DUMMYFUNCTION("""COMPUTED_VALUE"""),105.37)</f>
        <v>105.37</v>
      </c>
    </row>
    <row r="4372" spans="1:2">
      <c r="A4372" s="3">
        <f ca="1">IFERROR(__xludf.DUMMYFUNCTION("""COMPUTED_VALUE"""),44693.6666666666)</f>
        <v>44693.666666666599</v>
      </c>
      <c r="B4372" s="1">
        <f ca="1">IFERROR(__xludf.DUMMYFUNCTION("""COMPUTED_VALUE"""),106.93)</f>
        <v>106.93</v>
      </c>
    </row>
    <row r="4373" spans="1:2">
      <c r="A4373" s="3">
        <f ca="1">IFERROR(__xludf.DUMMYFUNCTION("""COMPUTED_VALUE"""),44694.6666666666)</f>
        <v>44694.666666666599</v>
      </c>
      <c r="B4373" s="1">
        <f ca="1">IFERROR(__xludf.DUMMYFUNCTION("""COMPUTED_VALUE"""),113.06)</f>
        <v>113.06</v>
      </c>
    </row>
    <row r="4374" spans="1:2">
      <c r="A4374" s="3">
        <f ca="1">IFERROR(__xludf.DUMMYFUNCTION("""COMPUTED_VALUE"""),44697.6666666666)</f>
        <v>44697.666666666599</v>
      </c>
      <c r="B4374" s="1">
        <f ca="1">IFERROR(__xludf.DUMMYFUNCTION("""COMPUTED_VALUE"""),110.81)</f>
        <v>110.81</v>
      </c>
    </row>
    <row r="4375" spans="1:2">
      <c r="A4375" s="3">
        <f ca="1">IFERROR(__xludf.DUMMYFUNCTION("""COMPUTED_VALUE"""),44698.6666666666)</f>
        <v>44698.666666666599</v>
      </c>
      <c r="B4375" s="1">
        <f ca="1">IFERROR(__xludf.DUMMYFUNCTION("""COMPUTED_VALUE"""),115.37)</f>
        <v>115.37</v>
      </c>
    </row>
    <row r="4376" spans="1:2">
      <c r="A4376" s="3">
        <f ca="1">IFERROR(__xludf.DUMMYFUNCTION("""COMPUTED_VALUE"""),44699.6666666666)</f>
        <v>44699.666666666599</v>
      </c>
      <c r="B4376" s="1">
        <f ca="1">IFERROR(__xludf.DUMMYFUNCTION("""COMPUTED_VALUE"""),107.11)</f>
        <v>107.11</v>
      </c>
    </row>
    <row r="4377" spans="1:2">
      <c r="A4377" s="3">
        <f ca="1">IFERROR(__xludf.DUMMYFUNCTION("""COMPUTED_VALUE"""),44700.6666666666)</f>
        <v>44700.666666666599</v>
      </c>
      <c r="B4377" s="1">
        <f ca="1">IFERROR(__xludf.DUMMYFUNCTION("""COMPUTED_VALUE"""),107.32)</f>
        <v>107.32</v>
      </c>
    </row>
    <row r="4378" spans="1:2">
      <c r="A4378" s="3">
        <f ca="1">IFERROR(__xludf.DUMMYFUNCTION("""COMPUTED_VALUE"""),44701.6666666666)</f>
        <v>44701.666666666599</v>
      </c>
      <c r="B4378" s="1">
        <f ca="1">IFERROR(__xludf.DUMMYFUNCTION("""COMPUTED_VALUE"""),107.59)</f>
        <v>107.59</v>
      </c>
    </row>
    <row r="4379" spans="1:2">
      <c r="A4379" s="3">
        <f ca="1">IFERROR(__xludf.DUMMYFUNCTION("""COMPUTED_VALUE"""),44704.6666666666)</f>
        <v>44704.666666666599</v>
      </c>
      <c r="B4379" s="1">
        <f ca="1">IFERROR(__xludf.DUMMYFUNCTION("""COMPUTED_VALUE"""),107.56)</f>
        <v>107.56</v>
      </c>
    </row>
    <row r="4380" spans="1:2">
      <c r="A4380" s="3">
        <f ca="1">IFERROR(__xludf.DUMMYFUNCTION("""COMPUTED_VALUE"""),44705.6666666666)</f>
        <v>44705.666666666599</v>
      </c>
      <c r="B4380" s="1">
        <f ca="1">IFERROR(__xludf.DUMMYFUNCTION("""COMPUTED_VALUE"""),104.1)</f>
        <v>104.1</v>
      </c>
    </row>
    <row r="4381" spans="1:2">
      <c r="A4381" s="3">
        <f ca="1">IFERROR(__xludf.DUMMYFUNCTION("""COMPUTED_VALUE"""),44706.6666666666)</f>
        <v>44706.666666666599</v>
      </c>
      <c r="B4381" s="1">
        <f ca="1">IFERROR(__xludf.DUMMYFUNCTION("""COMPUTED_VALUE"""),106.78)</f>
        <v>106.78</v>
      </c>
    </row>
    <row r="4382" spans="1:2">
      <c r="A4382" s="3">
        <f ca="1">IFERROR(__xludf.DUMMYFUNCTION("""COMPUTED_VALUE"""),44707.6666666666)</f>
        <v>44707.666666666599</v>
      </c>
      <c r="B4382" s="1">
        <f ca="1">IFERROR(__xludf.DUMMYFUNCTION("""COMPUTED_VALUE"""),111.08)</f>
        <v>111.08</v>
      </c>
    </row>
    <row r="4383" spans="1:2">
      <c r="A4383" s="3">
        <f ca="1">IFERROR(__xludf.DUMMYFUNCTION("""COMPUTED_VALUE"""),44708.6666666666)</f>
        <v>44708.666666666599</v>
      </c>
      <c r="B4383" s="1">
        <f ca="1">IFERROR(__xludf.DUMMYFUNCTION("""COMPUTED_VALUE"""),115.15)</f>
        <v>115.15</v>
      </c>
    </row>
    <row r="4384" spans="1:2">
      <c r="A4384" s="3">
        <f ca="1">IFERROR(__xludf.DUMMYFUNCTION("""COMPUTED_VALUE"""),44712.6666666666)</f>
        <v>44712.666666666599</v>
      </c>
      <c r="B4384" s="1">
        <f ca="1">IFERROR(__xludf.DUMMYFUNCTION("""COMPUTED_VALUE"""),120.21)</f>
        <v>120.21</v>
      </c>
    </row>
    <row r="4385" spans="1:2">
      <c r="A4385" s="3">
        <f ca="1">IFERROR(__xludf.DUMMYFUNCTION("""COMPUTED_VALUE"""),44713.6666666666)</f>
        <v>44713.666666666599</v>
      </c>
      <c r="B4385" s="1">
        <f ca="1">IFERROR(__xludf.DUMMYFUNCTION("""COMPUTED_VALUE"""),121.68)</f>
        <v>121.68</v>
      </c>
    </row>
    <row r="4386" spans="1:2">
      <c r="A4386" s="3">
        <f ca="1">IFERROR(__xludf.DUMMYFUNCTION("""COMPUTED_VALUE"""),44714.6666666666)</f>
        <v>44714.666666666599</v>
      </c>
      <c r="B4386" s="1">
        <f ca="1">IFERROR(__xludf.DUMMYFUNCTION("""COMPUTED_VALUE"""),125.51)</f>
        <v>125.51</v>
      </c>
    </row>
    <row r="4387" spans="1:2">
      <c r="A4387" s="3">
        <f ca="1">IFERROR(__xludf.DUMMYFUNCTION("""COMPUTED_VALUE"""),44715.6666666666)</f>
        <v>44715.666666666599</v>
      </c>
      <c r="B4387" s="1">
        <f ca="1">IFERROR(__xludf.DUMMYFUNCTION("""COMPUTED_VALUE"""),122.35)</f>
        <v>122.35</v>
      </c>
    </row>
    <row r="4388" spans="1:2">
      <c r="A4388" s="3">
        <f ca="1">IFERROR(__xludf.DUMMYFUNCTION("""COMPUTED_VALUE"""),44718.6666666666)</f>
        <v>44718.666666666599</v>
      </c>
      <c r="B4388" s="1">
        <f ca="1">IFERROR(__xludf.DUMMYFUNCTION("""COMPUTED_VALUE"""),124.79)</f>
        <v>124.79</v>
      </c>
    </row>
    <row r="4389" spans="1:2">
      <c r="A4389" s="3">
        <f ca="1">IFERROR(__xludf.DUMMYFUNCTION("""COMPUTED_VALUE"""),44719.6666666666)</f>
        <v>44719.666666666599</v>
      </c>
      <c r="B4389" s="1">
        <f ca="1">IFERROR(__xludf.DUMMYFUNCTION("""COMPUTED_VALUE"""),123)</f>
        <v>123</v>
      </c>
    </row>
    <row r="4390" spans="1:2">
      <c r="A4390" s="3">
        <f ca="1">IFERROR(__xludf.DUMMYFUNCTION("""COMPUTED_VALUE"""),44720.6666666666)</f>
        <v>44720.666666666599</v>
      </c>
      <c r="B4390" s="1">
        <f ca="1">IFERROR(__xludf.DUMMYFUNCTION("""COMPUTED_VALUE"""),121.18)</f>
        <v>121.18</v>
      </c>
    </row>
    <row r="4391" spans="1:2">
      <c r="A4391" s="3">
        <f ca="1">IFERROR(__xludf.DUMMYFUNCTION("""COMPUTED_VALUE"""),44721.6666666666)</f>
        <v>44721.666666666599</v>
      </c>
      <c r="B4391" s="1">
        <f ca="1">IFERROR(__xludf.DUMMYFUNCTION("""COMPUTED_VALUE"""),116.15)</f>
        <v>116.15</v>
      </c>
    </row>
    <row r="4392" spans="1:2">
      <c r="A4392" s="3">
        <f ca="1">IFERROR(__xludf.DUMMYFUNCTION("""COMPUTED_VALUE"""),44722.6666666666)</f>
        <v>44722.666666666599</v>
      </c>
      <c r="B4392" s="1">
        <f ca="1">IFERROR(__xludf.DUMMYFUNCTION("""COMPUTED_VALUE"""),109.65)</f>
        <v>109.65</v>
      </c>
    </row>
    <row r="4393" spans="1:2">
      <c r="A4393" s="3">
        <f ca="1">IFERROR(__xludf.DUMMYFUNCTION("""COMPUTED_VALUE"""),44725.6666666666)</f>
        <v>44725.666666666599</v>
      </c>
      <c r="B4393" s="1">
        <f ca="1">IFERROR(__xludf.DUMMYFUNCTION("""COMPUTED_VALUE"""),103.67)</f>
        <v>103.67</v>
      </c>
    </row>
    <row r="4394" spans="1:2">
      <c r="A4394" s="3">
        <f ca="1">IFERROR(__xludf.DUMMYFUNCTION("""COMPUTED_VALUE"""),44726.6666666666)</f>
        <v>44726.666666666599</v>
      </c>
      <c r="B4394" s="1">
        <f ca="1">IFERROR(__xludf.DUMMYFUNCTION("""COMPUTED_VALUE"""),102.31)</f>
        <v>102.31</v>
      </c>
    </row>
    <row r="4395" spans="1:2">
      <c r="A4395" s="3">
        <f ca="1">IFERROR(__xludf.DUMMYFUNCTION("""COMPUTED_VALUE"""),44727.6666666666)</f>
        <v>44727.666666666599</v>
      </c>
      <c r="B4395" s="1">
        <f ca="1">IFERROR(__xludf.DUMMYFUNCTION("""COMPUTED_VALUE"""),107.67)</f>
        <v>107.67</v>
      </c>
    </row>
    <row r="4396" spans="1:2">
      <c r="A4396" s="3">
        <f ca="1">IFERROR(__xludf.DUMMYFUNCTION("""COMPUTED_VALUE"""),44728.6666666666)</f>
        <v>44728.666666666599</v>
      </c>
      <c r="B4396" s="1">
        <f ca="1">IFERROR(__xludf.DUMMYFUNCTION("""COMPUTED_VALUE"""),103.66)</f>
        <v>103.66</v>
      </c>
    </row>
    <row r="4397" spans="1:2">
      <c r="A4397" s="3">
        <f ca="1">IFERROR(__xludf.DUMMYFUNCTION("""COMPUTED_VALUE"""),44729.6666666666)</f>
        <v>44729.666666666599</v>
      </c>
      <c r="B4397" s="1">
        <f ca="1">IFERROR(__xludf.DUMMYFUNCTION("""COMPUTED_VALUE"""),106.22)</f>
        <v>106.22</v>
      </c>
    </row>
    <row r="4398" spans="1:2">
      <c r="A4398" s="3">
        <f ca="1">IFERROR(__xludf.DUMMYFUNCTION("""COMPUTED_VALUE"""),44733.6666666666)</f>
        <v>44733.666666666599</v>
      </c>
      <c r="B4398" s="1">
        <f ca="1">IFERROR(__xludf.DUMMYFUNCTION("""COMPUTED_VALUE"""),108.68)</f>
        <v>108.68</v>
      </c>
    </row>
    <row r="4399" spans="1:2">
      <c r="A4399" s="3">
        <f ca="1">IFERROR(__xludf.DUMMYFUNCTION("""COMPUTED_VALUE"""),44734.6666666666)</f>
        <v>44734.666666666599</v>
      </c>
      <c r="B4399" s="1">
        <f ca="1">IFERROR(__xludf.DUMMYFUNCTION("""COMPUTED_VALUE"""),108.95)</f>
        <v>108.95</v>
      </c>
    </row>
    <row r="4400" spans="1:2">
      <c r="A4400" s="3">
        <f ca="1">IFERROR(__xludf.DUMMYFUNCTION("""COMPUTED_VALUE"""),44735.6666666666)</f>
        <v>44735.666666666599</v>
      </c>
      <c r="B4400" s="1">
        <f ca="1">IFERROR(__xludf.DUMMYFUNCTION("""COMPUTED_VALUE"""),112.44)</f>
        <v>112.44</v>
      </c>
    </row>
    <row r="4401" spans="1:2">
      <c r="A4401" s="3">
        <f ca="1">IFERROR(__xludf.DUMMYFUNCTION("""COMPUTED_VALUE"""),44736.6666666666)</f>
        <v>44736.666666666599</v>
      </c>
      <c r="B4401" s="1">
        <f ca="1">IFERROR(__xludf.DUMMYFUNCTION("""COMPUTED_VALUE"""),116.46)</f>
        <v>116.46</v>
      </c>
    </row>
    <row r="4402" spans="1:2">
      <c r="A4402" s="3">
        <f ca="1">IFERROR(__xludf.DUMMYFUNCTION("""COMPUTED_VALUE"""),44739.6666666666)</f>
        <v>44739.666666666599</v>
      </c>
      <c r="B4402" s="1">
        <f ca="1">IFERROR(__xludf.DUMMYFUNCTION("""COMPUTED_VALUE"""),113.22)</f>
        <v>113.22</v>
      </c>
    </row>
    <row r="4403" spans="1:2">
      <c r="A4403" s="3">
        <f ca="1">IFERROR(__xludf.DUMMYFUNCTION("""COMPUTED_VALUE"""),44740.6666666666)</f>
        <v>44740.666666666599</v>
      </c>
      <c r="B4403" s="1">
        <f ca="1">IFERROR(__xludf.DUMMYFUNCTION("""COMPUTED_VALUE"""),107.4)</f>
        <v>107.4</v>
      </c>
    </row>
    <row r="4404" spans="1:2">
      <c r="A4404" s="3">
        <f ca="1">IFERROR(__xludf.DUMMYFUNCTION("""COMPUTED_VALUE"""),44741.6666666666)</f>
        <v>44741.666666666599</v>
      </c>
      <c r="B4404" s="1">
        <f ca="1">IFERROR(__xludf.DUMMYFUNCTION("""COMPUTED_VALUE"""),108.92)</f>
        <v>108.92</v>
      </c>
    </row>
    <row r="4405" spans="1:2">
      <c r="A4405" s="3">
        <f ca="1">IFERROR(__xludf.DUMMYFUNCTION("""COMPUTED_VALUE"""),44742.6666666666)</f>
        <v>44742.666666666599</v>
      </c>
      <c r="B4405" s="1">
        <f ca="1">IFERROR(__xludf.DUMMYFUNCTION("""COMPUTED_VALUE"""),106.21)</f>
        <v>106.21</v>
      </c>
    </row>
    <row r="4406" spans="1:2">
      <c r="A4406" s="3">
        <f ca="1">IFERROR(__xludf.DUMMYFUNCTION("""COMPUTED_VALUE"""),44743.6666666666)</f>
        <v>44743.666666666599</v>
      </c>
      <c r="B4406" s="1">
        <f ca="1">IFERROR(__xludf.DUMMYFUNCTION("""COMPUTED_VALUE"""),109.56)</f>
        <v>109.56</v>
      </c>
    </row>
    <row r="4407" spans="1:2">
      <c r="A4407" s="3">
        <f ca="1">IFERROR(__xludf.DUMMYFUNCTION("""COMPUTED_VALUE"""),44747.6666666666)</f>
        <v>44747.666666666599</v>
      </c>
      <c r="B4407" s="1">
        <f ca="1">IFERROR(__xludf.DUMMYFUNCTION("""COMPUTED_VALUE"""),113.5)</f>
        <v>113.5</v>
      </c>
    </row>
    <row r="4408" spans="1:2">
      <c r="A4408" s="3">
        <f ca="1">IFERROR(__xludf.DUMMYFUNCTION("""COMPUTED_VALUE"""),44748.6666666666)</f>
        <v>44748.666666666599</v>
      </c>
      <c r="B4408" s="1">
        <f ca="1">IFERROR(__xludf.DUMMYFUNCTION("""COMPUTED_VALUE"""),114.33)</f>
        <v>114.33</v>
      </c>
    </row>
    <row r="4409" spans="1:2">
      <c r="A4409" s="3">
        <f ca="1">IFERROR(__xludf.DUMMYFUNCTION("""COMPUTED_VALUE"""),44749.6666666666)</f>
        <v>44749.666666666599</v>
      </c>
      <c r="B4409" s="1">
        <f ca="1">IFERROR(__xludf.DUMMYFUNCTION("""COMPUTED_VALUE"""),116.33)</f>
        <v>116.33</v>
      </c>
    </row>
    <row r="4410" spans="1:2">
      <c r="A4410" s="3">
        <f ca="1">IFERROR(__xludf.DUMMYFUNCTION("""COMPUTED_VALUE"""),44750.6666666666)</f>
        <v>44750.666666666599</v>
      </c>
      <c r="B4410" s="1">
        <f ca="1">IFERROR(__xludf.DUMMYFUNCTION("""COMPUTED_VALUE"""),115.54)</f>
        <v>115.54</v>
      </c>
    </row>
    <row r="4411" spans="1:2">
      <c r="A4411" s="3">
        <f ca="1">IFERROR(__xludf.DUMMYFUNCTION("""COMPUTED_VALUE"""),44753.6666666666)</f>
        <v>44753.666666666599</v>
      </c>
      <c r="B4411" s="1">
        <f ca="1">IFERROR(__xludf.DUMMYFUNCTION("""COMPUTED_VALUE"""),111.75)</f>
        <v>111.75</v>
      </c>
    </row>
    <row r="4412" spans="1:2">
      <c r="A4412" s="3">
        <f ca="1">IFERROR(__xludf.DUMMYFUNCTION("""COMPUTED_VALUE"""),44754.6666666666)</f>
        <v>44754.666666666599</v>
      </c>
      <c r="B4412" s="1">
        <f ca="1">IFERROR(__xludf.DUMMYFUNCTION("""COMPUTED_VALUE"""),109.22)</f>
        <v>109.22</v>
      </c>
    </row>
    <row r="4413" spans="1:2">
      <c r="A4413" s="3">
        <f ca="1">IFERROR(__xludf.DUMMYFUNCTION("""COMPUTED_VALUE"""),44755.6666666666)</f>
        <v>44755.666666666599</v>
      </c>
      <c r="B4413" s="1">
        <f ca="1">IFERROR(__xludf.DUMMYFUNCTION("""COMPUTED_VALUE"""),110.4)</f>
        <v>110.4</v>
      </c>
    </row>
    <row r="4414" spans="1:2">
      <c r="A4414" s="3">
        <f ca="1">IFERROR(__xludf.DUMMYFUNCTION("""COMPUTED_VALUE"""),44756.6666666666)</f>
        <v>44756.666666666599</v>
      </c>
      <c r="B4414" s="1">
        <f ca="1">IFERROR(__xludf.DUMMYFUNCTION("""COMPUTED_VALUE"""),110.63)</f>
        <v>110.63</v>
      </c>
    </row>
    <row r="4415" spans="1:2">
      <c r="A4415" s="3">
        <f ca="1">IFERROR(__xludf.DUMMYFUNCTION("""COMPUTED_VALUE"""),44757.6666666666)</f>
        <v>44757.666666666599</v>
      </c>
      <c r="B4415" s="1">
        <f ca="1">IFERROR(__xludf.DUMMYFUNCTION("""COMPUTED_VALUE"""),113.55)</f>
        <v>113.55</v>
      </c>
    </row>
    <row r="4416" spans="1:2">
      <c r="A4416" s="3">
        <f ca="1">IFERROR(__xludf.DUMMYFUNCTION("""COMPUTED_VALUE"""),44760.6666666666)</f>
        <v>44760.666666666599</v>
      </c>
      <c r="B4416" s="1">
        <f ca="1">IFERROR(__xludf.DUMMYFUNCTION("""COMPUTED_VALUE"""),113.76)</f>
        <v>113.76</v>
      </c>
    </row>
    <row r="4417" spans="1:2">
      <c r="A4417" s="3">
        <f ca="1">IFERROR(__xludf.DUMMYFUNCTION("""COMPUTED_VALUE"""),44761.6666666666)</f>
        <v>44761.666666666599</v>
      </c>
      <c r="B4417" s="1">
        <f ca="1">IFERROR(__xludf.DUMMYFUNCTION("""COMPUTED_VALUE"""),118.21)</f>
        <v>118.21</v>
      </c>
    </row>
    <row r="4418" spans="1:2">
      <c r="A4418" s="3">
        <f ca="1">IFERROR(__xludf.DUMMYFUNCTION("""COMPUTED_VALUE"""),44762.6666666666)</f>
        <v>44762.666666666599</v>
      </c>
      <c r="B4418" s="1">
        <f ca="1">IFERROR(__xludf.DUMMYFUNCTION("""COMPUTED_VALUE"""),122.77)</f>
        <v>122.77</v>
      </c>
    </row>
    <row r="4419" spans="1:2">
      <c r="A4419" s="3">
        <f ca="1">IFERROR(__xludf.DUMMYFUNCTION("""COMPUTED_VALUE"""),44763.6666666666)</f>
        <v>44763.666666666599</v>
      </c>
      <c r="B4419" s="1">
        <f ca="1">IFERROR(__xludf.DUMMYFUNCTION("""COMPUTED_VALUE"""),124.63)</f>
        <v>124.63</v>
      </c>
    </row>
    <row r="4420" spans="1:2">
      <c r="A4420" s="3">
        <f ca="1">IFERROR(__xludf.DUMMYFUNCTION("""COMPUTED_VALUE"""),44764.6666666666)</f>
        <v>44764.666666666599</v>
      </c>
      <c r="B4420" s="1">
        <f ca="1">IFERROR(__xludf.DUMMYFUNCTION("""COMPUTED_VALUE"""),122.42)</f>
        <v>122.42</v>
      </c>
    </row>
    <row r="4421" spans="1:2">
      <c r="A4421" s="3">
        <f ca="1">IFERROR(__xludf.DUMMYFUNCTION("""COMPUTED_VALUE"""),44767.6666666666)</f>
        <v>44767.666666666599</v>
      </c>
      <c r="B4421" s="1">
        <f ca="1">IFERROR(__xludf.DUMMYFUNCTION("""COMPUTED_VALUE"""),121.14)</f>
        <v>121.14</v>
      </c>
    </row>
    <row r="4422" spans="1:2">
      <c r="A4422" s="3">
        <f ca="1">IFERROR(__xludf.DUMMYFUNCTION("""COMPUTED_VALUE"""),44768.6666666666)</f>
        <v>44768.666666666599</v>
      </c>
      <c r="B4422" s="1">
        <f ca="1">IFERROR(__xludf.DUMMYFUNCTION("""COMPUTED_VALUE"""),114.81)</f>
        <v>114.81</v>
      </c>
    </row>
    <row r="4423" spans="1:2">
      <c r="A4423" s="3">
        <f ca="1">IFERROR(__xludf.DUMMYFUNCTION("""COMPUTED_VALUE"""),44769.6666666666)</f>
        <v>44769.666666666599</v>
      </c>
      <c r="B4423" s="1">
        <f ca="1">IFERROR(__xludf.DUMMYFUNCTION("""COMPUTED_VALUE"""),120.97)</f>
        <v>120.97</v>
      </c>
    </row>
    <row r="4424" spans="1:2">
      <c r="A4424" s="3">
        <f ca="1">IFERROR(__xludf.DUMMYFUNCTION("""COMPUTED_VALUE"""),44770.6666666666)</f>
        <v>44770.666666666599</v>
      </c>
      <c r="B4424" s="1">
        <f ca="1">IFERROR(__xludf.DUMMYFUNCTION("""COMPUTED_VALUE"""),122.28)</f>
        <v>122.28</v>
      </c>
    </row>
    <row r="4425" spans="1:2">
      <c r="A4425" s="3">
        <f ca="1">IFERROR(__xludf.DUMMYFUNCTION("""COMPUTED_VALUE"""),44771.6666666666)</f>
        <v>44771.666666666599</v>
      </c>
      <c r="B4425" s="1">
        <f ca="1">IFERROR(__xludf.DUMMYFUNCTION("""COMPUTED_VALUE"""),134.95)</f>
        <v>134.94999999999999</v>
      </c>
    </row>
    <row r="4426" spans="1:2">
      <c r="A4426" s="3">
        <f ca="1">IFERROR(__xludf.DUMMYFUNCTION("""COMPUTED_VALUE"""),44774.6666666666)</f>
        <v>44774.666666666599</v>
      </c>
      <c r="B4426" s="1">
        <f ca="1">IFERROR(__xludf.DUMMYFUNCTION("""COMPUTED_VALUE"""),135.39)</f>
        <v>135.38999999999999</v>
      </c>
    </row>
    <row r="4427" spans="1:2">
      <c r="A4427" s="3">
        <f ca="1">IFERROR(__xludf.DUMMYFUNCTION("""COMPUTED_VALUE"""),44775.6666666666)</f>
        <v>44775.666666666599</v>
      </c>
      <c r="B4427" s="1">
        <f ca="1">IFERROR(__xludf.DUMMYFUNCTION("""COMPUTED_VALUE"""),134.16)</f>
        <v>134.16</v>
      </c>
    </row>
    <row r="4428" spans="1:2">
      <c r="A4428" s="3">
        <f ca="1">IFERROR(__xludf.DUMMYFUNCTION("""COMPUTED_VALUE"""),44776.6666666666)</f>
        <v>44776.666666666599</v>
      </c>
      <c r="B4428" s="1">
        <f ca="1">IFERROR(__xludf.DUMMYFUNCTION("""COMPUTED_VALUE"""),139.52)</f>
        <v>139.52000000000001</v>
      </c>
    </row>
    <row r="4429" spans="1:2">
      <c r="A4429" s="3">
        <f ca="1">IFERROR(__xludf.DUMMYFUNCTION("""COMPUTED_VALUE"""),44777.6666666666)</f>
        <v>44777.666666666599</v>
      </c>
      <c r="B4429" s="1">
        <f ca="1">IFERROR(__xludf.DUMMYFUNCTION("""COMPUTED_VALUE"""),142.57)</f>
        <v>142.57</v>
      </c>
    </row>
    <row r="4430" spans="1:2">
      <c r="A4430" s="3">
        <f ca="1">IFERROR(__xludf.DUMMYFUNCTION("""COMPUTED_VALUE"""),44778.6666666666)</f>
        <v>44778.666666666599</v>
      </c>
      <c r="B4430" s="1">
        <f ca="1">IFERROR(__xludf.DUMMYFUNCTION("""COMPUTED_VALUE"""),140.8)</f>
        <v>140.80000000000001</v>
      </c>
    </row>
    <row r="4431" spans="1:2">
      <c r="A4431" s="3">
        <f ca="1">IFERROR(__xludf.DUMMYFUNCTION("""COMPUTED_VALUE"""),44781.6666666666)</f>
        <v>44781.666666666599</v>
      </c>
      <c r="B4431" s="1">
        <f ca="1">IFERROR(__xludf.DUMMYFUNCTION("""COMPUTED_VALUE"""),139.41)</f>
        <v>139.41</v>
      </c>
    </row>
    <row r="4432" spans="1:2">
      <c r="A4432" s="3">
        <f ca="1">IFERROR(__xludf.DUMMYFUNCTION("""COMPUTED_VALUE"""),44782.6666666666)</f>
        <v>44782.666666666599</v>
      </c>
      <c r="B4432" s="1">
        <f ca="1">IFERROR(__xludf.DUMMYFUNCTION("""COMPUTED_VALUE"""),137.83)</f>
        <v>137.83000000000001</v>
      </c>
    </row>
    <row r="4433" spans="1:2">
      <c r="A4433" s="3">
        <f ca="1">IFERROR(__xludf.DUMMYFUNCTION("""COMPUTED_VALUE"""),44783.6666666666)</f>
        <v>44783.666666666599</v>
      </c>
      <c r="B4433" s="1">
        <f ca="1">IFERROR(__xludf.DUMMYFUNCTION("""COMPUTED_VALUE"""),142.69)</f>
        <v>142.69</v>
      </c>
    </row>
    <row r="4434" spans="1:2">
      <c r="A4434" s="3">
        <f ca="1">IFERROR(__xludf.DUMMYFUNCTION("""COMPUTED_VALUE"""),44784.6666666666)</f>
        <v>44784.666666666599</v>
      </c>
      <c r="B4434" s="1">
        <f ca="1">IFERROR(__xludf.DUMMYFUNCTION("""COMPUTED_VALUE"""),140.64)</f>
        <v>140.63999999999999</v>
      </c>
    </row>
    <row r="4435" spans="1:2">
      <c r="A4435" s="3">
        <f ca="1">IFERROR(__xludf.DUMMYFUNCTION("""COMPUTED_VALUE"""),44785.6666666666)</f>
        <v>44785.666666666599</v>
      </c>
      <c r="B4435" s="1">
        <f ca="1">IFERROR(__xludf.DUMMYFUNCTION("""COMPUTED_VALUE"""),143.55)</f>
        <v>143.55000000000001</v>
      </c>
    </row>
    <row r="4436" spans="1:2">
      <c r="A4436" s="3">
        <f ca="1">IFERROR(__xludf.DUMMYFUNCTION("""COMPUTED_VALUE"""),44788.6666666666)</f>
        <v>44788.666666666599</v>
      </c>
      <c r="B4436" s="1">
        <f ca="1">IFERROR(__xludf.DUMMYFUNCTION("""COMPUTED_VALUE"""),143.18)</f>
        <v>143.18</v>
      </c>
    </row>
    <row r="4437" spans="1:2">
      <c r="A4437" s="3">
        <f ca="1">IFERROR(__xludf.DUMMYFUNCTION("""COMPUTED_VALUE"""),44789.6666666666)</f>
        <v>44789.666666666599</v>
      </c>
      <c r="B4437" s="1">
        <f ca="1">IFERROR(__xludf.DUMMYFUNCTION("""COMPUTED_VALUE"""),144.78)</f>
        <v>144.78</v>
      </c>
    </row>
    <row r="4438" spans="1:2">
      <c r="A4438" s="3">
        <f ca="1">IFERROR(__xludf.DUMMYFUNCTION("""COMPUTED_VALUE"""),44790.6666666666)</f>
        <v>44790.666666666599</v>
      </c>
      <c r="B4438" s="1">
        <f ca="1">IFERROR(__xludf.DUMMYFUNCTION("""COMPUTED_VALUE"""),142.1)</f>
        <v>142.1</v>
      </c>
    </row>
    <row r="4439" spans="1:2">
      <c r="A4439" s="3">
        <f ca="1">IFERROR(__xludf.DUMMYFUNCTION("""COMPUTED_VALUE"""),44791.6666666666)</f>
        <v>44791.666666666599</v>
      </c>
      <c r="B4439" s="1">
        <f ca="1">IFERROR(__xludf.DUMMYFUNCTION("""COMPUTED_VALUE"""),142.3)</f>
        <v>142.30000000000001</v>
      </c>
    </row>
    <row r="4440" spans="1:2">
      <c r="A4440" s="3">
        <f ca="1">IFERROR(__xludf.DUMMYFUNCTION("""COMPUTED_VALUE"""),44792.6666666666)</f>
        <v>44792.666666666599</v>
      </c>
      <c r="B4440" s="1">
        <f ca="1">IFERROR(__xludf.DUMMYFUNCTION("""COMPUTED_VALUE"""),138.23)</f>
        <v>138.22999999999999</v>
      </c>
    </row>
    <row r="4441" spans="1:2">
      <c r="A4441" s="3">
        <f ca="1">IFERROR(__xludf.DUMMYFUNCTION("""COMPUTED_VALUE"""),44795.6666666666)</f>
        <v>44795.666666666599</v>
      </c>
      <c r="B4441" s="1">
        <f ca="1">IFERROR(__xludf.DUMMYFUNCTION("""COMPUTED_VALUE"""),133.22)</f>
        <v>133.22</v>
      </c>
    </row>
    <row r="4442" spans="1:2">
      <c r="A4442" s="3">
        <f ca="1">IFERROR(__xludf.DUMMYFUNCTION("""COMPUTED_VALUE"""),44796.6666666666)</f>
        <v>44796.666666666599</v>
      </c>
      <c r="B4442" s="1">
        <f ca="1">IFERROR(__xludf.DUMMYFUNCTION("""COMPUTED_VALUE"""),133.62)</f>
        <v>133.62</v>
      </c>
    </row>
    <row r="4443" spans="1:2">
      <c r="A4443" s="3">
        <f ca="1">IFERROR(__xludf.DUMMYFUNCTION("""COMPUTED_VALUE"""),44797.6666666666)</f>
        <v>44797.666666666599</v>
      </c>
      <c r="B4443" s="1">
        <f ca="1">IFERROR(__xludf.DUMMYFUNCTION("""COMPUTED_VALUE"""),133.8)</f>
        <v>133.80000000000001</v>
      </c>
    </row>
    <row r="4444" spans="1:2">
      <c r="A4444" s="3">
        <f ca="1">IFERROR(__xludf.DUMMYFUNCTION("""COMPUTED_VALUE"""),44798.6666666666)</f>
        <v>44798.666666666599</v>
      </c>
      <c r="B4444" s="1">
        <f ca="1">IFERROR(__xludf.DUMMYFUNCTION("""COMPUTED_VALUE"""),137.28)</f>
        <v>137.28</v>
      </c>
    </row>
    <row r="4445" spans="1:2">
      <c r="A4445" s="3">
        <f ca="1">IFERROR(__xludf.DUMMYFUNCTION("""COMPUTED_VALUE"""),44799.6666666666)</f>
        <v>44799.666666666599</v>
      </c>
      <c r="B4445" s="1">
        <f ca="1">IFERROR(__xludf.DUMMYFUNCTION("""COMPUTED_VALUE"""),130.75)</f>
        <v>130.75</v>
      </c>
    </row>
    <row r="4446" spans="1:2">
      <c r="A4446" s="3">
        <f ca="1">IFERROR(__xludf.DUMMYFUNCTION("""COMPUTED_VALUE"""),44802.6666666666)</f>
        <v>44802.666666666599</v>
      </c>
      <c r="B4446" s="1">
        <f ca="1">IFERROR(__xludf.DUMMYFUNCTION("""COMPUTED_VALUE"""),129.79)</f>
        <v>129.79</v>
      </c>
    </row>
    <row r="4447" spans="1:2">
      <c r="A4447" s="3">
        <f ca="1">IFERROR(__xludf.DUMMYFUNCTION("""COMPUTED_VALUE"""),44803.6666666666)</f>
        <v>44803.666666666599</v>
      </c>
      <c r="B4447" s="1">
        <f ca="1">IFERROR(__xludf.DUMMYFUNCTION("""COMPUTED_VALUE"""),128.73)</f>
        <v>128.72999999999999</v>
      </c>
    </row>
    <row r="4448" spans="1:2">
      <c r="A4448" s="3">
        <f ca="1">IFERROR(__xludf.DUMMYFUNCTION("""COMPUTED_VALUE"""),44804.6666666666)</f>
        <v>44804.666666666599</v>
      </c>
      <c r="B4448" s="1">
        <f ca="1">IFERROR(__xludf.DUMMYFUNCTION("""COMPUTED_VALUE"""),126.77)</f>
        <v>126.77</v>
      </c>
    </row>
    <row r="4449" spans="1:2">
      <c r="A4449" s="3">
        <f ca="1">IFERROR(__xludf.DUMMYFUNCTION("""COMPUTED_VALUE"""),44805.6666666666)</f>
        <v>44805.666666666599</v>
      </c>
      <c r="B4449" s="1">
        <f ca="1">IFERROR(__xludf.DUMMYFUNCTION("""COMPUTED_VALUE"""),127.82)</f>
        <v>127.82</v>
      </c>
    </row>
    <row r="4450" spans="1:2">
      <c r="A4450" s="3">
        <f ca="1">IFERROR(__xludf.DUMMYFUNCTION("""COMPUTED_VALUE"""),44806.6666666666)</f>
        <v>44806.666666666599</v>
      </c>
      <c r="B4450" s="1">
        <f ca="1">IFERROR(__xludf.DUMMYFUNCTION("""COMPUTED_VALUE"""),127.51)</f>
        <v>127.51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google</vt:lpstr>
      <vt:lpstr>microsoft</vt:lpstr>
      <vt:lpstr>apple</vt:lpstr>
      <vt:lpstr>tesla</vt:lpstr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Green Angel</cp:lastModifiedBy>
  <dcterms:modified xsi:type="dcterms:W3CDTF">2022-09-07T11:18:15Z</dcterms:modified>
</cp:coreProperties>
</file>